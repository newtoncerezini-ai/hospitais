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DESCONTINUADA Hospitais Regiona" sheetId="1" r:id="rId5"/>
    <sheet state="visible" name="Compilado total" sheetId="2" r:id="rId6"/>
    <sheet state="hidden" name="DESCONTINUADA UPA e UPA-E" sheetId="3" r:id="rId7"/>
    <sheet state="hidden" name="DESCONTINUADA Os Seis Grandes" sheetId="4" r:id="rId8"/>
    <sheet state="hidden" name="DESCONTINUADA UNIDADES EM CONST" sheetId="5" r:id="rId9"/>
    <sheet state="hidden" name="DESCONTINUADA Rede Credenciada" sheetId="6" r:id="rId10"/>
    <sheet state="visible" name="NÃO MEXER Novas unidades" sheetId="7" r:id="rId11"/>
    <sheet state="hidden" name="NÃO MEXER Consolidado" sheetId="8" r:id="rId12"/>
    <sheet state="visible" name="0_Template_Cod_Mun_RD" sheetId="9" r:id="rId13"/>
  </sheets>
  <definedNames>
    <definedName hidden="1" localSheetId="8" name="_xlnm._FilterDatabase">'0_Template_Cod_Mun_RD'!$A$2:$S$199</definedName>
    <definedName hidden="1" localSheetId="5" name="Z_8B2F7A20_70CD_4AC8_9CD2_2B3F91660B47_.wvu.FilterData">'DESCONTINUADA Rede Credenciada'!$A$2:$H$28</definedName>
    <definedName hidden="1" localSheetId="0" name="Z_8B2F7A20_70CD_4AC8_9CD2_2B3F91660B47_.wvu.FilterData">'DESCONTINUADA Hospitais Regiona'!$A$2:$U$32</definedName>
    <definedName hidden="1" localSheetId="0" name="Z_91BB1310_0C7F_4C0B_AE0A_E630CF6D8A87_.wvu.FilterData">'DESCONTINUADA Hospitais Regiona'!$A$2:$AB$1000</definedName>
  </definedNames>
  <calcPr/>
  <customWorkbookViews>
    <customWorkbookView activeSheetId="0" maximized="1" windowHeight="0" windowWidth="0" guid="{8B2F7A20-70CD-4AC8-9CD2-2B3F91660B47}" name="OSS"/>
    <customWorkbookView activeSheetId="0" maximized="1" windowHeight="0" windowWidth="0" guid="{91BB1310-0C7F-4C0B-AE0A-E630CF6D8A87}" name="Gestão Própria"/>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tc={696ddf7a-beb6-4666-bf36-c26ab1b8da07}</author>
  </authors>
  <commentList>
    <comment authorId="0" xr:uid="{696ddf7a-beb6-4666-bf36-c26ab1b8da07}" ref="A1">
      <text>
        <t xml:space="preserve">[Threaded comment]
 Your version of Excel allows you to read this threaded comment; however, any edits to it will get removed if the file is opened in a newer version of Excel. Learn more: https://go.microsoft.com/fwlink/?linkid=870924
Comment:
	Em construção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tc={918ea81d-44ad-43fd-86ac-59e1c973b7a8}</author>
  </authors>
  <commentList>
    <comment authorId="0" xr:uid="{918ea81d-44ad-43fd-86ac-59e1c973b7a8}" ref="F32">
      <text>
        <t xml:space="preserve">[Threaded comment]
 Your version of Excel allows you to read this threaded comment; however, any edits to it will get removed if the file is opened in a newer version of Excel. Learn more: https://go.microsoft.com/fwlink/?linkid=870924
Comment:
	Solicitar o número de leitos @natasha.nobrega@assessoriaespecial.pe.gov.br
Atribuído a natasha.nobrega@assessoriaespecial.pe.gov.br
</t>
      </text>
    </comment>
  </commentList>
</comments>
</file>

<file path=xl/sharedStrings.xml><?xml version="1.0" encoding="utf-8"?>
<sst xmlns="http://schemas.openxmlformats.org/spreadsheetml/2006/main" count="2997" uniqueCount="711">
  <si>
    <t>UPA ou UPAE</t>
  </si>
  <si>
    <t>HOSPITAL</t>
  </si>
  <si>
    <t>STATUS</t>
  </si>
  <si>
    <t>Localização</t>
  </si>
  <si>
    <t>OSS</t>
  </si>
  <si>
    <t>GERES</t>
  </si>
  <si>
    <t>Tipo de Gestão (OSS / Gestão Própria)</t>
  </si>
  <si>
    <t>CÓDIGO UNIDADE</t>
  </si>
  <si>
    <t>Leitos</t>
  </si>
  <si>
    <t>Perfil</t>
  </si>
  <si>
    <t>Nº Profissionais Total</t>
  </si>
  <si>
    <t>Investimento nesta gestão</t>
  </si>
  <si>
    <t>UNIDADE DE SAÚDE</t>
  </si>
  <si>
    <t>Principais avanços nessa gestão</t>
  </si>
  <si>
    <t>CÓDIGO DO IBGE</t>
  </si>
  <si>
    <t>Profissionais Servidores</t>
  </si>
  <si>
    <t>Tipo de Gestão</t>
  </si>
  <si>
    <t>Profissionais CLT</t>
  </si>
  <si>
    <t>Profissionais PJ</t>
  </si>
  <si>
    <t>Profissionais Terceirizados</t>
  </si>
  <si>
    <t>Jovem Aprendiz</t>
  </si>
  <si>
    <t>NOME MUNICIPIO</t>
  </si>
  <si>
    <t>Número de leitos</t>
  </si>
  <si>
    <t>UPAE Grande Recife</t>
  </si>
  <si>
    <t>Leitos abertos nesta gestão</t>
  </si>
  <si>
    <t>Tipos de leitos abertos nesta gestão</t>
  </si>
  <si>
    <t>RD</t>
  </si>
  <si>
    <t>Leitos a abrir com o fim das reformas</t>
  </si>
  <si>
    <t>Nº Profissionais convocados nesta gestão</t>
  </si>
  <si>
    <t>Valor do contrato de manutenção predial (anual)</t>
  </si>
  <si>
    <t>TIPO DE UNIDADE</t>
  </si>
  <si>
    <t>Número de leitos CNES</t>
  </si>
  <si>
    <t>INVESTIMENTO TOTAL (2023-2026)</t>
  </si>
  <si>
    <t>Investimento nesta gestão¹</t>
  </si>
  <si>
    <t>CUSTEIO TOTAL (2023-2026)</t>
  </si>
  <si>
    <t>Cofinanciamento 2022 (Apenas Gestão Própria)</t>
  </si>
  <si>
    <t>COFINANCIAMENTO 2022</t>
  </si>
  <si>
    <t>Cofinanciamento 2025 (Apenas Gestão Própria)</t>
  </si>
  <si>
    <t>COFINANCIAMENTO 2025</t>
  </si>
  <si>
    <t>Aumento Cofinanciamento  (2022 a 2025) % (Apenas Gestão Própria)</t>
  </si>
  <si>
    <t>AUMENTO COFINANCIAMENTO (2022-2025)</t>
  </si>
  <si>
    <t>Repasse (OS) em 2025</t>
  </si>
  <si>
    <t>INVESTIMENTO - OBRAS</t>
  </si>
  <si>
    <t xml:space="preserve">Leitos a abrir com o fim das reformas </t>
  </si>
  <si>
    <t>INVESTIMENTO - EQUIPAGEM</t>
  </si>
  <si>
    <t>INVESTIMENTO - MANUTENÇÃO PREDIAL</t>
  </si>
  <si>
    <t>INVESTIMENTO - MOBILIÁRIO</t>
  </si>
  <si>
    <t>INVESTIMENTO - EMENDAS PARLAMENTARES ESTADUAL</t>
  </si>
  <si>
    <t>INVESTIMENTO - EMENDAS PARLAMENTARES FEDERAL</t>
  </si>
  <si>
    <t>Comissionados</t>
  </si>
  <si>
    <t>OSS - PLANO DE INVESTIMENTO</t>
  </si>
  <si>
    <t xml:space="preserve">CUSTEIO - CUSTO CENTRALIZADO E CONTRATOS DE TI </t>
  </si>
  <si>
    <t>Cofinanciamento 2022</t>
  </si>
  <si>
    <t>CUSTEIO - FOLHA DE TERCEIRIZADOS</t>
  </si>
  <si>
    <t>Cofinanciamento 2025</t>
  </si>
  <si>
    <t>CUSTEIO - FOLHA DE SERVIDORES</t>
  </si>
  <si>
    <t>Aumento Cofinanciamento  (2022 a 2025) %</t>
  </si>
  <si>
    <t>Contratos Temporários</t>
  </si>
  <si>
    <t>OSS - REPASSE (2025)</t>
  </si>
  <si>
    <t>TIPO DE GESTÃO</t>
  </si>
  <si>
    <t>Nova equipagem</t>
  </si>
  <si>
    <t>OSS ADMINISTRADORA</t>
  </si>
  <si>
    <t>Hospital Geral da Mirueira</t>
  </si>
  <si>
    <t>EM FUNCIONAMENTO</t>
  </si>
  <si>
    <t>Obras de infraestrutura</t>
  </si>
  <si>
    <t>LOCALIZAÇÃO</t>
  </si>
  <si>
    <t>Rodovia BR 101, km 47, s/n, Desterro, Abreu e Lima, CEP: 53.520-01</t>
  </si>
  <si>
    <t>NÚMERO DE LEITOS ATUAL</t>
  </si>
  <si>
    <t>-</t>
  </si>
  <si>
    <t>LEITOS ABERTOS NA GESTÃO</t>
  </si>
  <si>
    <t>Cedidos de outros órgãos</t>
  </si>
  <si>
    <t>TIPOS DE LEITOS ABERTOS NA GESTÃO</t>
  </si>
  <si>
    <t>LEITOS A ABRIR COM O FIM DAS REFORMAS/CONSTRUÇÃO</t>
  </si>
  <si>
    <t>Hospital da Restauração (HR)</t>
  </si>
  <si>
    <t>PERFIL</t>
  </si>
  <si>
    <t>Gestão própria</t>
  </si>
  <si>
    <t>PROFISSIONAIS TOTAL</t>
  </si>
  <si>
    <t>PROFISSIONAIS CONVOCADOS NA GESTÃO</t>
  </si>
  <si>
    <t>PROFISSIONAIS - SERVIDORES</t>
  </si>
  <si>
    <t>PROFISSIONAIS COMISSIONADOS</t>
  </si>
  <si>
    <t>PROFISSIONAIS CLT</t>
  </si>
  <si>
    <t>PROFISSIONAIS PJ</t>
  </si>
  <si>
    <t>PROFISSIONAIS TERCEIRIZADOS</t>
  </si>
  <si>
    <t>JOVEM APRENDIZ</t>
  </si>
  <si>
    <t>PROFISSIONAIS CONTRATO TEMPORÁRIO</t>
  </si>
  <si>
    <t>I</t>
  </si>
  <si>
    <t>PROFISSIONAIS CEDIDOS DE OUTRO ÓRGÃO</t>
  </si>
  <si>
    <t>PRINCIPAIS AVANÇOS</t>
  </si>
  <si>
    <t>CONSTRUÇÃO - PERFIL</t>
  </si>
  <si>
    <t>CONSTRUÇÃO - LEITOS PREVISTOS</t>
  </si>
  <si>
    <t xml:space="preserve"> Estrada da Santa Casa, s/n, Mirueira-Paulista/PE</t>
  </si>
  <si>
    <t>Atendimento ambulatorial especializado em Angiologia, Cardiologia, Dermatologia, Endocrinologia, Gastroenterologia, Otorrinolaringologia, Pneumologia, Reumatologia e Urologia, além de atendimento multiprofissional nas áreas de Enfermagem, Farmácia, Fisioterapia, Fonoaudiologia, Nutrição, Psicologia, Serviço Social.</t>
  </si>
  <si>
    <t>Enfermaria Saúde Mental</t>
  </si>
  <si>
    <t>Crescimento do repasse direto: repasse cresceu 28,1% entre 2022 e 2025, de R$ 5,0 milhões para R$ 6,5 milhões.</t>
  </si>
  <si>
    <t>clínica médica, hanseníase, saúde mental (referência para tratamento de alcoolismo e outras drogas)</t>
  </si>
  <si>
    <t>Av. Gov. Agamenon Magalhães, s/n - Derby, Recife - PE</t>
  </si>
  <si>
    <t>Recife</t>
  </si>
  <si>
    <t>UPAE Carpina</t>
  </si>
  <si>
    <t>R. Luís Gonzaga Amorim Ribeiro, 50 - Santa Cruz, Carpina - PE, 55811-100</t>
  </si>
  <si>
    <t>II</t>
  </si>
  <si>
    <t>9 leitos USAN (unidade de suporte avançado em neurologia).
3 leitos de enfermaria de ortopedia adulto.</t>
  </si>
  <si>
    <t>Atendimento ambulatorial especializado em Alergologia, Angiologia/Cirurgia Vascular, Clínica Médica, Cardiologia, Dermatologia, Endocrinologia, Gastroenterologia, Ginecologia (CAF e Biópsias), Infectologia, Mastologia, Nefrologia, Otorrinolaringologia, Pneumologia, Reumatologia e Urologia, além de atendimento multiprofissional nas áreas de Enfermagem, Farmácia, Fisioterapia, Fonoaudiologia, Nutrição, Psicologia, Serviço Social.</t>
  </si>
  <si>
    <t>Aquisição/execução: manutenção do telhado (R$ 47.881,01) e aquisição de 65 cadeiras tipo longarina de 3 lugares (R$ 52.000,00), entre outros itens.</t>
  </si>
  <si>
    <r>
      <rPr>
        <rFont val="Roboto"/>
        <b/>
        <color theme="1"/>
        <sz val="10.0"/>
      </rPr>
      <t xml:space="preserve">Urgência Adulto e Pediátrico: </t>
    </r>
    <r>
      <rPr>
        <rFont val="Roboto"/>
        <color theme="1"/>
        <sz val="10.0"/>
      </rPr>
      <t xml:space="preserve">Ortopedia e Traumatologia, Bucomaxilofacial, queimados, neurocirurgia, neurologia, clínica médica, vascular, Cirugia Geral, Endoscopia Digestiva Alta e Cirurgia pediátrica;                                                                       
</t>
    </r>
    <r>
      <rPr>
        <rFont val="Roboto"/>
        <b/>
        <color theme="1"/>
        <sz val="10.0"/>
      </rPr>
      <t xml:space="preserve">Referência Ambulatorial: </t>
    </r>
    <r>
      <rPr>
        <rFont val="Roboto"/>
        <color theme="1"/>
        <sz val="10.0"/>
      </rPr>
      <t xml:space="preserve">Bucomaxilofacial adulto e pediátrica, cirurgia geral, cirurgia vascular, clínica médica, hemodinâmica, neurocirurgia, neurocirurgia  pediátrica, ortopedia e traumatologia adulto e pediátrica,  queimados e reumatologia.
</t>
    </r>
  </si>
  <si>
    <t>Metropolitana</t>
  </si>
  <si>
    <t>UPAE Goiana</t>
  </si>
  <si>
    <t>EM CONSTRUÇÃO</t>
  </si>
  <si>
    <t>CNPJ n.º:  10.572.048/0001-28
Endereço: Margem da PE 75 Bela Vista Goiana PE, 55900-000</t>
  </si>
  <si>
    <t>XII</t>
  </si>
  <si>
    <t>HOSPITAL - 6 GRANDES</t>
  </si>
  <si>
    <t>Atendimentos ambulatoriais nas especialidades de Cardiologia, Mastologia, Urologia, Endocrinologia, Dermatologia, Angiologia / Vascular, Pré-natal de alto risco, Ginecologia, Otorrinolaringologia e Neurologia.</t>
  </si>
  <si>
    <r>
      <rPr>
        <rFont val="Roboto"/>
        <b/>
        <color theme="1"/>
        <sz val="10.0"/>
      </rPr>
      <t>Equipagem</t>
    </r>
    <r>
      <rPr>
        <rFont val="Roboto"/>
        <color theme="1"/>
        <sz val="10.0"/>
      </rPr>
      <t>: Ampliação de 12 leitos de saúde mental; Substituição de todas as camas da unidade; Implantação do Núcleo Interno de Regulação-NIR; Implantação de 30 cargos de liderança para servidores-FSUS; Requalificação do  setor do  Raio-x (em andamento);  Incremento de recursos humanos; Abertura de 10 leitos-clínica médica (em andamento).</t>
    </r>
  </si>
  <si>
    <t>AQUISIÇÕES: DE ESFIGMOMANÔMETRO ANERÓIDE COM PEDESTAL
INDICADOR DIGITAL DE PESAGEM LIDER LD1050
MONITOR MULTIPARAMÉTRICO PROLIFE
ESFIGMOMANÔMETRO ANERÓIDE COM PEDESTAL
APARELHO DETECTOR FETAL DIGITAL
APARELHO COLPOSCÓPIO BINOCULAR
APARELHO COLPOSCÓPIO BINOCULAR
APARELHO DE ULTRASSOM ERGONÔMICO
ESFIGMOMANÔMETRO ANERÓIDE COM PEDESTAL
APARELHO ELETROTERAPIA NEORODIM
APARELHO DE ULTRASSOM TERAPÊUTICO
PAUDÁRIO (ALONGAMENTO)
PEDALINHO (EXERCÍCIOS)
ESTEIRA ERGOMÉTRICA SPEEDO
ESTEIRA ERGOMÉTRICA SPEEDO
APARELHO DE MAMOGRAFIA E ACESSÓRIOS
APARELHO DE DENSITOMETRIA ÓSSEA
CARRINHO DE EMERGÊNCIA
CAIXAS ENDOSCÓPICO/COLONOSCÓPICO
REPROCESSADORA AUTOMÁTICA DE ENDOSCÓPIO
CONCENTRADOR DE OXIGÊNIO
MONITOR MULTIPARAMÉTRICO PROLIFE
CARDIOVERSOR/DESFIBRILADOR
VENTILADOR PULMONAR MECÂNICO PORTÁTIL
CARRINHO DE EMERGÊNCIA
CAIXAS ENDOSCÓPICO/COLONOSCÓPICO
CADEIRA DE BANHO HIGIÊNICA
MONITOR MULTIPARÂMETRO
CARRINHO DE EMERGÊNCIA
APARELHO DE RAIO X
ESFIGMOMANÔMETRO ANERÓIDE COM PEDESTAL
ESFIGMOMANÔMETRO ANERÓIDE
ESTEIRA ERGOMÉTRICA
APARELHO SISTEMA DE ERGOMETRIA APEX 1000
MONITOR MULTIPARÂMETRO
TERMÔMETRO CLÍNICO DIGITAL</t>
  </si>
  <si>
    <t>Hospital Geral de Areias</t>
  </si>
  <si>
    <t xml:space="preserve">Avenida Recife, 810, Estância, Recife </t>
  </si>
  <si>
    <t xml:space="preserve">Urgência: Odontologia, clínica médica, pediatria. Ambulatório: Bucomaxilo, Clínica Médica Geral Adulto, Ortopedia, Gastroenterologia, reumatologia, Odontologia e Pediatria.
</t>
  </si>
  <si>
    <t>UPAE Arcoverde</t>
  </si>
  <si>
    <t>Requalificação da emergência pediatrica, requalificação do ambulatório de odontologia , incluindo o PNE - pacientes com necessidades especiais;  Implantação do Serviço Especializado em Engenharia de Segurança e em Medicina do Trabalho – SESMT; Implementação do Huddle nas emergências; Aqusição de 01 (uma) ambulância de suporte avançado (UTI) Movél;  Aquisição de instrumentais cirúrgicos; Aquisição de cadeiras odontológicas;  Incremento de recursos humanos; Substituição de todas as camas da unidade; Implantação de 31 cargos de liderança para servidores-FSUS.</t>
  </si>
  <si>
    <t>Av. Conselheiro João Alfredo, 491, Bairro Santa Luzia, no município de Arcoverde, CEP: 56517-100</t>
  </si>
  <si>
    <t>Hospital Nossa Senhora de Aparecida</t>
  </si>
  <si>
    <t>VI</t>
  </si>
  <si>
    <t>HTRI</t>
  </si>
  <si>
    <t>Atendimento ambulatorial especializado em Cardiologia, Dermatologia, Endocrinologia, Gastroenterologia, Ginecologia (CAF e Biópsias), Mastologia, Neurologia, Oftalmologia, Otorrinolaringologia, Pneumologia, Urologia, além de atendimento multiprofissional nas áreas de Enfermagem, Farmácia, Fisioterapia, Fonoaudiologia, Nutrição, Psicologia, Serviço Social.</t>
  </si>
  <si>
    <t>Avenida Rodolfo Aureliano, 976, Vila Torres Galvão, Paulista</t>
  </si>
  <si>
    <t>Aquisição de equipamentos: cadeira de rodas, densitômetro, retinógrafo, ultrassonógrafos, aparelho de MAPA e nasofibroscópio.</t>
  </si>
  <si>
    <t>Neurologia clínica e cirúrgica pediátrica, pediatria clínica, pediatria cirúrgica, cirurgia vascular com hemodinâmica, endoscopia digestiva alta adulto e pediátrica, urgência e emergência adulto e pediátrica</t>
  </si>
  <si>
    <r>
      <rPr>
        <rFont val="Roboto"/>
        <b/>
        <color theme="1"/>
        <sz val="10.0"/>
      </rPr>
      <t>EQUIPAGEM:</t>
    </r>
    <r>
      <rPr>
        <rFont val="Roboto"/>
        <color theme="1"/>
        <sz val="10.0"/>
      </rPr>
      <t xml:space="preserve"> 02 Aparelhos de Anestesia Pediátrico e Neonatal; 09 Apalehos de Anestesia com Monitor; 01 Aparelho de Ultrassom Portátil; 01 Aparelho Radiográfico Odontológico; 01 Arco Cirúrgico; 01 Arco Cirúrgico com Ânodo Estacionário; 02 Bisturí Elétrico e Coagulador de Plasma de Argônio; 83 Camas Elétricas; 25 Cardioversor; 06 Cardioversor com Marcapasso; 10 Carros de Emergência; 02 Central de Monitorização Fisiológica Multiparâmetros; 12 Eletrocardiógrafos; 01 Eletroencefalógrafo; 02 Bisturí Elétricos; 01 Mesa Cirúrgica Ortopédica; 13 Mesas Cirúrgicas para Obeso; 01 Microscópio Cirúrgico; 05 Óticas; 10 Oxímetros de Pulso; 01 Processadora Automática de Tecidos; 03 Aparelhos de Raio-x Móveis; 01 Ressonância Magnética; 02 Tomógrafos; </t>
    </r>
    <r>
      <rPr>
        <rFont val="Roboto"/>
        <b/>
        <color theme="1"/>
        <sz val="10.0"/>
      </rPr>
      <t>INSTRUMENTAIS CIRÚRGICOS: xxxxxxx</t>
    </r>
  </si>
  <si>
    <t>UPAE Palmares</t>
  </si>
  <si>
    <t>Hospital inaugurado em 15/06/2026.</t>
  </si>
  <si>
    <t>Hospital Correia Picanço</t>
  </si>
  <si>
    <r>
      <rPr>
        <rFont val="Roboto"/>
        <b/>
        <color theme="1"/>
        <sz val="10.0"/>
      </rPr>
      <t>Estamos fazendo</t>
    </r>
    <r>
      <rPr>
        <rFont val="Roboto"/>
        <color theme="1"/>
        <sz val="10.0"/>
      </rPr>
      <t>: instalação de 02 novos elevadores; requalificação da emergência pediátrica; requalificação das UTIs A e B (adulto); requalificação do 4º andar; requalificação do refeitório e da cozinha; reestruturação do estacionamento;</t>
    </r>
    <r>
      <rPr>
        <rFont val="Roboto"/>
        <color rgb="FFFF0000"/>
        <sz val="10.0"/>
      </rPr>
      <t xml:space="preserve"> </t>
    </r>
    <r>
      <rPr>
        <rFont val="Roboto"/>
        <color theme="1"/>
        <sz val="10.0"/>
      </rPr>
      <t>requalificação das salas do bloco cirúrgico;</t>
    </r>
    <r>
      <rPr>
        <rFont val="Roboto"/>
        <color rgb="FFFF0000"/>
        <sz val="10.0"/>
      </rPr>
      <t xml:space="preserve"> </t>
    </r>
    <r>
      <rPr>
        <rFont val="Roboto"/>
        <color theme="1"/>
        <sz val="10.0"/>
      </rPr>
      <t xml:space="preserve">Central de Material e Esterelização (CMA); 
</t>
    </r>
    <r>
      <rPr>
        <rFont val="Roboto"/>
        <b/>
        <color theme="1"/>
        <sz val="10.0"/>
      </rPr>
      <t>Já entregamos</t>
    </r>
    <r>
      <rPr>
        <rFont val="Roboto"/>
        <color theme="1"/>
        <sz val="10.0"/>
      </rPr>
      <t xml:space="preserve">: Instalação de mais um 1 tomógrafo; instalação de mais 1 ressonância; instalação de mais 1 angiógrafo; requalificação do setor de imagem; implantação da central de laudos; requalificação do setor de patologia; requalificação da biblioteca; requalificação do setor de endoscopia; requalificação da sala vermelha e laranja do trauma; requalificação do 6º andar; requalificação do 7º andar (sul); requalificação do 8º andar; requalificação da UTI pediátrica;  requalificação da fachada; requalificação da USAN - Unidade de Suporte Avançado em Neurocirurgia com ampliação de 09 leitos; </t>
    </r>
    <r>
      <rPr>
        <rFont val="Roboto"/>
        <color rgb="FFFF0000"/>
        <sz val="10.0"/>
      </rPr>
      <t>repouso?</t>
    </r>
  </si>
  <si>
    <t>BR 101, KM 185, S/N, Bairro Newton Carneiro (Engenho Quilombo dos Palmares), em Palmares, Pernambuco</t>
  </si>
  <si>
    <t>III</t>
  </si>
  <si>
    <t>Avenida Conselheiro Rosa e Silva, 2130, Tamarineira, Recife.</t>
  </si>
  <si>
    <t>Atendimento ambulatorial especializado em Angiologia/Cirurgia Vascular, Clínica Médica, Cardiologia, Dermatologia, Endocrinologia, Ginecologia (CAF e Biópsias), Mastologia, Nefrologia, Neurologia, Oftalmologia, Otorrinolaringologia, Pneumologia, Pediatria, Reumatologia e Urologia, além de atendimento multiprofissional nas áreas de Enfermagem, Farmácia, Fisioterapia, Fonoaudiologia, Nutrição, Psicologia, Serviço Social.</t>
  </si>
  <si>
    <t xml:space="preserve">Crescimento do repasse total anual: repasse cresceu 261,0% entre 2022 e 2025, de R$ 1,7 milhões para R$ 6,0 milhões.
Plano de investimento e modernização: R$ 287.072,87 aplicados na aquisição de equipamentos assistenciais e de diagnóstico: Audiômetro, Cadeira Otorrinológica, Mesa de Exames (maca fixa), Cadeira de Rodas para Obeso, Aparelho para Fisioterapia por Ondas Curtas.
</t>
  </si>
  <si>
    <t>Urgência: Infectologia. Ambulatorial: Infectologia adulto, enfermagem, psicologia, odontologia, nutrição, serviço social, cardiologia, neurologia, ginecologia, endocrinologia, médico do trabalho, nefrologia, dermatologia, pneumologia, proctologia e psiquiatria.</t>
  </si>
  <si>
    <t>UPAE Escada</t>
  </si>
  <si>
    <t>Avenida Engenheiro Alves de Souza, s/n, Jaguaribe, CEP: 55.500-000</t>
  </si>
  <si>
    <t>Hospital Agamenon Magalhães (HAM)</t>
  </si>
  <si>
    <t xml:space="preserve">Atendimento ambulatorial especializado em Alergologia, Angiologia, Cardiologia, Dermatologia, Endocrinologia, Gastroenterologia, Infectologia, Mastologia, Nefrologia, Oftalmologia, Otorrinolaringologia, Pneumologia, Reumatologia, Urologia, além de atendimento multiprofissional nas áreas de Enfermagem, Farmácia, Fisioterapia, Fonoaudiologia, Nutrição, Psicologia, Serviço Social.
</t>
  </si>
  <si>
    <t>Abertura do ambulatório de tuberculose multirresistente (TB-MDR), Aquisição de raio-x digital, aquisição de ultrasson com doppler, videolaringoscópio e videobroncoscópio, substituição de todas as camas hospitalares, reforma da emergência adulto (em andamento), Implantação de 31 cargos de liderança para servidores-FSUS.</t>
  </si>
  <si>
    <t>Estrada do Arraial, 2723, Casa Amarela - Recife</t>
  </si>
  <si>
    <t>R$ 475.362,22</t>
  </si>
  <si>
    <t>Hospital Psiquiátrico Ulysses Pernambucano</t>
  </si>
  <si>
    <t>38
Revisar com a SEINFRA</t>
  </si>
  <si>
    <t>Cadeira otorrinolaringológica, ultrassom diagnóstico sem aplicação transesofágica, desfibrilador, oxímetros de pulso e balança digital adulto.</t>
  </si>
  <si>
    <t>Referência estadual em assistência psiquiátrica</t>
  </si>
  <si>
    <r>
      <rPr>
        <rFont val="Roboto"/>
        <b/>
        <color theme="1"/>
        <sz val="10.0"/>
      </rPr>
      <t xml:space="preserve">Urgência: </t>
    </r>
    <r>
      <rPr>
        <rFont val="Roboto"/>
        <color theme="1"/>
        <sz val="10.0"/>
      </rPr>
      <t xml:space="preserve">Cardiologia, Clínica Médica, Cirurgia Geral,  Urgência Dialítica, Ginecologia, Obstetrícia de alto risco, Otorrinolaringologia e Atendimento a Mulheres Vítimas de Violência (Wilma Lessa). 
</t>
    </r>
    <r>
      <rPr>
        <rFont val="Roboto"/>
        <b/>
        <color theme="1"/>
        <sz val="10.0"/>
      </rPr>
      <t xml:space="preserve">Ambulatorial: </t>
    </r>
    <r>
      <rPr>
        <rFont val="Roboto"/>
        <color theme="1"/>
        <sz val="10.0"/>
      </rPr>
      <t xml:space="preserve">Cardiologia, Cirurgia Bariátrica, Cirurgia Geral, Cirurgia Plástica, Cirurgia Vascular, Clínica Médica, Endocrinologia, Ginecologia, Obstetrícia de Alto Risco e Otorrinolaringologia. 
</t>
    </r>
  </si>
  <si>
    <t>Requalificação da capela, implementação do Núcleo Interno de Regulação (NIR), troca de todas as camas hospitalares, Aqusição de 01 (uma) ambulância de suporte avançado (UTI) Movél; Aquisição de 30 novos computadores, Requalificação da casa dos residentes, Reforma da enfermaria Adail Santos;  Incremento de recursos humanos; Reforma da emergência (em andamento), Implantação de 31 cargos de liderança para servidores-FSUS.</t>
  </si>
  <si>
    <t>UPAE Caruaru</t>
  </si>
  <si>
    <t>Hospital São Lucas</t>
  </si>
  <si>
    <t>Av. José Marques Fontes, S/N, Indianópolis</t>
  </si>
  <si>
    <t>IV</t>
  </si>
  <si>
    <t>Atendimento ambulatorial especializado em Alergologia, Angiologia, Cardiologia, Cirurgia Geral, Dermatologia, Endocrinologia, Gastroenterologia, Hematologia, Infectologia, Mastologia, Nefrologia, Neurologia, Oftalmologia, Otorrinolaringologia, Pneumologia, Proctologia, Reumatologia e Urologia, além de suporte anestésico para procedimentos realizados em sala cirúrgica. A unidade conta ainda com atendimento multiprofissional nas áreas de Enfermagem, Farmácia, Fisioterapia, Fonoaudiologia, Nutrição, Psicologia, Serviço Social e Terapia Ocupacional</t>
  </si>
  <si>
    <t>R$ 4.289.540,15</t>
  </si>
  <si>
    <r>
      <rPr>
        <rFont val="Roboto"/>
        <b/>
        <color theme="1"/>
      </rPr>
      <t xml:space="preserve">Urgência Adulto e Pediátrico: </t>
    </r>
    <r>
      <rPr>
        <rFont val="Roboto"/>
        <color theme="1"/>
      </rPr>
      <t xml:space="preserve">Ortopedia e Traumatologia, Bucomaxilofacial, queimados, neurocirurgia, neurologia, clínica médica, vascular, Cirugia Geral, Endoscopia Digestiva Alta e Cirurgia pediátrica;                                                                       
</t>
    </r>
    <r>
      <rPr>
        <rFont val="Roboto"/>
        <b/>
        <color theme="1"/>
      </rPr>
      <t xml:space="preserve">Referência Ambulatorial: </t>
    </r>
    <r>
      <rPr>
        <rFont val="Roboto"/>
        <color theme="1"/>
      </rPr>
      <t xml:space="preserve">Bucomaxilofacial adulto e pediátrica, cirurgia geral, cirurgia vascular, clínica médica, hemodinâmica, neurocirurgia, neurocirurgia  pediátrica, ortopedia e traumatologia adulto e pediátrica,  queimados e reumatologia.
</t>
    </r>
  </si>
  <si>
    <r>
      <rPr>
        <rFont val="Roboto"/>
        <b/>
        <color theme="1"/>
        <sz val="10.0"/>
      </rPr>
      <t>EQUIPAGEM:</t>
    </r>
    <r>
      <rPr>
        <rFont val="Roboto"/>
        <color theme="1"/>
        <sz val="10.0"/>
      </rPr>
      <t xml:space="preserve"> 01 Angiógrafo; 03 Analisador de Ouvido Médio; 05 Aspirador Cirúrgico; 06 Aparelhos de Anestesia; 09 Aparelhos de Anestesia com Monitor; 01 Aparelho de Emissões Otoacústicas; 02 Aparelhos para Potencial Evocado; 07 Aparelhos de Ultrassom Fixo; 08 Aparelhos de Ultrassom Portátil; 01 Arco Cirúrgico; 03 Audiômetros; 18 Balanças Antropométricas; 08 Balanças Pesa Bebê; 01 Banho Histológico; 06 Berço Auqecido para RN; 21 Berços para Recém Nascido; 06 Bicicletas Ergométricas; 03 Bilirrubinômetro; 01 Campímetro; 01 Cadeira para Otorrinolaringologia Elétrica para Obeso;  13 Cardioversor; 01 Central Modular de Inclusão; 03 Cabines Acústicas; 03 Colposcópio Ginecológico com Sistema de Vídeo; 10 Detectores de Batimentos Fetais; 01 Drill Elétrico; 03 Eletrocardiógrafos; 06 Eletroestimuladores para Fisioterapia; 02 Eletrocardiógrafos; 01 Embaladora de Dose Unitária; 10 Endoscópios Nasais; 13 Bisturí Elétrico; 20 Equipamentos para Treinamento Muscular Respiratório; 153 Esfigmomanômetro; 36 Esfigmomanômetro de Pedestal; 04 Estetoscópios; 50 Estetoscópios Neonatais; 01 Estroboscópio; 01 Espirômetro; 04 Foco Cirúrgico Fixo de Teto; 06 Focos Cirúrgicos de Led; 19 Focos Parabólicos; 03 Fotófaros; 02 Ganho de Inserção Analisador Portátil; 15 Gerador de Marcapasso Provisório; 17 Incubadoras para RN; 17 Incubadoras de Transporte para RN; 01 Mamógrafo; 05 Manovacuômetro; 07 Medidor de Pressão Balonete;  08 Medidor de Avaliação de Pressão; 09 Mesas Cirúrgicas; 02 Mesas Ginecológicas; 05 Microscópios Binocular; 01 Microscópio Cirúrgico; 01 Micrótomo de Rotação; 03 Monitores de Coagulação Ativada; 40 Monitores Multiparamétricos; 03 Nasofibroscópio Flexível; 14 Oftalmoscópios; 02 Ordenhadeira de Leite; 03 Óticas para Histeroscopia; 24 Otoscópios; 43 Oxímetros de Pulso; 04 Radiômetros; 02 Aparelhos de Raio-x Móvel; 02 Refrigeradores Científicos; 05 Seladoras; 01 Seladora para Bolsa de Sangue; 08 Seladoras Térmicas com Pedal; 02 Serras Elétricas; 01 Sistema de Amplificação de Campo Livre; 02 Sistema de Videolaparoscopia; 04 Detector Ultrassônico; 01 Termodesinfectadora; 68 Unidades de Fototerapia; 01 Vectonistagmógrafo Digital; 03 Ventilador Pulmonar de Transporte; 08 Ventilador Pulmonar; 15 Ventilador Pulmonar Pediátrico e Neonatal; 01 Cama Elétrica</t>
    </r>
    <r>
      <rPr>
        <rFont val="Roboto"/>
        <b/>
        <color theme="1"/>
        <sz val="10.0"/>
      </rPr>
      <t xml:space="preserve"> </t>
    </r>
    <r>
      <rPr>
        <rFont val="Roboto"/>
        <color theme="1"/>
        <sz val="10.0"/>
      </rPr>
      <t>para Obeso;</t>
    </r>
    <r>
      <rPr>
        <rFont val="Roboto"/>
        <b/>
        <color theme="1"/>
        <sz val="10.0"/>
      </rPr>
      <t xml:space="preserve"> </t>
    </r>
    <r>
      <rPr>
        <rFont val="Roboto"/>
        <color theme="1"/>
        <sz val="10.0"/>
      </rPr>
      <t>580 Computadores;</t>
    </r>
    <r>
      <rPr>
        <rFont val="Roboto"/>
        <b/>
        <color theme="1"/>
        <sz val="10.0"/>
      </rPr>
      <t xml:space="preserve"> CAMAS ELÉTRICAS;</t>
    </r>
    <r>
      <rPr>
        <rFont val="Roboto"/>
        <color theme="1"/>
        <sz val="10.0"/>
      </rPr>
      <t xml:space="preserve">  </t>
    </r>
    <r>
      <rPr>
        <rFont val="Roboto"/>
        <b/>
        <color theme="1"/>
        <sz val="10.0"/>
      </rPr>
      <t>INSTRUMENTAIS CIRÚRGICOS: xxxxxxx</t>
    </r>
  </si>
  <si>
    <t>Microscopio cirúrgico oftalmológico, aparelho de ultrassonografia (ultrassom), facoemulsificador, foco cirúrgico de teto, sistema de vídeo endoscopia flexível, carro de anestesia, monitor multiparamêtrico, cadeira para exames de urodinâmica.</t>
  </si>
  <si>
    <t>BR 363, Praça Flamboyant, Fernando de Noronha</t>
  </si>
  <si>
    <r>
      <rPr>
        <rFont val="Roboto"/>
        <b/>
        <color theme="1"/>
        <sz val="10.0"/>
      </rPr>
      <t>Estamos fazendo</t>
    </r>
    <r>
      <rPr>
        <rFont val="Roboto"/>
        <color theme="1"/>
        <sz val="10.0"/>
      </rPr>
      <t xml:space="preserve">: Aquisição e instaçação de 6 elevadores, dos quais 2 já foram entregues; requalificação do bloco cirúrgico ambulatorial; requalificação de 6 salas cirúrgicas, das quais 2 já foram entregues; emergência cardiológica; requalificação da fachada; requalificação das enfermarias. 
</t>
    </r>
    <r>
      <rPr>
        <rFont val="Roboto"/>
        <b/>
        <color theme="1"/>
        <sz val="10.0"/>
      </rPr>
      <t>Já entregamos</t>
    </r>
    <r>
      <rPr>
        <rFont val="Roboto"/>
        <color theme="1"/>
        <sz val="10.0"/>
      </rPr>
      <t>: Novo prédio do ambulatório, prédio da Administrativo e direção; requalificação da cozinha e do refeitório; requalificação do Wilma Lessa; requalificação das enfermarias do alojamento conjunto; requalificação da UTI geral;  requalificação do setor de mamografia; requalificação das enfermarias de clínica médica.</t>
    </r>
  </si>
  <si>
    <t>UPAE Belo Jardim</t>
  </si>
  <si>
    <t>Urgência: pediatria, clínica médica e odontologia. Ambulatório:  pediatria, obstetrícia, psiquiatria e odontologia</t>
  </si>
  <si>
    <t>BR-232, 785, Bairro São Pedro, no município de Belo Jardim, CEP: 55158-810</t>
  </si>
  <si>
    <t>Hospital Barão de Lucena (HBL)</t>
  </si>
  <si>
    <t xml:space="preserve">Atendimento especializado em Alergologia, Angiologia, Cardiologia, Clínico geral, Dermatologia, Endocrinologia, Gastroenterologia, Ginecologia, Nefrologia, neurologia, Oftalmologia, Otorrinolaringologia, Urologia, além de atendimento multiprofissional nas áreas de Enfermagem, Farmácia, Fisioterapia, Fonoaudiologia, Nutrição, Psicologia, Serviço social.
</t>
  </si>
  <si>
    <t>R$ 34.816,70</t>
  </si>
  <si>
    <t>Aquisição/execução: equipamento para monitoramento ambulatorial de pressão arterial (MAPA), entre outros itens.</t>
  </si>
  <si>
    <r>
      <rPr>
        <rFont val="Roboto"/>
        <b/>
        <color theme="1"/>
        <sz val="10.0"/>
      </rPr>
      <t>Equipamentos</t>
    </r>
    <r>
      <rPr>
        <rFont val="Roboto"/>
        <color theme="1"/>
        <sz val="10.0"/>
      </rPr>
      <t xml:space="preserve">: 12 camas elétricas (entregues); 10 macas (entregues); 9 poltronas hospitalares (entregues); 2 bisturis elétricos (entregues); 3 balanças antropométricas (entregues); 1 foco cirúrgico (entregues); 1 autoclave vertical (entregues); 1 cardiovesor bifásico (entregues); 2 monitores cardíacos (entregues); 3 esfigmomanômetros (entregues); 1 colposcópio (entregue); 1 aparelho de ultrassonografia portátil com doppler e ecocardiograma (entregues); 1 aparelho de raio-x móvel (entregue); 1 cadeira odontológica (entregue); 1 aparelho de gasometria (entregue / recurso de emenda). </t>
    </r>
    <r>
      <rPr>
        <rFont val="Roboto"/>
        <b/>
        <color theme="1"/>
        <sz val="10.0"/>
      </rPr>
      <t>Infraestrutura</t>
    </r>
    <r>
      <rPr>
        <rFont val="Roboto"/>
        <color theme="1"/>
        <sz val="10.0"/>
      </rPr>
      <t>:  reforma do ambulatório, reforma com ampliação (em andamento).</t>
    </r>
  </si>
  <si>
    <t>Av. Caxangá, 3860 - Iputinga, Recife - PE</t>
  </si>
  <si>
    <t>UPAE Limoeiro</t>
  </si>
  <si>
    <t>Hospital Jaboatão Prazeres</t>
  </si>
  <si>
    <t>10 leitos de UTI Pediátrica
15 leitos de Enfermaria pediátrica</t>
  </si>
  <si>
    <r>
      <rPr>
        <rFont val="Roboto"/>
        <b/>
        <color theme="1"/>
      </rPr>
      <t>Obras de infraestrutura
Estamos fazendo</t>
    </r>
    <r>
      <rPr>
        <rFont val="Roboto"/>
        <color theme="1"/>
      </rPr>
      <t>: instalação de 02 novos elevadores; requalificação da emergência pediátrica; requalificação das UTIs A e B (adulto); requalificação do 4º andar; requalificação do refeitório e da cozinha; reestruturação do estacionamento;</t>
    </r>
    <r>
      <rPr>
        <rFont val="Roboto"/>
        <color rgb="FFFF0000"/>
      </rPr>
      <t xml:space="preserve"> </t>
    </r>
    <r>
      <rPr>
        <rFont val="Roboto"/>
        <color theme="1"/>
      </rPr>
      <t>requalificação das salas do bloco cirúrgico;</t>
    </r>
    <r>
      <rPr>
        <rFont val="Roboto"/>
        <color rgb="FFFF0000"/>
      </rPr>
      <t xml:space="preserve"> </t>
    </r>
    <r>
      <rPr>
        <rFont val="Roboto"/>
        <color theme="1"/>
      </rPr>
      <t xml:space="preserve">Central de Material e Esterelização (CMA); 
</t>
    </r>
    <r>
      <rPr>
        <rFont val="Roboto"/>
        <b/>
        <color theme="1"/>
      </rPr>
      <t>Já entregamos</t>
    </r>
    <r>
      <rPr>
        <rFont val="Roboto"/>
        <color theme="1"/>
      </rPr>
      <t xml:space="preserve">: Instalação de mais um 1 tomógrafo; instalação de mais 1 ressonância; instalação de mais 1 angiógrafo; requalificação do setor de imagem; implantação da central de laudos; requalificação do setor de patologia; requalificação da biblioteca; requalificação do setor de endoscopia; requalificação da sala vermelha e laranja do trauma; requalificação do 6º andar; requalificação do 7º andar (sul); requalificação do 8º andar; requalificação da UTI pediátrica;  requalificação da fachada; requalificação da USAN - Unidade de Suporte Avançado em Neurocirurgia com ampliação de 09 leitos; </t>
    </r>
    <r>
      <rPr>
        <rFont val="Roboto"/>
        <color rgb="FFFF0000"/>
      </rPr>
      <t xml:space="preserve">repouso?
</t>
    </r>
    <r>
      <rPr>
        <rFont val="Roboto"/>
        <b/>
        <color theme="1"/>
      </rPr>
      <t>EQUIPAGEM</t>
    </r>
    <r>
      <rPr>
        <rFont val="Roboto"/>
        <color theme="1"/>
      </rPr>
      <t xml:space="preserve">: 02 Aparelhos de Anestesia Pediátrico e Neonatal; 09 Apalehos de Anestesia com Monitor; 01 Aparelho de Ultrassom Portátil; 01 Aparelho Radiográfico Odontológico; 01 Arco Cirúrgico; 01 Arco Cirúrgico com Ânodo Estacionário; 02 Bisturí Elétrico e Coagulador de Plasma de Argônio; 83 Camas Elétricas; 25 Cardioversor; 06 Cardioversor com Marcapasso; 10 Carros de Emergência; 02 Central de Monitorização Fisiológica Multiparâmetros; 12 Eletrocardiógrafos; 01 Eletroencefalógrafo; 02 Bisturí Elétricos; 01 Mesa Cirúrgica Ortopédica; 13 Mesas Cirúrgicas para Obeso; 01 Microscópio Cirúrgico; 05 Óticas; 10 Oxímetros de Pulso; 01 Processadora Automática de Tecidos; 03 Aparelhos de Raio-x Móveis; 01 Ressonância Magnética; 02 Tomógrafos; </t>
    </r>
    <r>
      <rPr>
        <rFont val="Roboto"/>
        <b/>
        <color theme="1"/>
      </rPr>
      <t>INSTRUMENTAIS CIRÚRGICOS: xxxxxxx</t>
    </r>
  </si>
  <si>
    <t>Margem PE-90, S/N, Fazenda Livramento, Limoeiro - PE, 55700-000</t>
  </si>
  <si>
    <t>R. Recife, s/n - Cajueiro Seco, Jaboatão dos Guararapes - PE</t>
  </si>
  <si>
    <r>
      <rPr>
        <rFont val="Roboto"/>
        <b/>
        <color theme="1"/>
        <sz val="10.0"/>
      </rPr>
      <t xml:space="preserve">Urgência: </t>
    </r>
    <r>
      <rPr>
        <rFont val="Roboto"/>
        <color theme="1"/>
        <sz val="10.0"/>
      </rPr>
      <t xml:space="preserve">Obstetrícia de alto risco, emergência pediátrica. 
</t>
    </r>
    <r>
      <rPr>
        <rFont val="Roboto"/>
        <b/>
        <color theme="1"/>
        <sz val="10.0"/>
      </rPr>
      <t>Ambulatório</t>
    </r>
    <r>
      <rPr>
        <rFont val="Roboto"/>
        <color theme="1"/>
        <sz val="10.0"/>
      </rPr>
      <t>: Dermatologia, obstetrícia de alto risco, oncologia, nefrologia adulto e pediátrico, clínicas cirúrgicas (vascular, geral, proctologia, torácica, ginecologia e mastologia), endocrinologia, neuropediatria e programa de ostomizados, SAE (Serviço de Atenção Especializada em HIV/Aids).</t>
    </r>
  </si>
  <si>
    <t>Atendimento especializado em Angiologia, Cardiologia, Dermatologia, Endocrinologia, Gastroenterologia, Ginecologia, Mastologia, Nefrologia, Oftalmologia, Otorrinolaringologia, Urologia, além de atendimento multiprofissional nas áreas de Enfermagem, Farmácia, Fisioterapia, Fonoaudiologia, Nutrição, Psicologia, Serviço Social.</t>
  </si>
  <si>
    <t>Urgência pediátrica, adulta e odontológica, clínica médica e cirúrgica.</t>
  </si>
  <si>
    <t>Repasse evoluiu de R$ 5,4 milhões para R$ 8,8 milhões. Aquisição de equipamentos através de Plano de investimento, no valor de R$ 905.105,00</t>
  </si>
  <si>
    <t>UPAE Garanhuns</t>
  </si>
  <si>
    <t>Rodovia BR-423,BR 423, km 96,8, Bairro São José, Garanhuns Km 90, CEP: 55.290-000</t>
  </si>
  <si>
    <t xml:space="preserve">Inauguração do Bloco Cirúrgico - 2025; Implantação de 4 leitos de SRPA; Criação de farmácias satélites; Requalificação do espaço de convivência; Aquisição de 01 (um) Raio-X Digital,  Requalificação da sala do raio-x; Aquisição de autoclave; Aquisição de ventiladores pulmonares; Aquisição de eletrocardiógrafo; Ampliação de  9 leitos de saúde mental; Requalificação do CME (em andamento);  Incremento de recursos humanos; Substituição de todas as camas da unidade; Implantação de 31 cargos de liderança para servidores-FSUS.
</t>
  </si>
  <si>
    <t>V</t>
  </si>
  <si>
    <r>
      <rPr>
        <rFont val="Roboto"/>
        <b/>
        <color theme="1"/>
        <sz val="10.0"/>
      </rPr>
      <t>EQUIPAGEM:</t>
    </r>
    <r>
      <rPr>
        <rFont val="Roboto"/>
        <color theme="1"/>
        <sz val="10.0"/>
      </rPr>
      <t xml:space="preserve"> 02 Sistemas de Videolaparoscopia; 01 Ultrassonógrafo Digital; 01 Sistema de Videobroncoscópio; 04 Biturís Elétricos; 04 Refrigeradores Científicos; 01 Micrótomo de Rotação; 02 Incubadoras para Recém Nascido; 12 Incubadoras de Transporte para recém Nascido; 03 Radiômetros Portáteis; 52 Unidades de Fototerapia; 02 Mesas Ginecológicas; 01 Balança Antropométrica; 71 Esfigmomanômetro Pedestal; 01 Aparelho para Potencial Evocado Portátil; 20 Detectores de Batimentos Cardíacos Fetais; 02 Videogastroscópios; 01 Videolaringoscópio; 01 Mesa Cirúrgica Elétrica; 01 Micrótomo de Congelação; 04 Mesas Cirúrgicas Ortopédicas; 09 Aparelhos de Anestesia; 01 Banho Histológico; 01 Mamógrafo; 01 Ventilador Pulmonar; 01 Reprocessadora Capilar;  01 Equipamento de Desintometria Óssea; 82 Camas Elétricas</t>
    </r>
    <r>
      <rPr>
        <rFont val="Roboto"/>
        <b/>
        <color theme="1"/>
        <sz val="10.0"/>
      </rPr>
      <t xml:space="preserve">; </t>
    </r>
    <r>
      <rPr>
        <rFont val="Roboto"/>
        <color theme="1"/>
        <sz val="10.0"/>
      </rPr>
      <t xml:space="preserve">176 Computadores; </t>
    </r>
    <r>
      <rPr>
        <rFont val="Roboto"/>
        <b/>
        <color theme="1"/>
        <sz val="10.0"/>
      </rPr>
      <t>INSTRUMENTAIS CIRÚRGICOS: xxxxxxx</t>
    </r>
  </si>
  <si>
    <t>Hospital Nossa Senhora das Graças/Alfa</t>
  </si>
  <si>
    <t>FGH</t>
  </si>
  <si>
    <r>
      <rPr>
        <rFont val="Roboto"/>
        <b/>
        <color theme="1"/>
        <sz val="10.0"/>
      </rPr>
      <t>Estamos fazendo</t>
    </r>
    <r>
      <rPr>
        <rFont val="Roboto"/>
        <b val="0"/>
        <color theme="1"/>
        <sz val="10.0"/>
      </rPr>
      <t xml:space="preserve">: Requalificação das enfermarias do 3ª andar; requalificação da fachada; reforma do setor de quimioterapia, novo setor de hemodiálise, laboratório, CME - Central de Material e Esterilização, SAME - Serviço de Arquivo Médico; novo prédio da pediatria;
</t>
    </r>
    <r>
      <rPr>
        <rFont val="Roboto"/>
        <b/>
        <color theme="1"/>
        <sz val="10.0"/>
      </rPr>
      <t>Já entregamos</t>
    </r>
    <r>
      <rPr>
        <rFont val="Roboto"/>
        <b val="0"/>
        <color theme="1"/>
        <sz val="10.0"/>
      </rPr>
      <t>:</t>
    </r>
    <r>
      <rPr>
        <rFont val="Roboto"/>
        <b/>
        <color theme="1"/>
        <sz val="10.0"/>
      </rPr>
      <t xml:space="preserve"> </t>
    </r>
    <r>
      <rPr>
        <rFont val="Roboto"/>
        <b val="0"/>
        <color theme="1"/>
        <sz val="10.0"/>
      </rPr>
      <t xml:space="preserve">Requalificação da UTI adulto; requalificação da UTI pediátrica; Requalificação da UTI neonatal; instalação de 02 novos elevadores; requalificação do necrotério; requalificação de uma enfermaria vascular de 10 leitos. </t>
    </r>
  </si>
  <si>
    <t>Atendimento ambulatorial especializado em Cardiologia, Cirurgia Geral, Dermatologia, Endocrinologia, Gastroenterologia, Geriatria, Ginecologia (CAF e Biopsia), Mastologia, Nefrologia, Neurologia, Oftalmologia, Otorrinolaringologia, Reumatologia e Urologia, além de atendimento multiprofissional nas áreas de Enfermagem, Farmácia, Fisioterapia, Fonoaudiologia, Nutrição, Psicologia, Serviço Social.</t>
  </si>
  <si>
    <t>Av. Visc. de Jequitinhonha, 1144 - Boa Viagem, CEP 51030-020</t>
  </si>
  <si>
    <t>Clínico Neuro</t>
  </si>
  <si>
    <t>Assistência clínica, cirúrgica e intensiva, com especialidades como Cardiologia Clínica, Cirurgia Geral, Cirurgia Torácica, Geriatria, Cuidados Paliativos, cirurgia urológica, Clínica Médica, Neurologia e Neurocirugia, Pneumologia.</t>
  </si>
  <si>
    <t>R$ 3.162.643,06</t>
  </si>
  <si>
    <t>Hospital Getúlio Vargas (HGV)</t>
  </si>
  <si>
    <t>Aquisição de equipamento através de plano de investimento, no valor de R$3.162.643,06 contemplando: Aparelho de anestesia, cardioversor, ventilador pulmonar de transporte, ultrassonógrafo, bisturi elétrico e foco cirúrgico.</t>
  </si>
  <si>
    <t xml:space="preserve">Aquisição de novos equipamentos e mobiliários por meio de Plano de Investimento (R$20.436.525,53); Inauguração do Bloco Cirúrgico com Implantação de 05 (cinco) salas de bloco cirúrgico com a meta mensal de 525 cirurgias;
Requalificação de 20 leitos de UTI Adulto, Refroma e Aquisição de novos equipamentos para o CME e a Agência Transfusional, Abertura de 30 Leitos de Enfermaria de Neuroclinica.
</t>
  </si>
  <si>
    <t>Av. Gen. San Martin, s/n - Cordeiro, Recife - PE</t>
  </si>
  <si>
    <t>Hospital Brites de Albuquerque</t>
  </si>
  <si>
    <r>
      <rPr>
        <rFont val="Roboto"/>
        <b/>
        <color theme="1"/>
        <sz val="10.0"/>
      </rPr>
      <t xml:space="preserve">Urgência: </t>
    </r>
    <r>
      <rPr>
        <rFont val="Roboto"/>
        <color theme="1"/>
        <sz val="10.0"/>
      </rPr>
      <t xml:space="preserve">Clínica Médica, Ortopedia e Traumatologia, Bucomaxilofacial, Urgência Dialítica, Cirurgia Geral e Cirurgia Vascular. 
</t>
    </r>
    <r>
      <rPr>
        <rFont val="Roboto"/>
        <b/>
        <color theme="1"/>
        <sz val="10.0"/>
      </rPr>
      <t xml:space="preserve">Ambulatorial: </t>
    </r>
    <r>
      <rPr>
        <rFont val="Roboto"/>
        <color theme="1"/>
        <sz val="10.0"/>
      </rPr>
      <t xml:space="preserve">Clínica Médica, cirurgia geral, cirurgia vascular, dermatologia, endocrinologia, gastroenterologia, geriatria, neurologia, neurocirurgia, nutrição, </t>
    </r>
    <r>
      <rPr>
        <rFont val="Roboto"/>
        <color rgb="FFFF0000"/>
        <sz val="10.0"/>
      </rPr>
      <t>acupuntura,</t>
    </r>
    <r>
      <rPr>
        <rFont val="Roboto"/>
        <color theme="1"/>
        <sz val="10.0"/>
      </rPr>
      <t xml:space="preserve"> ortopedia e traumatologia, ortopedia e traumatologia pediátrica especializada em pé torto, </t>
    </r>
    <r>
      <rPr>
        <rFont val="Roboto"/>
        <color rgb="FFFF0000"/>
        <sz val="10.0"/>
      </rPr>
      <t xml:space="preserve">proctologia </t>
    </r>
    <r>
      <rPr>
        <rFont val="Roboto"/>
        <color theme="1"/>
        <sz val="10.0"/>
      </rPr>
      <t>e urologia.</t>
    </r>
  </si>
  <si>
    <t>Avenida Pan Nordestina, 4215, PE-015, SN - Tabajara, Olinda</t>
  </si>
  <si>
    <t>150 - Deixou de ser COVID e passou por nova licitação agora com perfil regular 2023</t>
  </si>
  <si>
    <t>Internamento de Clínica Médica, Cuidados Paliativos e Pediatria e suporte de Terapia Intensiva Adulto e Pediátrica</t>
  </si>
  <si>
    <t xml:space="preserve">Unidade era COVID, passou por nova licitação para inicio do contrato regular. 
Plano de investimento para aquisição de equipamentos médico-hospitalares destinados à implantação de 10 (dez) leitos de Unidade de Terapia Intensiva Pediátrica (Cardioversor, BIPAP com Monitor Gráfico , Bomba de Infusão, Eletrocardiógrafo, Marcapasso Cardíaco Externo, Monitor Multiparâmetros para UTI, Ultrassom Diagnóstico sem Aplicação Transesofágica , Ventilador Pulmonar Pressométrico e Volumétrico, Carro de Emergência , Oftalmoscópio, Transdutor linear, Medidor de cuff) no valor de R$ R$1.238.197,74. </t>
  </si>
  <si>
    <r>
      <rPr>
        <rFont val="Roboto"/>
        <b/>
        <color theme="1"/>
      </rPr>
      <t xml:space="preserve">Urgência: </t>
    </r>
    <r>
      <rPr>
        <rFont val="Roboto"/>
        <color theme="1"/>
      </rPr>
      <t xml:space="preserve">Cardiologia, Clínica Médica, Cirurgia Geral,  Urgência Dialítica, Ginecologia, Obstetrícia de alto risco, Otorrinolaringologia e Atendimento a Mulheres Vítimas de Violência (Wilma Lessa). 
</t>
    </r>
    <r>
      <rPr>
        <rFont val="Roboto"/>
        <b/>
        <color theme="1"/>
      </rPr>
      <t xml:space="preserve">Ambulatorial: </t>
    </r>
    <r>
      <rPr>
        <rFont val="Roboto"/>
        <color theme="1"/>
      </rPr>
      <t xml:space="preserve">Cardiologia, Cirurgia Bariátrica, Cirurgia Geral, Cirurgia Plástica, Cirurgia Vascular, Clínica Médica, Endocrinologia, Ginecologia, Obstetrícia de Alto Risco e Otorrinolaringologia. 
</t>
    </r>
  </si>
  <si>
    <t>Hospital Metropolitano Sul Dom Helder Câmara</t>
  </si>
  <si>
    <r>
      <rPr>
        <rFont val="Roboto"/>
        <b/>
        <color theme="1"/>
        <sz val="10.0"/>
      </rPr>
      <t>EQUIPAGEM:</t>
    </r>
    <r>
      <rPr>
        <rFont val="Roboto"/>
        <color theme="1"/>
        <sz val="10.0"/>
      </rPr>
      <t xml:space="preserve">01Cabine deSegurança Biológica; 01 Micrótomo; 04 Eletrocardiógrafos; 10 Serras para Gesso; 20 Colchões Pneumáticos; 02 Fotóforo Led; 60 Esfigmomanômetro; 28 Perfurador Ósseo; 06 Seladoras de Papel Grau Cirúrgico; 10 Aparelho de Ultrassom Terapêutico; 18 Aparelhos de Anestesia; 05 Arcos Cirúrgicos; 04 Aspirador Ultrassônico; 02 Autoclaves; 02 Aparelho de Banho Histológico; 10 Bisturí Elétrico; 06 Cardioversor; 02 Central de Inclusão Histológica; 03 Centrífugas; 01 Dispensador de Parafina; 118 Esfigmomanômetro Pedestal; 08 Focos Cirúrgicos Móveis; 09 Mesas Cirúrgicas; 06 Mesas Cirúrgicas Ortopédicas; 01 Micrótomo Manual; 92 Monitores Multiparamétricos; 04 Oxímetros de Pulso; 04 Reprocessadoras de Endoscópios; 03 Sistemas de Videolaparoscopia; 01 Sistema de Videolaparoscopia Rígida; 01 Torre de Endoscopia Flexivel; 01 Torre de Videolaringoscopia Flexível; 02 Ventilador Pulmonar de Transporte; 01 Angiógrafo; 01 Bomba Injetora de Contraste; 01 Foco Cirúrgico de Teto; 01 Microscópio Cirúrgico; 01 Polígrafo; 03 Aparelhos de Raio-x Móvel Digital; 01 Refrigerador Científico; 02 Aparelhos de Ultrassom Fixo; 05 Aparelhos de Ultrassom Portátil; 03 Umidificadores Aquecidos; 03 Ventiladores Pulmonar;  106 Camas Manuais;  </t>
    </r>
    <r>
      <rPr>
        <rFont val="Roboto"/>
        <b/>
        <color theme="1"/>
        <sz val="10.0"/>
      </rPr>
      <t xml:space="preserve">CAMA ELÉTRICA: xxxxx; </t>
    </r>
    <r>
      <rPr>
        <rFont val="Roboto"/>
        <color theme="1"/>
        <sz val="10.0"/>
      </rPr>
      <t xml:space="preserve">554 Computadores + 05 Notebooks; </t>
    </r>
    <r>
      <rPr>
        <rFont val="Roboto"/>
        <b/>
        <color theme="1"/>
        <sz val="10.0"/>
      </rPr>
      <t>INSTRUMENTAIS CIRÚRGICOS: xxxxxxx</t>
    </r>
  </si>
  <si>
    <r>
      <rPr>
        <rFont val="Roboto"/>
        <b/>
        <color theme="1"/>
        <sz val="10.0"/>
      </rPr>
      <t>Estamos fazendo</t>
    </r>
    <r>
      <rPr>
        <rFont val="Roboto"/>
        <color theme="1"/>
        <sz val="10.0"/>
      </rPr>
      <t>: requalificação das enfermarias; instalação de 2 novos elevadores.</t>
    </r>
    <r>
      <rPr>
        <rFont val="Roboto"/>
        <color rgb="FFFF0000"/>
        <sz val="10.0"/>
      </rPr>
      <t xml:space="preserve">
</t>
    </r>
    <r>
      <rPr>
        <rFont val="Roboto"/>
        <b/>
        <color theme="1"/>
        <sz val="10.0"/>
      </rPr>
      <t>Já entregamos</t>
    </r>
    <r>
      <rPr>
        <rFont val="Roboto"/>
        <color theme="1"/>
        <sz val="10.0"/>
      </rPr>
      <t>: implantação do novo bloco cirúrgicom com 8 salas; implantação do serviço de  hemodinâmica;  requalificação do setor de raio-x; requalificação da caixa d'água.</t>
    </r>
  </si>
  <si>
    <t>Rodovia BR 101 Sul, km 28, s/nº, Centro, Cabo de Santo Agostinho, CEP: 54.510-000</t>
  </si>
  <si>
    <t>UPAE Salgueiro</t>
  </si>
  <si>
    <t>UTI Adulto</t>
  </si>
  <si>
    <t>R. João Veras de Siqueira, s/n - Nossa Sra. Aparecida, Salgueiro - PE, 56000-000</t>
  </si>
  <si>
    <t xml:space="preserve">Clínica Médica, Cirurgia Geral, Traumato-ortopedia, Urgencia dialitica, Cardiologia, Cirurgia Cardíaca, Cardiologia e Endovascular Intervencionista,  Cirurgia Vascular, além dos serviços não médicos de Enfermagem, Serviço Social, Fisioterapia, Fonoaudiologia, Nutrição, Psicologia e SAD.
</t>
  </si>
  <si>
    <t>Hospital Otávio de Freitas (HOF)</t>
  </si>
  <si>
    <t>VII</t>
  </si>
  <si>
    <t>Atendimento ambulatorial especializado em Angiologia, Dermatologia, Endocrinologia, Cardiologia, Gastroenterologia,  Ginecologia, Mastologia, Otorrinolaringologia, Ortopedia, Reumatologia e Urologia, além de atendimento multiprofissional nas áreas de Enfermagem, Farmácia, Fisioterapia, Fonoaudiologia, Nutrição, Psicologia, Serviço Social.</t>
  </si>
  <si>
    <t>R. Aprígio Guimarães, 600 - Tejipio, Recife - PE</t>
  </si>
  <si>
    <t xml:space="preserve">Aquisição de equipamentos através de plano de investimento, no valor de R$ 14.511.533,85 incluindo: motor cirúrgico, camas tipo Fowler, tomógrafo e sistema de infusão para contraste, mesa cirúrgica elétrica , arco cirúrgico, autoclaves hospitalar horizontal, Máquina hemodinâmica, perfurador ósseo, raio-X digital, secador de traquéias, foco cirúrgico de teto, lavadora de endoscópio, elevador para transposição de leitos, Ventilador Pulmonar, Citocentrífuga, Ventilômetro, Ultrassom Diagnóstico; Reforma do CME, Reforma do Bloco cirúrgico, Aquisição de 1 tomógrafo computadorizado, Aquisição de um novo angiografo, Ampliação de 2 ambulâncias tipo A (locação), Abertura de 10 Leitos de UTI Cirurgica, Troca do piso da emergência.
</t>
  </si>
  <si>
    <r>
      <rPr>
        <rFont val="Roboto"/>
        <b/>
        <color theme="1"/>
        <sz val="10.0"/>
      </rPr>
      <t xml:space="preserve">Urgência: </t>
    </r>
    <r>
      <rPr>
        <rFont val="Roboto"/>
        <color theme="1"/>
        <sz val="10.0"/>
      </rPr>
      <t xml:space="preserve">Clínica Médica, Cirurgia Geral, Endoscopia, Urgência Dialítica, Ortopedia e Traumatologia (adulto e pediátrica),  Urologia  adulto e Pediátrica, Tisiologia, Pneumologia e Cirurgia Torácica. 
</t>
    </r>
    <r>
      <rPr>
        <rFont val="Roboto"/>
        <b/>
        <color theme="1"/>
        <sz val="10.0"/>
      </rPr>
      <t xml:space="preserve">Ambulatorial: </t>
    </r>
    <r>
      <rPr>
        <rFont val="Roboto"/>
        <color theme="1"/>
        <sz val="10.0"/>
      </rPr>
      <t xml:space="preserve">Clínica Médica, Cirurgia Geral, Clínicas Cirúrgicas (geral, urologia, traumatologia e ortopedia), Dermatologia, Ambulatório do Sono, Programa de Bexiga Neurogênica, Oxigenioterapia, Tuberculose, Hanseníase, Serviço de Atendimento Especializado IST/Aids.
</t>
    </r>
  </si>
  <si>
    <t>Hospital Metropolitano Norte Miguel Arraes</t>
  </si>
  <si>
    <t>UPAE Ouricuri</t>
  </si>
  <si>
    <r>
      <rPr>
        <rFont val="Roboto"/>
        <b/>
        <color theme="1"/>
      </rPr>
      <t>Obras de infraestrutura
Estamos fazendo</t>
    </r>
    <r>
      <rPr>
        <rFont val="Roboto"/>
        <color theme="1"/>
      </rPr>
      <t xml:space="preserve">: Aquisição e instaçação de 6 elevadores, dos quais 2 já foram entregues; requalificação do bloco cirúrgico ambulatorial; requalificação de 6 salas cirúrgicas, das quais 2 já foram entregues; emergência cardiológica; requalificação da fachada; requalificação das enfermarias. 
</t>
    </r>
    <r>
      <rPr>
        <rFont val="Roboto"/>
        <b/>
        <color theme="1"/>
      </rPr>
      <t>Já entregamos</t>
    </r>
    <r>
      <rPr>
        <rFont val="Roboto"/>
        <color theme="1"/>
      </rPr>
      <t xml:space="preserve">: Novo prédio do ambulatório, prédio da Administrativo e direção; requalificação da cozinha e do refeitório; requalificação do Wilma Lessa; requalificação das enfermarias do alojamento conjunto; requalificação da UTI geral;  requalificação do setor de mamografia; requalificação das enfermarias de clínica médica.
</t>
    </r>
    <r>
      <rPr>
        <rFont val="Roboto"/>
        <b/>
        <color theme="1"/>
      </rPr>
      <t>EQUIPAGEM</t>
    </r>
    <r>
      <rPr>
        <rFont val="Roboto"/>
        <color theme="1"/>
      </rPr>
      <t xml:space="preserve">: 01 Angiógrafo; 03 Analisador de Ouvido Médio; 05 Aspirador Cirúrgico; 06 Aparelhos de Anestesia; 09 Aparelhos de Anestesia com Monitor; 01 Aparelho de Emissões Otoacústicas; 02 Aparelhos para Potencial Evocado; 07 Aparelhos de Ultrassom Fixo; 08 Aparelhos de Ultrassom Portátil; 01 Arco Cirúrgico; 03 Audiômetros; 18 Balanças Antropométricas; 08 Balanças Pesa Bebê; 01 Banho Histológico; 06 Berço Auqecido para RN; 21 Berços para Recém Nascido; 06 Bicicletas Ergométricas; 03 Bilirrubinômetro; 01 Campímetro; 01 Cadeira para Otorrinolaringologia Elétrica para Obeso;  13 Cardioversor; 01 Central Modular de Inclusão; 03 Cabines Acústicas; 03 Colposcópio Ginecológico com Sistema de Vídeo; 10 Detectores de Batimentos Fetais; 01 Drill Elétrico; 03 Eletrocardiógrafos; 06 Eletroestimuladores para Fisioterapia; 02 Eletrocardiógrafos; 01 Embaladora de Dose Unitária; 10 Endoscópios Nasais; 13 Bisturí Elétrico; 20 Equipamentos para Treinamento Muscular Respiratório; 153 Esfigmomanômetro; 36 Esfigmomanômetro de Pedestal; 04 Estetoscópios; 50 Estetoscópios Neonatais; 01 Estroboscópio; 01 Espirômetro; 04 Foco Cirúrgico Fixo de Teto; 06 Focos Cirúrgicos de Led; 19 Focos Parabólicos; 03 Fotófaros; 02 Ganho de Inserção Analisador Portátil; 15 Gerador de Marcapasso Provisório; 17 Incubadoras para RN; 17 Incubadoras de Transporte para RN; 01 Mamógrafo; 05 Manovacuômetro; 07 Medidor de Pressão Balonete;  08 Medidor de Avaliação de Pressão; 09 Mesas Cirúrgicas; 02 Mesas Ginecológicas; 05 Microscópios Binocular; 01 Microscópio Cirúrgico; 01 Micrótomo de Rotação; 03 Monitores de Coagulação Ativada; 40 Monitores Multiparamétricos; 03 Nasofibroscópio Flexível; 14 Oftalmoscópios; 02 Ordenhadeira de Leite; 03 Óticas para Histeroscopia; 24 Otoscópios; 43 Oxímetros de Pulso; 04 Radiômetros; 02 Aparelhos de Raio-x Móvel; 02 Refrigeradores Científicos; 05 Seladoras; 01 Seladora para Bolsa de Sangue; 08 Seladoras Térmicas com Pedal; 02 Serras Elétricas; 01 Sistema de Amplificação de Campo Livre; 02 Sistema de Videolaparoscopia; 04 Detector Ultrassônico; 01 Termodesinfectadora; 68 Unidades de Fototerapia; 01 Vectonistagmógrafo Digital; 03 Ventilador Pulmonar de Transporte; 08 Ventilador Pulmonar; 15 Ventilador Pulmonar Pediátrico e Neonatal; 01 Cama Elétrica para Obeso; 580 Computadores; </t>
    </r>
    <r>
      <rPr>
        <rFont val="Roboto"/>
        <b/>
        <color theme="1"/>
      </rPr>
      <t>CAMAS ELÉTRICAS;  INSTRUMENTAIS CIRÚRGICOS: xxxxxxx</t>
    </r>
  </si>
  <si>
    <t>Estrada da Fazendinha, s/nº, Jaguaribe</t>
  </si>
  <si>
    <t>Av Manoel Irineu Araujo - Centro, Ouricuri - PE, 56200-000</t>
  </si>
  <si>
    <t>Clínica Médica, Cirurgia Geral, Traumato-Ortopedia, Urgencia Dialitica, Endoscopia de Urgencia e Urologia. SAD</t>
  </si>
  <si>
    <t>IX</t>
  </si>
  <si>
    <t>Atendimento ambulatorial especializado em Alergologia, Angiologia, Cardiologia, Dermatologia, Endocrinologia, Psiquiatria e Urologia, além de atendimento multiprofissional nas áreas de Enfermagem, Farmácia, Fisioterapia, Fonoaudiologia, Nutrição, Psicologia, Serviço Social.</t>
  </si>
  <si>
    <r>
      <rPr>
        <rFont val="Roboto"/>
        <b/>
        <color theme="1"/>
        <sz val="10.0"/>
      </rPr>
      <t>EQUIPAGEM:</t>
    </r>
    <r>
      <rPr>
        <rFont val="Roboto"/>
        <color theme="1"/>
        <sz val="10.0"/>
      </rPr>
      <t xml:space="preserve"> 01 Câmara Frigorífica para Cadáver; 05 Bisturí Elétrico; 01 Criostato; 07 Ultrason Contínuo Pulsátil; 04 Laser para Acupuntura e Fisioterapia; 01 Unidade de Radiodiagnóstico Fixa de Uso Geral; 02 Aparelho de Ultrassonografia Portátil; 02 Sistema de Vídeo Cirúrgico;  08 Monitores Multiparamétricos; 01 Aspirador de Vapor para Uso Cirúrgico; 01 Centrífuga de Bancada; 02 Serras Elétricas para Gesso; 01 Mediastinoscópio; 04 Aparelhos de Polissonografia; 01 Processadora Automática de Tecidos para Histologia; 01 Micrótomo de Rotação; 15 Cardioversores; 13 Eletrocardiógrafo Portátil; 01 Videobroncoscópio Pediátrico; 02 Aparelhos de Raio-x Portátil; 02 Arco Cirúrgico Móvel; 02 Duodenoscópios; 03 Videocolonoscópios; 03 Videogastroscópios; 02 Fontes de Luz para Sistema de Endoscopia; 02 Processadora de Imagem de Vídeo; 02 Monitores de Vídeo; 03 Garrotes Pneumáticos; 06 Ventiladores de Transporte; 10 Espirômetros; 12 Aparelhos de Anestesia; </t>
    </r>
    <r>
      <rPr>
        <rFont val="Roboto"/>
        <b/>
        <color theme="1"/>
        <sz val="10.0"/>
      </rPr>
      <t>CAMA ELÉTRICA: xxxxx;</t>
    </r>
    <r>
      <rPr>
        <rFont val="Roboto"/>
        <color theme="1"/>
        <sz val="10.0"/>
      </rPr>
      <t xml:space="preserve"> 660 Computadores;</t>
    </r>
    <r>
      <rPr>
        <rFont val="Roboto"/>
        <b/>
        <color theme="1"/>
        <sz val="10.0"/>
      </rPr>
      <t xml:space="preserve"> INSTRUMENTAIS CIRÚRGICOS: xxxxxxx</t>
    </r>
  </si>
  <si>
    <t>Aquisição de equipamentos: mamógrafo, ultrassom, aparelho de raio-X, MAPA, dermatoscópio e ar condicionado.</t>
  </si>
  <si>
    <t>Implantação de plano de investimento para modernização do serviço de R$ 10,2 milhões, com aquisição de equipamentos como tomógrafo, arco cirúrgico, respiradores e monitores; Reforma da sala da alta e consultórios médicos.</t>
  </si>
  <si>
    <r>
      <rPr>
        <rFont val="Roboto"/>
        <b/>
        <color theme="1"/>
        <sz val="10.0"/>
      </rPr>
      <t>Estamos fazendo</t>
    </r>
    <r>
      <rPr>
        <rFont val="Roboto"/>
        <color theme="1"/>
        <sz val="10.0"/>
      </rPr>
      <t xml:space="preserve">: Novo prédio da emergência;  novo prédio da farmácia; Requalificação do Bloco Cirúrgico; Requalificação da emergência pediátrica; Requalificação da UTI pediátrica. 
</t>
    </r>
    <r>
      <rPr>
        <rFont val="Roboto"/>
        <b/>
        <color theme="1"/>
        <sz val="10.0"/>
      </rPr>
      <t>Já entregamos</t>
    </r>
    <r>
      <rPr>
        <rFont val="Roboto"/>
        <color theme="1"/>
        <sz val="10.0"/>
      </rPr>
      <t>: Requalificação da cozinha e refeitório; requalificação do SAME - Serviço de Arquivo Médico e Estatística; requalificação e ampliação dos leitos de tisiologia;  requalificação do bloco cirúrgico ambulatorial; requalificação da caixa d'água;  requalificação do setor de endoscopia; Novo prédio da administração geral; requalificação da recepção; requalificação do setor de imagem; requalificação da UTI respiratória.</t>
    </r>
  </si>
  <si>
    <t>Hospital Metropolitano Oeste Pelópidas Silveira</t>
  </si>
  <si>
    <t>UPAE Afogados da Ingazeira</t>
  </si>
  <si>
    <t>Rodovia BR-232, Km 06 - Curado</t>
  </si>
  <si>
    <t>Hospital Regional do Agreste (HRA)</t>
  </si>
  <si>
    <t>Cardiologia, Neurologia, Neurocirurgia, Cardio Intervencionista e Neurointervencionista. SAD</t>
  </si>
  <si>
    <t>Rua Antônio Alves dos Santos, S/N, Bairro Centro, no município de Afogados da Ingazeira, CEP: 56800-000</t>
  </si>
  <si>
    <t>X</t>
  </si>
  <si>
    <t>Rodovia BR-232, Km 130 - s/n - Indianópolis, Caruaru - PE</t>
  </si>
  <si>
    <t xml:space="preserve">Atendimento ambulatorial especializado em Cardiologia, Dermatologia, Endocrinologia, Gastroenterologia, Ginecologia (CAF e Biópsias), Mastologia, Nefrologia, Oftalmologia, Otorrinolaringologia, Reumatologia, Urologia, além de atendimento multiprofissional nas áreas de Enfermagem, Farmácia, Fisioterapia, Fonoaudiologia, Nutrição, Psicologia, Serviço Social e Terapia Ocupacional.
</t>
  </si>
  <si>
    <t xml:space="preserve">Modernização do parque tecnológico com mais de R$ 8,3 milhões em plano de investimento (Aparelho de tomografia computadorizada, Ecocardiógrafo, Ultrassom com transdutor doppler colorido, Ventiladores pulmonares, Aparelho  de anestesia, Autoclave , Cardioversor, Microscópio cirúrgico, Mesa cirúrgica elétrica, Foco cirúrgico de teto) e Emenda Parlamentar para aquisição de microcomputadores no valor de R$ R$297.230,84; Ampliação de locação de 02 (duas) ambulâncias e Entrega de uma ambulância avançada. </t>
  </si>
  <si>
    <r>
      <rPr>
        <rFont val="Roboto"/>
        <b/>
        <color theme="1"/>
        <sz val="10.0"/>
      </rPr>
      <t xml:space="preserve">Urgência: </t>
    </r>
    <r>
      <rPr>
        <rFont val="Roboto"/>
        <color theme="1"/>
        <sz val="10.0"/>
      </rPr>
      <t xml:space="preserve">Clínica Médica, Endoscopia, Urgência dialítica, Ortopedia e Traumatologia, Bucomaxilofacial,  Cirurgia Geral e Vascular. 
</t>
    </r>
    <r>
      <rPr>
        <rFont val="Roboto"/>
        <b/>
        <color theme="1"/>
        <sz val="10.0"/>
      </rPr>
      <t xml:space="preserve">Ambulatorial: </t>
    </r>
    <r>
      <rPr>
        <rFont val="Roboto"/>
        <color theme="1"/>
        <sz val="10.0"/>
      </rPr>
      <t xml:space="preserve">Cirurgia Geral, Clínica Médica, Oncologia, ostomizados, Ortopedia e Traumatologia, Bucomaxilofacial, Neurocirurgia e Cabeça e Pescoço. </t>
    </r>
  </si>
  <si>
    <t>Entre 2022 e 2025, o repasse direto à unidade cresceu 13,7%, passando de R$ 5,5 milhões para R$ 6,2 milhões.</t>
  </si>
  <si>
    <t>Hospital Belarmino Correia</t>
  </si>
  <si>
    <t>Praça Correia Picanço, s/n - Centro, Goiana - PE</t>
  </si>
  <si>
    <t>UPAE Serra Talhada</t>
  </si>
  <si>
    <t>Urgência: Clínica Médica, Pediatria, Ortopedia, Cirurgia Geral, Obstetrícia. Ambulatório: cardiologista, cirurgia geral, ortopedia, obstetrícia, pré natal de alto risco, ginecologia cirúrgico, ginecologia, pediatria, planejamento familiar, dermatologia, endocrinologia, gastroenterologia, oftalmologia, neonatologia, pediatria, pneumologia geral, mastologia, vascular, urologia, psiquiatria, psicologia, neurologia, nutrição, fisioterapia, clínica médica e programa pé diabético.</t>
  </si>
  <si>
    <t>R. Quatorze de Julho, s/n - Cagep, Serra Talhada - PE, 56909-000</t>
  </si>
  <si>
    <r>
      <rPr>
        <rFont val="Roboto"/>
        <b/>
        <color theme="1"/>
      </rPr>
      <t xml:space="preserve">Urgência: </t>
    </r>
    <r>
      <rPr>
        <rFont val="Roboto"/>
        <color theme="1"/>
      </rPr>
      <t xml:space="preserve">Obstetrícia de alto risco, emergência pediátrica. 
</t>
    </r>
    <r>
      <rPr>
        <rFont val="Roboto"/>
        <b/>
        <color theme="1"/>
      </rPr>
      <t>Ambulatório</t>
    </r>
    <r>
      <rPr>
        <rFont val="Roboto"/>
        <color theme="1"/>
      </rPr>
      <t>: Dermatologia, obstetrícia de alto risco, oncologia, nefrologia adulto e pediátrico, clínicas cirúrgicas (vascular, geral, proctologia, torácica, ginecologia e mastologia), endocrinologia, neuropediatria e programa de ostomizados, SAE (Serviço de Atenção Especializada em HIV/Aids).</t>
    </r>
  </si>
  <si>
    <r>
      <rPr>
        <rFont val="Roboto"/>
        <b/>
        <color theme="1"/>
        <sz val="10.0"/>
      </rPr>
      <t>EQUIPAGEM:</t>
    </r>
    <r>
      <rPr>
        <rFont val="Roboto"/>
        <color theme="1"/>
        <sz val="10.0"/>
      </rPr>
      <t xml:space="preserve"> 11 Bisturís Elétricos; 01 Mesa Cirúrgica; 11 Serras Pneumáticas; 04 Aparelhos de Anestesia; 04 Aparelhos de Ultrassonografia Portátil; 03 Videolaringoscópios; 16 Monitores Multiparâmetros; 10 Eletrocardiógrafos; 04 Sistemas para Ventilação Não invasiva - BIPAP; 01 Agitador de Bolsas de Plaquetas; 09 Perfurador Cirúrgico Ortopédico; 09 Cardioversor; 22 Esfigmomanômetro Portátil; 02 Autoclaves; 04 Mesas Cirúrgicas Ortopédicas; 02 Arcos Cirúrgicos Móveis;  09 Refrigerador Científico; 01 Torre de Videocirurgia; 01 Videoduodenoscópio; 08 Videogastroscópios; 04 Videocolonoscópio; 02 Sistema de Videoendoscopia; 01 Ventilador de Transporte; 02 Oxímetros Portáteis; 02 Aparelho de Anestesia com Monitor Integrado; </t>
    </r>
    <r>
      <rPr>
        <rFont val="Roboto"/>
        <b/>
        <color theme="1"/>
        <sz val="10.0"/>
      </rPr>
      <t xml:space="preserve">CAMA ELÉTRICA: xxxxx; </t>
    </r>
    <r>
      <rPr>
        <rFont val="Roboto"/>
        <color theme="1"/>
        <sz val="10.0"/>
      </rPr>
      <t>102 Computadores;</t>
    </r>
  </si>
  <si>
    <t>XI</t>
  </si>
  <si>
    <r>
      <rPr>
        <rFont val="Roboto"/>
        <b/>
        <color theme="1"/>
        <sz val="10.0"/>
      </rPr>
      <t>Estamos fazendo</t>
    </r>
    <r>
      <rPr>
        <rFont val="Roboto"/>
        <color theme="1"/>
        <sz val="10.0"/>
      </rPr>
      <t xml:space="preserve">: requalificação da fachada; contrução do novo Hospital Regional do Agreste; requalificação das enfermarias de ortopedia. 
</t>
    </r>
    <r>
      <rPr>
        <rFont val="Roboto"/>
        <b/>
        <color theme="1"/>
        <sz val="10.0"/>
      </rPr>
      <t>Já entregamos</t>
    </r>
    <r>
      <rPr>
        <rFont val="Roboto"/>
        <color theme="1"/>
        <sz val="10.0"/>
      </rPr>
      <t>: Requalificação do setor de endoscopia; requalificação do setor de hemodiálise; abertura de novos 14 leitos de clínica médica; requalificação do setor de tomografia; requalificação das enfermarias de ortopedia; requalificação da recepção geral; requalificação da capela; requalificação da sala vermelha.</t>
    </r>
  </si>
  <si>
    <t>Atendimento ambulatorial especializado em Cardiologia, Nefrologia, Neurologia, Oftalmologia, Urologia, e Psicologia, além de atendimento multiprofissional nas áreas de Enfermagem, Farmácia, Fisioterapia, Fonoaudiologia, Nutrição, Psicologia, Serviço Social.</t>
  </si>
  <si>
    <t>Repasse evoluiu de R$ 10,1 milhões para R$ 11,0 milhões.</t>
  </si>
  <si>
    <t>UPA/UPAE Petrolina</t>
  </si>
  <si>
    <r>
      <rPr>
        <rFont val="Roboto"/>
        <b/>
        <color theme="1"/>
      </rPr>
      <t>Obras de infraestrutura
Estamos fazendo</t>
    </r>
    <r>
      <rPr>
        <rFont val="Roboto"/>
        <b val="0"/>
        <color theme="1"/>
      </rPr>
      <t xml:space="preserve">: Requalificação das enfermarias do 3ª andar; requalificação da fachada; reforma do setor de quimioterapia, novo setor de hemodiálise, laboratório, CME - Central de Material e Esterilização, SAME - Serviço de Arquivo Médico; novo prédio da pediatria;
</t>
    </r>
    <r>
      <rPr>
        <rFont val="Roboto"/>
        <b/>
        <color theme="1"/>
      </rPr>
      <t>Já entregamos</t>
    </r>
    <r>
      <rPr>
        <rFont val="Roboto"/>
        <b val="0"/>
        <color theme="1"/>
      </rPr>
      <t>:</t>
    </r>
    <r>
      <rPr>
        <rFont val="Roboto"/>
        <b/>
        <color theme="1"/>
      </rPr>
      <t xml:space="preserve"> </t>
    </r>
    <r>
      <rPr>
        <rFont val="Roboto"/>
        <b val="0"/>
        <color theme="1"/>
      </rPr>
      <t xml:space="preserve">Requalificação da UTI adulto; requalificação da UTI pediátrica; Requalificação da UTI neonatal; instalação de 02 novos elevadores; requalificação do necrotério; requalificação de uma enfermaria vascular de 10 leitos. 
</t>
    </r>
    <r>
      <rPr>
        <rFont val="Roboto"/>
        <b/>
        <color theme="1"/>
      </rPr>
      <t>EQUIPAGEM:</t>
    </r>
    <r>
      <rPr>
        <rFont val="Roboto"/>
        <b val="0"/>
        <color theme="1"/>
      </rPr>
      <t xml:space="preserve"> 02 Sistemas de Videolaparoscopia; 01 Ultrassonógrafo Digital; 01 Sistema de Videobroncoscópio; 04 Biturís Elétricos; 04 Refrigeradores Científicos; 01 Micrótomo de Rotação; 02 Incubadoras para Recém Nascido; 12 Incubadoras de Transporte para recém Nascido; 03 Radiômetros Portáteis; 52 Unidades de Fototerapia; 02 Mesas Ginecológicas; 01 Balança Antropométrica; 71 Esfigmomanômetro Pedestal; 01 Aparelho para Potencial Evocado Portátil; 20 Detectores de Batimentos Cardíacos Fetais; 02 Videogastroscópios; 01 Videolaringoscópio; 01 Mesa Cirúrgica Elétrica; 01 Micrótomo de Congelação; 04 Mesas Cirúrgicas Ortopédicas; 09 Aparelhos de Anestesia; 01 Banho Histológico; 01 Mamógrafo; 01 Ventilador Pulmonar; 01 Reprocessadora Capilar;  01 Equipamento de Desintometria Óssea; 82 Camas Elétricas; 176 Computadores;</t>
    </r>
    <r>
      <rPr>
        <rFont val="Roboto"/>
        <b/>
        <color theme="1"/>
      </rPr>
      <t xml:space="preserve"> INSTRUMENTAIS CIRÚRGICOS: xxxxxxx</t>
    </r>
  </si>
  <si>
    <t>Avenida Coronel Honorato Viana S/N, Palhinhas, Petrolina, CEP 56.308-000</t>
  </si>
  <si>
    <t xml:space="preserve">Criação sala teste do Pezinho; Requalificação da emergência da Pediátrica; Requalificação da sala do Raio x; Aquisição de um raio -x digital;  troca de todas as camas;  Aquisição de 02 (duas) ambulâncias avançadas; Requalificação do berçário com aquisição de novas incubadoras; Requalificação da Clínica da Pediátrica; Aquisição de mobílias; Estruturação do Centro cirúrgico com aquisição de novos equipamentos; Aquisição de instrumentais;   Incremento de recursos humanos; Implantação do Serviço de Gestão de Transporte - SETRANS; Implantação do Núcleo Interno de Regulação-NIR; Implantação de 31 cargos de liderança para servidores-FSUS.
</t>
  </si>
  <si>
    <t>Hospital Ermírio Coutinho</t>
  </si>
  <si>
    <t>FMSA</t>
  </si>
  <si>
    <t>Trav. Bancário Leopoldino V. de Melo, Centro, Nazaré da Mata, CEP: 55.800-000</t>
  </si>
  <si>
    <t xml:space="preserve">Serviço de Emergencia em obstetrícia, pediatria e Clinica médica. Dispôe de ambulatório e apoio diagnóstico
</t>
  </si>
  <si>
    <t>(1) Investimento realizado em obras, novos equipamentos, novos elevadores, ações de manutenção, ata de serviços de engenharia e mobiliários (comprados diretamente pelos hospitais + adquiridos de forma centralizada pela SES)</t>
  </si>
  <si>
    <t>Aquisição de equipamentos através de plano de investimento, no valor de R$R$ 876.821,53 (Incubadora, berço aquecido, foco de teto, Microscópio biológico trinocular
com objetivas planacromáticas,Monitor Multiparamêtro, cardiotocógrafo, Oximetro/Omimetro, Carro de parada com desfibrilador), R$1.516.227,45 investidos em obras e R$133.050,00 através de Emenda parlamentar; Reforma da sala vermelha adulto e pediátrica, Reforma do Centro Cirúrgico, Requalificação da triagem obstétrica e Enfermaria 4, Instalação de ar-condicionado no ambulatório e recepção geral.</t>
  </si>
  <si>
    <t>VIII</t>
  </si>
  <si>
    <t>Hospital João Murilo de Oliveira</t>
  </si>
  <si>
    <t>Av. Henrique de Holanda, 87 - Casa - Matriz, Vitória de Santo Antão -PE</t>
  </si>
  <si>
    <t>Hospital geral com urgência/emergência 24h e assistência em Clínica Médica, Pediatria, Ortopedia e Obstetrícia (alto e baixo risco), além de serviços ambulatoriais e assistência materno-infantil.</t>
  </si>
  <si>
    <t>Atendimento ambulatorial especializado em Cardiologia, Cirurgia Geral, Dermatologia, Endocrinologia, Gastroenterologia, Hematologia, Infectologia, Nefrologia, Neurologia, Oftalmologia, Otorrinolaringologia, Pneumologia, Proctologia, Reumatologia e Urologia, além de atendimento multiprofissional nas áreas de Enfermagem, Farmácia, Fisioterapia, Fonoaudiologia, Nutrição, Psicologia, Serviço Social e Terapia Ocupacional.</t>
  </si>
  <si>
    <t>R$ 2.461.752,49</t>
  </si>
  <si>
    <r>
      <rPr>
        <rFont val="Roboto"/>
        <b/>
        <color theme="1"/>
      </rPr>
      <t xml:space="preserve">Urgência: </t>
    </r>
    <r>
      <rPr>
        <rFont val="Roboto"/>
        <color theme="1"/>
      </rPr>
      <t xml:space="preserve">Clínica Médica, Ortopedia e Traumatologia, Bucomaxilofacial, Urgência Dialítica, Cirurgia Geral e Cirurgia Vascular. 
</t>
    </r>
    <r>
      <rPr>
        <rFont val="Roboto"/>
        <b/>
        <color theme="1"/>
      </rPr>
      <t xml:space="preserve">Ambulatorial: </t>
    </r>
    <r>
      <rPr>
        <rFont val="Roboto"/>
        <color theme="1"/>
      </rPr>
      <t xml:space="preserve">Clínica Médica, cirurgia geral, cirurgia vascular, dermatologia, endocrinologia, gastroenterologia, geriatria, neurologia, neurocirurgia, nutrição, </t>
    </r>
    <r>
      <rPr>
        <rFont val="Roboto"/>
        <color rgb="FFFF0000"/>
      </rPr>
      <t>acupuntura,</t>
    </r>
    <r>
      <rPr>
        <rFont val="Roboto"/>
        <color theme="1"/>
      </rPr>
      <t xml:space="preserve"> ortopedia e traumatologia, ortopedia e traumatologia pediátrica especializada em pé torto, </t>
    </r>
    <r>
      <rPr>
        <rFont val="Roboto"/>
        <color rgb="FFFF0000"/>
      </rPr>
      <t xml:space="preserve">proctologia </t>
    </r>
    <r>
      <rPr>
        <rFont val="Roboto"/>
        <color theme="1"/>
      </rPr>
      <t>e urologia.</t>
    </r>
  </si>
  <si>
    <t>Plano de investimentos em equipamentos no valor de R$ 1.281.419,05, comteplando a aquisição de Aparelho de Anestesia com Monitor Multiparâmetros, Incubadora Neonatal (estacionária), Ventilador Pulmonar Pressométrico e Volumétrico, Bilirrubinômetro, Berço aquecido, Cardioversor, Mesa de Mayo, Berço Hospitalar com Grades. Implantação do prontuário eletrônico; Reforma nas salas de classificação de risco - Emergência Geral, Requalificação da Triagem Obstétrica,  Reforma da enfermaria atras de emenda parlamentar no valor de R$233.050,00. Incremento na escala da Obstetrícia, passando a 4 obstetras por plantão. Hospital em 2023 se tornou referencia em Gestação de Alto risco.</t>
  </si>
  <si>
    <t>Hospital Regional Sílvio Magalhães Palmares</t>
  </si>
  <si>
    <t>Aquisição de equipamentos: cardioversor, densitômetro ósseo, foco cirúrgico, ventilador pulmonar de transporte, videocolonoscópio e videogastroscópio.</t>
  </si>
  <si>
    <t>Br 101, Km 185, s/n Engenho Quilombo dos, Palmares - PE</t>
  </si>
  <si>
    <t>UPA Barra de Jangada</t>
  </si>
  <si>
    <t>Hospital regional de média e alta complexidade, referência para a Mata Sul. Atua em urgência/emergência, internação e ambulatório, com Clínica Médica, Cirurgia Geral, Traumato-Ortopedia, Pediatria, Obstetrícia, UTI Adulto e Neopediátrica, além de serviços diagnósticos e terapêuticos. É também referência para pacientes com microcefalia.</t>
  </si>
  <si>
    <t>Barra de Jangada, Jaboatão dos Guararapes - PE, 54470-240</t>
  </si>
  <si>
    <r>
      <rPr>
        <rFont val="Roboto"/>
        <b/>
        <color theme="1"/>
      </rPr>
      <t>Obras de infraestrutura</t>
    </r>
    <r>
      <rPr>
        <rFont val="Roboto"/>
        <color theme="1"/>
      </rPr>
      <t xml:space="preserve">
</t>
    </r>
    <r>
      <rPr>
        <rFont val="Roboto"/>
        <b/>
        <color theme="1"/>
      </rPr>
      <t>Estamos fazendo</t>
    </r>
    <r>
      <rPr>
        <rFont val="Roboto"/>
        <color theme="1"/>
      </rPr>
      <t>: requalificação das enfermarias; instalação de 2 novos elevadores.</t>
    </r>
    <r>
      <rPr>
        <rFont val="Roboto"/>
        <color rgb="FFFF0000"/>
      </rPr>
      <t xml:space="preserve">
</t>
    </r>
    <r>
      <rPr>
        <rFont val="Roboto"/>
        <b/>
        <color theme="1"/>
      </rPr>
      <t>Já entregamos</t>
    </r>
    <r>
      <rPr>
        <rFont val="Roboto"/>
        <color theme="1"/>
      </rPr>
      <t xml:space="preserve">: implantação do novo bloco cirúrgicom com 8 salas; implantação do serviço de  hemodinâmica;  requalificação do setor de raio-x; requalificação da caixa d'água.
</t>
    </r>
    <r>
      <rPr>
        <rFont val="Roboto"/>
        <b/>
        <color theme="1"/>
      </rPr>
      <t>EQUIPAGEM</t>
    </r>
    <r>
      <rPr>
        <rFont val="Roboto"/>
        <color theme="1"/>
      </rPr>
      <t xml:space="preserve">:01Cabine deSegurança Biológica; 01 Micrótomo; 04 Eletrocardiógrafos; 10 Serras para Gesso; 20 Colchões Pneumáticos; 02 Fotóforo Led; 60 Esfigmomanômetro; 28 Perfurador Ósseo; 06 Seladoras de Papel Grau Cirúrgico; 10 Aparelho de Ultrassom Terapêutico; 18 Aparelhos de Anestesia; 05 Arcos Cirúrgicos; 04 Aspirador Ultrassônico; 02 Autoclaves; 02 Aparelho de Banho Histológico; 10 Bisturí Elétrico; 06 Cardioversor; 02 Central de Inclusão Histológica; 03 Centrífugas; 01 Dispensador de Parafina; 118 Esfigmomanômetro Pedestal; 08 Focos Cirúrgicos Móveis; 09 Mesas Cirúrgicas; 06 Mesas Cirúrgicas Ortopédicas; 01 Micrótomo Manual; 92 Monitores Multiparamétricos; 04 Oxímetros de Pulso; 04 Reprocessadoras de Endoscópios; 03 Sistemas de Videolaparoscopia; 01 Sistema de Videolaparoscopia Rígida; 01 Torre de Endoscopia Flexivel; 01 Torre de Videolaringoscopia Flexível; 02 Ventilador Pulmonar de Transporte; 01 Angiógrafo; 01 Bomba Injetora de Contraste; 01 Foco Cirúrgico de Teto; 01 Microscópio Cirúrgico; 01 Polígrafo; 03 Aparelhos de Raio-x Móvel Digital; 01 Refrigerador Científico; 02 Aparelhos de Ultrassom Fixo; 05 Aparelhos de Ultrassom Portátil; 03 Umidificadores Aquecidos; 03 Ventiladores Pulmonar;  106 Camas Manuais;  CAMA ELÉTRICA: xxxxx; 554 Computadores + 05 Notebooks; </t>
    </r>
    <r>
      <rPr>
        <rFont val="Roboto"/>
        <b/>
        <color theme="1"/>
      </rPr>
      <t>INSTRUMENTAIS CIRÚRGICOS: xxxxxxx</t>
    </r>
  </si>
  <si>
    <t xml:space="preserve">Modernização do parque tecnológico com aquisição de equipamentos e mobiliários, através de plano de investimento no valor de mais de R$2,5 milhões, contemplanto a aquisição de Tomógrafo Computadorizado, Aparelho de Anestesia, Cama PPP.  R$3.752.080,02 investidos para revitalização do hospital e R$408.405,22 através de emendas parlamentares para aquisição de equipamentos e insumos. Implantação do Centro de Tratamento de Acidente Vascular Cerebral (Alteplase); Climatização das enfermarias e da emergência; Reforma da Fachada e Troca do Piso das clínicas: Pediátrica, Obstétrica e UTI Geral Adulto; Implantação do Programa Cuida PE, de Redução das Filas de espera para Cirurgias.
</t>
  </si>
  <si>
    <t>Hospital Mestre Vitalino</t>
  </si>
  <si>
    <t>A unidade presta atendimento de média complexidade em Clínica Médica, Pediatria e Traumatologia/Ortopedia, realizando estabilização de pacientes graves e encaminhamento aos hospitais de referência quando necessário.</t>
  </si>
  <si>
    <t xml:space="preserve"> Manutenção de atendimento 24 horas em Clínica Médica, Pediatria e Traumatologia/Ortopedia, fortalecendo a rede de urgência e emergência da I GERES.
Aquisição de novos equipamentos e mobiliário por meio de Plano de Investimento: Ar Condicionado 60.000 BTUS, Eletrocardiógrafo, RAIO X FIXO - DIGITAL, Monitor Multiparâmetros, Ventilador Pulmonar.
Manutenção de elevado volume de urgência e emergência.</t>
  </si>
  <si>
    <t>BR-104, 756 - Luiz Gonzaga, Caruaru - PE</t>
  </si>
  <si>
    <t>Hospital de grande porte, referência em média e alta complexidade para o Agreste. Atua em urgência e emergência, internação e atendimento especializado, com destaque para Clínica Médica, Cirurgia Geral, Cardiologia, Neurologia e Pediatria. Possui ainda serviços especializados em Oncologia, Nefrologia, Cirurgia Cardíaca, Urologia, Arritmologia e pediatria.</t>
  </si>
  <si>
    <t>UPA Cabo de Santo Agostinho</t>
  </si>
  <si>
    <t>Plano de Investimento para compra de equipmanetos como Tomografia Computadorizada, Aparelho de Anestesia, Aparelho de Raios X, Bisturi Elétrico (a partir de 151 W), Cardioversor, Carro Maca Avançado, Central de Monitoração para UTI, Esterilizador por Métodos Físicos, Monitor Multiparâmetros, Sistema de Vídeo Endoscopia Flexível, foco cirúrgico fixo, ultrasound system. Aquisição de 100 macas, Aquisição do segundo Angiografo.</t>
  </si>
  <si>
    <t>Rua 27, S/N – Cohab Cabo de Santo Agostinho – PE</t>
  </si>
  <si>
    <t>Hospital São Sebastião</t>
  </si>
  <si>
    <t xml:space="preserve"> A unidade atua na estabilização e observação de pacientes e no encaminhamento para serviços hospitalares de maior complexidade quando necessário.</t>
  </si>
  <si>
    <t>HCP</t>
  </si>
  <si>
    <t xml:space="preserve">Avenida Agamenom Magalhães, s/n - Maurício de Nassau, Caruaru </t>
  </si>
  <si>
    <t>Manutenção da assistência de urgência e emergência em Clínica Médica e Pediatria, fortalecendo a cobertura da I GERES.
Aquisição de novos equipamentos e mobiliário por meio de Plano de Investimento: Ar condicionado split 60.000 BTUs, Cardioversor, Ventilador Pulmonar, Vídeo Laringoscópio, DEA - Desfibrilador Externo Automático.</t>
  </si>
  <si>
    <t>Hospital de retaguarda de baixa e média complexidade, com atendimento 24h em Clínica Médica. Dá suporte às unidades de referência da Rede de Urgência e Emergência da II Macrorregião e dispõe de serviços de apoio diagnóstico e terapêutico, incluindo laboratório, radiologia, ultrassonografia, eletrocardiograma, ecocardiograma, endoscopia, colonoscopia e hemodiálise para pacientes internados.</t>
  </si>
  <si>
    <t>Modernização do parque tecnológico com aquisição de equipamentos hospitalares através de plano de investimento, no valor de R$922.953,63, com aquisição de Condicionador de ar 60.000 BTUS, ventilador pulmonar, carro térmico para transporte, câmara fria para 2 óbitos, balança antropométrica digital - adulto e Emenda parlamentar federal incremento do Teto MAC para fortalecimento da capacidade assistencial da unidade no valor de R$4.000.000,00. Reforma na Estrutura de Madeira da Cobertura dos Setores de Estabilização e Enfermarias e Substituição da Chave de Transferência do Gerador de Energia</t>
  </si>
  <si>
    <t>UPA Engenho Velho</t>
  </si>
  <si>
    <t>Hospital Regional Dom Moura</t>
  </si>
  <si>
    <t>Rua - Av. Gen. Manoel Rabelo, 5539 - Engenho Velho, Jaboatão dos Guararapes - PE</t>
  </si>
  <si>
    <t>Avenida Simoa Gomes, s/n - Heliópolis, Garanhuns.</t>
  </si>
  <si>
    <t>UTI Pediátrica</t>
  </si>
  <si>
    <t>Urgência: cirurgia geral, clínica médica, clínica cirúrgica, obstetrícia, pediatria e traumatologia. Ambulatório: cardiologia, ginecologista, dermatologista, neurologista, neuropediatria, psiquiatria, pediátria, geriatria, mastologia, proctologista, traumatologia, urologia, angiologia, CAF e cirurgia geral.</t>
  </si>
  <si>
    <t xml:space="preserve">Atua 24 horas, com atendimento resolutivo de quadros agudos e suporte diagnóstico, contribuindo para ampliar o acesso e reduzir a pressão sobre hospitais de referência.
</t>
  </si>
  <si>
    <t>Cama hospitalar para obeso até 300 kg; carro de emergência; monitor multiparamétrico; maca retrátil adaptável a ambulâncias até 300 kg; ar-condicionado 60.000 BTUs; ventilador pulmonar.</t>
  </si>
  <si>
    <t>UPA Imbiribeira</t>
  </si>
  <si>
    <r>
      <rPr>
        <rFont val="Roboto"/>
        <b/>
        <color theme="1"/>
      </rPr>
      <t xml:space="preserve">Urgência: </t>
    </r>
    <r>
      <rPr>
        <rFont val="Roboto"/>
        <color theme="1"/>
      </rPr>
      <t xml:space="preserve">Clínica Médica, Cirurgia Geral, Endoscopia, Urgência Dialítica, Ortopedia e Traumatologia (adulto e pediátrica),  Urologia  adulto e Pediátrica, Tisiologia, Pneumologia e Cirurgia Torácica. 
</t>
    </r>
    <r>
      <rPr>
        <rFont val="Roboto"/>
        <b/>
        <color theme="1"/>
      </rPr>
      <t xml:space="preserve">Ambulatorial: </t>
    </r>
    <r>
      <rPr>
        <rFont val="Roboto"/>
        <color theme="1"/>
      </rPr>
      <t xml:space="preserve">Clínica Médica, Cirurgia Geral, Clínicas Cirúrgicas (geral, urologia, traumatologia e ortopedia), Dermatologia, Ambulatório do Sono, Programa de Bexiga Neurogênica, Oxigenioterapia, Tuberculose, Hanseníase, Serviço de Atendimento Especializado IST/Aids.
</t>
    </r>
  </si>
  <si>
    <t>Av. Mal. Mascarenhas de Morais, 4223 - Imbiribeira, Recife - PE</t>
  </si>
  <si>
    <t xml:space="preserve">Implantação do Centro de Imagem, Implantação da UTI pediátrica (5 leitos), Implantação do Serviço de Gestão de Transporte (SETRANS),  Aquisição de 01 ambulância de suporte avançado, Revitalização da residência multiprofissional; Implantação do sistema de classificação de risco obstétrico; Criação do Espaço Acolher; Aquisição de 151 camas hospitalares;  Reforma do Central de Material e Esterilização - CME, em andamento; Incremento de recursos humanos; Requalificação do setor da ortopedia, em andamento;  Aquisição de mobílias; Aquisição de instrumentais cirúrgicos; Aquisição de autoclave; Aquisição de equipamentos médico-hospitalar; Implantação de 31 cargos de liderança para servidores-FSUS; </t>
  </si>
  <si>
    <t>Hospital Regional Inácio de Sá</t>
  </si>
  <si>
    <t>Aspirador de secreções elétrico móvel; cadeira de rodas adulto; cadeira de rodas para obeso; berço hospitalar com grades; balança antropométrica infantil.</t>
  </si>
  <si>
    <t>Antônio Alençar Sampaio, 346 - Planalto, Salgueiro - PE</t>
  </si>
  <si>
    <r>
      <rPr>
        <rFont val="Roboto"/>
        <b/>
        <color theme="1"/>
      </rPr>
      <t>Obras de infraestrutura</t>
    </r>
    <r>
      <rPr>
        <rFont val="Roboto"/>
        <color theme="1"/>
      </rPr>
      <t xml:space="preserve">
</t>
    </r>
    <r>
      <rPr>
        <rFont val="Roboto"/>
        <b/>
        <color theme="1"/>
      </rPr>
      <t>Estamos fazendo</t>
    </r>
    <r>
      <rPr>
        <rFont val="Roboto"/>
        <color theme="1"/>
      </rPr>
      <t xml:space="preserve">: Novo prédio da emergência;  novo prédio da farmácia; Requalificação do Bloco Cirúrgico; Requalificação da emergência pediátrica; Requalificação da UTI pediátrica. 
</t>
    </r>
    <r>
      <rPr>
        <rFont val="Roboto"/>
        <b/>
        <color theme="1"/>
      </rPr>
      <t>Já entregamos</t>
    </r>
    <r>
      <rPr>
        <rFont val="Roboto"/>
        <color theme="1"/>
      </rPr>
      <t xml:space="preserve">: Requalificação da cozinha e refeitório; requalificação do SAME - Serviço de Arquivo Médico e Estatística; requalificação e ampliação dos leitos de tisiologia;  requalificação do bloco cirúrgico ambulatorial; requalificação da caixa d'água;  requalificação do setor de endoscopia; Novo prédio da administração geral; requalificação da recepção; requalificação do setor de imagem; requalificação da UTI respiratória.
</t>
    </r>
    <r>
      <rPr>
        <rFont val="Roboto"/>
        <b/>
        <color theme="1"/>
      </rPr>
      <t>EQUIPAGEM</t>
    </r>
    <r>
      <rPr>
        <rFont val="Roboto"/>
        <color theme="1"/>
      </rPr>
      <t>: 01 Câmara Frigorífica para Cadáver; 05 Bisturí Elétrico; 01 Criostato; 07 Ultrason Contínuo Pulsátil; 04 Laser para Acupuntura e Fisioterapia; 01 Unidade de Radiodiagnóstico Fixa de Uso Geral; 02 Aparelho de Ultrassonografia Portátil; 02 Sistema de Vídeo Cirúrgico;  08 Monitores Multiparamétricos; 01 Aspirador de Vapor para Uso Cirúrgico; 01 Centrífuga de Bancada; 02 Serras Elétricas para Gesso; 01 Mediastinoscópio; 04 Aparelhos de Polissonografia; 01 Processadora Automática de Tecidos para Histologia; 01 Micrótomo de Rotação; 15 Cardioversores; 13 Eletrocardiógrafo Portátil; 01 Videobroncoscópio Pediátrico; 02 Aparelhos de Raio-x Portátil; 02 Arco Cirúrgico Móvel; 02 Duodenoscópios; 03 Videocolonoscópios; 03 Videogastroscópios; 02 Fontes de Luz para Sistema de Endoscopia; 02 Processadora de Imagem de Vídeo; 02 Monitores de Vídeo; 03 Garrotes Pneumáticos; 06 Ventiladores de Transporte; 10 Espirômetros; 12 Aparelhos de Anestesia; CAMA ELÉTRICA: xxxxx; 660 Computadores;</t>
    </r>
    <r>
      <rPr>
        <rFont val="Roboto"/>
        <b/>
        <color theme="1"/>
      </rPr>
      <t xml:space="preserve"> INSTRUMENTAIS CIRÚRGICOS: xxxxxxx</t>
    </r>
  </si>
  <si>
    <t>Enfermaria Cirúrgica</t>
  </si>
  <si>
    <t>Rua Antônio Alençar Sampaio, 346, Planalto, Salgueiro.</t>
  </si>
  <si>
    <t xml:space="preserve">Infraestrutura e modernização: Requalificação da lavanderia hospitalar; Aquisição de 61 computadores; Aquisição de 14 aparelhos de ar-condicionado; Aquisição de 05 refrigeradores duplex; Aquisição de novas camas hospitalares;  Aquisição de instrumentais cirúrgicos; Aquisição de camas Fowler; Aquisição de carrinhos-maca; Aquisição de carrinhos de curativos; Aquisição de cadeiras de banho; Aquisição de cadeiras de rodas; Aquisição de suportes de soro; Aquisição de biombos; Aquisição de longarinas; aquisição de cadeiras para auditório; Aquisição de cadeiras para o setor administrativo; Implantação do Ambulatório de Inserção de DIU, Criação de Farmácias Satélites, Implantação da realização de cirurgias bucomaxilofaciais, Implantação da realização de ecocardiograma, Aquisição de 01 ambulância UTI; Aquisição de instrumentais; Aquisição de 02 ambulâncias básicas; Implantação de 31 cargos de liderança para servidores-FSUS
</t>
  </si>
  <si>
    <t>UPA Nova Descoberta</t>
  </si>
  <si>
    <t>Hospital Regional Ruy de Barros Correia</t>
  </si>
  <si>
    <t>Caruaru</t>
  </si>
  <si>
    <t>Av. Ver. Otacílio Azevedo, s/n - Nova Descoberta, Recife - PE</t>
  </si>
  <si>
    <t>Agreste Central</t>
  </si>
  <si>
    <t>Av. Dr. Agamenon Magalhães, s/n - Centro, Arcoverde - PE</t>
  </si>
  <si>
    <t>UTI ADULTO</t>
  </si>
  <si>
    <t xml:space="preserve">Unidade de média complexidade e referência para os 13 municípios da VI Gerência Regional de Saúde. Destaca-se na assistência materno-infantil e oferece urgência, internação e atendimento ambulatorial em especialidades como Cardiologia, Cirurgia Geral, Clínica Médica, Pediatria, Ginecologia, Obstetrícia, Traumato-ortopedia (pediatrica e adulto), Neurologia, Urologia e Cirurgia Vascular, além de pré-natal de alto risco e serviços multiprofissionais. </t>
  </si>
  <si>
    <t>Processadora de raio-X; cama hospitalar Fowler mecânica; carrinho de parada; monitor multiparamétrico; eletrocardiógrafo; cardioversor; ventilador pulmonar.</t>
  </si>
  <si>
    <t>UPA Olinda</t>
  </si>
  <si>
    <t>Av. Dr. Joaquim Nabuco, S/N - Tabajara, Olinda - PE</t>
  </si>
  <si>
    <t xml:space="preserve"> Modernização da infraestrutura em 2025, com aquisição de equipamentos e mobiliários e implementação do do Plano de Investimento no valor de R$2.991.567,24; Plano de Investimento – Prevenção e Combate a Incêndio no valor de R$R$ 1.011.334,01 e plano de investimento no valor de R$R$766 102,46 para reforma no setor de urgência e emergência; Captação de recurso federal: R$ 1.000.000,00 em 2023, via Emenda Parlamentar – Incremento do Teto MAC; Abertura do serviço de Cirurgia Geral; Abertura do serviço de Ortopedia Pediátrica; Aquisição de 01 Ambulância UTI.
</t>
  </si>
  <si>
    <t>Unidade de pronto atendimento de porte intermediário que desempenha papel essencial na rede de urgência e emergência da Região Metropolitana do Recife. Funcionando 24 horas por dia, a unidade oferece atendimento resolutivo para quadros clínicos agudos em adultos e crianças, contribuindo de forma significativa para a diminuição da sobrecarga hospitalar e para a ampliação do acesso a cuidados imediatos em saúde</t>
  </si>
  <si>
    <t>Hospital Regional Fernando Bezerra</t>
  </si>
  <si>
    <t>ISMEP</t>
  </si>
  <si>
    <t>Aquisição de equipamentos: cadeira de rodas para obeso, autoclave horizontal de mesa, bomba a vácuo odontológica, monitor multiparâmetro para UTI, eletrocardiógrafo, ventilador pulmonar, raio X portátil de coluna e cardioversor.</t>
  </si>
  <si>
    <t>R. Teobaldo Gomes Torres, 510 - Centro, Ouricuri - PE</t>
  </si>
  <si>
    <r>
      <rPr>
        <rFont val="Roboto"/>
        <b/>
        <color theme="1"/>
      </rPr>
      <t xml:space="preserve">Urgência: </t>
    </r>
    <r>
      <rPr>
        <rFont val="Roboto"/>
        <color theme="1"/>
      </rPr>
      <t xml:space="preserve">Clínica Médica, Endoscopia, Urgência dialítica, Ortopedia e Traumatologia, Bucomaxilofacial,  Cirurgia Geral e Vascular. 
</t>
    </r>
    <r>
      <rPr>
        <rFont val="Roboto"/>
        <b/>
        <color theme="1"/>
      </rPr>
      <t xml:space="preserve">Ambulatorial: </t>
    </r>
    <r>
      <rPr>
        <rFont val="Roboto"/>
        <color theme="1"/>
      </rPr>
      <t xml:space="preserve">Cirurgia Geral, Clínica Médica, Oncologia, ostomizados, Ortopedia e Traumatologia, Bucomaxilofacial, Neurocirurgia e Cabeça e Pescoço. </t>
    </r>
  </si>
  <si>
    <t>UPA São Lourenço</t>
  </si>
  <si>
    <t>Hospital regional de média complexidade, referência para os 11 municípios da IX GERES/Sertão do Araripe. Presta atendimento de urgência e emergência, internação, ambulatório e assistência em especialidades como Clínica Médica, Cirurgia Geral, Ginecologia/Obstetrícia, Pediatria e Traumato-Ortopedia, além de outras especialidades ambulatoriais.</t>
  </si>
  <si>
    <t>Av. Dr. Francisco Correia, 2009 - Pixete, São Lourenço da Mata - PE</t>
  </si>
  <si>
    <t xml:space="preserve">A unidade de média complexidade assegura atendimento contínuo à população de São Lourenço da Mata e municípios vizinhos. Sua infraestrutura é robusta e voltada para urgências clínicas, pediátricas e traumato-ortopédicas, contando com 19 leitos de observação, consultórios (médicos e odontológicos), além de salas de sutura, medicação, procedimentos e estabilização. 
</t>
  </si>
  <si>
    <t>R$ 31.990.404,32</t>
  </si>
  <si>
    <r>
      <rPr>
        <rFont val="Roboto"/>
        <b/>
        <color theme="1"/>
      </rPr>
      <t>Obras de infraestrutura
Estamos fazendo</t>
    </r>
    <r>
      <rPr>
        <rFont val="Roboto"/>
        <color theme="1"/>
      </rPr>
      <t xml:space="preserve">: requalificação da fachada; contrução do novo Hospital Regional do Agreste; requalificação das enfermarias de ortopedia. 
</t>
    </r>
    <r>
      <rPr>
        <rFont val="Roboto"/>
        <b/>
        <color theme="1"/>
      </rPr>
      <t>Já entregamos</t>
    </r>
    <r>
      <rPr>
        <rFont val="Roboto"/>
        <color theme="1"/>
      </rPr>
      <t xml:space="preserve">: Requalificação do setor de endoscopia; requalificação do setor de hemodiálise; abertura de novos 14 leitos de clínica médica; requalificação do setor de tomografia; requalificação das enfermarias de ortopedia; requalificação da recepção geral; requalificação da capela; requalificação da sala vermelha.
</t>
    </r>
    <r>
      <rPr>
        <rFont val="Roboto"/>
        <b/>
        <color theme="1"/>
      </rPr>
      <t>EQUIPAGEM</t>
    </r>
    <r>
      <rPr>
        <rFont val="Roboto"/>
        <color theme="1"/>
      </rPr>
      <t xml:space="preserve">: 11 Bisturís Elétricos; 01 Mesa Cirúrgica; 11 Serras Pneumáticas; 04 Aparelhos de Anestesia; 04 Aparelhos de Ultrassonografia Portátil; 03 Videolaringoscópios; 16 Monitores Multiparâmetros; 10 Eletrocardiógrafos; 04 Sistemas para Ventilação Não invasiva - BIPAP; 01 Agitador de Bolsas de Plaquetas; 09 Perfurador Cirúrgico Ortopédico; 09 Cardioversor; 22 Esfigmomanômetro Portátil; 02 Autoclaves; 04 Mesas Cirúrgicas Ortopédicas; 02 Arcos Cirúrgicos Móveis;  09 Refrigerador Científico; 01 Torre de Videocirurgia; 01 Videoduodenoscópio; 08 Videogastroscópios; 04 Videocolonoscópio; 02 Sistema de Videoendoscopia; 01 Ventilador de Transporte; 02 Oxímetros Portáteis; 02 Aparelho de Anestesia com Monitor Integrado; </t>
    </r>
    <r>
      <rPr>
        <rFont val="Roboto"/>
        <b/>
        <color theme="1"/>
      </rPr>
      <t>CAMA ELÉTRICA: xxxxx</t>
    </r>
    <r>
      <rPr>
        <rFont val="Roboto"/>
        <color theme="1"/>
      </rPr>
      <t>; 102 Computadores;</t>
    </r>
  </si>
  <si>
    <t>Aquisição de equipamentos: aparelho de raio-X fixo digital, ventiladores mecânico pulmonar, eletrocardiógrafo, desfibrilador, camas hospitalares elétricas, incubadora de transporte neonatal, balança antropométrica digital pediátrica e berço hospitalar.</t>
  </si>
  <si>
    <t>Planos de investimento (R$5.132.298,00) para modernização do parque tecnologico, incluindo Aparelho de Anestesia, Foco Cirúrgico de teto, Ultrassom Diagnóstico com Aplicação Transesofágica, Aparelho de Raio X, Cardiovers, Sistema de Vídeo Endoscopia Rígida, camas hospitalaes, autoclave, lavadora de roupa hospitalar. Abertura de 10 leitos de UTI pediatrica. Requalificação de 10 leitos de UTI Covid para UTI Geral Adulto Tipo II, ampliando para 20 leitos de UTI Adulto. Climatização das enfermarias da maternidade e da emergência, Reforma dos repousos dos profissionais, Assinado ordem de serviço para reforma da Emergencia.</t>
  </si>
  <si>
    <t>Paulista</t>
  </si>
  <si>
    <t>UPA Torrões</t>
  </si>
  <si>
    <t>Hospital Professor Agamenon Magalhães</t>
  </si>
  <si>
    <t>Av. Eng. Abdias de Carvalho, nº 30 - Torrões, Recife - PE</t>
  </si>
  <si>
    <t>R. Manoel Pereira da Silva, 871 - Centro, Serra Talhada - PE, 56903-360</t>
  </si>
  <si>
    <t>A unidade destaca-se pelo atendimento médico especializado em Clínica Médica, Pediatria e Ortopedia, oferecendo suporte diagnóstico completo que inclui exames de imagem, análises laboratoriais e eletrocardiogramas para garantir precisão terapêutica. Sua infraestrutura dispõe de 19 leitos de observação distribuídos entre leitos críticos e pediátricos, além de contar com Sala Vermelha equipada para emergências, Salas Amarelas para estabilização, área pediátrica dedicada, sala de isolamento para síndromes respiratórias agudas, consultórios médicos e odontológicos, e salas para sutura, inalação e medicação</t>
  </si>
  <si>
    <t>Urgência: Cirurgia geral, Traumatologia, Pediatria, Clínica Médica, Obstetrícia, Odontologia. Ambulatório: Neuropediatria, endocrinologia, radiologia, pediatria, psiquiatria, otorrinolaringologia, projeto boa visão, dermatologia, oftalmologia, tocoginecologia, reumatologista, pediatria, cirurgião bucomaxilo, ultrassonografia, cardiologista, neurologista, geriatra, médico do trabalho, climatério, colposcopia, psicologia, otorrino pediátrico , pediatria neurodivergente, periodontia, odontopediatria, odontologia, pneumo/pediatra.</t>
  </si>
  <si>
    <t>Aquisição de equipamentos: maca retrátil adaptável a ambulâncias até 300 kg, carro de transporte para cadáver, monitor multiparamétrico, oxímetro portátil, cardioversor e ventilador pulmonar adulto/pediátrico.</t>
  </si>
  <si>
    <t>UPA Paulista</t>
  </si>
  <si>
    <t>Estr. do Frio, 1000 - Jardim Paulista, Paulista - PE</t>
  </si>
  <si>
    <t>Seu perfil assistencial é altamente abrangente, sendo referência em clínica médica, pediatria, oftalmologia de emergência e urgência odontológica diurna (das 7h às 19h). A infraestrutura moderna suporta esse fluxo com salas especializadas de classificação de risco, isolamento respiratório, raio-X, farmácia, laboratório de análises clínicas e salas Vermelha e Amarelas voltadas à estabilização e observação dos pacientes.</t>
  </si>
  <si>
    <t>Aquisição de equipamentos: maca leito para obeso, ambulância padrão, monitor multiparamétrico, ventilador pulmonar adulto/pediátrico, eletrocardiógrafo, vídeo laringoscópio e autoclave 21L.</t>
  </si>
  <si>
    <t xml:space="preserve">Aquisição de incubadoras de transporte; Aquisição de incubadoras neonatais; Aquisição de cardiotocógrafos; Aquisição de berços aquecidos; Aquisição de berços de acrílico; Fortalecimento da assistência obstétrica e neonatal; Qualificação da estrutura destinada ao atendimento materno-infantil; Requalificação da lavanderia hospitalar; Aquisição de 61 computadores; Aquisição de 14 aparelhos de ar-condicionado; Aquisição de 05 refrigeradores duplex; Aquisição de novas camas hospitalares; Aquisição de camas Fowler; Aquisição de carrinhos-maca; Aquisição de carrinhos de curativos; Aquisição de cadeiras de banho; Aquisição de cadeiras de rodas; Aquisição de suportes de soro; Aquisição de biombos; Aquisição de longarinas; Aquisição de cadeiras para auditório; Aquisição de cadeiras para o setor administrativo; 01 contador de células; 02 incubadoras de transporte;
03 incubadoras neonatais; 01 equipamento de Raio-X Digital; 01 aparelho de Ultrassonografia; 02 cardiotocógrafos; 32 bombas de infusão; 03 ventiladores pulmonares;
08 monitores multiparâmetros; 02 cardioversores; 02 focos cirúrgicos de teto SkyLED;
01 bisturi elétrico; 01 mesa cirúrgica elétrica; 03 mesas cirúrgicas para o bloco cirúrgico;
02 ressectoscópios; 07 aspiradores cirúrgicos; Arco cirúrgico; Motor cirúrgico; Aparelho de anestesia com monitor incorporado; Berços aquecidos; 01 umidificador; Aquisição de 01 ambulância UTI; Aquisição de instrumentais; Substituição de todas as camas; 10 carros-maca; 05 carrinhos de curativos; 20 cadeiras de banho; 10 cadeiras de rodas; 25 berços de acrílico; 75 suportes de soro; 25 biombos; 30 longarinas; 50 cadeiras para auditório; 50 cadeiras;  Aquisição de 02 ambulâncias básicas; 07 laringoscópios adultos; 05 laringoscópios pediátricos; 03 laringoscópios neonatais; 08 kits de laringoscópio; 10 lâmpadas para laringoscópios; 07 estetoscópios cardiológicos; 04 cabos de oxímetro;
10 torpedos/cilindros de oxigênio; 15 cilindros de oxigênio;
</t>
  </si>
  <si>
    <t>UPA Ibura</t>
  </si>
  <si>
    <t>R. Vale do Itajaí, S/n - Ibura, Recife - PE</t>
  </si>
  <si>
    <t>Hospital do Sertão Governador Eduardo Campos</t>
  </si>
  <si>
    <t>UPA Porte III, com atendimento 24h de urgência e emergência em Clínica Médica, Pediatria, Oftalmologia e Traumato-Ortopedia. Possui radiologia, laboratório, eletrocardiograma, nebulização, sutura, imobilização e estrutura para estabilização de pacientes graves. Tem capacidade operacional de até 450 atendimentos de baixa e média complexidade.</t>
  </si>
  <si>
    <t>BR-232 - Serra Talhada, PE</t>
  </si>
  <si>
    <t xml:space="preserve">Ampliação da capacidade para atendimento de casos pediátricos críticos durante a sazonalidade respiratória; expansão dos leitos destinados aos casos graves; disponibilização de equipamentos para suporte aos pacientes; implantação/reforço de protocolos específicos para assistência pediátrica; e fortalecimento da UPA como referência 24h em Clínica Médica, Pediatria, Oftalmologia e Traumato-Ortopedia. Aquisição através de plano de investimento de Monitor multiparamétrico; ventilador pulmonar; poltrona hospitalar; computador servidor; ar-condicionados 57.000 BTUs; monitor cardioversor; longarina 5 lugares.
</t>
  </si>
  <si>
    <t>UPA Curado</t>
  </si>
  <si>
    <t>R. Leonardo da Vinci, 68 - Curado II, Jaboatão dos Guararapes - PE</t>
  </si>
  <si>
    <t>UPA Porte III, com atendimento de urgência e emergência em Clínica Médica, Pediatria e Ortopedia 24h, além de Odontologia. Realiza atendimentos de baixa e média complexidade, estabilizando casos graves para posterior transferência à rede hospitalar. Possui raio-X, nebulização, sutura, imobilização, coleta laboratorial e eletrocardiograma.</t>
  </si>
  <si>
    <t>Modernização da unidade com investimento de R$ 559,2 mil em equipamentos e mobiliários; manutenção de 19 leitos, incluindo quatro destinados à estabilização de pacientes graves; fortalecimento da assistência 24h em Clínica Médica, Pediatria e Ortopedia; manutenção da qualificação como UPA Porte III; e fortalecimento da estrutura para estabilização e transferência de pacientes de maior complexidade.</t>
  </si>
  <si>
    <t>Enfermaria</t>
  </si>
  <si>
    <t>Hospital regional de média e alta complexidade, com assistência em Clínica Médica, Cirurgia Geral, Cirurgia Vascular, Pediatria, Traumato-Ortopedia, Neurologia, Cardiologia, além de cuidados intensivos e suporte diagnóstico.</t>
  </si>
  <si>
    <t>UPA Caxangá</t>
  </si>
  <si>
    <t>R. Ribeiro Pessoa, s/n - Iputinga, Recife - PE</t>
  </si>
  <si>
    <t>Plano de investimento de R$2 602 746,05, para compra de equipamentos incluindo Máquina de hemodiálise, sistema de vídeo endoscopia e broncoscopia
flexível, moniotr, cardioversos, centro de monitoramento para UTI, camas, poltronas, macas, polígrafo, aparalho de mapa. Aquisição de um Angografico, Implantação do serviço de cirurgia vascular na emergência.
Implantação da emergência cardiológica, Início da trombólise para tratamento de AVC. 
Aumento de 92 leitos de enfermaria.</t>
  </si>
  <si>
    <t>UPA 24h de urgência e emergência, com atendimento por demanda espontânea em Clínica Médica, Pediatria e Ortopedia. Possui apoio diagnóstico com raio-X, eletrocardiograma, exames laboratoriais e gasometria, além de salas de medicação, sutura, inalação e classificação de risco.</t>
  </si>
  <si>
    <t>Hospital Regional Emília Câmara</t>
  </si>
  <si>
    <t>gestão
Readequação da Clínica Médica; fortalecimento da assistência pediátrica; regularização da cobertura de plantonistas pediátricos e disponibilização de materiais para a especialidade; manutenção de 19 leitos de observação; e continuidade da assistência 24h em Clínica Médica, Pediatria e Ortopedia.</t>
  </si>
  <si>
    <t>R. Manoel Virgínio Sobrinho, 156-238, Afogados da Ingazeira - PE</t>
  </si>
  <si>
    <t>UPA Caruaru</t>
  </si>
  <si>
    <t>Hospital regional do SUS de média e alta complexidade, referência para os 12 municípios da X GERES. Atua nas áreas materno-infantil, Cirurgia Geral, Clínica Médica, emergência dialítica, Ginecologia/Obstetrícia, Ortopedia, Pediatria, Psiquiatria e Traumato-Ortopedia.</t>
  </si>
  <si>
    <t>Caruaru – PE, Avenida José Marques Fontes, s/n, Vassoural/Santa Rosa</t>
  </si>
  <si>
    <r>
      <rPr>
        <rFont val="Roboto"/>
        <b/>
        <color theme="1"/>
      </rPr>
      <t>Equipagem</t>
    </r>
    <r>
      <rPr>
        <rFont val="Roboto"/>
        <color theme="1"/>
      </rPr>
      <t>: Ampliação de 12 leitos de saúde mental; Substituição de todas as camas da unidade; Implantação do Núcleo Interno de Regulação-NIR; Implantação de 30 cargos de liderança para servidores-FSUS; Requalificação do  setor do  Raio-x (em andamento);  Incremento de recursos humanos; Abertura de 10 leitos-clínica médica (em andamento).</t>
    </r>
  </si>
  <si>
    <t>Unidade de Pronto Atendimento 24h, voltada à urgência e emergência, com atendimento em Clínica Médica, Cardiologia, Traumatologia e Cirurgia do Trauma. Dispõe de 7 consultórios, raio-X, coleta de exames laboratoriais, imobilização, medicação, nebulização, sutura e classificação de risco.</t>
  </si>
  <si>
    <t>Plano de investimento no valor de  no valor de R$ 4.989.152,95 para modernização do parque tecnologico com a aquisição de equipamentos como Arco cirúrgico,mesa cirúrgica elétrica, dopler vascular portátil, DEA, carrinho de anestesia, foco cirúrgico, ventilador pumocar, aspirador cirúrgico,  berço aquecido, incubadora, carrinho de emergência, mobiliários, compudador. Ampliação da área de Pré-Parto, Ampliação de 10 Leitos de UTI Pediátrica, Reforma e Ampliação do Ambulatório, Conversão e requalificação de 10 leitos de UTI Covid em UTI Geral, Construção da Farmácia satélite da emergência, Inauguração do Centro de Parto Humanizado.</t>
  </si>
  <si>
    <t>Modernização do parque de equipamentos; aquisição de digitalizador de imagens radiográficas, ventiladores, camas e berços; fortalecimento da capacidade de atendimento de urgência e emergência; e manutenção de elevado volume assistencial, com 155.811 atendimentos em 2024, superando a meta anual pactuada.</t>
  </si>
  <si>
    <t>Hospital Dom Malan</t>
  </si>
  <si>
    <t>UPA Igarassu</t>
  </si>
  <si>
    <t>R. Joaquim Nabuco, s/n - Centro, Petrolina - PE</t>
  </si>
  <si>
    <t>Rodovia Br-101 Norte, km 47 - Cruz de Rebouças, Igarassu - PE</t>
  </si>
  <si>
    <t>UTI Infantil</t>
  </si>
  <si>
    <t>Clínica Médica, Pediatria e Ortopedia</t>
  </si>
  <si>
    <t>Hospital de alta complexidade especializado na assistência materno-infantil, referência regional em Pediatria, Ginecologia e Obstetrícia, gestação de alto risco e cuidados intensivos neonatais e pediátricos. Dispõe de ambulatório de centro de diagnóstico.</t>
  </si>
  <si>
    <t>Aparelho de raio-X fixo digital; ventilador pulmonar; cardioversor; eletrocardiógrafo.</t>
  </si>
  <si>
    <t>UPAE/Reabilitação do Recife</t>
  </si>
  <si>
    <t>Plano de investimento, no valor de R$2.591.398,33; para modernização do parque tecnologico com a aquisição de Mesa cirúrgica elétrica, Ultrassom, Autoclave, Berço Aquecido , Cama
Hospitalar, Cardioversor, Incubadora Neonatal, Incubadora de Transporte Neonatal, Mesa Cirúrgica Elétrica, Monitor Multiparâmetro entre outros equipamentos.
Construção do Centro de Estudos; Climatização Completa da Pediatria: Instalação de novos sistemas de ar-condicionado em todas as alas do setor pediátrico; Climatização do Alojamento Conjunto, Modernização do CME: Reforma estrutural e instalação de duas novas autoclaves de alta capacidade tecnológica e mudança da rede de gás, Reforma do Ambulatório com a Reestruturação, aquisição de equipamentos e mobiliário, 1ª etapa do ambulatório. Aquisição de um novo mamografo e ampliação da oferta de mamografia. Abertura de 10 Leitos de UTI pediatrica.</t>
  </si>
  <si>
    <t>R. Interna, 801 - Ipsep, Recife - PE</t>
  </si>
  <si>
    <t>Hospital da Mulher do Agreste</t>
  </si>
  <si>
    <t>Aguardando informação</t>
  </si>
  <si>
    <t>Av. José Rodrigues de Jesus - Santa Rosa, Caruaru - PE</t>
  </si>
  <si>
    <t xml:space="preserve">Atendimento especializado à pessoa idosa, com assistência médica nas especialidades de Dermatologia, Vascular, Otorrinolaringologia, Otoneurologia, Reumatologia, Geriatria e Cardiologia, além de atendimento multiprofissional nas áreas de Nutrição, Psicologia, Fisioterapia, Fonoaudiologia, Terapia Ocupacional e Educação Física.
</t>
  </si>
  <si>
    <t>Hospital Aberto em 2025 com 164 leitos</t>
  </si>
  <si>
    <t>Hospital especializado em saúde da mulher e atenção materno-infantil, de média e alta complexidade, com foco em obstetrícia e ginecologia; gestação de alto risco, UTI adulta e neonatal, bloco cirúrgico, Centro de Parto Normal, Casa da Gestante/Bebê/Puérpera e ambulatórios especializados.</t>
  </si>
  <si>
    <t>Conclusão e inauguração do hospital em maio de 2025; implantação da assistência materno-infantil de alta complexidade no Agreste; estruturação de 198 leitos; atendimento a gestantes de alto risco de 53 municípios; implantação de UTI adulta e neonatal, bloco cirúrgico com 5 salas, Casa da Gestante, Bebê e Puérpera, espaço Canguru e ambulatórios especializados; fortalecimento da regionalização da assistência à saúde da mulher.</t>
  </si>
  <si>
    <t xml:space="preserve">Hemope </t>
  </si>
  <si>
    <t>Especializado</t>
  </si>
  <si>
    <t xml:space="preserve">Rua Joaquim Nabuco, 171, Graças, Recife. </t>
  </si>
  <si>
    <t>Serviços de Pronto Atendimento (SPA)</t>
  </si>
  <si>
    <t xml:space="preserve">Hematologia urgência e pediátria. Ambulatório: cardiologia, ortopedia, endocrinologia, neurologia, hematologia pediátrico, hematologia adulto, psicologia, terapia ocupacional, fisioterapia, nutrição e odontologia. </t>
  </si>
  <si>
    <r>
      <rPr>
        <rFont val="Roboto"/>
        <b/>
        <color theme="1"/>
        <sz val="10.0"/>
      </rPr>
      <t>UNIDADE INAUGURADA NESTA GESTÃO (1ª ETAPA EM 2024 E 2ª ETAPA EM 2025)
Aquisições</t>
    </r>
    <r>
      <rPr>
        <rFont val="Roboto"/>
        <color theme="1"/>
        <sz val="10.0"/>
      </rPr>
      <t xml:space="preserve">: Cadeiras universitárias com prancheta lateral; 01 Esteira ergométrica; Armários tipo estante em MDF; Cadeiras de rodas; Carrinhos auxiliares; Discos infláveis fisioterapêuticos para equilíbrio; Fornos tipo doméstico; Mesas auxiliares; Refrigeradores 320L; Bebedouros de coluna; Televisores.
</t>
    </r>
    <r>
      <rPr>
        <rFont val="Roboto"/>
        <b/>
        <color theme="1"/>
        <sz val="10.0"/>
      </rPr>
      <t>Serviços</t>
    </r>
    <r>
      <rPr>
        <rFont val="Roboto"/>
        <color theme="1"/>
        <sz val="10.0"/>
      </rPr>
      <t xml:space="preserve">: Implantação de ambulatório da dor -- fibromialgia; Hidroginástica para idosos; Atividades funcionais/esportivas. </t>
    </r>
  </si>
  <si>
    <t xml:space="preserve">- 
</t>
  </si>
  <si>
    <t xml:space="preserve">Criação do setor de imunohematologia do doador, inauguração do serviço de pronto atendimento SPA-Adulto, implantação do núcleo interno de regulação-NIR; </t>
  </si>
  <si>
    <t>Hospital Regional José Fernandes Salsa</t>
  </si>
  <si>
    <t>R. Padre Nicolau Pímentel, 244 - José Fernades Salsa, Limoeiro - PE, 55700-000</t>
  </si>
  <si>
    <t xml:space="preserve">Traumatologia, Obstetrícia, Pediatria, Odontologia, Cirurgia Geral e Clínica Médica.
</t>
  </si>
  <si>
    <t xml:space="preserve">Aquisição de nova autoclave e compressor para funcionamento do CME; Aquisição de dois aparelhos para realização de exames de endoscopia; Aquisição de 02 ambulâncias;; Aquisição de equipamentos médico-hospitalares, incluindo bisturi elétrico, aparelho de ultrassonografia com doppler, analisador de gases sanguíneos, perfuradores cirúrgicos para ortopedia, incubadora de transporte, bilirrubinômetro e ressuscitador pulmonar infantil e otoscópio, aparelho de raio-x portátil digital e fixo, Incubadora neonatal, incubadora de transporte, eletrocardiógrafo,  12 kits instrumentais básico menor, 04 kits instrumentais básico médio, 02 kits de instrumentais básico maior, aparelho de ultrassom portátil+ecocardiograma, compressor 4D; Aquisição de mobiliário hospitalar, como camas hospitalares manuais e elétricas (21 unidades), macas para consultório, cadeiras de rodas, mesas de cabeceira, mesas auxiliares, poltronas, longarinas,  armário alto, armários baixos, mesas estação de trabalho , guarda-roupas em aço, escadas hospitalares e carrinhos auxiliares, poltrona para obeso, carros macas, estante aramadas; Aquisição de equipamentos de apoio e eletrodomésticos para a unidade, incluindo micro-ondas, refrigeradores e freezer, aparelho de tv, bebedouro; Aquisição de instrumentais; Aquisição de 60 computadores; Criação de farmácia satélite na emergência;
</t>
  </si>
  <si>
    <t>Unidade nova. Investimento na obra.</t>
  </si>
  <si>
    <t>Fernando de Noronha</t>
  </si>
  <si>
    <r>
      <rPr>
        <rFont val="Roboto"/>
        <b/>
        <color theme="1"/>
      </rPr>
      <t>Equipamentos</t>
    </r>
    <r>
      <rPr>
        <rFont val="Roboto"/>
        <color theme="1"/>
      </rPr>
      <t xml:space="preserve">: 12 camas elétricas (entregues); 10 macas (entregues); 9 poltronas hospitalares (entregues); 2 bisturis elétricos (entregues); 3 balanças antropométricas (entregues); 1 foco cirúrgico (entregues); 1 autoclave vertical (entregues); 1 cardiovesor bifásico (entregues); 2 monitores cardíacos (entregues); 3 esfigmomanômetros (entregues); 1 colposcópio (entregue); 1 aparelho de ultrassonografia portátil com doppler e ecocardiograma (entregues); 1 aparelho de raio-x móvel (entregue); 1 cadeira odontológica (entregue); 1 aparelho de gasometria (entregue / recurso de emenda). </t>
    </r>
    <r>
      <rPr>
        <rFont val="Roboto"/>
        <b/>
        <color theme="1"/>
      </rPr>
      <t>Infraestrutura</t>
    </r>
    <r>
      <rPr>
        <rFont val="Roboto"/>
        <color theme="1"/>
      </rPr>
      <t>:  reforma do ambulatório, reforma com ampliação (em andamento).</t>
    </r>
  </si>
  <si>
    <t>Jaboatão dos Guararapes</t>
  </si>
  <si>
    <t>Olinda</t>
  </si>
  <si>
    <t>Cabo de Santo Agostinho</t>
  </si>
  <si>
    <t>Goiana</t>
  </si>
  <si>
    <t>Mata Norte</t>
  </si>
  <si>
    <t>Nazaré da Mata</t>
  </si>
  <si>
    <t>Vitória de Santo Antão</t>
  </si>
  <si>
    <t>Mata Sul</t>
  </si>
  <si>
    <t>Palmares</t>
  </si>
  <si>
    <t>Garanhuns</t>
  </si>
  <si>
    <t>Agreste Meridional</t>
  </si>
  <si>
    <t>Salgueiro</t>
  </si>
  <si>
    <t>Sertão Central</t>
  </si>
  <si>
    <t>Arcoverde</t>
  </si>
  <si>
    <t>Sertão do Moxotó</t>
  </si>
  <si>
    <t>Ouricuri</t>
  </si>
  <si>
    <t>Sertão do Araripe</t>
  </si>
  <si>
    <t>ISMEP - Irmãs Medianeiras</t>
  </si>
  <si>
    <t>Serra Talhada</t>
  </si>
  <si>
    <t>Sertão do Pajeú</t>
  </si>
  <si>
    <t>Afogados da Ingazeira</t>
  </si>
  <si>
    <t>Petrolina</t>
  </si>
  <si>
    <t>Sertão do São Francisco</t>
  </si>
  <si>
    <t>Hemope</t>
  </si>
  <si>
    <t>NA</t>
  </si>
  <si>
    <t>Limoeiro</t>
  </si>
  <si>
    <t>Agreste Setentrional</t>
  </si>
  <si>
    <t>Maternidade de Garanhuns</t>
  </si>
  <si>
    <t>Maternidade de alto risco: Centro de parto normal; unidade de cuidados intermediários; UCI Neonatal convencional; UTI Neonatal; UTI Materna; Suíte PPP (parto, pós-parto e puerpério); 4 salas cirúrgicas; Enfermaria de alto risco; Enfermaria de ginecologia; Enfermaria de Alojamento Conjunto</t>
  </si>
  <si>
    <t>Maternidade de Ouricuri</t>
  </si>
  <si>
    <t>Maternidade de Igarassu</t>
  </si>
  <si>
    <t>Igarassu</t>
  </si>
  <si>
    <t>Maternidade de Serra Talhada</t>
  </si>
  <si>
    <t>UPAE-R Petrolina</t>
  </si>
  <si>
    <t>Será um dos 3 centros especializados em reabilitação do tipo IV no interior, com 44 ambulatórios, em cooperação com a UPE. Será uma clínica-escola dentro do campus da UPE em Petrolina</t>
  </si>
  <si>
    <t>UPAE-R Serra Talhada</t>
  </si>
  <si>
    <t>Será um dos 3 centros especializados em reabilitação do tipo IV no interior, com 36 ambulatórios. Ele ampliará a oferta de serviços especializados para a população com deficiência, especialmente nas áreas de reabilitação física, auditiva, visual, intelectual e múltipla. A unidade será referência regional e oferecerá diagnóstico, tratamento, concessão e adaptação de tecnologias assistivas</t>
  </si>
  <si>
    <t>UPAE-R Caruaru</t>
  </si>
  <si>
    <t>Hospital Mestre Dominguinhos</t>
  </si>
  <si>
    <t>Hospital de abrangência regional que terá perfil assistencial de média e alta complexidade, com atendimento ambulatorial e hospitalar, unidades de internação, centro cirúrgico, serviços de apoio diagnóstico e terapêutico nas áreas de urgência e emergência. Terá também UTI, centro de diagnóstico completo, hemodinâmica, centro de reabilitação, ambulatório com 15 consultórios médicos</t>
  </si>
  <si>
    <t>Abreu e Lima</t>
  </si>
  <si>
    <t>UPAE</t>
  </si>
  <si>
    <t>Carpina</t>
  </si>
  <si>
    <t>Escada</t>
  </si>
  <si>
    <t>Belo Jardim</t>
  </si>
  <si>
    <t>UPAE, UPA</t>
  </si>
  <si>
    <t>UPA</t>
  </si>
  <si>
    <r>
      <rPr>
        <rFont val="Roboto"/>
        <b/>
        <color theme="1"/>
      </rPr>
      <t>UNIDADE INAUGURADA NESTA GESTÃO (1ª ETAPA EM 2024 E 2ª ETAPA EM 2025)
Aquisições</t>
    </r>
    <r>
      <rPr>
        <rFont val="Roboto"/>
        <color theme="1"/>
      </rPr>
      <t xml:space="preserve">: Cadeiras universitárias com prancheta lateral; 01 Esteira ergométrica; Armários tipo estante em MDF; Cadeiras de rodas; Carrinhos auxiliares; Discos infláveis fisioterapêuticos para equilíbrio; Fornos tipo doméstico; Mesas auxiliares; Refrigeradores 320L; Bebedouros de coluna; Televisores.
</t>
    </r>
    <r>
      <rPr>
        <rFont val="Roboto"/>
        <b/>
        <color theme="1"/>
      </rPr>
      <t>Serviços</t>
    </r>
    <r>
      <rPr>
        <rFont val="Roboto"/>
        <color theme="1"/>
      </rPr>
      <t xml:space="preserve">: Implantação de ambulatório da dor -- fibromialgia; Hidroginástica para idosos; Atividades funcionais/esportivas. </t>
    </r>
  </si>
  <si>
    <t>União Beneficente dos Trabalhadores do Moreno</t>
  </si>
  <si>
    <t>Moreno</t>
  </si>
  <si>
    <t>REDE CREDENCIADA</t>
  </si>
  <si>
    <t>Programa Cuida PE</t>
  </si>
  <si>
    <t>ASHOPE - Associação de Serviços Hospitalares</t>
  </si>
  <si>
    <t>Neuroclínica Adulto</t>
  </si>
  <si>
    <t>Hospital Maria Lucinda</t>
  </si>
  <si>
    <t>Enfermaria (Traumatologia-Ortopedia); UTI Pediátrica SRAG; Enfermaria Adulto SRAG; Programa Cuida PE; UTI Pediátrica</t>
  </si>
  <si>
    <t>Max Day Hospital Ltda.</t>
  </si>
  <si>
    <t>Sociedade Hospitalar Beneficente Maria Vitória</t>
  </si>
  <si>
    <t>Programa Cuida PE; Leitos clínicos com suporte de hemodiálise</t>
  </si>
  <si>
    <t>Irmandade da Santa Casa de Misericórdia do Recife</t>
  </si>
  <si>
    <t>Enfermaria (Traumatologia-Ortopedia); Programa Cuida PE</t>
  </si>
  <si>
    <t>Instituto de Medicina Integral Prof. Fernando Figueira IMIP</t>
  </si>
  <si>
    <t>Assistência Integral (Enfermaria Cirúrgica Pediátrica)</t>
  </si>
  <si>
    <t>Real Hospital Português de Beneficência em Pernambuco</t>
  </si>
  <si>
    <t>Cuida PE</t>
  </si>
  <si>
    <t>Hospital do Tricentenário</t>
  </si>
  <si>
    <t>UTI Adulto; Neuroclínica Adulto</t>
  </si>
  <si>
    <t>Ass. Prot. Maternidade e a Infância da Vitória de Santo Antão - APAMI Vitória</t>
  </si>
  <si>
    <t>Enfermaria (Traumatologia-Ortopedia); Neuroclínica Adulto; Cuida PE; Leitos de enfermaria cirúrgica vascular; Enfermaria Adulto SRAG</t>
  </si>
  <si>
    <t>Centro Hospitalar Santa Maria</t>
  </si>
  <si>
    <t>Enfermaria Pediátrica SRAG; Cuida PE</t>
  </si>
  <si>
    <t>Instituto Vale do Capibaribe de Inovações em Educação e Saúde</t>
  </si>
  <si>
    <t>UTI Adulto SRAG</t>
  </si>
  <si>
    <t>Associação de Proteção a Maternidade e a Infância de Surubim</t>
  </si>
  <si>
    <t>Surubim</t>
  </si>
  <si>
    <t>Instituto Assistência Vale do Una</t>
  </si>
  <si>
    <t>Cuida PE; Leitos de Enfermaria Cirúrgica Vascular; UTI Pediátrica SRAG</t>
  </si>
  <si>
    <t>Instituto Esperança de Beneficência em Saúde de Pernambuco</t>
  </si>
  <si>
    <t>Enfermaria Adulto SRAG; Cuida PE</t>
  </si>
  <si>
    <t>Memorial Hospital de Goiana Ltda.</t>
  </si>
  <si>
    <t>Enfermaria Adulto SRAG; Enfermaria Pediátrica SRAG; UTI Pediátrica; UTI Pediátrica SRAG</t>
  </si>
  <si>
    <t>Hospital Memorial de Pernambuco</t>
  </si>
  <si>
    <t>Enfermaria Adulto SRAG; UTI Adulto SRAG; Neuroclínica Adulto; Cuida PE</t>
  </si>
  <si>
    <t>Intensiva Day Hospital Ltda.</t>
  </si>
  <si>
    <t>Instituto do Câncer Infantil do Agreste -- ICIA</t>
  </si>
  <si>
    <t>Hospital São José Pesqueira Ltda.</t>
  </si>
  <si>
    <t>Pesqueira</t>
  </si>
  <si>
    <t>Casa de Saúde Perpétuo Socorro</t>
  </si>
  <si>
    <t>Associação de Proteção e Assistência à Maternidade e à Infância de Buíque -- APAMI Buíque</t>
  </si>
  <si>
    <t>Buíque</t>
  </si>
  <si>
    <t>Enfermaria Adulto SRAG; Enfermaria Obstetrícia SRAG; Enfermaria Pediátrica SRAG; Cuida PE</t>
  </si>
  <si>
    <t>Instituto Beneficente Vale do São Francisco</t>
  </si>
  <si>
    <t>Petrolândia</t>
  </si>
  <si>
    <t>Sertão de Itaparica</t>
  </si>
  <si>
    <t>Instituto Social das Medianeiras da Paz (Hospital e Maternidade Santa Maria de Araripina)</t>
  </si>
  <si>
    <t>Araripina</t>
  </si>
  <si>
    <t>Enfermaria (Traumatologia-Ortopedia); Cuida PE; UTI Pediátrica; Enfermaria Pediátrica SRAG</t>
  </si>
  <si>
    <t>Novas Maternidades</t>
  </si>
  <si>
    <t>Leitos previstos</t>
  </si>
  <si>
    <t>Investimento para obra e equipagem</t>
  </si>
  <si>
    <t>R$ 11.184.519,62</t>
  </si>
  <si>
    <t>R$ 9.137.626,84</t>
  </si>
  <si>
    <t>Enfermaria Adulto SRAG; UTI Adulto SRAG; Neuroclínica Adulto</t>
  </si>
  <si>
    <t>Unidade</t>
  </si>
  <si>
    <t>Município</t>
  </si>
  <si>
    <t>Detalhe de status</t>
  </si>
  <si>
    <t>Previsão de conclusão</t>
  </si>
  <si>
    <t>Investimento na obra</t>
  </si>
  <si>
    <t>Previsão de investimento em equipagem</t>
  </si>
  <si>
    <t>Valor Total</t>
  </si>
  <si>
    <t>Hospital da Mulher</t>
  </si>
  <si>
    <t>obra iniciada em set/2025, com 78% de execução física (set/2026).</t>
  </si>
  <si>
    <t>Maternidade de alto risco, com centro de parto normal, unidade de cuidados intermediários, UTIs e UCIs, enfermarias e salas cirúrgicas</t>
  </si>
  <si>
    <t>obra iniciada em out/2025, com 23% de execução física (set/2026)</t>
  </si>
  <si>
    <t>obra iniciada em set/2025. Execução física de 38% (set/2026). Obra atrasada.</t>
  </si>
  <si>
    <t>obra iniciada em ago/2025. Execução física de  37% (set/2026)</t>
  </si>
  <si>
    <t>Início de obra em fev/2026, com 13% de execução física (set/2026)</t>
  </si>
  <si>
    <t>Média e alta complexidade, com atendimento ambulatorial e hospitalar, unidades de internação, centro cirúrgico, serviços de apoio diagnóstico e terapêutico nas áreas de urgência e emergência. Terá também UTI, centro de diagnóstico completo, hemodinâmica, centro de reabilitação, ambulatório com 15 consultórios médicos</t>
  </si>
  <si>
    <t xml:space="preserve">Novo Complexo do Hospital da Restauração </t>
  </si>
  <si>
    <t>ELABORANDO PROJETO</t>
  </si>
  <si>
    <t xml:space="preserve"> O novo bloco abrigará áreas destinadas ao atendimento emergencial, internação e terapia intensiva, além de estruturas de apoio técnico e operacional. </t>
  </si>
  <si>
    <t>Novo Hospital Regional do Agreste</t>
  </si>
  <si>
    <t>obra iniciada em abril/2026</t>
  </si>
  <si>
    <t>O novo edifício contará com cinco pavimentos, destinados a ambulatório, laboratório, áreas de ensino e pesquisa, leitos de enfermaria e UTI</t>
  </si>
  <si>
    <t>Novo Hospital Otávio de Freitas</t>
  </si>
  <si>
    <t>Obra de reforma e ampliação em 5 etapas em andamento desde 2025. Cronograma de obra desatualizado, com atraso e aguardando aditivo</t>
  </si>
  <si>
    <t>Nova emergência adulta (saindo do corredor da unidade), UTI adulta, centro de diagnóstico de imagem, central de material esterilizado, reforma e ampliação da emergência pediátrica, agência transfusional e laboratório de análises.</t>
  </si>
  <si>
    <t>Novo Hospital Municipal</t>
  </si>
  <si>
    <t>Média complexidade, voltado ao atendimento adulto e pediátrico, com oferta de leitos de clínica médica e integrais, exames diagnósticos e procedimentos cirúrgicos.</t>
  </si>
  <si>
    <t>Novo Hospital do PROCAPE e Centro de Fisioterapia para Cardiopatias</t>
  </si>
  <si>
    <t>Obra de acabamento iniciada em julho/2025. Avanço físico é de 42,1%</t>
  </si>
  <si>
    <t>Novos leitos de UTI e enfermaria. Terá um Centro de Reabilitação Cardiovascular e Centro de Diagnóstico para exames de alta e média complexidade.</t>
  </si>
  <si>
    <t>Novo Centro Ambulatorial de Atendimento de Adultos e Crianças no Hospital Barão de Lucena</t>
  </si>
  <si>
    <t>MUNICIPIO</t>
  </si>
  <si>
    <t>Tipo</t>
  </si>
  <si>
    <t xml:space="preserve">Unidade </t>
  </si>
  <si>
    <t>Texto</t>
  </si>
  <si>
    <t>Nº de Leitos</t>
  </si>
  <si>
    <t xml:space="preserve">Nº Profissionais convocados nesta gestão </t>
  </si>
  <si>
    <t>Valor do contrato de manutenção predial (Anual)</t>
  </si>
  <si>
    <t xml:space="preserve">Investimento nesta gestão 
</t>
  </si>
  <si>
    <t>Cofinanciamento 2022
(Apenas Gestão Própria)</t>
  </si>
  <si>
    <t>Cofinanciamento 2025
(Apenas Gestão Própria)</t>
  </si>
  <si>
    <t>Aumento Cofinanciamento
(2022 a 2025) %
(Apenas Gestão Própria)</t>
  </si>
  <si>
    <t>2610707</t>
  </si>
  <si>
    <t>Afrânio</t>
  </si>
  <si>
    <t>Agrestina</t>
  </si>
  <si>
    <t>Água Preta</t>
  </si>
  <si>
    <t>Águas Belas</t>
  </si>
  <si>
    <t>Alagoinha</t>
  </si>
  <si>
    <t>Aliança</t>
  </si>
  <si>
    <t>Altinho</t>
  </si>
  <si>
    <t>Amaraji</t>
  </si>
  <si>
    <t>Angelim</t>
  </si>
  <si>
    <t>Araçoiaba</t>
  </si>
  <si>
    <t>Barra de Guabiraba</t>
  </si>
  <si>
    <t>Barreiros</t>
  </si>
  <si>
    <t>Belém de Maria</t>
  </si>
  <si>
    <t>Belém do São Francisco</t>
  </si>
  <si>
    <t>Betânia</t>
  </si>
  <si>
    <t>Bezerros</t>
  </si>
  <si>
    <t>Bodocó</t>
  </si>
  <si>
    <t>Bom Conselho</t>
  </si>
  <si>
    <t>Bom Jardim</t>
  </si>
  <si>
    <t>Bonito</t>
  </si>
  <si>
    <t>Brejão</t>
  </si>
  <si>
    <t>Brejinho</t>
  </si>
  <si>
    <t>Brejo da Madre de Deus</t>
  </si>
  <si>
    <t>Buenos Aires</t>
  </si>
  <si>
    <t>Cabrobó</t>
  </si>
  <si>
    <t>Cachoeirinha</t>
  </si>
  <si>
    <t>Caetés</t>
  </si>
  <si>
    <t>Calçado</t>
  </si>
  <si>
    <t>Calumbi</t>
  </si>
  <si>
    <t>Camaragibe</t>
  </si>
  <si>
    <t>Camocim de São Félix</t>
  </si>
  <si>
    <t>Camutanga</t>
  </si>
  <si>
    <t>Canhotinho</t>
  </si>
  <si>
    <t>Capoeiras</t>
  </si>
  <si>
    <t>Carnaíba</t>
  </si>
  <si>
    <t>Carnaubeira da Penha</t>
  </si>
  <si>
    <t>Casinhas</t>
  </si>
  <si>
    <t>Catende</t>
  </si>
  <si>
    <t>Cedro</t>
  </si>
  <si>
    <t>Chã de Alegria</t>
  </si>
  <si>
    <t>Chã Grande</t>
  </si>
  <si>
    <t>Condado</t>
  </si>
  <si>
    <t>Correntes</t>
  </si>
  <si>
    <t>Cortês</t>
  </si>
  <si>
    <t>Cumaru</t>
  </si>
  <si>
    <t>Cupira</t>
  </si>
  <si>
    <t>Custódia</t>
  </si>
  <si>
    <t>Dormentes</t>
  </si>
  <si>
    <t>Exu</t>
  </si>
  <si>
    <t>Feira Nova</t>
  </si>
  <si>
    <t>Ferreiros</t>
  </si>
  <si>
    <t>Flores</t>
  </si>
  <si>
    <t>Floresta</t>
  </si>
  <si>
    <t>Frei Miguelinho</t>
  </si>
  <si>
    <t>Gameleira</t>
  </si>
  <si>
    <t>Glória do Goitá</t>
  </si>
  <si>
    <t>Granito</t>
  </si>
  <si>
    <t>Gravatá</t>
  </si>
  <si>
    <t>Iati</t>
  </si>
  <si>
    <t>Ibimirim</t>
  </si>
  <si>
    <t>Ibirajuba</t>
  </si>
  <si>
    <t>Iguaracy</t>
  </si>
  <si>
    <t>Inajá</t>
  </si>
  <si>
    <t>Ingazeira</t>
  </si>
  <si>
    <t>Ipojuca</t>
  </si>
  <si>
    <t>Ipubi</t>
  </si>
  <si>
    <t>Itacuruba</t>
  </si>
  <si>
    <t>Itaíba</t>
  </si>
  <si>
    <t>Ilha de Itamaracá</t>
  </si>
  <si>
    <t>Itambé</t>
  </si>
  <si>
    <t>Itapetim</t>
  </si>
  <si>
    <t>Itapissuma</t>
  </si>
  <si>
    <t>Itaquitinga</t>
  </si>
  <si>
    <t>Jaqueira</t>
  </si>
  <si>
    <t>Jataúba</t>
  </si>
  <si>
    <t>Jatobá</t>
  </si>
  <si>
    <t>João Alfredo</t>
  </si>
  <si>
    <t>Joaquim Nabuco</t>
  </si>
  <si>
    <t>Jucati</t>
  </si>
  <si>
    <t>Jupi</t>
  </si>
  <si>
    <t>Jurema</t>
  </si>
  <si>
    <t>Lagoa do Carro</t>
  </si>
  <si>
    <t>Lagoa de Itaenga</t>
  </si>
  <si>
    <t>Lagoa do Ouro</t>
  </si>
  <si>
    <t>Lagoa dos Gatos</t>
  </si>
  <si>
    <t>Lagoa Grande</t>
  </si>
  <si>
    <t>Lajedo</t>
  </si>
  <si>
    <t>Macaparana</t>
  </si>
  <si>
    <t>Machados</t>
  </si>
  <si>
    <t>Manari</t>
  </si>
  <si>
    <t>Maraial</t>
  </si>
  <si>
    <t>Mirandiba</t>
  </si>
  <si>
    <t>Orobó</t>
  </si>
  <si>
    <t>Orocó</t>
  </si>
  <si>
    <t>Palmeirina</t>
  </si>
  <si>
    <t>Panelas</t>
  </si>
  <si>
    <t>Paranatama</t>
  </si>
  <si>
    <t>Parnamirim</t>
  </si>
  <si>
    <t>Passira</t>
  </si>
  <si>
    <t>Paudalho</t>
  </si>
  <si>
    <t>Pedra</t>
  </si>
  <si>
    <t>Poção</t>
  </si>
  <si>
    <t>Pombos</t>
  </si>
  <si>
    <t>Primavera</t>
  </si>
  <si>
    <t>Quipapá</t>
  </si>
  <si>
    <t>Quixaba</t>
  </si>
  <si>
    <t>Riacho das Almas</t>
  </si>
  <si>
    <t>Ribeirão</t>
  </si>
  <si>
    <t>Rio Formoso</t>
  </si>
  <si>
    <t>Sairé</t>
  </si>
  <si>
    <t>Salgadinho</t>
  </si>
  <si>
    <t>Saloá</t>
  </si>
  <si>
    <t>Sanharó</t>
  </si>
  <si>
    <t>Santa Cruz</t>
  </si>
  <si>
    <t>Santa Cruz da Baixa Verde</t>
  </si>
  <si>
    <t>Santa Cruz do Capibaribe</t>
  </si>
  <si>
    <t>Santa Filomena</t>
  </si>
  <si>
    <t>Santa Maria da Boa Vista</t>
  </si>
  <si>
    <t>Santa Maria do Cambucá</t>
  </si>
  <si>
    <t>Santa Terezinha</t>
  </si>
  <si>
    <t>São Benedito do Sul</t>
  </si>
  <si>
    <t>São Bento do Una</t>
  </si>
  <si>
    <t>São Caitano</t>
  </si>
  <si>
    <t>São João</t>
  </si>
  <si>
    <t>São Joaquim do Monte</t>
  </si>
  <si>
    <t>São José da Coroa Grande</t>
  </si>
  <si>
    <t>São José do Belmonte</t>
  </si>
  <si>
    <t>São José do Egito</t>
  </si>
  <si>
    <t>São Lourenço da Mata</t>
  </si>
  <si>
    <t>São Vicente Férrer</t>
  </si>
  <si>
    <t>Serrita</t>
  </si>
  <si>
    <t>Sertânia</t>
  </si>
  <si>
    <t>Sirinhaém</t>
  </si>
  <si>
    <t>Moreilândia</t>
  </si>
  <si>
    <t>Solidão</t>
  </si>
  <si>
    <t>Tabira</t>
  </si>
  <si>
    <t>Tacaimbó</t>
  </si>
  <si>
    <t>Tacaratu</t>
  </si>
  <si>
    <t>Tamandaré</t>
  </si>
  <si>
    <t>Taquaritinga do Norte</t>
  </si>
  <si>
    <t>Terezinha</t>
  </si>
  <si>
    <t>Terra Nova</t>
  </si>
  <si>
    <t>Timbaúba</t>
  </si>
  <si>
    <t>Toritama</t>
  </si>
  <si>
    <t>Tracunhaém</t>
  </si>
  <si>
    <t>Trindade</t>
  </si>
  <si>
    <t>Triunfo</t>
  </si>
  <si>
    <t>Tupanatinga</t>
  </si>
  <si>
    <t>Tuparetama</t>
  </si>
  <si>
    <t>Venturosa</t>
  </si>
  <si>
    <t>Verdejante</t>
  </si>
  <si>
    <t>Vertente do Lério</t>
  </si>
  <si>
    <t>Vertentes</t>
  </si>
  <si>
    <t>Vicência</t>
  </si>
  <si>
    <t>Xexéu</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</si>
</sst>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M/d/yyyy"/>
    <numFmt numFmtId="165" formatCode="[$R$ -416]#,##0.00"/>
    <numFmt numFmtId="166" formatCode="m&quot;/&quot;d"/>
    <numFmt numFmtId="167" formatCode="mm/dd/yyyy"/>
    <numFmt numFmtId="168" formatCode="mmm/yyyy"/>
    <numFmt numFmtId="169" formatCode="mmmm/yyyy"/>
  </numFmts>
  <fonts count="23">
    <font>
      <sz val="10.0"/>
      <color rgb="FF000000"/>
      <name val="Arial"/>
      <scheme val="minor"/>
    </font>
    <font>
      <sz val="12.0"/>
      <color rgb="FFFFFFFF"/>
      <name val="Roboto"/>
    </font>
    <font>
      <sz val="10.0"/>
      <color rgb="FFFFFFFF"/>
      <name val="Roboto"/>
    </font>
    <font>
      <i/>
      <color rgb="FFC5CAE9"/>
      <name val="Roboto"/>
    </font>
    <font>
      <i/>
      <sz val="10.0"/>
      <color rgb="FFC5CAE9"/>
      <name val="Roboto"/>
    </font>
    <font>
      <sz val="10.0"/>
      <color theme="1"/>
      <name val="Roboto"/>
    </font>
    <font>
      <b/>
      <sz val="10.0"/>
      <color rgb="FF303F9F"/>
      <name val="Roboto"/>
    </font>
    <font>
      <b/>
      <sz val="9.0"/>
      <color rgb="FF303F9F"/>
      <name val="Roboto"/>
    </font>
    <font>
      <b/>
      <color rgb="FF303F9F"/>
      <name val="Roboto"/>
    </font>
    <font>
      <sz val="10.0"/>
      <color rgb="FF000000"/>
      <name val="Roboto"/>
    </font>
    <font>
      <b/>
      <sz val="10.0"/>
      <color theme="1"/>
      <name val="Roboto"/>
    </font>
    <font>
      <color theme="1"/>
      <name val="Roboto"/>
    </font>
    <font>
      <sz val="10.0"/>
      <color rgb="FF141414"/>
      <name val="Roboto"/>
    </font>
    <font>
      <color theme="1"/>
      <name val="Arial"/>
    </font>
    <font>
      <color rgb="FF000000"/>
      <name val="Roboto"/>
    </font>
    <font>
      <b/>
      <color theme="1"/>
      <name val="Roboto"/>
    </font>
    <font>
      <sz val="12.0"/>
      <color rgb="FF000000"/>
      <name val="Arial"/>
    </font>
    <font>
      <color rgb="FF141414"/>
      <name val="Roboto"/>
    </font>
    <font>
      <color theme="1"/>
      <name val="Arial"/>
      <scheme val="minor"/>
    </font>
    <font>
      <color rgb="FF141414"/>
      <name val="Arial"/>
    </font>
    <font>
      <sz val="10.0"/>
      <color theme="1"/>
      <name val="Arial"/>
      <scheme val="minor"/>
    </font>
    <font>
      <color theme="1"/>
      <name val="Calibri"/>
    </font>
    <font>
      <sz val="9.0"/>
      <color rgb="FF141414"/>
      <name val="Arial"/>
    </font>
  </fonts>
  <fills count="10">
    <fill>
      <patternFill patternType="none"/>
    </fill>
    <fill>
      <patternFill patternType="lightGray"/>
    </fill>
    <fill>
      <patternFill patternType="solid">
        <fgColor rgb="FF1E1A5D"/>
        <bgColor rgb="FF1E1A5D"/>
      </patternFill>
    </fill>
    <fill>
      <patternFill patternType="solid">
        <fgColor rgb="FFEFEFEF"/>
        <bgColor rgb="FFEFEFEF"/>
      </patternFill>
    </fill>
    <fill>
      <patternFill patternType="solid">
        <fgColor rgb="FFF3F3F3"/>
        <bgColor rgb="FFF3F3F3"/>
      </patternFill>
    </fill>
    <fill>
      <patternFill patternType="solid">
        <fgColor rgb="FFE6B8AF"/>
        <bgColor rgb="FFE6B8AF"/>
      </patternFill>
    </fill>
    <fill>
      <patternFill patternType="solid">
        <fgColor rgb="FFFFFFFF"/>
        <bgColor rgb="FFFFFFFF"/>
      </patternFill>
    </fill>
    <fill>
      <patternFill patternType="solid">
        <fgColor rgb="FFFFFF00"/>
        <bgColor rgb="FFFFFF00"/>
      </patternFill>
    </fill>
    <fill>
      <patternFill patternType="solid">
        <fgColor rgb="FFFCE5CD"/>
        <bgColor rgb="FFFCE5CD"/>
      </patternFill>
    </fill>
    <fill>
      <patternFill patternType="solid">
        <fgColor rgb="FFDDEBF7"/>
        <bgColor rgb="FFDDEBF7"/>
      </patternFill>
    </fill>
  </fills>
  <borders count="35">
    <border/>
    <border>
      <right style="thin">
        <color rgb="FFD1DCF5"/>
      </right>
    </border>
    <border>
      <right style="thin">
        <color rgb="FFD1DCF5"/>
      </right>
      <top style="thin">
        <color rgb="FF303F9F"/>
      </top>
    </border>
    <border>
      <top style="thin">
        <color rgb="FF303F9F"/>
      </top>
    </border>
    <border>
      <left style="thin">
        <color rgb="FFE8EAF6"/>
      </left>
      <right style="thin">
        <color rgb="FFE8EAF6"/>
      </right>
      <top style="thin">
        <color rgb="FF303F9F"/>
      </top>
    </border>
    <border>
      <left style="thin">
        <color rgb="FFD1DCF5"/>
      </left>
      <right style="thin">
        <color rgb="FFD1DCF5"/>
      </right>
    </border>
    <border>
      <left style="thin">
        <color rgb="FFB7B7B7"/>
      </left>
      <right style="thin">
        <color rgb="FFB7B7B7"/>
      </right>
      <top style="thin">
        <color rgb="FF303F9F"/>
      </top>
    </border>
    <border>
      <right style="thin">
        <color rgb="FFE8EAF6"/>
      </right>
    </border>
    <border>
      <right style="thin">
        <color rgb="FFB7B7B7"/>
      </right>
      <top style="thin">
        <color rgb="FF303F9F"/>
      </top>
    </border>
    <border>
      <right style="thin">
        <color rgb="FFE8EAF6"/>
      </right>
      <top style="thin">
        <color rgb="FF303F9F"/>
      </top>
    </border>
    <border>
      <left style="thin">
        <color rgb="FFE8EAF6"/>
      </left>
      <right style="thin">
        <color rgb="FFE8EAF6"/>
      </right>
    </border>
    <border>
      <left style="thin">
        <color rgb="FFE8EAF6"/>
      </left>
      <top style="thin">
        <color rgb="FF303F9F"/>
      </top>
    </border>
    <border>
      <left style="thin">
        <color rgb="FFB7B7B7"/>
      </left>
      <right style="thin">
        <color rgb="FFB7B7B7"/>
      </right>
    </border>
    <border>
      <right style="thin">
        <color rgb="FFC5CAE9"/>
      </right>
    </border>
    <border>
      <left style="thin">
        <color rgb="FFC5CAE9"/>
      </left>
      <right style="thin">
        <color rgb="FFE8EAF6"/>
      </right>
      <top style="thin">
        <color rgb="FF303F9F"/>
      </top>
    </border>
    <border>
      <left style="thin">
        <color rgb="FFC5CAE9"/>
      </left>
      <right style="thin">
        <color rgb="FFC5CAE9"/>
      </right>
    </border>
    <border>
      <left style="thin">
        <color rgb="FFB7B7B7"/>
      </left>
    </border>
    <border>
      <left style="thin">
        <color rgb="FFC5CAE9"/>
      </left>
    </border>
    <border>
      <left style="thin">
        <color rgb="FFD1DCF5"/>
      </left>
    </border>
    <border>
      <right style="thin">
        <color rgb="FFB7B7B7"/>
      </right>
    </border>
    <border>
      <left style="thin">
        <color rgb="FFC5CAE9"/>
      </left>
      <right style="thin">
        <color rgb="FFB7B7B7"/>
      </right>
    </border>
    <border>
      <left style="thin">
        <color rgb="FFB7B7B7"/>
      </left>
      <right style="thin">
        <color rgb="FFC5CAE9"/>
      </right>
    </border>
    <border>
      <right style="thin">
        <color rgb="FF000000"/>
      </right>
    </border>
    <border>
      <left style="thin">
        <color rgb="FF000000"/>
      </left>
      <right style="thin">
        <color rgb="FF000000"/>
      </right>
    </border>
    <border>
      <left style="thin">
        <color rgb="FF000000"/>
      </left>
    </border>
    <border>
      <left style="thin">
        <color rgb="FFB7B7B7"/>
      </left>
      <right style="thin">
        <color rgb="FFB7B7B7"/>
      </right>
      <top style="thin">
        <color rgb="FF9BC2E6"/>
      </top>
      <bottom style="thin">
        <color rgb="FF9BC2E6"/>
      </bottom>
    </border>
    <border>
      <left style="thin">
        <color rgb="FFB7B7B7"/>
      </left>
      <right style="thin">
        <color rgb="FFB7B7B7"/>
      </right>
      <top style="thin">
        <color rgb="FFB7B7B7"/>
      </top>
      <bottom style="thin">
        <color rgb="FFB7B7B7"/>
      </bottom>
    </border>
    <border>
      <left style="thin">
        <color rgb="FFC5CAE9"/>
      </left>
      <right style="thin">
        <color rgb="FF000000"/>
      </right>
    </border>
    <border>
      <left style="thin">
        <color rgb="FFB7B7B7"/>
      </left>
      <right style="thin">
        <color rgb="FFD1DCF5"/>
      </right>
    </border>
    <border>
      <left style="thin">
        <color rgb="FFD1DCF5"/>
      </left>
      <right style="thin">
        <color rgb="FFB7B7B7"/>
      </right>
    </border>
    <border>
      <left style="thin">
        <color rgb="FFD1DCF5"/>
      </left>
      <right style="thin">
        <color rgb="FFD1DCF5"/>
      </right>
      <top style="thin">
        <color rgb="FF303F9F"/>
      </top>
    </border>
    <border>
      <left style="thin">
        <color rgb="FFC5CAE9"/>
      </left>
      <right style="thin">
        <color rgb="FFD1DCF5"/>
      </right>
    </border>
    <border>
      <left style="thin">
        <color rgb="FFC5CAE9"/>
      </left>
      <right style="thin">
        <color rgb="FFE8EAF6"/>
      </right>
    </border>
    <border>
      <left style="thin">
        <color rgb="FFD1DCF5"/>
      </left>
      <right style="thin">
        <color rgb="FFD1DCF5"/>
      </right>
      <top style="thin">
        <color rgb="FFD1DCF5"/>
      </top>
    </border>
    <border>
      <left style="thin">
        <color rgb="FFD1DCF5"/>
      </left>
      <right style="thin">
        <color rgb="FFC5CAE9"/>
      </right>
    </border>
  </borders>
  <cellStyleXfs count="1">
    <xf borderId="0" fillId="0" fontId="0" numFmtId="0" applyAlignment="1" applyFont="1"/>
  </cellStyleXfs>
  <cellXfs count="411">
    <xf borderId="0" fillId="0" fontId="0" numFmtId="0" xfId="0" applyAlignment="1" applyFont="1">
      <alignment readingOrder="0" shrinkToFit="0" vertical="bottom" wrapText="0"/>
    </xf>
    <xf borderId="0" fillId="2" fontId="1" numFmtId="0" xfId="0" applyAlignment="1" applyFill="1" applyFont="1">
      <alignment vertical="bottom"/>
    </xf>
    <xf borderId="0" fillId="2" fontId="2" numFmtId="0" xfId="0" applyAlignment="1" applyFill="1" applyFont="1">
      <alignment shrinkToFit="0" vertical="bottom" wrapText="1"/>
    </xf>
    <xf borderId="0" fillId="2" fontId="3" numFmtId="164" xfId="0" applyAlignment="1" applyFill="1" applyFont="1" applyNumberFormat="1">
      <alignment horizontal="left" shrinkToFit="0" vertical="center" wrapText="1"/>
    </xf>
    <xf borderId="1" fillId="2" fontId="3" numFmtId="164" xfId="0" applyAlignment="1" applyBorder="1" applyFill="1" applyFont="1" applyNumberFormat="1">
      <alignment horizontal="left" vertical="center"/>
    </xf>
    <xf borderId="1" fillId="2" fontId="4" numFmtId="164" xfId="0" applyAlignment="1" applyBorder="1" applyFill="1" applyFont="1" applyNumberFormat="1">
      <alignment horizontal="left" shrinkToFit="0" vertical="center" wrapText="1"/>
    </xf>
    <xf borderId="0" fillId="2" fontId="3" numFmtId="165" xfId="0" applyAlignment="1" applyFill="1" applyFont="1" applyNumberFormat="1">
      <alignment horizontal="left" shrinkToFit="0" vertical="center" wrapText="1"/>
    </xf>
    <xf borderId="0" fillId="2" fontId="3" numFmtId="164" xfId="0" applyAlignment="1" applyFill="1" applyFont="1" applyNumberFormat="1">
      <alignment horizontal="left" vertical="center"/>
    </xf>
    <xf borderId="0" fillId="2" fontId="4" numFmtId="164" xfId="0" applyAlignment="1" applyFill="1" applyFont="1" applyNumberFormat="1">
      <alignment horizontal="left" shrinkToFit="0" vertical="center" wrapText="1"/>
    </xf>
    <xf borderId="0" fillId="2" fontId="3" numFmtId="164" xfId="0" applyAlignment="1" applyFill="1" applyFont="1" applyNumberFormat="1">
      <alignment horizontal="center" vertical="center"/>
    </xf>
    <xf borderId="0" fillId="2" fontId="4" numFmtId="165" xfId="0" applyAlignment="1" applyFill="1" applyFont="1" applyNumberFormat="1">
      <alignment horizontal="center" shrinkToFit="0" vertical="center" wrapText="1"/>
    </xf>
    <xf borderId="0" fillId="2" fontId="3" numFmtId="165" xfId="0" applyAlignment="1" applyFill="1" applyFont="1" applyNumberFormat="1">
      <alignment horizontal="center" vertical="center"/>
    </xf>
    <xf borderId="0" fillId="2" fontId="3" numFmtId="165" xfId="0" applyAlignment="1" applyFill="1" applyFont="1" applyNumberFormat="1">
      <alignment horizontal="left" readingOrder="0" shrinkToFit="0" vertical="center" wrapText="1"/>
    </xf>
    <xf borderId="0" fillId="2" fontId="4" numFmtId="164" xfId="0" applyAlignment="1" applyFill="1" applyFont="1" applyNumberFormat="1">
      <alignment horizontal="center" shrinkToFit="0" vertical="center" wrapText="1"/>
    </xf>
    <xf borderId="0" fillId="2" fontId="3" numFmtId="164" xfId="0" applyAlignment="1" applyFill="1" applyFont="1" applyNumberFormat="1">
      <alignment horizontal="center" shrinkToFit="0" vertical="center" wrapText="1"/>
    </xf>
    <xf borderId="0" fillId="2" fontId="4" numFmtId="0" xfId="0" applyAlignment="1" applyFill="1" applyFont="1">
      <alignment horizontal="center" shrinkToFit="0" vertical="center" wrapText="1"/>
    </xf>
    <xf borderId="0" fillId="2" fontId="3" numFmtId="0" xfId="0" applyAlignment="1" applyFill="1" applyFont="1">
      <alignment horizontal="left" vertical="center"/>
    </xf>
    <xf borderId="0" fillId="2" fontId="4" numFmtId="0" xfId="0" applyAlignment="1" applyFill="1" applyFont="1">
      <alignment horizontal="left" shrinkToFit="0" vertical="center" wrapText="1"/>
    </xf>
    <xf borderId="0" fillId="2" fontId="3" numFmtId="0" xfId="0" applyAlignment="1" applyFill="1" applyFont="1">
      <alignment horizontal="center" vertical="center"/>
    </xf>
    <xf borderId="0" fillId="0" fontId="5" numFmtId="166" xfId="0" applyAlignment="1" applyFont="1" applyNumberFormat="1">
      <alignment horizontal="center" shrinkToFit="0" vertical="center" wrapText="1"/>
    </xf>
    <xf borderId="0" fillId="2" fontId="3" numFmtId="3" xfId="0" applyAlignment="1" applyFill="1" applyFont="1" applyNumberFormat="1">
      <alignment horizontal="left" shrinkToFit="0" vertical="center" wrapText="1"/>
    </xf>
    <xf borderId="2" fillId="0" fontId="6" numFmtId="0" xfId="0" applyAlignment="1" applyBorder="1" applyFont="1">
      <alignment horizontal="center" readingOrder="0" shrinkToFit="0" vertical="center" wrapText="1"/>
    </xf>
    <xf borderId="3" fillId="0" fontId="6" numFmtId="0" xfId="0" applyAlignment="1" applyBorder="1" applyFont="1">
      <alignment horizontal="center" readingOrder="0" shrinkToFit="0" vertical="center" wrapText="1"/>
    </xf>
    <xf borderId="1" fillId="0" fontId="6" numFmtId="0" xfId="0" applyAlignment="1" applyBorder="1" applyFont="1">
      <alignment horizontal="center" readingOrder="0" shrinkToFit="0" vertical="center" wrapText="1"/>
    </xf>
    <xf borderId="4" fillId="0" fontId="6" numFmtId="165" xfId="0" applyAlignment="1" applyBorder="1" applyFont="1" applyNumberFormat="1">
      <alignment horizontal="center" readingOrder="0" shrinkToFit="0" vertical="center" wrapText="1"/>
    </xf>
    <xf borderId="5" fillId="0" fontId="6" numFmtId="165" xfId="0" applyAlignment="1" applyBorder="1" applyFont="1" applyNumberFormat="1">
      <alignment horizontal="center" readingOrder="0" shrinkToFit="0" vertical="center" wrapText="1"/>
    </xf>
    <xf borderId="2" fillId="0" fontId="7" numFmtId="0" xfId="0" applyAlignment="1" applyBorder="1" applyFont="1">
      <alignment horizontal="center" readingOrder="0" shrinkToFit="0" vertical="center" wrapText="1"/>
    </xf>
    <xf borderId="4" fillId="0" fontId="6" numFmtId="0" xfId="0" applyAlignment="1" applyBorder="1" applyFont="1">
      <alignment horizontal="center" readingOrder="0" shrinkToFit="0" vertical="center" wrapText="1"/>
    </xf>
    <xf borderId="6" fillId="0" fontId="7" numFmtId="0" xfId="0" applyAlignment="1" applyBorder="1" applyFont="1">
      <alignment horizontal="center" readingOrder="0" shrinkToFit="0" vertical="center" wrapText="1"/>
    </xf>
    <xf borderId="2" fillId="0" fontId="6" numFmtId="165" xfId="0" applyAlignment="1" applyBorder="1" applyFont="1" applyNumberFormat="1">
      <alignment horizontal="center" readingOrder="0" shrinkToFit="0" vertical="center" wrapText="1"/>
    </xf>
    <xf borderId="3" fillId="0" fontId="7" numFmtId="0" xfId="0" applyAlignment="1" applyBorder="1" applyFont="1">
      <alignment horizontal="center" readingOrder="0" shrinkToFit="0" vertical="center" wrapText="1"/>
    </xf>
    <xf borderId="4" fillId="0" fontId="7" numFmtId="0" xfId="0" applyAlignment="1" applyBorder="1" applyFont="1">
      <alignment horizontal="center" readingOrder="0" shrinkToFit="0" vertical="center" wrapText="1"/>
    </xf>
    <xf borderId="7" fillId="0" fontId="6" numFmtId="165" xfId="0" applyAlignment="1" applyBorder="1" applyFont="1" applyNumberFormat="1">
      <alignment horizontal="center" readingOrder="0" shrinkToFit="0" vertical="center" wrapText="1"/>
    </xf>
    <xf borderId="8" fillId="0" fontId="7" numFmtId="0" xfId="0" applyAlignment="1" applyBorder="1" applyFont="1">
      <alignment horizontal="center" readingOrder="0" shrinkToFit="0" vertical="center" wrapText="1"/>
    </xf>
    <xf borderId="9" fillId="0" fontId="7" numFmtId="0" xfId="0" applyAlignment="1" applyBorder="1" applyFont="1">
      <alignment horizontal="center" readingOrder="0" shrinkToFit="0" vertical="center" wrapText="1"/>
    </xf>
    <xf borderId="10" fillId="0" fontId="6" numFmtId="165" xfId="0" applyAlignment="1" applyBorder="1" applyFont="1" applyNumberFormat="1">
      <alignment horizontal="center" readingOrder="0" shrinkToFit="0" vertical="center" wrapText="1"/>
    </xf>
    <xf borderId="0" fillId="0" fontId="5" numFmtId="0" xfId="0" applyAlignment="1" applyFont="1">
      <alignment shrinkToFit="0" vertical="center" wrapText="1"/>
    </xf>
    <xf borderId="6" fillId="0" fontId="7" numFmtId="165" xfId="0" applyAlignment="1" applyBorder="1" applyFont="1" applyNumberFormat="1">
      <alignment horizontal="center" readingOrder="0" shrinkToFit="0" vertical="center" wrapText="1"/>
    </xf>
    <xf borderId="4" fillId="0" fontId="7" numFmtId="165" xfId="0" applyAlignment="1" applyBorder="1" applyFont="1" applyNumberFormat="1">
      <alignment horizontal="center" readingOrder="0" shrinkToFit="0" vertical="center" wrapText="1"/>
    </xf>
    <xf borderId="6" fillId="0" fontId="6" numFmtId="165" xfId="0" applyAlignment="1" applyBorder="1" applyFont="1" applyNumberFormat="1">
      <alignment horizontal="center" readingOrder="0" shrinkToFit="0" vertical="center" wrapText="1"/>
    </xf>
    <xf borderId="1" fillId="0" fontId="5" numFmtId="0" xfId="0" applyAlignment="1" applyBorder="1" applyFont="1">
      <alignment horizontal="center" readingOrder="0" shrinkToFit="0" textRotation="0" vertical="center" wrapText="1"/>
    </xf>
    <xf borderId="11" fillId="0" fontId="6" numFmtId="0" xfId="0" applyAlignment="1" applyBorder="1" applyFont="1">
      <alignment horizontal="center" readingOrder="0" shrinkToFit="0" vertical="center" wrapText="1"/>
    </xf>
    <xf borderId="11" fillId="0" fontId="7" numFmtId="0" xfId="0" applyAlignment="1" applyBorder="1" applyFont="1">
      <alignment horizontal="center" readingOrder="0" shrinkToFit="0" vertical="center" wrapText="1"/>
    </xf>
    <xf borderId="12" fillId="0" fontId="6" numFmtId="165" xfId="0" applyAlignment="1" applyBorder="1" applyFont="1" applyNumberFormat="1">
      <alignment horizontal="center" readingOrder="0" shrinkToFit="0" vertical="center" wrapText="1"/>
    </xf>
    <xf borderId="0" fillId="0" fontId="5" numFmtId="0" xfId="0" applyAlignment="1" applyFont="1">
      <alignment horizontal="center" readingOrder="0" shrinkToFit="0" textRotation="0" vertical="center" wrapText="1"/>
    </xf>
    <xf borderId="13" fillId="0" fontId="5" numFmtId="0" xfId="0" applyAlignment="1" applyBorder="1" applyFont="1">
      <alignment horizontal="center" readingOrder="0" shrinkToFit="0" vertical="center" wrapText="1"/>
    </xf>
    <xf borderId="0" fillId="0" fontId="5" numFmtId="49" xfId="0" applyAlignment="1" applyFont="1" applyNumberFormat="1">
      <alignment horizontal="center" readingOrder="0" shrinkToFit="0" vertical="center" wrapText="1"/>
    </xf>
    <xf borderId="14" fillId="0" fontId="7" numFmtId="0" xfId="0" applyAlignment="1" applyBorder="1" applyFont="1">
      <alignment horizontal="center" readingOrder="0" shrinkToFit="0" vertical="center" wrapText="1"/>
    </xf>
    <xf borderId="6" fillId="0" fontId="6" numFmtId="0" xfId="0" applyAlignment="1" applyBorder="1" applyFont="1">
      <alignment horizontal="center" readingOrder="0" shrinkToFit="0" vertical="center" wrapText="1"/>
    </xf>
    <xf borderId="15" fillId="0" fontId="5" numFmtId="165" xfId="0" applyAlignment="1" applyBorder="1" applyFont="1" applyNumberFormat="1">
      <alignment horizontal="center" readingOrder="0" shrinkToFit="0" vertical="center" wrapText="1"/>
    </xf>
    <xf borderId="0" fillId="0" fontId="7" numFmtId="0" xfId="0" applyAlignment="1" applyFont="1">
      <alignment horizontal="center" readingOrder="0" shrinkToFit="0" vertical="center" wrapText="1"/>
    </xf>
    <xf borderId="6" fillId="0" fontId="6" numFmtId="3" xfId="0" applyAlignment="1" applyBorder="1" applyFont="1" applyNumberFormat="1">
      <alignment horizontal="center" readingOrder="0" shrinkToFit="0" vertical="center" wrapText="1"/>
    </xf>
    <xf borderId="0" fillId="0" fontId="5" numFmtId="0" xfId="0" applyAlignment="1" applyFont="1">
      <alignment vertical="center"/>
    </xf>
    <xf borderId="1" fillId="0" fontId="5" numFmtId="0" xfId="0" applyAlignment="1" applyBorder="1" applyFont="1">
      <alignment horizontal="center" readingOrder="0" vertical="center"/>
    </xf>
    <xf borderId="15" fillId="0" fontId="5" numFmtId="0" xfId="0" applyAlignment="1" applyBorder="1" applyFont="1">
      <alignment horizontal="center" readingOrder="0" shrinkToFit="0" vertical="center" wrapText="1"/>
    </xf>
    <xf borderId="12" fillId="0" fontId="8" numFmtId="0" xfId="0" applyAlignment="1" applyBorder="1" applyFont="1">
      <alignment horizontal="center" readingOrder="0" shrinkToFit="0" vertical="center" wrapText="1"/>
    </xf>
    <xf borderId="12" fillId="0" fontId="7" numFmtId="0" xfId="0" applyAlignment="1" applyBorder="1" applyFont="1">
      <alignment horizontal="center" readingOrder="0" shrinkToFit="0" vertical="center" wrapText="1"/>
    </xf>
    <xf borderId="12" fillId="0" fontId="6" numFmtId="0" xfId="0" applyAlignment="1" applyBorder="1" applyFont="1">
      <alignment horizontal="center" readingOrder="0" shrinkToFit="0" vertical="center" wrapText="1"/>
    </xf>
    <xf borderId="5" fillId="0" fontId="5" numFmtId="0" xfId="0" applyAlignment="1" applyBorder="1" applyFont="1">
      <alignment horizontal="center" readingOrder="0" vertical="center"/>
    </xf>
    <xf borderId="5" fillId="0" fontId="5" numFmtId="165" xfId="0" applyAlignment="1" applyBorder="1" applyFont="1" applyNumberFormat="1">
      <alignment horizontal="center" readingOrder="0" shrinkToFit="0" vertical="center" wrapText="1"/>
    </xf>
    <xf borderId="16" fillId="0" fontId="6" numFmtId="0" xfId="0" applyAlignment="1" applyBorder="1" applyFont="1">
      <alignment horizontal="center" readingOrder="0" shrinkToFit="0" vertical="center" wrapText="1"/>
    </xf>
    <xf borderId="5" fillId="0" fontId="5" numFmtId="0" xfId="0" applyAlignment="1" applyBorder="1" applyFont="1">
      <alignment horizontal="center" readingOrder="0" shrinkToFit="0" vertical="center" wrapText="1"/>
    </xf>
    <xf borderId="12" fillId="0" fontId="5" numFmtId="0" xfId="0" applyAlignment="1" applyBorder="1" applyFont="1">
      <alignment horizontal="left" readingOrder="0" shrinkToFit="0" vertical="center" wrapText="1"/>
    </xf>
    <xf borderId="17" fillId="0" fontId="5" numFmtId="0" xfId="0" applyAlignment="1" applyBorder="1" applyFont="1">
      <alignment horizontal="center" readingOrder="0" vertical="center"/>
    </xf>
    <xf borderId="15" fillId="0" fontId="5" numFmtId="0" xfId="0" applyAlignment="1" applyBorder="1" applyFont="1">
      <alignment horizontal="left" readingOrder="0" shrinkToFit="0" vertical="center" wrapText="1"/>
    </xf>
    <xf borderId="18" fillId="0" fontId="9" numFmtId="0" xfId="0" applyAlignment="1" applyBorder="1" applyFont="1">
      <alignment horizontal="center" readingOrder="0" shrinkToFit="0" vertical="center" wrapText="1"/>
    </xf>
    <xf borderId="15" fillId="0" fontId="5" numFmtId="3" xfId="0" applyAlignment="1" applyBorder="1" applyFont="1" applyNumberFormat="1">
      <alignment horizontal="center" readingOrder="0" shrinkToFit="0" vertical="center" wrapText="1"/>
    </xf>
    <xf borderId="19" fillId="0" fontId="5" numFmtId="0" xfId="0" applyAlignment="1" applyBorder="1" applyFont="1">
      <alignment horizontal="left" readingOrder="0" shrinkToFit="0" vertical="center" wrapText="1"/>
    </xf>
    <xf borderId="17" fillId="0" fontId="5" numFmtId="0" xfId="0" applyAlignment="1" applyBorder="1" applyFont="1">
      <alignment horizontal="center" readingOrder="0" shrinkToFit="0" vertical="center" wrapText="1"/>
    </xf>
    <xf borderId="15" fillId="0" fontId="5" numFmtId="165" xfId="0" applyAlignment="1" applyBorder="1" applyFont="1" applyNumberFormat="1">
      <alignment horizontal="right" readingOrder="0" shrinkToFit="0" vertical="center" wrapText="1"/>
    </xf>
    <xf borderId="17" fillId="0" fontId="5" numFmtId="0" xfId="0" applyAlignment="1" applyBorder="1" applyFont="1">
      <alignment horizontal="left" readingOrder="0" shrinkToFit="0" vertical="center" wrapText="1"/>
    </xf>
    <xf borderId="17" fillId="0" fontId="5" numFmtId="0" xfId="0" applyAlignment="1" applyBorder="1" applyFont="1">
      <alignment horizontal="left" shrinkToFit="0" vertical="center" wrapText="1"/>
    </xf>
    <xf borderId="12" fillId="0" fontId="5" numFmtId="165" xfId="0" applyAlignment="1" applyBorder="1" applyFont="1" applyNumberFormat="1">
      <alignment horizontal="left" readingOrder="0" shrinkToFit="0" vertical="center" wrapText="1"/>
    </xf>
    <xf borderId="15" fillId="0" fontId="5" numFmtId="165" xfId="0" applyAlignment="1" applyBorder="1" applyFont="1" applyNumberFormat="1">
      <alignment horizontal="right" readingOrder="0" shrinkToFit="0" vertical="center" wrapText="1"/>
    </xf>
    <xf borderId="0" fillId="0" fontId="5" numFmtId="0" xfId="0" applyAlignment="1" applyFont="1">
      <alignment horizontal="left" readingOrder="0" shrinkToFit="0" vertical="center" wrapText="1"/>
    </xf>
    <xf borderId="15" fillId="0" fontId="5" numFmtId="165" xfId="0" applyAlignment="1" applyBorder="1" applyFont="1" applyNumberFormat="1">
      <alignment horizontal="center" readingOrder="0" shrinkToFit="0" vertical="center" wrapText="1"/>
    </xf>
    <xf borderId="17" fillId="0" fontId="5" numFmtId="165" xfId="0" applyAlignment="1" applyBorder="1" applyFont="1" applyNumberFormat="1">
      <alignment horizontal="center" readingOrder="0" shrinkToFit="0" vertical="center" wrapText="1"/>
    </xf>
    <xf borderId="1" fillId="0" fontId="9" numFmtId="0" xfId="0" applyAlignment="1" applyBorder="1" applyFont="1">
      <alignment horizontal="center" readingOrder="0" shrinkToFit="0" vertical="center" wrapText="1"/>
    </xf>
    <xf borderId="5" fillId="0" fontId="9" numFmtId="165" xfId="0" applyAlignment="1" applyBorder="1" applyFont="1" applyNumberFormat="1">
      <alignment horizontal="center" readingOrder="0" vertical="center"/>
    </xf>
    <xf borderId="17" fillId="0" fontId="5" numFmtId="0" xfId="0" applyAlignment="1" applyBorder="1" applyFont="1">
      <alignment horizontal="left" vertical="center"/>
    </xf>
    <xf borderId="17" fillId="0" fontId="5" numFmtId="0" xfId="0" applyAlignment="1" applyBorder="1" applyFont="1">
      <alignment horizontal="left" readingOrder="0" vertical="center"/>
    </xf>
    <xf borderId="17" fillId="0" fontId="5" numFmtId="3" xfId="0" applyAlignment="1" applyBorder="1" applyFont="1" applyNumberFormat="1">
      <alignment horizontal="center" readingOrder="0" shrinkToFit="0" vertical="center" wrapText="1"/>
    </xf>
    <xf borderId="0" fillId="0" fontId="5" numFmtId="0" xfId="0" applyAlignment="1" applyFont="1">
      <alignment horizontal="left" vertical="center"/>
    </xf>
    <xf borderId="17" fillId="0" fontId="5" numFmtId="165" xfId="0" applyAlignment="1" applyBorder="1" applyFont="1" applyNumberFormat="1">
      <alignment horizontal="right" readingOrder="0" vertical="center"/>
    </xf>
    <xf borderId="17" fillId="0" fontId="5" numFmtId="165" xfId="0" applyAlignment="1" applyBorder="1" applyFont="1" applyNumberFormat="1">
      <alignment horizontal="right" readingOrder="0" shrinkToFit="0" vertical="center" wrapText="1"/>
    </xf>
    <xf borderId="5" fillId="3" fontId="5" numFmtId="165" xfId="0" applyAlignment="1" applyBorder="1" applyFill="1" applyFont="1" applyNumberFormat="1">
      <alignment horizontal="center" readingOrder="0" shrinkToFit="0" vertical="center" wrapText="1"/>
    </xf>
    <xf borderId="15" fillId="0" fontId="5" numFmtId="10" xfId="0" applyAlignment="1" applyBorder="1" applyFont="1" applyNumberFormat="1">
      <alignment horizontal="left" readingOrder="0" shrinkToFit="0" vertical="center" wrapText="1"/>
    </xf>
    <xf borderId="5" fillId="4" fontId="5" numFmtId="0" xfId="0" applyAlignment="1" applyBorder="1" applyFill="1" applyFont="1">
      <alignment horizontal="center" readingOrder="0" shrinkToFit="0" vertical="center" wrapText="1"/>
    </xf>
    <xf borderId="5" fillId="5" fontId="5" numFmtId="165" xfId="0" applyAlignment="1" applyBorder="1" applyFill="1" applyFont="1" applyNumberFormat="1">
      <alignment horizontal="center" readingOrder="0" shrinkToFit="0" vertical="center" wrapText="1"/>
    </xf>
    <xf borderId="5" fillId="4" fontId="5" numFmtId="165" xfId="0" applyAlignment="1" applyBorder="1" applyFill="1" applyFont="1" applyNumberFormat="1">
      <alignment horizontal="center" readingOrder="0" shrinkToFit="0" vertical="center" wrapText="1"/>
    </xf>
    <xf borderId="12" fillId="0" fontId="5" numFmtId="165" xfId="0" applyAlignment="1" applyBorder="1" applyFont="1" applyNumberFormat="1">
      <alignment horizontal="left" shrinkToFit="0" vertical="center" wrapText="1"/>
    </xf>
    <xf borderId="17" fillId="0" fontId="5" numFmtId="3" xfId="0" applyAlignment="1" applyBorder="1" applyFont="1" applyNumberFormat="1">
      <alignment horizontal="left" readingOrder="0" vertical="center"/>
    </xf>
    <xf borderId="17" fillId="0" fontId="5" numFmtId="0" xfId="0" applyAlignment="1" applyBorder="1" applyFont="1">
      <alignment horizontal="left" vertical="center"/>
    </xf>
    <xf borderId="17" fillId="0" fontId="10" numFmtId="0" xfId="0" applyAlignment="1" applyBorder="1" applyFont="1">
      <alignment horizontal="left" readingOrder="0" vertical="center"/>
    </xf>
    <xf borderId="15" fillId="6" fontId="5" numFmtId="3" xfId="0" applyAlignment="1" applyBorder="1" applyFill="1" applyFont="1" applyNumberFormat="1">
      <alignment horizontal="center" readingOrder="0" shrinkToFit="0" vertical="center" wrapText="1"/>
    </xf>
    <xf borderId="0" fillId="0" fontId="10" numFmtId="0" xfId="0" applyAlignment="1" applyFont="1">
      <alignment horizontal="left" readingOrder="0" vertical="center"/>
    </xf>
    <xf borderId="17" fillId="6" fontId="11" numFmtId="165" xfId="0" applyAlignment="1" applyBorder="1" applyFill="1" applyFont="1" applyNumberFormat="1">
      <alignment horizontal="left" shrinkToFit="0" vertical="center" wrapText="1"/>
    </xf>
    <xf borderId="5" fillId="0" fontId="5" numFmtId="49" xfId="0" applyAlignment="1" applyBorder="1" applyFont="1" applyNumberFormat="1">
      <alignment horizontal="center" readingOrder="0" shrinkToFit="0" vertical="center" wrapText="1"/>
    </xf>
    <xf borderId="17" fillId="0" fontId="5" numFmtId="10" xfId="0" applyAlignment="1" applyBorder="1" applyFont="1" applyNumberFormat="1">
      <alignment horizontal="center" readingOrder="0" shrinkToFit="0" vertical="center" wrapText="1"/>
    </xf>
    <xf borderId="17" fillId="0" fontId="5" numFmtId="165" xfId="0" applyAlignment="1" applyBorder="1" applyFont="1" applyNumberFormat="1">
      <alignment horizontal="center" readingOrder="0" shrinkToFit="0" vertical="center" wrapText="1"/>
    </xf>
    <xf borderId="17" fillId="6" fontId="11" numFmtId="10" xfId="0" applyAlignment="1" applyBorder="1" applyFill="1" applyFont="1" applyNumberFormat="1">
      <alignment horizontal="left" shrinkToFit="0" vertical="center" wrapText="1"/>
    </xf>
    <xf borderId="12" fillId="4" fontId="5" numFmtId="165" xfId="0" applyAlignment="1" applyBorder="1" applyFill="1" applyFont="1" applyNumberFormat="1">
      <alignment horizontal="left" shrinkToFit="0" vertical="center" wrapText="1"/>
    </xf>
    <xf borderId="19" fillId="4" fontId="11" numFmtId="165" xfId="0" applyAlignment="1" applyBorder="1" applyFill="1" applyFont="1" applyNumberFormat="1">
      <alignment horizontal="left" shrinkToFit="0" vertical="center" wrapText="1"/>
    </xf>
    <xf borderId="17" fillId="6" fontId="5" numFmtId="0" xfId="0" applyAlignment="1" applyBorder="1" applyFill="1" applyFont="1">
      <alignment horizontal="center" readingOrder="0" shrinkToFit="0" vertical="center" wrapText="1"/>
    </xf>
    <xf borderId="16" fillId="4" fontId="11" numFmtId="165" xfId="0" applyAlignment="1" applyBorder="1" applyFill="1" applyFont="1" applyNumberFormat="1">
      <alignment horizontal="left" shrinkToFit="0" vertical="center" wrapText="1"/>
    </xf>
    <xf borderId="0" fillId="4" fontId="11" numFmtId="165" xfId="0" applyAlignment="1" applyFill="1" applyFont="1" applyNumberFormat="1">
      <alignment horizontal="left" shrinkToFit="0" vertical="center" wrapText="1"/>
    </xf>
    <xf borderId="12" fillId="6" fontId="11" numFmtId="165" xfId="0" applyAlignment="1" applyBorder="1" applyFill="1" applyFont="1" applyNumberFormat="1">
      <alignment horizontal="left" shrinkToFit="0" vertical="center" wrapText="1"/>
    </xf>
    <xf borderId="0" fillId="0" fontId="5" numFmtId="3" xfId="0" applyAlignment="1" applyFont="1" applyNumberFormat="1">
      <alignment horizontal="center" readingOrder="0" shrinkToFit="0" vertical="center" wrapText="1"/>
    </xf>
    <xf borderId="12" fillId="0" fontId="11" numFmtId="165" xfId="0" applyAlignment="1" applyBorder="1" applyFont="1" applyNumberFormat="1">
      <alignment horizontal="left" shrinkToFit="0" vertical="center" wrapText="1"/>
    </xf>
    <xf borderId="5" fillId="0" fontId="12" numFmtId="165" xfId="0" applyAlignment="1" applyBorder="1" applyFont="1" applyNumberFormat="1">
      <alignment horizontal="center" readingOrder="0" shrinkToFit="0" vertical="center" wrapText="1"/>
    </xf>
    <xf borderId="17" fillId="7" fontId="5" numFmtId="0" xfId="0" applyAlignment="1" applyBorder="1" applyFill="1" applyFont="1">
      <alignment horizontal="center" readingOrder="0" shrinkToFit="0" vertical="center" wrapText="1"/>
    </xf>
    <xf borderId="17" fillId="0" fontId="5" numFmtId="167" xfId="0" applyAlignment="1" applyBorder="1" applyFont="1" applyNumberFormat="1">
      <alignment horizontal="left" vertical="center"/>
    </xf>
    <xf borderId="0" fillId="0" fontId="5" numFmtId="0" xfId="0" applyAlignment="1" applyFont="1">
      <alignment horizontal="left" readingOrder="0" vertical="center"/>
    </xf>
    <xf borderId="5" fillId="0" fontId="11" numFmtId="165" xfId="0" applyAlignment="1" applyBorder="1" applyFont="1" applyNumberFormat="1">
      <alignment horizontal="left" shrinkToFit="0" vertical="center" wrapText="1"/>
    </xf>
    <xf borderId="17" fillId="0" fontId="5" numFmtId="165" xfId="0" applyAlignment="1" applyBorder="1" applyFont="1" applyNumberFormat="1">
      <alignment horizontal="right" readingOrder="0" shrinkToFit="0" vertical="center" wrapText="1"/>
    </xf>
    <xf borderId="17" fillId="6" fontId="11" numFmtId="3" xfId="0" applyAlignment="1" applyBorder="1" applyFill="1" applyFont="1" applyNumberFormat="1">
      <alignment horizontal="left" shrinkToFit="0" vertical="center" wrapText="1"/>
    </xf>
    <xf borderId="13" fillId="0" fontId="9" numFmtId="0" xfId="0" applyAlignment="1" applyBorder="1" applyFont="1">
      <alignment horizontal="center" readingOrder="0" shrinkToFit="0" vertical="center" wrapText="1"/>
    </xf>
    <xf borderId="0" fillId="0" fontId="5" numFmtId="165" xfId="0" applyAlignment="1" applyFont="1" applyNumberFormat="1">
      <alignment horizontal="center" readingOrder="0" shrinkToFit="0" vertical="center" wrapText="1"/>
    </xf>
    <xf borderId="5" fillId="0" fontId="12" numFmtId="165" xfId="0" applyAlignment="1" applyBorder="1" applyFont="1" applyNumberFormat="1">
      <alignment horizontal="center" readingOrder="0" vertical="center"/>
    </xf>
    <xf borderId="20" fillId="6" fontId="11" numFmtId="3" xfId="0" applyAlignment="1" applyBorder="1" applyFill="1" applyFont="1" applyNumberFormat="1">
      <alignment horizontal="left" shrinkToFit="0" vertical="center" wrapText="1"/>
    </xf>
    <xf borderId="12" fillId="6" fontId="11" numFmtId="3" xfId="0" applyAlignment="1" applyBorder="1" applyFill="1" applyFont="1" applyNumberFormat="1">
      <alignment horizontal="left" shrinkToFit="0" vertical="center" wrapText="1"/>
    </xf>
    <xf borderId="12" fillId="6" fontId="13" numFmtId="3" xfId="0" applyAlignment="1" applyBorder="1" applyFill="1" applyFont="1" applyNumberFormat="1">
      <alignment horizontal="left" shrinkToFit="0" vertical="center" wrapText="1"/>
    </xf>
    <xf borderId="0" fillId="0" fontId="5" numFmtId="0" xfId="0" applyAlignment="1" applyFont="1">
      <alignment horizontal="center" readingOrder="0" shrinkToFit="0" vertical="center" wrapText="1"/>
    </xf>
    <xf borderId="15" fillId="0" fontId="5" numFmtId="0" xfId="0" applyAlignment="1" applyBorder="1" applyFont="1">
      <alignment horizontal="left" readingOrder="0" shrinkToFit="0" vertical="center" wrapText="1"/>
    </xf>
    <xf borderId="16" fillId="6" fontId="13" numFmtId="3" xfId="0" applyAlignment="1" applyBorder="1" applyFill="1" applyFont="1" applyNumberFormat="1">
      <alignment horizontal="left" shrinkToFit="0" vertical="center" wrapText="1"/>
    </xf>
    <xf borderId="17" fillId="6" fontId="11" numFmtId="165" xfId="0" applyAlignment="1" applyBorder="1" applyFill="1" applyFont="1" applyNumberFormat="1">
      <alignment horizontal="center" shrinkToFit="0" vertical="bottom" wrapText="1"/>
    </xf>
    <xf borderId="12" fillId="0" fontId="5" numFmtId="0" xfId="0" applyAlignment="1" applyBorder="1" applyFont="1">
      <alignment horizontal="left" shrinkToFit="0" vertical="center" wrapText="1"/>
    </xf>
    <xf borderId="16" fillId="0" fontId="5" numFmtId="0" xfId="0" applyAlignment="1" applyBorder="1" applyFont="1">
      <alignment horizontal="left" shrinkToFit="0" vertical="center" wrapText="1"/>
    </xf>
    <xf borderId="17" fillId="0" fontId="5" numFmtId="3" xfId="0" applyAlignment="1" applyBorder="1" applyFont="1" applyNumberFormat="1">
      <alignment horizontal="center" readingOrder="0" vertical="center"/>
    </xf>
    <xf borderId="17" fillId="0" fontId="5" numFmtId="164" xfId="0" applyAlignment="1" applyBorder="1" applyFont="1" applyNumberFormat="1">
      <alignment horizontal="left" vertical="center"/>
    </xf>
    <xf borderId="17" fillId="0" fontId="5" numFmtId="165" xfId="0" applyAlignment="1" applyBorder="1" applyFont="1" applyNumberFormat="1">
      <alignment horizontal="right" readingOrder="0" vertical="center"/>
    </xf>
    <xf borderId="17" fillId="4" fontId="11" numFmtId="165" xfId="0" applyAlignment="1" applyBorder="1" applyFill="1" applyFont="1" applyNumberFormat="1">
      <alignment horizontal="left" shrinkToFit="0" vertical="center" wrapText="1"/>
    </xf>
    <xf borderId="5" fillId="0" fontId="5" numFmtId="165" xfId="0" applyAlignment="1" applyBorder="1" applyFont="1" applyNumberFormat="1">
      <alignment horizontal="center" readingOrder="0" vertical="center"/>
    </xf>
    <xf borderId="17" fillId="4" fontId="11" numFmtId="10" xfId="0" applyAlignment="1" applyBorder="1" applyFill="1" applyFont="1" applyNumberFormat="1">
      <alignment horizontal="left" shrinkToFit="0" vertical="center" wrapText="1"/>
    </xf>
    <xf borderId="0" fillId="0" fontId="9" numFmtId="165" xfId="0" applyAlignment="1" applyFont="1" applyNumberFormat="1">
      <alignment horizontal="center" readingOrder="0" shrinkToFit="0" vertical="center" wrapText="1"/>
    </xf>
    <xf borderId="12" fillId="6" fontId="5" numFmtId="165" xfId="0" applyAlignment="1" applyBorder="1" applyFill="1" applyFont="1" applyNumberFormat="1">
      <alignment horizontal="left" shrinkToFit="0" vertical="center" wrapText="1"/>
    </xf>
    <xf borderId="17" fillId="0" fontId="10" numFmtId="0" xfId="0" applyAlignment="1" applyBorder="1" applyFont="1">
      <alignment horizontal="center" readingOrder="0" shrinkToFit="0" vertical="center" wrapText="1"/>
    </xf>
    <xf borderId="19" fillId="6" fontId="11" numFmtId="165" xfId="0" applyAlignment="1" applyBorder="1" applyFill="1" applyFont="1" applyNumberFormat="1">
      <alignment horizontal="left" shrinkToFit="0" vertical="center" wrapText="1"/>
    </xf>
    <xf borderId="16" fillId="6" fontId="11" numFmtId="165" xfId="0" applyAlignment="1" applyBorder="1" applyFill="1" applyFont="1" applyNumberFormat="1">
      <alignment horizontal="left" shrinkToFit="0" vertical="center" wrapText="1"/>
    </xf>
    <xf borderId="0" fillId="0" fontId="14" numFmtId="165" xfId="0" applyAlignment="1" applyFont="1" applyNumberFormat="1">
      <alignment horizontal="center" readingOrder="0" vertical="center"/>
    </xf>
    <xf borderId="0" fillId="6" fontId="11" numFmtId="165" xfId="0" applyAlignment="1" applyFill="1" applyFont="1" applyNumberFormat="1">
      <alignment horizontal="left" shrinkToFit="0" vertical="center" wrapText="1"/>
    </xf>
    <xf borderId="17" fillId="4" fontId="11" numFmtId="3" xfId="0" applyAlignment="1" applyBorder="1" applyFill="1" applyFont="1" applyNumberFormat="1">
      <alignment horizontal="left" shrinkToFit="0" vertical="center" wrapText="1"/>
    </xf>
    <xf borderId="17" fillId="4" fontId="11" numFmtId="3" xfId="0" applyAlignment="1" applyBorder="1" applyFill="1" applyFont="1" applyNumberFormat="1">
      <alignment horizontal="left" readingOrder="0" shrinkToFit="0" vertical="center" wrapText="1"/>
    </xf>
    <xf borderId="20" fillId="4" fontId="11" numFmtId="3" xfId="0" applyAlignment="1" applyBorder="1" applyFill="1" applyFont="1" applyNumberFormat="1">
      <alignment horizontal="left" shrinkToFit="0" vertical="center" wrapText="1"/>
    </xf>
    <xf borderId="12" fillId="4" fontId="11" numFmtId="3" xfId="0" applyAlignment="1" applyBorder="1" applyFill="1" applyFont="1" applyNumberFormat="1">
      <alignment horizontal="left" shrinkToFit="0" vertical="center" wrapText="1"/>
    </xf>
    <xf borderId="15" fillId="0" fontId="5" numFmtId="49" xfId="0" applyAlignment="1" applyBorder="1" applyFont="1" applyNumberFormat="1">
      <alignment horizontal="center" readingOrder="0" shrinkToFit="0" vertical="center" wrapText="1"/>
    </xf>
    <xf borderId="12" fillId="4" fontId="13" numFmtId="3" xfId="0" applyAlignment="1" applyBorder="1" applyFill="1" applyFont="1" applyNumberFormat="1">
      <alignment horizontal="left" shrinkToFit="0" vertical="center" wrapText="1"/>
    </xf>
    <xf borderId="16" fillId="4" fontId="13" numFmtId="3" xfId="0" applyAlignment="1" applyBorder="1" applyFill="1" applyFont="1" applyNumberFormat="1">
      <alignment horizontal="left" shrinkToFit="0" vertical="center" wrapText="1"/>
    </xf>
    <xf borderId="0" fillId="0" fontId="5" numFmtId="0" xfId="0" applyAlignment="1" applyFont="1">
      <alignment readingOrder="0" shrinkToFit="0" vertical="center" wrapText="1"/>
    </xf>
    <xf borderId="17" fillId="4" fontId="11" numFmtId="165" xfId="0" applyAlignment="1" applyBorder="1" applyFill="1" applyFont="1" applyNumberFormat="1">
      <alignment horizontal="center" shrinkToFit="0" vertical="bottom" wrapText="1"/>
    </xf>
    <xf borderId="0" fillId="0" fontId="9" numFmtId="165" xfId="0" applyAlignment="1" applyFont="1" applyNumberFormat="1">
      <alignment horizontal="right" readingOrder="0" shrinkToFit="0" vertical="center" wrapText="0"/>
    </xf>
    <xf borderId="16" fillId="6" fontId="11" numFmtId="3" xfId="0" applyAlignment="1" applyBorder="1" applyFill="1" applyFont="1" applyNumberFormat="1">
      <alignment horizontal="left" shrinkToFit="0" vertical="center" wrapText="1"/>
    </xf>
    <xf borderId="5" fillId="0" fontId="5" numFmtId="165" xfId="0" applyAlignment="1" applyBorder="1" applyFont="1" applyNumberFormat="1">
      <alignment horizontal="center" readingOrder="0" vertical="center"/>
    </xf>
    <xf borderId="0" fillId="0" fontId="5" numFmtId="0" xfId="0" applyAlignment="1" applyFont="1">
      <alignment horizontal="center" readingOrder="0" vertical="center"/>
    </xf>
    <xf borderId="17" fillId="0" fontId="5" numFmtId="165" xfId="0" applyAlignment="1" applyBorder="1" applyFont="1" applyNumberFormat="1">
      <alignment horizontal="center" vertical="center"/>
    </xf>
    <xf borderId="17" fillId="6" fontId="15" numFmtId="165" xfId="0" applyAlignment="1" applyBorder="1" applyFill="1" applyFont="1" applyNumberFormat="1">
      <alignment horizontal="center" shrinkToFit="0" vertical="bottom" wrapText="1"/>
    </xf>
    <xf borderId="17" fillId="0" fontId="5" numFmtId="0" xfId="0" applyAlignment="1" applyBorder="1" applyFont="1">
      <alignment horizontal="center" vertical="center"/>
    </xf>
    <xf borderId="17" fillId="0" fontId="5" numFmtId="0" xfId="0" applyAlignment="1" applyBorder="1" applyFont="1">
      <alignment horizontal="center" shrinkToFit="0" vertical="center" wrapText="1"/>
    </xf>
    <xf borderId="0" fillId="0" fontId="16" numFmtId="0" xfId="0" applyAlignment="1" applyFont="1">
      <alignment horizontal="center"/>
    </xf>
    <xf borderId="0" fillId="0" fontId="5" numFmtId="0" xfId="0" applyAlignment="1" applyFont="1">
      <alignment horizontal="center" vertical="center"/>
    </xf>
    <xf borderId="1" fillId="0" fontId="5" numFmtId="0" xfId="0" applyAlignment="1" applyBorder="1" applyFont="1">
      <alignment horizontal="left" readingOrder="0" shrinkToFit="0" vertical="center" wrapText="0"/>
    </xf>
    <xf borderId="0" fillId="0" fontId="5" numFmtId="0" xfId="0" applyAlignment="1" applyFont="1">
      <alignment horizontal="left" readingOrder="0" shrinkToFit="0" vertical="center" wrapText="0"/>
    </xf>
    <xf borderId="17" fillId="0" fontId="5" numFmtId="164" xfId="0" applyAlignment="1" applyBorder="1" applyFont="1" applyNumberFormat="1">
      <alignment horizontal="center" vertical="center"/>
    </xf>
    <xf borderId="5" fillId="0" fontId="5" numFmtId="3" xfId="0" applyAlignment="1" applyBorder="1" applyFont="1" applyNumberFormat="1">
      <alignment horizontal="center" readingOrder="0" vertical="center"/>
    </xf>
    <xf borderId="17" fillId="0" fontId="5" numFmtId="164" xfId="0" applyAlignment="1" applyBorder="1" applyFont="1" applyNumberFormat="1">
      <alignment horizontal="center" shrinkToFit="0" vertical="center" wrapText="1"/>
    </xf>
    <xf borderId="5" fillId="0" fontId="5" numFmtId="1" xfId="0" applyAlignment="1" applyBorder="1" applyFont="1" applyNumberFormat="1">
      <alignment horizontal="center" readingOrder="0" vertical="center"/>
    </xf>
    <xf borderId="1" fillId="0" fontId="5" numFmtId="0" xfId="0" applyAlignment="1" applyBorder="1" applyFont="1">
      <alignment horizontal="center" vertical="center"/>
    </xf>
    <xf borderId="12" fillId="4" fontId="11" numFmtId="165" xfId="0" applyAlignment="1" applyBorder="1" applyFill="1" applyFont="1" applyNumberFormat="1">
      <alignment horizontal="left" shrinkToFit="0" vertical="center" wrapText="1"/>
    </xf>
    <xf borderId="0" fillId="0" fontId="9" numFmtId="0" xfId="0" applyAlignment="1" applyFont="1">
      <alignment horizontal="center" readingOrder="0" shrinkToFit="0" vertical="center" wrapText="1"/>
    </xf>
    <xf borderId="17" fillId="6" fontId="13" numFmtId="165" xfId="0" applyAlignment="1" applyBorder="1" applyFill="1" applyFont="1" applyNumberFormat="1">
      <alignment horizontal="left" shrinkToFit="0" vertical="center" wrapText="1"/>
    </xf>
    <xf borderId="0" fillId="0" fontId="5" numFmtId="0" xfId="0" applyAlignment="1" applyFont="1">
      <alignment horizontal="center" readingOrder="0" shrinkToFit="0" vertical="center" wrapText="1"/>
    </xf>
    <xf borderId="1" fillId="0" fontId="5" numFmtId="164" xfId="0" applyAlignment="1" applyBorder="1" applyFont="1" applyNumberFormat="1">
      <alignment horizontal="center" vertical="center"/>
    </xf>
    <xf borderId="0" fillId="0" fontId="5" numFmtId="164" xfId="0" applyAlignment="1" applyFont="1" applyNumberFormat="1">
      <alignment horizontal="center" vertical="center"/>
    </xf>
    <xf borderId="12" fillId="0" fontId="5" numFmtId="167" xfId="0" applyAlignment="1" applyBorder="1" applyFont="1" applyNumberFormat="1">
      <alignment horizontal="left" shrinkToFit="0" vertical="center" wrapText="1"/>
    </xf>
    <xf borderId="17" fillId="0" fontId="5" numFmtId="164" xfId="0" applyAlignment="1" applyBorder="1" applyFont="1" applyNumberFormat="1">
      <alignment horizontal="left" shrinkToFit="0" vertical="center" wrapText="1"/>
    </xf>
    <xf borderId="16" fillId="0" fontId="5" numFmtId="167" xfId="0" applyAlignment="1" applyBorder="1" applyFont="1" applyNumberFormat="1">
      <alignment horizontal="left" shrinkToFit="0" vertical="center" wrapText="1"/>
    </xf>
    <xf borderId="1" fillId="0" fontId="5" numFmtId="0" xfId="0" applyAlignment="1" applyBorder="1" applyFont="1">
      <alignment horizontal="center" readingOrder="0" shrinkToFit="0" vertical="center" wrapText="1"/>
    </xf>
    <xf borderId="15" fillId="0" fontId="5" numFmtId="4" xfId="0" applyAlignment="1" applyBorder="1" applyFont="1" applyNumberFormat="1">
      <alignment horizontal="center" readingOrder="0" shrinkToFit="0" vertical="center" wrapText="1"/>
    </xf>
    <xf borderId="17" fillId="0" fontId="5" numFmtId="0" xfId="0" applyAlignment="1" applyBorder="1" applyFont="1">
      <alignment horizontal="left" shrinkToFit="0" vertical="center" wrapText="1"/>
    </xf>
    <xf borderId="15" fillId="0" fontId="9" numFmtId="165" xfId="0" applyAlignment="1" applyBorder="1" applyFont="1" applyNumberFormat="1">
      <alignment horizontal="center" readingOrder="0" vertical="center"/>
    </xf>
    <xf borderId="15" fillId="0" fontId="12" numFmtId="165" xfId="0" applyAlignment="1" applyBorder="1" applyFont="1" applyNumberFormat="1">
      <alignment horizontal="right" readingOrder="0" shrinkToFit="0" vertical="center" wrapText="1"/>
    </xf>
    <xf borderId="15" fillId="0" fontId="12" numFmtId="0" xfId="0" applyAlignment="1" applyBorder="1" applyFont="1">
      <alignment horizontal="center" readingOrder="0" shrinkToFit="0" vertical="center" wrapText="1"/>
    </xf>
    <xf borderId="15" fillId="0" fontId="12" numFmtId="165" xfId="0" applyAlignment="1" applyBorder="1" applyFont="1" applyNumberFormat="1">
      <alignment horizontal="center" readingOrder="0" vertical="center"/>
    </xf>
    <xf borderId="15" fillId="0" fontId="5" numFmtId="0" xfId="0" applyAlignment="1" applyBorder="1" applyFont="1">
      <alignment horizontal="center" readingOrder="0" shrinkToFit="0" vertical="center" wrapText="1"/>
    </xf>
    <xf borderId="15" fillId="6" fontId="11" numFmtId="165" xfId="0" applyAlignment="1" applyBorder="1" applyFill="1" applyFont="1" applyNumberFormat="1">
      <alignment horizontal="left" shrinkToFit="0" vertical="center" wrapText="1"/>
    </xf>
    <xf borderId="15" fillId="0" fontId="5" numFmtId="3" xfId="0" applyAlignment="1" applyBorder="1" applyFont="1" applyNumberFormat="1">
      <alignment horizontal="center" readingOrder="0" shrinkToFit="0" vertical="center" wrapText="1"/>
    </xf>
    <xf borderId="15" fillId="6" fontId="11" numFmtId="10" xfId="0" applyAlignment="1" applyBorder="1" applyFill="1" applyFont="1" applyNumberFormat="1">
      <alignment horizontal="left" shrinkToFit="0" vertical="center" wrapText="1"/>
    </xf>
    <xf borderId="15" fillId="4" fontId="11" numFmtId="165" xfId="0" applyAlignment="1" applyBorder="1" applyFill="1" applyFont="1" applyNumberFormat="1">
      <alignment horizontal="left" shrinkToFit="0" vertical="center" wrapText="1"/>
    </xf>
    <xf borderId="17" fillId="0" fontId="5" numFmtId="0" xfId="0" applyAlignment="1" applyBorder="1" applyFont="1">
      <alignment horizontal="left" readingOrder="0" shrinkToFit="0" vertical="center" wrapText="1"/>
    </xf>
    <xf borderId="0" fillId="0" fontId="9" numFmtId="165" xfId="0" applyAlignment="1" applyFont="1" applyNumberFormat="1">
      <alignment horizontal="center" readingOrder="0" vertical="center"/>
    </xf>
    <xf borderId="15" fillId="0" fontId="11" numFmtId="165" xfId="0" applyAlignment="1" applyBorder="1" applyFont="1" applyNumberFormat="1">
      <alignment horizontal="left" shrinkToFit="0" vertical="center" wrapText="1"/>
    </xf>
    <xf borderId="15" fillId="0" fontId="5" numFmtId="0" xfId="0" applyAlignment="1" applyBorder="1" applyFont="1">
      <alignment horizontal="center" shrinkToFit="0" vertical="center" wrapText="1"/>
    </xf>
    <xf borderId="15" fillId="6" fontId="11" numFmtId="3" xfId="0" applyAlignment="1" applyBorder="1" applyFill="1" applyFont="1" applyNumberFormat="1">
      <alignment horizontal="left" shrinkToFit="0" vertical="center" wrapText="1"/>
    </xf>
    <xf borderId="17" fillId="4" fontId="11" numFmtId="0" xfId="0" applyAlignment="1" applyBorder="1" applyFill="1" applyFont="1">
      <alignment shrinkToFit="0" wrapText="1"/>
    </xf>
    <xf borderId="15" fillId="4" fontId="11" numFmtId="10" xfId="0" applyAlignment="1" applyBorder="1" applyFill="1" applyFont="1" applyNumberFormat="1">
      <alignment horizontal="left" shrinkToFit="0" vertical="center" wrapText="1"/>
    </xf>
    <xf borderId="0" fillId="0" fontId="5" numFmtId="165" xfId="0" applyAlignment="1" applyFont="1" applyNumberFormat="1">
      <alignment horizontal="right" readingOrder="0" vertical="center"/>
    </xf>
    <xf borderId="5" fillId="6" fontId="5" numFmtId="1" xfId="0" applyAlignment="1" applyBorder="1" applyFill="1" applyFont="1" applyNumberFormat="1">
      <alignment horizontal="center" readingOrder="0" vertical="center"/>
    </xf>
    <xf borderId="15" fillId="4" fontId="11" numFmtId="3" xfId="0" applyAlignment="1" applyBorder="1" applyFill="1" applyFont="1" applyNumberFormat="1">
      <alignment horizontal="left" shrinkToFit="0" vertical="center" wrapText="1"/>
    </xf>
    <xf borderId="15" fillId="0" fontId="9" numFmtId="165" xfId="0" applyAlignment="1" applyBorder="1" applyFont="1" applyNumberFormat="1">
      <alignment horizontal="center" readingOrder="0" shrinkToFit="0" vertical="center" wrapText="1"/>
    </xf>
    <xf borderId="5" fillId="6" fontId="5" numFmtId="165" xfId="0" applyAlignment="1" applyBorder="1" applyFill="1" applyFont="1" applyNumberFormat="1">
      <alignment horizontal="center" readingOrder="0" shrinkToFit="0" vertical="center" wrapText="1"/>
    </xf>
    <xf borderId="5" fillId="6" fontId="5" numFmtId="0" xfId="0" applyAlignment="1" applyBorder="1" applyFill="1" applyFont="1">
      <alignment horizontal="center" readingOrder="0" shrinkToFit="0" vertical="center" wrapText="1"/>
    </xf>
    <xf borderId="5" fillId="8" fontId="5" numFmtId="165" xfId="0" applyAlignment="1" applyBorder="1" applyFill="1" applyFont="1" applyNumberFormat="1">
      <alignment horizontal="center" readingOrder="0" shrinkToFit="0" vertical="center" wrapText="1"/>
    </xf>
    <xf borderId="17" fillId="6" fontId="11" numFmtId="164" xfId="0" applyAlignment="1" applyBorder="1" applyFill="1" applyFont="1" applyNumberFormat="1">
      <alignment shrinkToFit="0" wrapText="1"/>
    </xf>
    <xf borderId="12" fillId="0" fontId="5" numFmtId="164" xfId="0" applyAlignment="1" applyBorder="1" applyFont="1" applyNumberFormat="1">
      <alignment horizontal="left" shrinkToFit="0" vertical="center" wrapText="1"/>
    </xf>
    <xf borderId="15" fillId="0" fontId="5" numFmtId="165" xfId="0" applyAlignment="1" applyBorder="1" applyFont="1" applyNumberFormat="1">
      <alignment horizontal="center" shrinkToFit="0" vertical="center" wrapText="1"/>
    </xf>
    <xf borderId="18" fillId="6" fontId="5" numFmtId="0" xfId="0" applyAlignment="1" applyBorder="1" applyFill="1" applyFont="1">
      <alignment horizontal="center" readingOrder="0" shrinkToFit="0" vertical="center" wrapText="1"/>
    </xf>
    <xf borderId="16" fillId="0" fontId="5" numFmtId="164" xfId="0" applyAlignment="1" applyBorder="1" applyFont="1" applyNumberFormat="1">
      <alignment horizontal="left" shrinkToFit="0" vertical="center" wrapText="1"/>
    </xf>
    <xf borderId="17" fillId="0" fontId="5" numFmtId="0" xfId="0" applyAlignment="1" applyBorder="1" applyFont="1">
      <alignment readingOrder="0" shrinkToFit="0" vertical="center" wrapText="1"/>
    </xf>
    <xf borderId="5" fillId="0" fontId="5" numFmtId="0" xfId="0" applyAlignment="1" applyBorder="1" applyFont="1">
      <alignment horizontal="center" vertical="center"/>
    </xf>
    <xf borderId="5" fillId="0" fontId="5" numFmtId="1" xfId="0" applyAlignment="1" applyBorder="1" applyFont="1" applyNumberFormat="1">
      <alignment horizontal="center" vertical="center"/>
    </xf>
    <xf borderId="15" fillId="6" fontId="13" numFmtId="10" xfId="0" applyAlignment="1" applyBorder="1" applyFill="1" applyFont="1" applyNumberFormat="1">
      <alignment horizontal="left" shrinkToFit="0" vertical="center" wrapText="1"/>
    </xf>
    <xf borderId="5" fillId="0" fontId="5" numFmtId="165" xfId="0" applyAlignment="1" applyBorder="1" applyFont="1" applyNumberFormat="1">
      <alignment horizontal="center" vertical="center"/>
    </xf>
    <xf borderId="5" fillId="0" fontId="5" numFmtId="165" xfId="0" applyAlignment="1" applyBorder="1" applyFont="1" applyNumberFormat="1">
      <alignment horizontal="center" shrinkToFit="0" vertical="center" wrapText="1"/>
    </xf>
    <xf borderId="18" fillId="0" fontId="5" numFmtId="0" xfId="0" applyAlignment="1" applyBorder="1" applyFont="1">
      <alignment horizontal="center" vertical="center"/>
    </xf>
    <xf borderId="15" fillId="0" fontId="5" numFmtId="165" xfId="0" applyAlignment="1" applyBorder="1" applyFont="1" applyNumberFormat="1">
      <alignment horizontal="right" shrinkToFit="0" vertical="center" wrapText="1"/>
    </xf>
    <xf borderId="17" fillId="4" fontId="5" numFmtId="0" xfId="0" applyAlignment="1" applyBorder="1" applyFill="1" applyFont="1">
      <alignment horizontal="left" readingOrder="0" shrinkToFit="0" vertical="center" wrapText="1"/>
    </xf>
    <xf borderId="1" fillId="8" fontId="5" numFmtId="0" xfId="0" applyAlignment="1" applyBorder="1" applyFill="1" applyFont="1">
      <alignment horizontal="left" readingOrder="0" vertical="center"/>
    </xf>
    <xf borderId="15" fillId="4" fontId="5" numFmtId="0" xfId="0" applyAlignment="1" applyBorder="1" applyFill="1" applyFont="1">
      <alignment horizontal="left" readingOrder="0" shrinkToFit="0" vertical="center" wrapText="1"/>
    </xf>
    <xf borderId="5" fillId="0" fontId="5" numFmtId="164" xfId="0" applyAlignment="1" applyBorder="1" applyFont="1" applyNumberFormat="1">
      <alignment horizontal="center" vertical="center"/>
    </xf>
    <xf borderId="18" fillId="0" fontId="5" numFmtId="164" xfId="0" applyAlignment="1" applyBorder="1" applyFont="1" applyNumberFormat="1">
      <alignment horizontal="center" vertical="center"/>
    </xf>
    <xf borderId="1" fillId="0" fontId="5" numFmtId="0" xfId="0" applyAlignment="1" applyBorder="1" applyFont="1">
      <alignment horizontal="center" shrinkToFit="0" vertical="center" wrapText="1"/>
    </xf>
    <xf borderId="1" fillId="0" fontId="5" numFmtId="165" xfId="0" applyAlignment="1" applyBorder="1" applyFont="1" applyNumberFormat="1">
      <alignment horizontal="center" shrinkToFit="0" vertical="center" wrapText="1"/>
    </xf>
    <xf borderId="0" fillId="0" fontId="5" numFmtId="165" xfId="0" applyAlignment="1" applyFont="1" applyNumberFormat="1">
      <alignment horizontal="center" shrinkToFit="0" vertical="center" wrapText="1"/>
    </xf>
    <xf borderId="17" fillId="0" fontId="5" numFmtId="165" xfId="0" applyAlignment="1" applyBorder="1" applyFont="1" applyNumberFormat="1">
      <alignment horizontal="center" shrinkToFit="0" vertical="center" wrapText="1"/>
    </xf>
    <xf borderId="1" fillId="0" fontId="5" numFmtId="164" xfId="0" applyAlignment="1" applyBorder="1" applyFont="1" applyNumberFormat="1">
      <alignment horizontal="center" shrinkToFit="0" vertical="center" wrapText="1"/>
    </xf>
    <xf borderId="17" fillId="6" fontId="11" numFmtId="0" xfId="0" applyAlignment="1" applyBorder="1" applyFill="1" applyFont="1">
      <alignment shrinkToFit="0" wrapText="1"/>
    </xf>
    <xf borderId="15" fillId="4" fontId="11" numFmtId="49" xfId="0" applyAlignment="1" applyBorder="1" applyFill="1" applyFont="1" applyNumberFormat="1">
      <alignment horizontal="left" shrinkToFit="0" vertical="center" wrapText="1"/>
    </xf>
    <xf borderId="0" fillId="0" fontId="5" numFmtId="165" xfId="0" applyAlignment="1" applyFont="1" applyNumberFormat="1">
      <alignment horizontal="center" vertical="center"/>
    </xf>
    <xf borderId="0" fillId="0" fontId="5" numFmtId="1" xfId="0" applyAlignment="1" applyFont="1" applyNumberFormat="1">
      <alignment horizontal="center" vertical="center"/>
    </xf>
    <xf borderId="15" fillId="6" fontId="11" numFmtId="49" xfId="0" applyAlignment="1" applyBorder="1" applyFill="1" applyFont="1" applyNumberFormat="1">
      <alignment horizontal="left" shrinkToFit="0" vertical="center" wrapText="1"/>
    </xf>
    <xf borderId="17" fillId="4" fontId="11" numFmtId="164" xfId="0" applyAlignment="1" applyBorder="1" applyFill="1" applyFont="1" applyNumberFormat="1">
      <alignment shrinkToFit="0" wrapText="1"/>
    </xf>
    <xf borderId="15" fillId="6" fontId="11" numFmtId="4" xfId="0" applyAlignment="1" applyBorder="1" applyFill="1" applyFont="1" applyNumberFormat="1">
      <alignment horizontal="left" shrinkToFit="0" vertical="center" wrapText="1"/>
    </xf>
    <xf borderId="15" fillId="4" fontId="17" numFmtId="165" xfId="0" applyAlignment="1" applyBorder="1" applyFill="1" applyFont="1" applyNumberFormat="1">
      <alignment horizontal="left" shrinkToFit="0" vertical="center" wrapText="1"/>
    </xf>
    <xf borderId="15" fillId="6" fontId="17" numFmtId="165" xfId="0" applyAlignment="1" applyBorder="1" applyFill="1" applyFont="1" applyNumberFormat="1">
      <alignment horizontal="left" shrinkToFit="0" vertical="center" wrapText="1"/>
    </xf>
    <xf borderId="15" fillId="6" fontId="11" numFmtId="165" xfId="0" applyAlignment="1" applyBorder="1" applyFill="1" applyFont="1" applyNumberFormat="1">
      <alignment horizontal="left" readingOrder="0" shrinkToFit="0" vertical="center" wrapText="1"/>
    </xf>
    <xf borderId="15" fillId="4" fontId="11" numFmtId="3" xfId="0" applyAlignment="1" applyBorder="1" applyFill="1" applyFont="1" applyNumberFormat="1">
      <alignment horizontal="left" readingOrder="0" shrinkToFit="0" vertical="center" wrapText="1"/>
    </xf>
    <xf borderId="15" fillId="6" fontId="13" numFmtId="3" xfId="0" applyAlignment="1" applyBorder="1" applyFill="1" applyFont="1" applyNumberFormat="1">
      <alignment horizontal="left" shrinkToFit="0" vertical="center" wrapText="1"/>
    </xf>
    <xf borderId="15" fillId="6" fontId="13" numFmtId="165" xfId="0" applyAlignment="1" applyBorder="1" applyFill="1" applyFont="1" applyNumberFormat="1">
      <alignment horizontal="left" shrinkToFit="0" vertical="center" wrapText="1"/>
    </xf>
    <xf borderId="15" fillId="4" fontId="13" numFmtId="3" xfId="0" applyAlignment="1" applyBorder="1" applyFill="1" applyFont="1" applyNumberFormat="1">
      <alignment horizontal="left" shrinkToFit="0" vertical="center" wrapText="1"/>
    </xf>
    <xf borderId="12" fillId="0" fontId="11" numFmtId="165" xfId="0" applyAlignment="1" applyBorder="1" applyFont="1" applyNumberFormat="1">
      <alignment horizontal="left" shrinkToFit="0" vertical="center" wrapText="1"/>
    </xf>
    <xf borderId="12" fillId="6" fontId="13" numFmtId="165" xfId="0" applyAlignment="1" applyBorder="1" applyFill="1" applyFont="1" applyNumberFormat="1">
      <alignment horizontal="left" shrinkToFit="0" vertical="center" wrapText="1"/>
    </xf>
    <xf borderId="21" fillId="6" fontId="13" numFmtId="3" xfId="0" applyAlignment="1" applyBorder="1" applyFill="1" applyFont="1" applyNumberFormat="1">
      <alignment horizontal="left" shrinkToFit="0" vertical="center" wrapText="1"/>
    </xf>
    <xf borderId="22" fillId="4" fontId="13" numFmtId="165" xfId="0" applyAlignment="1" applyBorder="1" applyFill="1" applyFont="1" applyNumberFormat="1">
      <alignment horizontal="left" shrinkToFit="0" vertical="center" wrapText="1"/>
    </xf>
    <xf borderId="23" fillId="4" fontId="13" numFmtId="165" xfId="0" applyAlignment="1" applyBorder="1" applyFill="1" applyFont="1" applyNumberFormat="1">
      <alignment horizontal="left" shrinkToFit="0" vertical="center" wrapText="1"/>
    </xf>
    <xf borderId="24" fillId="4" fontId="13" numFmtId="165" xfId="0" applyAlignment="1" applyBorder="1" applyFill="1" applyFont="1" applyNumberFormat="1">
      <alignment horizontal="left" shrinkToFit="0" vertical="center" wrapText="1"/>
    </xf>
    <xf borderId="12" fillId="4" fontId="13" numFmtId="165" xfId="0" applyAlignment="1" applyBorder="1" applyFill="1" applyFont="1" applyNumberFormat="1">
      <alignment horizontal="left" shrinkToFit="0" vertical="center" wrapText="1"/>
    </xf>
    <xf borderId="25" fillId="9" fontId="13" numFmtId="3" xfId="0" applyAlignment="1" applyBorder="1" applyFill="1" applyFont="1" applyNumberFormat="1">
      <alignment horizontal="left" shrinkToFit="0" vertical="center" wrapText="1"/>
    </xf>
    <xf borderId="12" fillId="9" fontId="13" numFmtId="3" xfId="0" applyAlignment="1" applyBorder="1" applyFill="1" applyFont="1" applyNumberFormat="1">
      <alignment horizontal="left" shrinkToFit="0" vertical="center" wrapText="1"/>
    </xf>
    <xf borderId="12" fillId="9" fontId="13" numFmtId="165" xfId="0" applyAlignment="1" applyBorder="1" applyFill="1" applyFont="1" applyNumberFormat="1">
      <alignment horizontal="left" shrinkToFit="0" vertical="center" wrapText="1"/>
    </xf>
    <xf borderId="16" fillId="4" fontId="11" numFmtId="3" xfId="0" applyAlignment="1" applyBorder="1" applyFill="1" applyFont="1" applyNumberFormat="1">
      <alignment horizontal="left" shrinkToFit="0" vertical="center" wrapText="1"/>
    </xf>
    <xf borderId="26" fillId="4" fontId="11" numFmtId="165" xfId="0" applyAlignment="1" applyBorder="1" applyFill="1" applyFont="1" applyNumberFormat="1">
      <alignment horizontal="left" shrinkToFit="0" vertical="center" wrapText="1"/>
    </xf>
    <xf borderId="26" fillId="4" fontId="13" numFmtId="3" xfId="0" applyAlignment="1" applyBorder="1" applyFill="1" applyFont="1" applyNumberFormat="1">
      <alignment horizontal="left" shrinkToFit="0" vertical="center" wrapText="1"/>
    </xf>
    <xf borderId="5" fillId="0" fontId="5" numFmtId="3" xfId="0" applyAlignment="1" applyBorder="1" applyFont="1" applyNumberFormat="1">
      <alignment horizontal="center" readingOrder="0" shrinkToFit="0" vertical="center" wrapText="1"/>
    </xf>
    <xf borderId="22" fillId="6" fontId="13" numFmtId="165" xfId="0" applyAlignment="1" applyBorder="1" applyFill="1" applyFont="1" applyNumberFormat="1">
      <alignment horizontal="left" shrinkToFit="0" vertical="center" wrapText="1"/>
    </xf>
    <xf borderId="23" fillId="6" fontId="13" numFmtId="165" xfId="0" applyAlignment="1" applyBorder="1" applyFill="1" applyFont="1" applyNumberFormat="1">
      <alignment horizontal="left" shrinkToFit="0" vertical="center" wrapText="1"/>
    </xf>
    <xf borderId="24" fillId="6" fontId="13" numFmtId="165" xfId="0" applyAlignment="1" applyBorder="1" applyFill="1" applyFont="1" applyNumberFormat="1">
      <alignment horizontal="left" shrinkToFit="0" vertical="center" wrapText="1"/>
    </xf>
    <xf borderId="25" fillId="6" fontId="13" numFmtId="3" xfId="0" applyAlignment="1" applyBorder="1" applyFill="1" applyFont="1" applyNumberFormat="1">
      <alignment horizontal="left" shrinkToFit="0" vertical="center" wrapText="1"/>
    </xf>
    <xf borderId="26" fillId="6" fontId="11" numFmtId="165" xfId="0" applyAlignment="1" applyBorder="1" applyFill="1" applyFont="1" applyNumberFormat="1">
      <alignment horizontal="left" shrinkToFit="0" vertical="center" wrapText="1"/>
    </xf>
    <xf borderId="26" fillId="6" fontId="13" numFmtId="3" xfId="0" applyAlignment="1" applyBorder="1" applyFill="1" applyFont="1" applyNumberFormat="1">
      <alignment horizontal="left" shrinkToFit="0" vertical="center" wrapText="1"/>
    </xf>
    <xf borderId="5" fillId="0" fontId="5" numFmtId="165" xfId="0" applyAlignment="1" applyBorder="1" applyFont="1" applyNumberFormat="1">
      <alignment horizontal="center" readingOrder="0" shrinkToFit="0" vertical="center" wrapText="1"/>
    </xf>
    <xf borderId="12" fillId="6" fontId="5" numFmtId="165" xfId="0" applyAlignment="1" applyBorder="1" applyFill="1" applyFont="1" applyNumberFormat="1">
      <alignment horizontal="left" readingOrder="0" shrinkToFit="0" vertical="center" wrapText="1"/>
    </xf>
    <xf borderId="0" fillId="0" fontId="18" numFmtId="0" xfId="0" applyFont="1"/>
    <xf borderId="26" fillId="4" fontId="19" numFmtId="165" xfId="0" applyAlignment="1" applyBorder="1" applyFill="1" applyFont="1" applyNumberFormat="1">
      <alignment horizontal="left" shrinkToFit="0" vertical="center" wrapText="1"/>
    </xf>
    <xf borderId="5" fillId="0" fontId="19" numFmtId="165" xfId="0" applyAlignment="1" applyBorder="1" applyFont="1" applyNumberFormat="1">
      <alignment horizontal="center" readingOrder="0" shrinkToFit="0" vertical="center" wrapText="1"/>
    </xf>
    <xf borderId="12" fillId="4" fontId="5" numFmtId="165" xfId="0" applyAlignment="1" applyBorder="1" applyFill="1" applyFont="1" applyNumberFormat="1">
      <alignment horizontal="left" readingOrder="0" shrinkToFit="0" vertical="center" wrapText="1"/>
    </xf>
    <xf borderId="26" fillId="6" fontId="19" numFmtId="165" xfId="0" applyAlignment="1" applyBorder="1" applyFill="1" applyFont="1" applyNumberFormat="1">
      <alignment horizontal="left" shrinkToFit="0" vertical="center" wrapText="1"/>
    </xf>
    <xf borderId="5" fillId="0" fontId="5" numFmtId="3" xfId="0" applyAlignment="1" applyBorder="1" applyFont="1" applyNumberFormat="1">
      <alignment horizontal="center" vertical="center"/>
    </xf>
    <xf borderId="27" fillId="4" fontId="13" numFmtId="165" xfId="0" applyAlignment="1" applyBorder="1" applyFill="1" applyFont="1" applyNumberFormat="1">
      <alignment horizontal="left" shrinkToFit="0" vertical="center" wrapText="1"/>
    </xf>
    <xf borderId="5" fillId="4" fontId="11" numFmtId="165" xfId="0" applyAlignment="1" applyBorder="1" applyFill="1" applyFont="1" applyNumberFormat="1">
      <alignment horizontal="left" shrinkToFit="0" vertical="center" wrapText="1"/>
    </xf>
    <xf borderId="12" fillId="4" fontId="11" numFmtId="49" xfId="0" applyAlignment="1" applyBorder="1" applyFill="1" applyFont="1" applyNumberFormat="1">
      <alignment horizontal="left" shrinkToFit="0" vertical="center" wrapText="1"/>
    </xf>
    <xf borderId="28" fillId="4" fontId="13" numFmtId="3" xfId="0" applyAlignment="1" applyBorder="1" applyFill="1" applyFont="1" applyNumberFormat="1">
      <alignment horizontal="left" shrinkToFit="0" vertical="center" wrapText="1"/>
    </xf>
    <xf borderId="29" fillId="4" fontId="11" numFmtId="3" xfId="0" applyAlignment="1" applyBorder="1" applyFill="1" applyFont="1" applyNumberFormat="1">
      <alignment horizontal="left" shrinkToFit="0" vertical="center" wrapText="1"/>
    </xf>
    <xf borderId="18" fillId="4" fontId="11" numFmtId="164" xfId="0" applyAlignment="1" applyBorder="1" applyFill="1" applyFont="1" applyNumberFormat="1">
      <alignment horizontal="center" shrinkToFit="0" wrapText="1"/>
    </xf>
    <xf borderId="27" fillId="6" fontId="13" numFmtId="165" xfId="0" applyAlignment="1" applyBorder="1" applyFill="1" applyFont="1" applyNumberFormat="1">
      <alignment horizontal="left" shrinkToFit="0" vertical="center" wrapText="1"/>
    </xf>
    <xf borderId="5" fillId="6" fontId="11" numFmtId="165" xfId="0" applyAlignment="1" applyBorder="1" applyFill="1" applyFont="1" applyNumberFormat="1">
      <alignment horizontal="left" shrinkToFit="0" vertical="center" wrapText="1"/>
    </xf>
    <xf borderId="28" fillId="6" fontId="13" numFmtId="3" xfId="0" applyAlignment="1" applyBorder="1" applyFill="1" applyFont="1" applyNumberFormat="1">
      <alignment horizontal="left" shrinkToFit="0" vertical="center" wrapText="1"/>
    </xf>
    <xf borderId="29" fillId="6" fontId="11" numFmtId="3" xfId="0" applyAlignment="1" applyBorder="1" applyFill="1" applyFont="1" applyNumberFormat="1">
      <alignment horizontal="left" shrinkToFit="0" vertical="center" wrapText="1"/>
    </xf>
    <xf borderId="18" fillId="6" fontId="11" numFmtId="164" xfId="0" applyAlignment="1" applyBorder="1" applyFill="1" applyFont="1" applyNumberFormat="1">
      <alignment horizontal="center" shrinkToFit="0" wrapText="1"/>
    </xf>
    <xf borderId="27" fillId="4" fontId="13" numFmtId="3" xfId="0" applyAlignment="1" applyBorder="1" applyFill="1" applyFont="1" applyNumberFormat="1">
      <alignment horizontal="left" shrinkToFit="0" vertical="center" wrapText="1"/>
    </xf>
    <xf borderId="12" fillId="4" fontId="15" numFmtId="3" xfId="0" applyAlignment="1" applyBorder="1" applyFill="1" applyFont="1" applyNumberFormat="1">
      <alignment horizontal="left" shrinkToFit="0" vertical="center" wrapText="1"/>
    </xf>
    <xf borderId="5" fillId="4" fontId="11" numFmtId="165" xfId="0" applyAlignment="1" applyBorder="1" applyFill="1" applyFont="1" applyNumberFormat="1">
      <alignment horizontal="center" shrinkToFit="0" wrapText="1"/>
    </xf>
    <xf borderId="12" fillId="6" fontId="11" numFmtId="49" xfId="0" applyAlignment="1" applyBorder="1" applyFill="1" applyFont="1" applyNumberFormat="1">
      <alignment horizontal="left" shrinkToFit="0" vertical="center" wrapText="1"/>
    </xf>
    <xf borderId="5" fillId="6" fontId="11" numFmtId="165" xfId="0" applyAlignment="1" applyBorder="1" applyFill="1" applyFont="1" applyNumberFormat="1">
      <alignment horizontal="center" shrinkToFit="0" wrapText="1"/>
    </xf>
    <xf borderId="27" fillId="6" fontId="13" numFmtId="167" xfId="0" applyAlignment="1" applyBorder="1" applyFill="1" applyFont="1" applyNumberFormat="1">
      <alignment horizontal="left" shrinkToFit="0" vertical="center" wrapText="1"/>
    </xf>
    <xf borderId="5" fillId="6" fontId="17" numFmtId="165" xfId="0" applyAlignment="1" applyBorder="1" applyFill="1" applyFont="1" applyNumberFormat="1">
      <alignment horizontal="left" shrinkToFit="0" vertical="center" wrapText="1"/>
    </xf>
    <xf borderId="5" fillId="4" fontId="17" numFmtId="165" xfId="0" applyAlignment="1" applyBorder="1" applyFill="1" applyFont="1" applyNumberFormat="1">
      <alignment horizontal="left" shrinkToFit="0" vertical="center" wrapText="1"/>
    </xf>
    <xf borderId="17" fillId="4" fontId="13" numFmtId="164" xfId="0" applyAlignment="1" applyBorder="1" applyFill="1" applyFont="1" applyNumberFormat="1">
      <alignment horizontal="left" shrinkToFit="0" vertical="center" wrapText="1"/>
    </xf>
    <xf borderId="17" fillId="4" fontId="13" numFmtId="165" xfId="0" applyAlignment="1" applyBorder="1" applyFill="1" applyFont="1" applyNumberFormat="1">
      <alignment horizontal="left" shrinkToFit="0" vertical="center" wrapText="1"/>
    </xf>
    <xf borderId="0" fillId="0" fontId="5" numFmtId="0" xfId="0" applyAlignment="1" applyFont="1">
      <alignment shrinkToFit="0" vertical="center" wrapText="1"/>
    </xf>
    <xf borderId="12" fillId="6" fontId="13" numFmtId="1" xfId="0" applyAlignment="1" applyBorder="1" applyFill="1" applyFont="1" applyNumberFormat="1">
      <alignment horizontal="left" shrinkToFit="0" vertical="center" wrapText="1"/>
    </xf>
    <xf borderId="12" fillId="4" fontId="13" numFmtId="1" xfId="0" applyAlignment="1" applyBorder="1" applyFill="1" applyFont="1" applyNumberFormat="1">
      <alignment horizontal="left" shrinkToFit="0" vertical="center" wrapText="1"/>
    </xf>
    <xf borderId="17" fillId="6" fontId="13" numFmtId="164" xfId="0" applyAlignment="1" applyBorder="1" applyFill="1" applyFont="1" applyNumberFormat="1">
      <alignment horizontal="left" shrinkToFit="0" vertical="center" wrapText="1"/>
    </xf>
    <xf borderId="0" fillId="4" fontId="11" numFmtId="164" xfId="0" applyAlignment="1" applyFill="1" applyFont="1" applyNumberFormat="1">
      <alignment horizontal="center" shrinkToFit="0" wrapText="1"/>
    </xf>
    <xf borderId="12" fillId="0" fontId="11" numFmtId="165" xfId="0" applyAlignment="1" applyBorder="1" applyFont="1" applyNumberFormat="1">
      <alignment horizontal="left" readingOrder="0" shrinkToFit="0" vertical="center" wrapText="1"/>
    </xf>
    <xf borderId="15" fillId="4" fontId="11" numFmtId="164" xfId="0" applyAlignment="1" applyBorder="1" applyFill="1" applyFont="1" applyNumberFormat="1">
      <alignment horizontal="left" shrinkToFit="0" vertical="center" wrapText="1"/>
    </xf>
    <xf borderId="15" fillId="6" fontId="11" numFmtId="164" xfId="0" applyAlignment="1" applyBorder="1" applyFill="1" applyFont="1" applyNumberFormat="1">
      <alignment horizontal="left" shrinkToFit="0" vertical="center" wrapText="1"/>
    </xf>
    <xf borderId="15" fillId="4" fontId="11" numFmtId="0" xfId="0" applyAlignment="1" applyBorder="1" applyFill="1" applyFont="1">
      <alignment horizontal="left" readingOrder="0" shrinkToFit="0" vertical="center" wrapText="1"/>
    </xf>
    <xf borderId="17" fillId="0" fontId="5" numFmtId="165" xfId="0" applyAlignment="1" applyBorder="1" applyFont="1" applyNumberFormat="1">
      <alignment horizontal="left" readingOrder="0" shrinkToFit="0" vertical="center" wrapText="1"/>
    </xf>
    <xf borderId="17" fillId="0" fontId="5" numFmtId="165" xfId="0" applyAlignment="1" applyBorder="1" applyFont="1" applyNumberFormat="1">
      <alignment horizontal="left" shrinkToFit="0" vertical="center" wrapText="1"/>
    </xf>
    <xf borderId="0" fillId="0" fontId="5" numFmtId="165" xfId="0" applyAlignment="1" applyFont="1" applyNumberFormat="1">
      <alignment horizontal="left" shrinkToFit="0" vertical="center" wrapText="1"/>
    </xf>
    <xf borderId="0" fillId="0" fontId="5" numFmtId="164" xfId="0" applyAlignment="1" applyFont="1" applyNumberFormat="1">
      <alignment horizontal="left" shrinkToFit="0" vertical="center" wrapText="1"/>
    </xf>
    <xf borderId="0" fillId="0" fontId="5" numFmtId="3" xfId="0" applyAlignment="1" applyFont="1" applyNumberFormat="1">
      <alignment horizontal="left" shrinkToFit="0" vertical="center" wrapText="1"/>
    </xf>
    <xf borderId="19" fillId="0" fontId="5" numFmtId="164" xfId="0" applyAlignment="1" applyBorder="1" applyFont="1" applyNumberFormat="1">
      <alignment horizontal="left" shrinkToFit="0" vertical="center" wrapText="1"/>
    </xf>
    <xf borderId="0" fillId="2" fontId="3" numFmtId="3" xfId="0" applyAlignment="1" applyFill="1" applyFont="1" applyNumberFormat="1">
      <alignment horizontal="center" vertical="center"/>
    </xf>
    <xf borderId="5" fillId="0" fontId="5" numFmtId="166" xfId="0" applyAlignment="1" applyBorder="1" applyFont="1" applyNumberFormat="1">
      <alignment horizontal="center" shrinkToFit="0" vertical="center" wrapText="1"/>
    </xf>
    <xf borderId="30" fillId="0" fontId="6" numFmtId="0" xfId="0" applyAlignment="1" applyBorder="1" applyFont="1">
      <alignment horizontal="center" readingOrder="0" shrinkToFit="0" vertical="center" wrapText="1"/>
    </xf>
    <xf borderId="30" fillId="0" fontId="6" numFmtId="165" xfId="0" applyAlignment="1" applyBorder="1" applyFont="1" applyNumberFormat="1">
      <alignment horizontal="center" readingOrder="0" shrinkToFit="0" vertical="center" wrapText="1"/>
    </xf>
    <xf borderId="30" fillId="0" fontId="6" numFmtId="3" xfId="0" applyAlignment="1" applyBorder="1" applyFont="1" applyNumberFormat="1">
      <alignment horizontal="center" readingOrder="0" shrinkToFit="0" vertical="center" wrapText="1"/>
    </xf>
    <xf borderId="5" fillId="0" fontId="20" numFmtId="0" xfId="0" applyBorder="1" applyFont="1"/>
    <xf borderId="5" fillId="0" fontId="5" numFmtId="0" xfId="0" applyAlignment="1" applyBorder="1" applyFont="1">
      <alignment shrinkToFit="0" vertical="center" wrapText="1"/>
    </xf>
    <xf borderId="5" fillId="0" fontId="5" numFmtId="0" xfId="0" applyAlignment="1" applyBorder="1" applyFont="1">
      <alignment horizontal="center" readingOrder="0" shrinkToFit="0" textRotation="0" vertical="center" wrapText="1"/>
    </xf>
    <xf borderId="5" fillId="0" fontId="5" numFmtId="0" xfId="0" applyAlignment="1" applyBorder="1" applyFont="1">
      <alignment horizontal="left" readingOrder="0" shrinkToFit="0" vertical="center" wrapText="1"/>
    </xf>
    <xf borderId="5" fillId="0" fontId="5" numFmtId="0" xfId="0" applyAlignment="1" applyBorder="1" applyFont="1">
      <alignment horizontal="left" shrinkToFit="0" vertical="center" wrapText="1"/>
    </xf>
    <xf borderId="5" fillId="0" fontId="5" numFmtId="0" xfId="0" applyAlignment="1" applyBorder="1" applyFont="1">
      <alignment vertical="center"/>
    </xf>
    <xf borderId="5" fillId="0" fontId="9" numFmtId="0" xfId="0" applyAlignment="1" applyBorder="1" applyFont="1">
      <alignment horizontal="center" readingOrder="0" shrinkToFit="0" vertical="center" wrapText="1"/>
    </xf>
    <xf borderId="5" fillId="0" fontId="5" numFmtId="0" xfId="0" applyAlignment="1" applyBorder="1" applyFont="1">
      <alignment horizontal="left" vertical="center"/>
    </xf>
    <xf borderId="5" fillId="0" fontId="5" numFmtId="3" xfId="0" applyAlignment="1" applyBorder="1" applyFont="1" applyNumberFormat="1">
      <alignment horizontal="left" readingOrder="0" vertical="center"/>
    </xf>
    <xf borderId="5" fillId="0" fontId="5" numFmtId="0" xfId="0" applyAlignment="1" applyBorder="1" applyFont="1">
      <alignment horizontal="left" readingOrder="0" vertical="center"/>
    </xf>
    <xf borderId="5" fillId="0" fontId="5" numFmtId="0" xfId="0" applyAlignment="1" applyBorder="1" applyFont="1">
      <alignment horizontal="left" vertical="center"/>
    </xf>
    <xf borderId="5" fillId="0" fontId="10" numFmtId="0" xfId="0" applyAlignment="1" applyBorder="1" applyFont="1">
      <alignment horizontal="left" readingOrder="0" vertical="center"/>
    </xf>
    <xf borderId="5" fillId="0" fontId="21" numFmtId="49" xfId="0" applyAlignment="1" applyBorder="1" applyFont="1" applyNumberFormat="1">
      <alignment horizontal="center" readingOrder="0" shrinkToFit="0" vertical="center" wrapText="1"/>
    </xf>
    <xf borderId="5" fillId="0" fontId="5" numFmtId="0" xfId="0" applyAlignment="1" applyBorder="1" applyFont="1">
      <alignment horizontal="center" readingOrder="0" shrinkToFit="0" vertical="center" wrapText="1"/>
    </xf>
    <xf borderId="5" fillId="0" fontId="5" numFmtId="167" xfId="0" applyAlignment="1" applyBorder="1" applyFont="1" applyNumberFormat="1">
      <alignment horizontal="center" vertical="center"/>
    </xf>
    <xf borderId="5" fillId="0" fontId="5" numFmtId="167" xfId="0" applyAlignment="1" applyBorder="1" applyFont="1" applyNumberFormat="1">
      <alignment horizontal="left" vertical="center"/>
    </xf>
    <xf borderId="5" fillId="0" fontId="5" numFmtId="164" xfId="0" applyAlignment="1" applyBorder="1" applyFont="1" applyNumberFormat="1">
      <alignment horizontal="left" vertical="center"/>
    </xf>
    <xf borderId="5" fillId="0" fontId="22" numFmtId="0" xfId="0" applyAlignment="1" applyBorder="1" applyFont="1">
      <alignment horizontal="center" readingOrder="0" vertical="center"/>
    </xf>
    <xf borderId="18" fillId="0" fontId="5" numFmtId="0" xfId="0" applyAlignment="1" applyBorder="1" applyFont="1">
      <alignment vertical="center"/>
    </xf>
    <xf borderId="0" fillId="0" fontId="5" numFmtId="3" xfId="0" applyAlignment="1" applyFont="1" applyNumberFormat="1">
      <alignment horizontal="center" vertical="center"/>
    </xf>
    <xf borderId="31" fillId="0" fontId="5" numFmtId="0" xfId="0" applyAlignment="1" applyBorder="1" applyFont="1">
      <alignment horizontal="left" vertical="center"/>
    </xf>
    <xf borderId="31" fillId="0" fontId="5" numFmtId="0" xfId="0" applyAlignment="1" applyBorder="1" applyFont="1">
      <alignment horizontal="left" readingOrder="0" vertical="center"/>
    </xf>
    <xf borderId="0" fillId="0" fontId="5" numFmtId="165" xfId="0" applyAlignment="1" applyFont="1" applyNumberFormat="1">
      <alignment horizontal="center" readingOrder="0" vertical="center"/>
    </xf>
    <xf borderId="0" fillId="2" fontId="1" numFmtId="0" xfId="0" applyAlignment="1" applyFill="1" applyFont="1">
      <alignment shrinkToFit="0" vertical="bottom" wrapText="1"/>
    </xf>
    <xf borderId="1" fillId="2" fontId="3" numFmtId="164" xfId="0" applyAlignment="1" applyBorder="1" applyFill="1" applyFont="1" applyNumberFormat="1">
      <alignment horizontal="left" shrinkToFit="0" vertical="center" wrapText="1"/>
    </xf>
    <xf borderId="0" fillId="2" fontId="3" numFmtId="165" xfId="0" applyAlignment="1" applyFill="1" applyFont="1" applyNumberFormat="1">
      <alignment horizontal="center" shrinkToFit="0" vertical="center" wrapText="1"/>
    </xf>
    <xf borderId="0" fillId="0" fontId="6" numFmtId="165" xfId="0" applyAlignment="1" applyFont="1" applyNumberFormat="1">
      <alignment horizontal="center" readingOrder="0" shrinkToFit="0" vertical="center" wrapText="1"/>
    </xf>
    <xf borderId="32" fillId="0" fontId="6" numFmtId="165" xfId="0" applyAlignment="1" applyBorder="1" applyFont="1" applyNumberFormat="1">
      <alignment horizontal="center" readingOrder="0" shrinkToFit="0" vertical="center" wrapText="1"/>
    </xf>
    <xf borderId="0" fillId="2" fontId="3" numFmtId="3" xfId="0" applyAlignment="1" applyFill="1" applyFont="1" applyNumberFormat="1">
      <alignment horizontal="center" shrinkToFit="0" vertical="center" wrapText="1"/>
    </xf>
    <xf borderId="0" fillId="0" fontId="5" numFmtId="168" xfId="0" applyAlignment="1" applyFont="1" applyNumberFormat="1">
      <alignment horizontal="center" readingOrder="0" shrinkToFit="0" vertical="center" wrapText="1"/>
    </xf>
    <xf borderId="0" fillId="0" fontId="5" numFmtId="169" xfId="0" applyAlignment="1" applyFont="1" applyNumberFormat="1">
      <alignment horizontal="center" readingOrder="0" shrinkToFit="0" vertical="center" wrapText="1"/>
    </xf>
    <xf borderId="0" fillId="0" fontId="5" numFmtId="3" xfId="0" applyAlignment="1" applyFont="1" applyNumberFormat="1">
      <alignment horizontal="center" readingOrder="0" vertical="center"/>
    </xf>
    <xf borderId="0" fillId="0" fontId="5" numFmtId="3" xfId="0" applyAlignment="1" applyFont="1" applyNumberFormat="1">
      <alignment horizontal="center" shrinkToFit="0" vertical="center" wrapText="1"/>
    </xf>
    <xf borderId="0" fillId="2" fontId="3" numFmtId="165" xfId="0" applyAlignment="1" applyFill="1" applyFont="1" applyNumberFormat="1">
      <alignment horizontal="left" vertical="center"/>
    </xf>
    <xf borderId="0" fillId="2" fontId="3" numFmtId="164" xfId="0" applyAlignment="1" applyFill="1" applyFont="1" applyNumberFormat="1">
      <alignment horizontal="center" shrinkToFit="0" vertical="center" wrapText="0"/>
    </xf>
    <xf borderId="0" fillId="2" fontId="3" numFmtId="164" xfId="0" applyAlignment="1" applyFill="1" applyFont="1" applyNumberFormat="1">
      <alignment horizontal="left" shrinkToFit="0" vertical="center" wrapText="0"/>
    </xf>
    <xf borderId="30" fillId="0" fontId="6" numFmtId="165" xfId="0" applyAlignment="1" applyBorder="1" applyFont="1" applyNumberFormat="1">
      <alignment horizontal="center" readingOrder="0" shrinkToFit="0" vertical="center" wrapText="0"/>
    </xf>
    <xf borderId="30" fillId="0" fontId="6" numFmtId="0" xfId="0" applyAlignment="1" applyBorder="1" applyFont="1">
      <alignment horizontal="center" readingOrder="0" shrinkToFit="0" vertical="center" wrapText="0"/>
    </xf>
    <xf borderId="33" fillId="0" fontId="6" numFmtId="0" xfId="0" applyAlignment="1" applyBorder="1" applyFont="1">
      <alignment horizontal="center" readingOrder="0" shrinkToFit="0" vertical="center" wrapText="1"/>
    </xf>
    <xf borderId="5" fillId="0" fontId="7" numFmtId="0" xfId="0" applyAlignment="1" applyBorder="1" applyFont="1">
      <alignment horizontal="center" readingOrder="0" shrinkToFit="0" vertical="center" wrapText="1"/>
    </xf>
    <xf borderId="33" fillId="0" fontId="7" numFmtId="0" xfId="0" applyAlignment="1" applyBorder="1" applyFont="1">
      <alignment horizontal="center" readingOrder="0" shrinkToFit="0" vertical="center" wrapText="1"/>
    </xf>
    <xf borderId="5" fillId="0" fontId="7" numFmtId="0" xfId="0" applyAlignment="1" applyBorder="1" applyFont="1">
      <alignment horizontal="center" readingOrder="0" shrinkToFit="0" vertical="center" wrapText="0"/>
    </xf>
    <xf borderId="5" fillId="0" fontId="6" numFmtId="0" xfId="0" applyAlignment="1" applyBorder="1" applyFont="1">
      <alignment horizontal="center" readingOrder="0" shrinkToFit="0" vertical="center" wrapText="1"/>
    </xf>
    <xf borderId="18" fillId="0" fontId="6" numFmtId="0" xfId="0" applyAlignment="1" applyBorder="1" applyFont="1">
      <alignment horizontal="center" readingOrder="0" shrinkToFit="0" vertical="center" wrapText="1"/>
    </xf>
    <xf borderId="0" fillId="0" fontId="6" numFmtId="0" xfId="0" applyAlignment="1" applyFont="1">
      <alignment horizontal="center" readingOrder="0" shrinkToFit="0" vertical="center" wrapText="1"/>
    </xf>
    <xf borderId="13" fillId="0" fontId="6" numFmtId="0" xfId="0" applyAlignment="1" applyBorder="1" applyFont="1">
      <alignment horizontal="center" readingOrder="0" shrinkToFit="0" vertical="center" wrapText="1"/>
    </xf>
    <xf borderId="1" fillId="6" fontId="11" numFmtId="49" xfId="0" applyAlignment="1" applyBorder="1" applyFill="1" applyFont="1" applyNumberFormat="1">
      <alignment horizontal="center" readingOrder="0" vertical="center"/>
    </xf>
    <xf borderId="5" fillId="6" fontId="11" numFmtId="165" xfId="0" applyAlignment="1" applyBorder="1" applyFill="1" applyFont="1" applyNumberFormat="1">
      <alignment vertical="center"/>
    </xf>
    <xf borderId="5" fillId="6" fontId="11" numFmtId="0" xfId="0" applyAlignment="1" applyBorder="1" applyFill="1" applyFont="1">
      <alignment shrinkToFit="0" vertical="center" wrapText="1"/>
    </xf>
    <xf borderId="5" fillId="0" fontId="5" numFmtId="0" xfId="0" applyAlignment="1" applyBorder="1" applyFont="1">
      <alignment horizontal="left" shrinkToFit="0" vertical="center" wrapText="1"/>
    </xf>
    <xf borderId="5" fillId="0" fontId="5" numFmtId="0" xfId="0" applyAlignment="1" applyBorder="1" applyFont="1">
      <alignment horizontal="center" shrinkToFit="0" vertical="center" wrapText="1"/>
    </xf>
    <xf borderId="5" fillId="0" fontId="5" numFmtId="3" xfId="0" applyAlignment="1" applyBorder="1" applyFont="1" applyNumberFormat="1">
      <alignment horizontal="center" shrinkToFit="0" vertical="center" wrapText="1"/>
    </xf>
    <xf borderId="5" fillId="0" fontId="5" numFmtId="10" xfId="0" applyAlignment="1" applyBorder="1" applyFont="1" applyNumberFormat="1">
      <alignment horizontal="center" vertical="center"/>
    </xf>
    <xf borderId="18" fillId="0" fontId="5" numFmtId="0" xfId="0" applyAlignment="1" applyBorder="1" applyFont="1">
      <alignment horizontal="left" shrinkToFit="0" vertical="center" wrapText="1"/>
    </xf>
    <xf borderId="34" fillId="0" fontId="5" numFmtId="0" xfId="0" applyAlignment="1" applyBorder="1" applyFont="1">
      <alignment horizontal="center" vertical="center"/>
    </xf>
    <xf borderId="1" fillId="6" fontId="11" numFmtId="0" xfId="0" applyAlignment="1" applyBorder="1" applyFill="1" applyFont="1">
      <alignment horizontal="center" vertical="center"/>
    </xf>
    <xf borderId="4" fillId="0" fontId="7" numFmtId="165" xfId="0" applyAlignment="1" applyBorder="1" applyFont="1" applyNumberFormat="1">
      <alignment horizontal="center" readingOrder="0" shrinkToFit="0" vertical="center" wrapText="0"/>
    </xf>
    <xf borderId="15" fillId="4" fontId="5" numFmtId="164" xfId="0" applyAlignment="1" applyBorder="1" applyFill="1" applyFont="1" applyNumberFormat="1">
      <alignment horizontal="center" vertical="center"/>
    </xf>
    <xf borderId="15" fillId="4" fontId="5" numFmtId="165" xfId="0" applyAlignment="1" applyBorder="1" applyFill="1" applyFont="1" applyNumberFormat="1">
      <alignment horizontal="left" readingOrder="0" vertical="center"/>
    </xf>
    <xf borderId="15" fillId="4" fontId="5" numFmtId="0" xfId="0" applyAlignment="1" applyBorder="1" applyFill="1" applyFont="1">
      <alignment horizontal="left" readingOrder="0" vertical="center"/>
    </xf>
    <xf borderId="15" fillId="4" fontId="5" numFmtId="0" xfId="0" applyAlignment="1" applyBorder="1" applyFill="1" applyFont="1">
      <alignment horizontal="left" vertical="center"/>
    </xf>
    <xf borderId="15" fillId="4" fontId="5" numFmtId="0" xfId="0" applyAlignment="1" applyBorder="1" applyFill="1" applyFont="1">
      <alignment horizontal="center" vertical="center"/>
    </xf>
    <xf borderId="17" fillId="4" fontId="5" numFmtId="0" xfId="0" applyAlignment="1" applyBorder="1" applyFill="1" applyFont="1">
      <alignment horizontal="center" vertical="center"/>
    </xf>
    <xf borderId="13" fillId="6" fontId="5" numFmtId="0" xfId="0" applyAlignment="1" applyBorder="1" applyFill="1" applyFont="1">
      <alignment horizontal="center" readingOrder="0" vertical="center"/>
    </xf>
    <xf borderId="15" fillId="6" fontId="5" numFmtId="165" xfId="0" applyAlignment="1" applyBorder="1" applyFill="1" applyFont="1" applyNumberFormat="1">
      <alignment horizontal="left" readingOrder="0" vertical="center"/>
    </xf>
    <xf borderId="15" fillId="6" fontId="5" numFmtId="0" xfId="0" applyAlignment="1" applyBorder="1" applyFill="1" applyFont="1">
      <alignment horizontal="left" readingOrder="0" vertical="center"/>
    </xf>
    <xf borderId="15" fillId="6" fontId="5" numFmtId="0" xfId="0" applyAlignment="1" applyBorder="1" applyFill="1" applyFont="1">
      <alignment horizontal="left" vertical="center"/>
    </xf>
    <xf borderId="15" fillId="6" fontId="5" numFmtId="0" xfId="0" applyAlignment="1" applyBorder="1" applyFill="1" applyFont="1">
      <alignment horizontal="center" vertical="center"/>
    </xf>
    <xf borderId="17" fillId="6" fontId="5" numFmtId="0" xfId="0" applyAlignment="1" applyBorder="1" applyFill="1" applyFont="1">
      <alignment horizontal="center" vertical="center"/>
    </xf>
    <xf borderId="13" fillId="4" fontId="5" numFmtId="0" xfId="0" applyAlignment="1" applyBorder="1" applyFill="1" applyFont="1">
      <alignment horizontal="center" readingOrder="0" vertical="center"/>
    </xf>
    <xf borderId="0" fillId="4" fontId="5" numFmtId="0" xfId="0" applyAlignment="1" applyFill="1" applyFont="1">
      <alignment horizontal="center" readingOrder="0" vertical="center"/>
    </xf>
    <xf borderId="17" fillId="4" fontId="5" numFmtId="165" xfId="0" applyAlignment="1" applyBorder="1" applyFill="1" applyFont="1" applyNumberFormat="1">
      <alignment horizontal="left" readingOrder="0" vertical="center"/>
    </xf>
    <xf borderId="17" fillId="4" fontId="5" numFmtId="0" xfId="0" applyAlignment="1" applyBorder="1" applyFill="1" applyFont="1">
      <alignment horizontal="left" readingOrder="0" vertical="center"/>
    </xf>
    <xf borderId="17" fillId="4" fontId="5" numFmtId="0" xfId="0" applyAlignment="1" applyBorder="1" applyFill="1" applyFont="1">
      <alignment horizontal="left" vertical="center"/>
    </xf>
    <xf borderId="0" fillId="6" fontId="5" numFmtId="0" xfId="0" applyAlignment="1" applyFill="1" applyFont="1">
      <alignment horizontal="center" readingOrder="0" vertical="center"/>
    </xf>
    <xf borderId="17" fillId="6" fontId="5" numFmtId="165" xfId="0" applyAlignment="1" applyBorder="1" applyFill="1" applyFont="1" applyNumberFormat="1">
      <alignment horizontal="left" readingOrder="0" vertical="center"/>
    </xf>
    <xf borderId="17" fillId="6" fontId="5" numFmtId="0" xfId="0" applyAlignment="1" applyBorder="1" applyFill="1" applyFont="1">
      <alignment horizontal="left" readingOrder="0" vertical="center"/>
    </xf>
    <xf borderId="17" fillId="6" fontId="5" numFmtId="0" xfId="0" applyAlignment="1" applyBorder="1" applyFill="1" applyFont="1">
      <alignment horizontal="left" vertical="center"/>
    </xf>
    <xf borderId="17" fillId="4" fontId="5" numFmtId="167" xfId="0" applyAlignment="1" applyBorder="1" applyFill="1" applyFont="1" applyNumberFormat="1">
      <alignment horizontal="left" vertical="center"/>
    </xf>
    <xf borderId="17" fillId="4" fontId="5" numFmtId="167" xfId="0" applyAlignment="1" applyBorder="1" applyFill="1" applyFont="1" applyNumberFormat="1">
      <alignment horizontal="center" vertical="center"/>
    </xf>
    <xf borderId="17" fillId="6" fontId="5" numFmtId="164" xfId="0" applyAlignment="1" applyBorder="1" applyFill="1" applyFont="1" applyNumberFormat="1">
      <alignment horizontal="left" vertical="center"/>
    </xf>
    <xf borderId="17" fillId="6" fontId="5" numFmtId="164" xfId="0" applyAlignment="1" applyBorder="1" applyFill="1" applyFont="1" applyNumberFormat="1">
      <alignment horizontal="center" vertical="center"/>
    </xf>
    <xf borderId="17" fillId="4" fontId="5" numFmtId="164" xfId="0" applyAlignment="1" applyBorder="1" applyFill="1" applyFont="1" applyNumberFormat="1">
      <alignment horizontal="left" vertical="center"/>
    </xf>
    <xf borderId="17" fillId="4" fontId="5" numFmtId="164" xfId="0" applyAlignment="1" applyBorder="1" applyFill="1" applyFont="1" applyNumberFormat="1">
      <alignment horizontal="center" vertical="center"/>
    </xf>
    <xf borderId="5" fillId="0" fontId="5" numFmtId="165" xfId="0" applyAlignment="1" applyBorder="1" applyFont="1" applyNumberFormat="1">
      <alignment horizontal="left" readingOrder="0" vertical="center"/>
    </xf>
    <xf borderId="1" fillId="6" fontId="11" numFmtId="0" xfId="0" applyAlignment="1" applyBorder="1" applyFill="1" applyFont="1">
      <alignment horizontal="center" readingOrder="0" vertical="center"/>
    </xf>
    <xf borderId="5" fillId="6" fontId="11" numFmtId="165" xfId="0" applyAlignment="1" applyBorder="1" applyFill="1" applyFont="1" applyNumberFormat="1">
      <alignment readingOrder="0" vertical="center"/>
    </xf>
    <xf borderId="5" fillId="6" fontId="11" numFmtId="0" xfId="0" applyAlignment="1" applyBorder="1" applyFill="1" applyFont="1">
      <alignment readingOrder="0" shrinkToFit="0" vertical="center" wrapText="1"/>
    </xf>
    <xf borderId="1" fillId="4" fontId="11" numFmtId="0" xfId="0" applyAlignment="1" applyBorder="1" applyFill="1" applyFont="1">
      <alignment horizontal="center" vertical="center"/>
    </xf>
    <xf borderId="5" fillId="4" fontId="11" numFmtId="165" xfId="0" applyAlignment="1" applyBorder="1" applyFill="1" applyFont="1" applyNumberFormat="1">
      <alignment vertical="center"/>
    </xf>
    <xf borderId="5" fillId="4" fontId="11" numFmtId="0" xfId="0" applyAlignment="1" applyBorder="1" applyFill="1" applyFont="1">
      <alignment shrinkToFit="0" vertical="center" wrapText="1"/>
    </xf>
    <xf borderId="5" fillId="0" fontId="5" numFmtId="4" xfId="0" applyAlignment="1" applyBorder="1" applyFont="1" applyNumberFormat="1">
      <alignment horizontal="center" vertical="center"/>
    </xf>
    <xf borderId="5" fillId="4" fontId="11" numFmtId="0" xfId="0" applyAlignment="1" applyBorder="1" applyFill="1" applyFont="1">
      <alignment horizontal="center" shrinkToFit="0" textRotation="0" vertical="center" wrapText="1"/>
    </xf>
    <xf borderId="5" fillId="6" fontId="11" numFmtId="0" xfId="0" applyAlignment="1" applyBorder="1" applyFill="1" applyFont="1">
      <alignment horizontal="center" shrinkToFit="0" vertical="center" wrapText="1"/>
    </xf>
    <xf borderId="5" fillId="4" fontId="11" numFmtId="0" xfId="0" applyAlignment="1" applyBorder="1" applyFill="1" applyFont="1">
      <alignment horizontal="center" shrinkToFit="0" vertical="center" wrapText="1"/>
    </xf>
    <xf borderId="5" fillId="0" fontId="5" numFmtId="164" xfId="0" applyAlignment="1" applyBorder="1" applyFont="1" applyNumberFormat="1">
      <alignment horizontal="left" shrinkToFit="0" vertical="center" wrapText="1"/>
    </xf>
    <xf borderId="5" fillId="0" fontId="5" numFmtId="165" xfId="0" applyAlignment="1" applyBorder="1" applyFont="1" applyNumberFormat="1">
      <alignment horizontal="left" shrinkToFit="0" vertical="center" wrapText="1"/>
    </xf>
    <xf borderId="5" fillId="0" fontId="5" numFmtId="0" xfId="0" applyAlignment="1" applyBorder="1" applyFont="1">
      <alignment horizontal="center" shrinkToFit="0" vertical="center" wrapText="1"/>
    </xf>
    <xf borderId="5" fillId="0" fontId="5" numFmtId="49" xfId="0" applyAlignment="1" applyBorder="1" applyFont="1" applyNumberFormat="1">
      <alignment horizontal="left" readingOrder="0" vertical="center"/>
    </xf>
    <xf borderId="0" fillId="0" fontId="5" numFmtId="165" xfId="0" applyAlignment="1" applyFont="1" applyNumberFormat="1">
      <alignment horizontal="left" readingOrder="0" vertical="center"/>
    </xf>
    <xf borderId="0" fillId="0" fontId="5" numFmtId="0" xfId="0" applyAlignment="1" applyFont="1">
      <alignment horizontal="center" shrinkToFit="0" vertical="center" wrapText="1"/>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cellXfs>
  <cellStyles count="1">
    <cellStyle xfId="0" name="Normal" builtinId="0"/>
  </cellStyles>
  <dxfs count="3">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s>
  <tableStyles count="8">
    <tableStyle count="2" pivot="0" name="DESCONTINUADA UPA e UPA-E-style">
      <tableStyleElement dxfId="1" type="firstRowStripe"/>
      <tableStyleElement dxfId="2" type="secondRowStripe"/>
    </tableStyle>
    <tableStyle count="2" pivot="0" name="DESCONTINUADA Hospitais Regiona-style">
      <tableStyleElement dxfId="1" type="firstRowStripe"/>
      <tableStyleElement dxfId="2" type="secondRowStripe"/>
    </tableStyle>
    <tableStyle count="2" pivot="0" name="Compilado total-style">
      <tableStyleElement dxfId="1" type="firstRowStripe"/>
      <tableStyleElement dxfId="2" type="secondRowStripe"/>
    </tableStyle>
    <tableStyle count="2" pivot="0" name="DESCONTINUADA Os Seis Grandes-style">
      <tableStyleElement dxfId="1" type="firstRowStripe"/>
      <tableStyleElement dxfId="2" type="secondRowStripe"/>
    </tableStyle>
    <tableStyle count="2" pivot="0" name="DESCONTINUADA UNIDADES EM CONST-style">
      <tableStyleElement dxfId="1" type="firstRowStripe"/>
      <tableStyleElement dxfId="2" type="secondRowStripe"/>
    </tableStyle>
    <tableStyle count="2" pivot="0" name="DESCONTINUADA Rede Credenciada-style">
      <tableStyleElement dxfId="1" type="firstRowStripe"/>
      <tableStyleElement dxfId="2" type="secondRowStripe"/>
    </tableStyle>
    <tableStyle count="2" pivot="0" name="NÃO MEXER Novas unidades-style">
      <tableStyleElement dxfId="1" type="firstRowStripe"/>
      <tableStyleElement dxfId="2" type="secondRowStripe"/>
    </tableStyle>
    <tableStyle count="2" pivot="0" name="NÃO MEXER Consolidado-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Task id="{304cc08a-b91f-4948-ab52-66a71a1f29d5}">
    <Anchor>
      <Comment id="{918ea81d-44ad-43fd-86ac-59e1c973b7a8}"/>
    </Anchor>
    <History>
      <Event time="2026-08-24T17:50:54.00" id="{884b4c66-2162-4e96-86fa-f114b5890a71}">
        <Attribution userId="placeholder@email.com" userName="Débora Myrlan Alves da Silva" userProvider="google-sheets"/>
        <Anchor>
          <Comment id="{918ea81d-44ad-43fd-86ac-59e1c973b7a8}"/>
        </Anchor>
        <Create/>
      </Event>
      <Event time="2026-08-24T17:50:54.00" id="{20e2516a-b5a4-4c66-9059-1dbf92a13606}">
        <Attribution userId="placeholder@email.com" userName="Débora Myrlan Alves da Silva" userProvider="google-sheets"/>
        <Anchor>
          <Comment id="{918ea81d-44ad-43fd-86ac-59e1c973b7a8}"/>
        </Anchor>
        <Assign userId="natasha.nobrega@assessoriaespecial.pe.gov.br" userName="natasha.nobrega@assessoriaespecial.pe.gov.br" userProvider="google-sheets"/>
      </Event>
    </History>
  </Task>
</Tasks>
</file>

<file path=xl/drawings/_rels/drawing1.xml.rels><?xml version="1.0" encoding="UTF-8" standalone="yes"?><Relationships xmlns="http://schemas.openxmlformats.org/package/2006/relationships"><Relationship Id="rId1" Type="http://schemas.openxmlformats.org/officeDocument/2006/relationships/image" Target="../media/image2.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2.png"/></Relationships>
</file>

<file path=xl/drawings/_rels/drawing6.xml.rels><?xml version="1.0" encoding="UTF-8" standalone="yes"?><Relationships xmlns="http://schemas.openxmlformats.org/package/2006/relationships"><Relationship Id="rId1" Type="http://schemas.openxmlformats.org/officeDocument/2006/relationships/image" Target="../media/image2.png"/></Relationships>
</file>

<file path=xl/drawings/_rels/drawing7.xml.rels><?xml version="1.0" encoding="UTF-8" standalone="yes"?><Relationships xmlns="http://schemas.openxmlformats.org/package/2006/relationships"><Relationship Id="rId1" Type="http://schemas.openxmlformats.org/officeDocument/2006/relationships/image" Target="../media/image2.png"/></Relationships>
</file>

<file path=xl/drawings/_rels/drawing8.xml.rels><?xml version="1.0" encoding="UTF-8" standalone="yes"?><Relationships xmlns="http://schemas.openxmlformats.org/package/2006/relationships"><Relationship Id="rId1" Type="http://schemas.openxmlformats.org/officeDocument/2006/relationships/image" Target="../media/image2.png"/></Relationships>
</file>

<file path=xl/drawings/_rels/drawing9.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66675</xdr:colOff>
      <xdr:row>0</xdr:row>
      <xdr:rowOff>0</xdr:rowOff>
    </xdr:from>
    <xdr:ext cx="4105275" cy="1123950"/>
    <xdr:pic>
      <xdr:nvPicPr>
        <xdr:cNvPr id="0" name="image2.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0</xdr:colOff>
      <xdr:row>0</xdr:row>
      <xdr:rowOff>0</xdr:rowOff>
    </xdr:from>
    <xdr:ext cx="4105275" cy="1123950"/>
    <xdr:pic>
      <xdr:nvPicPr>
        <xdr:cNvPr id="0" name="image1.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1914525</xdr:colOff>
      <xdr:row>0</xdr:row>
      <xdr:rowOff>0</xdr:rowOff>
    </xdr:from>
    <xdr:ext cx="4105275" cy="1123950"/>
    <xdr:pic>
      <xdr:nvPicPr>
        <xdr:cNvPr id="0" name="image2.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4105275" cy="1123950"/>
    <xdr:pic>
      <xdr:nvPicPr>
        <xdr:cNvPr id="0" name="image2.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-38100</xdr:colOff>
      <xdr:row>0</xdr:row>
      <xdr:rowOff>0</xdr:rowOff>
    </xdr:from>
    <xdr:ext cx="4105275" cy="1123950"/>
    <xdr:pic>
      <xdr:nvPicPr>
        <xdr:cNvPr id="0" name="image2.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66675</xdr:colOff>
      <xdr:row>0</xdr:row>
      <xdr:rowOff>0</xdr:rowOff>
    </xdr:from>
    <xdr:ext cx="4105275" cy="1123950"/>
    <xdr:pic>
      <xdr:nvPicPr>
        <xdr:cNvPr id="0" name="image2.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-38100</xdr:colOff>
      <xdr:row>0</xdr:row>
      <xdr:rowOff>0</xdr:rowOff>
    </xdr:from>
    <xdr:ext cx="4105275" cy="1123950"/>
    <xdr:pic>
      <xdr:nvPicPr>
        <xdr:cNvPr id="0" name="image2.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19050</xdr:colOff>
      <xdr:row>0</xdr:row>
      <xdr:rowOff>47625</xdr:rowOff>
    </xdr:from>
    <xdr:ext cx="2152650" cy="1076325"/>
    <xdr:sp>
      <xdr:nvSpPr>
        <xdr:cNvPr id="3" name="Shape 3"/>
        <xdr:cNvSpPr/>
      </xdr:nvSpPr>
      <xdr:spPr>
        <a:xfrm>
          <a:off x="1481050" y="900650"/>
          <a:ext cx="5143800" cy="2471700"/>
        </a:xfrm>
        <a:prstGeom prst="roundRect">
          <a:avLst>
            <a:gd fmla="val 16667" name="adj"/>
          </a:avLst>
        </a:prstGeom>
        <a:solidFill>
          <a:srgbClr val="E69138"/>
        </a:solidFill>
        <a:ln cap="flat" cmpd="sng" w="9525">
          <a:solidFill>
            <a:srgbClr val="E69138"/>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800">
              <a:solidFill>
                <a:srgbClr val="FFFFFF"/>
              </a:solidFill>
              <a:latin typeface="Poppins"/>
              <a:ea typeface="Poppins"/>
              <a:cs typeface="Poppins"/>
              <a:sym typeface="Poppins"/>
            </a:rPr>
            <a:t>APENAS SAESPRI</a:t>
          </a:r>
          <a:endParaRPr b="1" sz="3800">
            <a:solidFill>
              <a:srgbClr val="FFFFFF"/>
            </a:solidFill>
            <a:latin typeface="Poppins"/>
            <a:ea typeface="Poppins"/>
            <a:cs typeface="Poppins"/>
            <a:sym typeface="Poppins"/>
          </a:endParaRPr>
        </a:p>
      </xdr:txBody>
    </xdr:sp>
    <xdr:clientData fLocksWithSheet="0"/>
  </xdr:oneCellAnchor>
  <xdr:oneCellAnchor>
    <xdr:from>
      <xdr:col>0</xdr:col>
      <xdr:colOff>0</xdr:colOff>
      <xdr:row>0</xdr:row>
      <xdr:rowOff>0</xdr:rowOff>
    </xdr:from>
    <xdr:ext cx="4105275" cy="1123950"/>
    <xdr:pic>
      <xdr:nvPicPr>
        <xdr:cNvPr id="0" name="image1.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4105275" cy="1123950"/>
    <xdr:pic>
      <xdr:nvPicPr>
        <xdr:cNvPr id="0" name="image1.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x18tc:person displayName="Débora Myrlan Alves da Silva" id="{e4c93389-a00f-42a1-b976-e954650edd66}" providerId="google-sheets"/>
  <x18tc:person displayName="natasha.nobrega@assessoriaespecial.pe.gov.br" id="{a13bc289-3244-4cac-994d-ee475ab71b2b}" userId="natasha.nobrega@assessoriaespecial.pe.gov.br" providerId="google-sheets"/>
</x18tc:personList>
</file>

<file path=xl/tables/table1.xml><?xml version="1.0" encoding="utf-8"?>
<table xmlns="http://schemas.openxmlformats.org/spreadsheetml/2006/main" headerRowCount="0" ref="A3:AB1000" displayName="Table_2" name="Table_2" id="1">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DESCONTINUADA Hospitais Regiona-style" showColumnStripes="0" showFirstColumn="1" showLastColumn="1" showRowStripes="1"/>
</table>
</file>

<file path=xl/tables/table2.xml><?xml version="1.0" encoding="utf-8"?>
<table xmlns="http://schemas.openxmlformats.org/spreadsheetml/2006/main" headerRowCount="0" ref="A3:AR186" displayName="Table_1" name="Table_1" id="3">
  <tableColumns count="4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s>
  <tableStyleInfo name="Compilado total-style" showColumnStripes="0" showFirstColumn="1" showLastColumn="1" showRowStripes="1"/>
</table>
</file>

<file path=xl/tables/table3.xml><?xml version="1.0" encoding="utf-8"?>
<table xmlns="http://schemas.openxmlformats.org/spreadsheetml/2006/main" headerRowCount="0" ref="A3:O1002" displayName="Table_3" name="Table_3" id="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DESCONTINUADA UPA e UPA-E-style" showColumnStripes="0" showFirstColumn="1" showLastColumn="1" showRowStripes="1"/>
</table>
</file>

<file path=xl/tables/table4.xml><?xml version="1.0" encoding="utf-8"?>
<table xmlns="http://schemas.openxmlformats.org/spreadsheetml/2006/main" headerRowCount="0" ref="A4:AA1000" displayName="Table_4" name="Table_4" id="4">
  <tableColumns count="2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s>
  <tableStyleInfo name="DESCONTINUADA Os Seis Grandes-style" showColumnStripes="0" showFirstColumn="1" showLastColumn="1" showRowStripes="1"/>
</table>
</file>

<file path=xl/tables/table5.xml><?xml version="1.0" encoding="utf-8"?>
<table xmlns="http://schemas.openxmlformats.org/spreadsheetml/2006/main" headerRowCount="0" ref="A3:M1000" displayName="Table_5" name="Table_5" id="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DESCONTINUADA UNIDADES EM CONST-style" showColumnStripes="0" showFirstColumn="1" showLastColumn="1" showRowStripes="1"/>
</table>
</file>

<file path=xl/tables/table6.xml><?xml version="1.0" encoding="utf-8"?>
<table xmlns="http://schemas.openxmlformats.org/spreadsheetml/2006/main" headerRowCount="0" ref="A3:H28"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DESCONTINUADA Rede Credenciada-style" showColumnStripes="0" showFirstColumn="1" showLastColumn="1" showRowStripes="1"/>
</table>
</file>

<file path=xl/tables/table7.xml><?xml version="1.0" encoding="utf-8"?>
<table xmlns="http://schemas.openxmlformats.org/spreadsheetml/2006/main" headerRowCount="0" ref="A3:N997" displayName="Table_7" name="Table_7" id="7">
  <tableColumns count="1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s>
  <tableStyleInfo name="NÃO MEXER Novas unidades-style" showColumnStripes="0" showFirstColumn="1" showLastColumn="1" showRowStripes="1"/>
</table>
</file>

<file path=xl/tables/table8.xml><?xml version="1.0" encoding="utf-8"?>
<table xmlns="http://schemas.openxmlformats.org/spreadsheetml/2006/main" headerRowCount="0" ref="A3:Z101" displayName="Table_8" name="Table_8" id="8">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NÃO MEXER Consolida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8-24T15:05:38.00" personId="{e4c93389-a00f-42a1-b976-e954650edd66}" id="{696ddf7a-beb6-4666-bf36-c26ab1b8da07}" done="0">
    <x18tc:text xml:space="preserve">Em construção</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F32" dT="2026-08-24T17:50:54.00" personId="{e4c93389-a00f-42a1-b976-e954650edd66}" id="{918ea81d-44ad-43fd-86ac-59e1c973b7a8}" done="1">
    <x18tc:text xml:space="preserve">Solicitar o número de leitos @natasha.nobrega@assessoriaespecial.pe.gov.br
Atribuído a natasha.nobrega@assessoriaespecial.pe.gov.br</x18tc:text>
    <x18tc:mentions>
      <x18tc:mention mentionpersonId="{a13bc289-3244-4cac-994d-ee475ab71b2b}" mentionId="{9b4d52b4-3cf6-4099-8e3f-6eeb0898e207}" startIndex="29" length="45"/>
    </x18tc:mentions>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2.xml"/><Relationship Id="rId5" Type="http://schemas.openxmlformats.org/officeDocument/2006/relationships/vmlDrawing" Target="../drawings/vmlDrawing1.vml"/><Relationship Id="rId7"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3.xml"/><Relationship Id="rId5" Type="http://schemas.openxmlformats.org/officeDocument/2006/relationships/vmlDrawing" Target="../drawings/vmlDrawing2.vml"/><Relationship Id="rId7"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0"/>
  <cols>
    <col customWidth="1" min="1" max="1" width="1.25"/>
    <col customWidth="1" min="2" max="2" width="25.38"/>
    <col customWidth="1" min="3" max="3" width="23.13"/>
    <col customWidth="1" min="4" max="4" width="8.5"/>
    <col customWidth="1" min="5" max="5" width="26.25"/>
    <col customWidth="1" min="6" max="6" width="9.5"/>
    <col customWidth="1" min="7" max="7" width="38.5"/>
    <col customWidth="1" min="8" max="9" width="10.88"/>
    <col customWidth="1" min="10" max="11" width="13.13"/>
    <col customWidth="1" min="12" max="12" width="32.63"/>
    <col customWidth="1" min="13" max="13" width="18.0"/>
    <col customWidth="1" min="14" max="14" width="18.38"/>
    <col customWidth="1" min="15" max="15" width="21.0"/>
    <col customWidth="1" min="16" max="16" width="19.13"/>
    <col customWidth="1" min="17" max="18" width="15.75"/>
    <col customWidth="1" min="19" max="19" width="19.5"/>
    <col customWidth="1" min="20" max="20" width="16.13"/>
    <col customWidth="1" min="21" max="21" width="60.25"/>
    <col customWidth="1" min="22" max="22" width="17.25"/>
    <col customWidth="1" min="23" max="23" width="13.25"/>
    <col customWidth="1" min="24" max="24" width="14.75"/>
    <col customWidth="1" min="25" max="25" width="15.13"/>
    <col customWidth="1" min="26" max="26" width="12.63"/>
    <col customWidth="1" min="27" max="27" width="12.13"/>
    <col customWidth="1" min="28" max="28" width="16.63"/>
  </cols>
  <sheetData>
    <row r="1" ht="89.25" customHeight="1">
      <c r="A1" s="2"/>
      <c r="B1" s="5"/>
      <c r="C1" s="8"/>
      <c r="D1" s="10"/>
      <c r="E1" s="10"/>
      <c r="F1" s="10"/>
      <c r="G1" s="10"/>
      <c r="H1" s="13"/>
      <c r="I1" s="13"/>
      <c r="J1" s="13"/>
      <c r="K1" s="13"/>
      <c r="L1" s="8"/>
      <c r="M1" s="13"/>
      <c r="N1" s="8"/>
      <c r="O1" s="15"/>
      <c r="P1" s="17"/>
      <c r="Q1" s="15"/>
      <c r="R1" s="15"/>
      <c r="S1" s="17"/>
      <c r="T1" s="15"/>
      <c r="U1" s="17"/>
      <c r="V1" s="15"/>
      <c r="W1" s="15"/>
      <c r="X1" s="15"/>
      <c r="Y1" s="15"/>
      <c r="Z1" s="15"/>
      <c r="AA1" s="15"/>
      <c r="AB1" s="15"/>
    </row>
    <row r="2" ht="55.5" customHeight="1">
      <c r="A2" s="19"/>
      <c r="B2" s="21" t="s">
        <v>1</v>
      </c>
      <c r="C2" s="23" t="s">
        <v>2</v>
      </c>
      <c r="D2" s="25" t="s">
        <v>4</v>
      </c>
      <c r="E2" s="29" t="s">
        <v>6</v>
      </c>
      <c r="F2" s="32" t="s">
        <v>5</v>
      </c>
      <c r="G2" s="35" t="s">
        <v>3</v>
      </c>
      <c r="H2" s="27" t="s">
        <v>22</v>
      </c>
      <c r="I2" s="27" t="s">
        <v>24</v>
      </c>
      <c r="J2" s="27" t="s">
        <v>25</v>
      </c>
      <c r="K2" s="27" t="s">
        <v>27</v>
      </c>
      <c r="L2" s="27" t="s">
        <v>9</v>
      </c>
      <c r="M2" s="27" t="s">
        <v>10</v>
      </c>
      <c r="N2" s="27" t="s">
        <v>28</v>
      </c>
      <c r="O2" s="27" t="s">
        <v>29</v>
      </c>
      <c r="P2" s="27" t="s">
        <v>33</v>
      </c>
      <c r="Q2" s="27" t="s">
        <v>35</v>
      </c>
      <c r="R2" s="27" t="s">
        <v>37</v>
      </c>
      <c r="S2" s="27" t="s">
        <v>39</v>
      </c>
      <c r="T2" s="27" t="s">
        <v>41</v>
      </c>
      <c r="U2" s="41" t="s">
        <v>13</v>
      </c>
      <c r="V2" s="27" t="s">
        <v>15</v>
      </c>
      <c r="W2" s="27" t="s">
        <v>49</v>
      </c>
      <c r="X2" s="27" t="s">
        <v>17</v>
      </c>
      <c r="Y2" s="27" t="s">
        <v>18</v>
      </c>
      <c r="Z2" s="27" t="s">
        <v>20</v>
      </c>
      <c r="AA2" s="27" t="s">
        <v>19</v>
      </c>
      <c r="AB2" s="27" t="s">
        <v>57</v>
      </c>
    </row>
    <row r="3" ht="78.75" customHeight="1">
      <c r="A3" s="36"/>
      <c r="B3" s="45" t="s">
        <v>62</v>
      </c>
      <c r="C3" s="45" t="s">
        <v>63</v>
      </c>
      <c r="D3" s="49" t="s">
        <v>68</v>
      </c>
      <c r="E3" s="54" t="s">
        <v>75</v>
      </c>
      <c r="F3" s="54" t="s">
        <v>85</v>
      </c>
      <c r="G3" s="49" t="s">
        <v>90</v>
      </c>
      <c r="H3" s="54">
        <v>102.0</v>
      </c>
      <c r="I3" s="54">
        <v>12.0</v>
      </c>
      <c r="J3" s="54" t="s">
        <v>92</v>
      </c>
      <c r="K3" s="54" t="s">
        <v>68</v>
      </c>
      <c r="L3" s="64" t="s">
        <v>94</v>
      </c>
      <c r="M3" s="66">
        <v>386.0</v>
      </c>
      <c r="N3" s="54">
        <v>132.0</v>
      </c>
      <c r="O3" s="69">
        <v>5062936.89</v>
      </c>
      <c r="P3" s="73">
        <v>1.116220684E7</v>
      </c>
      <c r="Q3" s="75">
        <v>2542612.0</v>
      </c>
      <c r="R3" s="75">
        <v>2886030.4</v>
      </c>
      <c r="S3" s="86">
        <f t="shared" ref="S3:S4" si="1">(R3-Q3)/Q3</f>
        <v>0.1350652007</v>
      </c>
      <c r="T3" s="73" t="s">
        <v>68</v>
      </c>
      <c r="U3" s="70" t="s">
        <v>111</v>
      </c>
      <c r="V3" s="64">
        <v>218.0</v>
      </c>
      <c r="W3" s="64"/>
      <c r="X3" s="64"/>
      <c r="Y3" s="64"/>
      <c r="Z3" s="64"/>
      <c r="AA3" s="64">
        <v>77.0</v>
      </c>
      <c r="AB3" s="64">
        <v>91.0</v>
      </c>
    </row>
    <row r="4" ht="97.5" customHeight="1">
      <c r="A4" s="36"/>
      <c r="B4" s="45" t="s">
        <v>113</v>
      </c>
      <c r="C4" s="45" t="s">
        <v>63</v>
      </c>
      <c r="D4" s="49" t="s">
        <v>68</v>
      </c>
      <c r="E4" s="54" t="s">
        <v>75</v>
      </c>
      <c r="F4" s="54" t="s">
        <v>85</v>
      </c>
      <c r="G4" s="49" t="s">
        <v>114</v>
      </c>
      <c r="H4" s="54">
        <v>103.0</v>
      </c>
      <c r="I4" s="54" t="s">
        <v>68</v>
      </c>
      <c r="J4" s="54" t="s">
        <v>68</v>
      </c>
      <c r="K4" s="54" t="s">
        <v>68</v>
      </c>
      <c r="L4" s="64" t="s">
        <v>115</v>
      </c>
      <c r="M4" s="94">
        <v>832.0</v>
      </c>
      <c r="N4" s="54">
        <v>516.0</v>
      </c>
      <c r="O4" s="69">
        <v>3921000.0</v>
      </c>
      <c r="P4" s="73">
        <v>1.667821775E7</v>
      </c>
      <c r="Q4" s="75">
        <v>3292000.0</v>
      </c>
      <c r="R4" s="75">
        <v>7635659.8</v>
      </c>
      <c r="S4" s="86">
        <f t="shared" si="1"/>
        <v>1.319459235</v>
      </c>
      <c r="T4" s="69" t="s">
        <v>68</v>
      </c>
      <c r="U4" s="70" t="s">
        <v>117</v>
      </c>
      <c r="V4" s="64">
        <v>419.0</v>
      </c>
      <c r="W4" s="64"/>
      <c r="X4" s="64"/>
      <c r="Y4" s="64"/>
      <c r="Z4" s="64"/>
      <c r="AA4" s="64">
        <v>169.0</v>
      </c>
      <c r="AB4" s="64">
        <v>244.0</v>
      </c>
    </row>
    <row r="5" ht="106.5" customHeight="1">
      <c r="A5" s="36"/>
      <c r="B5" s="45" t="s">
        <v>119</v>
      </c>
      <c r="C5" s="45" t="s">
        <v>63</v>
      </c>
      <c r="D5" s="49" t="s">
        <v>121</v>
      </c>
      <c r="E5" s="54" t="s">
        <v>4</v>
      </c>
      <c r="F5" s="54" t="s">
        <v>85</v>
      </c>
      <c r="G5" s="49" t="s">
        <v>123</v>
      </c>
      <c r="H5" s="54">
        <v>114.0</v>
      </c>
      <c r="I5" s="54" t="s">
        <v>68</v>
      </c>
      <c r="J5" s="54" t="s">
        <v>68</v>
      </c>
      <c r="K5" s="54">
        <v>99.0</v>
      </c>
      <c r="L5" s="64" t="s">
        <v>125</v>
      </c>
      <c r="M5" s="66">
        <v>626.0</v>
      </c>
      <c r="N5" s="54" t="s">
        <v>68</v>
      </c>
      <c r="O5" s="49" t="s">
        <v>68</v>
      </c>
      <c r="P5" s="69">
        <v>1.78E8</v>
      </c>
      <c r="Q5" s="54" t="s">
        <v>68</v>
      </c>
      <c r="R5" s="54" t="s">
        <v>68</v>
      </c>
      <c r="S5" s="86"/>
      <c r="T5" s="49" t="s">
        <v>68</v>
      </c>
      <c r="U5" s="70" t="s">
        <v>128</v>
      </c>
      <c r="V5" s="54"/>
      <c r="W5" s="54"/>
      <c r="X5" s="54">
        <v>493.0</v>
      </c>
      <c r="Y5" s="54">
        <v>133.0</v>
      </c>
      <c r="Z5" s="54"/>
      <c r="AA5" s="54"/>
      <c r="AB5" s="54"/>
    </row>
    <row r="6" ht="94.5" customHeight="1">
      <c r="A6" s="36"/>
      <c r="B6" s="45" t="s">
        <v>129</v>
      </c>
      <c r="C6" s="45" t="s">
        <v>63</v>
      </c>
      <c r="D6" s="49" t="s">
        <v>68</v>
      </c>
      <c r="E6" s="54" t="s">
        <v>75</v>
      </c>
      <c r="F6" s="54" t="s">
        <v>85</v>
      </c>
      <c r="G6" s="49" t="s">
        <v>133</v>
      </c>
      <c r="H6" s="54">
        <v>77.0</v>
      </c>
      <c r="I6" s="54" t="s">
        <v>68</v>
      </c>
      <c r="J6" s="54" t="s">
        <v>68</v>
      </c>
      <c r="K6" s="54" t="s">
        <v>68</v>
      </c>
      <c r="L6" s="64" t="s">
        <v>136</v>
      </c>
      <c r="M6" s="66">
        <v>628.0</v>
      </c>
      <c r="N6" s="54">
        <v>132.0</v>
      </c>
      <c r="O6" s="69">
        <v>3375684.39</v>
      </c>
      <c r="P6" s="69">
        <v>7695233.65</v>
      </c>
      <c r="Q6" s="49">
        <v>4831232.71</v>
      </c>
      <c r="R6" s="49">
        <v>8283645.51</v>
      </c>
      <c r="S6" s="86">
        <f t="shared" ref="S6:S7" si="2">(R6-Q6)/Q6</f>
        <v>0.7146028782</v>
      </c>
      <c r="T6" s="69" t="s">
        <v>68</v>
      </c>
      <c r="U6" s="70" t="s">
        <v>141</v>
      </c>
      <c r="V6" s="64">
        <v>441.0</v>
      </c>
      <c r="W6" s="64"/>
      <c r="X6" s="64"/>
      <c r="Y6" s="64"/>
      <c r="Z6" s="64"/>
      <c r="AA6" s="64">
        <v>120.0</v>
      </c>
      <c r="AB6" s="64">
        <v>67.0</v>
      </c>
    </row>
    <row r="7" ht="123.0" customHeight="1">
      <c r="A7" s="36"/>
      <c r="B7" s="45" t="s">
        <v>144</v>
      </c>
      <c r="C7" s="45" t="s">
        <v>63</v>
      </c>
      <c r="D7" s="49" t="s">
        <v>68</v>
      </c>
      <c r="E7" s="54" t="s">
        <v>75</v>
      </c>
      <c r="F7" s="54" t="s">
        <v>85</v>
      </c>
      <c r="G7" s="49" t="s">
        <v>133</v>
      </c>
      <c r="H7" s="54">
        <v>115.0</v>
      </c>
      <c r="I7" s="54" t="s">
        <v>68</v>
      </c>
      <c r="J7" s="54" t="s">
        <v>68</v>
      </c>
      <c r="K7" s="54" t="s">
        <v>68</v>
      </c>
      <c r="L7" s="64" t="s">
        <v>147</v>
      </c>
      <c r="M7" s="66">
        <v>499.0</v>
      </c>
      <c r="N7" s="54">
        <v>204.0</v>
      </c>
      <c r="O7" s="69">
        <v>5063526.58</v>
      </c>
      <c r="P7" s="69">
        <v>1.604439489E7</v>
      </c>
      <c r="Q7" s="49">
        <v>1857244.95</v>
      </c>
      <c r="R7" s="49">
        <v>3738387.41</v>
      </c>
      <c r="S7" s="86">
        <f t="shared" si="2"/>
        <v>1.012867183</v>
      </c>
      <c r="T7" s="69" t="s">
        <v>68</v>
      </c>
      <c r="U7" s="70" t="s">
        <v>149</v>
      </c>
      <c r="V7" s="64">
        <v>249.0</v>
      </c>
      <c r="W7" s="64">
        <v>2.0</v>
      </c>
      <c r="X7" s="64"/>
      <c r="Y7" s="64"/>
      <c r="Z7" s="64"/>
      <c r="AA7" s="64">
        <v>127.0</v>
      </c>
      <c r="AB7" s="64">
        <v>121.0</v>
      </c>
    </row>
    <row r="8" ht="149.25" customHeight="1">
      <c r="A8" s="36"/>
      <c r="B8" s="116" t="s">
        <v>151</v>
      </c>
      <c r="C8" s="45" t="s">
        <v>63</v>
      </c>
      <c r="D8" s="49" t="s">
        <v>68</v>
      </c>
      <c r="E8" s="54" t="s">
        <v>75</v>
      </c>
      <c r="F8" s="54" t="s">
        <v>85</v>
      </c>
      <c r="G8" s="49" t="s">
        <v>159</v>
      </c>
      <c r="H8" s="54">
        <v>10.0</v>
      </c>
      <c r="I8" s="54" t="s">
        <v>68</v>
      </c>
      <c r="J8" s="54" t="s">
        <v>68</v>
      </c>
      <c r="K8" s="54" t="s">
        <v>68</v>
      </c>
      <c r="L8" s="64" t="s">
        <v>162</v>
      </c>
      <c r="M8" s="66">
        <v>13.0</v>
      </c>
      <c r="N8" s="54">
        <v>3.0</v>
      </c>
      <c r="O8" s="69" t="s">
        <v>68</v>
      </c>
      <c r="P8" s="73">
        <v>9639104.8</v>
      </c>
      <c r="Q8" s="54" t="s">
        <v>68</v>
      </c>
      <c r="R8" s="54" t="s">
        <v>68</v>
      </c>
      <c r="S8" s="123" t="s">
        <v>68</v>
      </c>
      <c r="T8" s="69" t="s">
        <v>68</v>
      </c>
      <c r="U8" s="70" t="s">
        <v>168</v>
      </c>
      <c r="V8" s="64"/>
      <c r="W8" s="64"/>
      <c r="X8" s="64"/>
      <c r="Y8" s="64"/>
      <c r="Z8" s="64"/>
      <c r="AA8" s="64"/>
      <c r="AB8" s="64"/>
    </row>
    <row r="9" ht="112.5" customHeight="1">
      <c r="A9" s="36"/>
      <c r="B9" s="116" t="s">
        <v>171</v>
      </c>
      <c r="C9" s="45" t="s">
        <v>63</v>
      </c>
      <c r="D9" s="49" t="s">
        <v>68</v>
      </c>
      <c r="E9" s="54" t="s">
        <v>75</v>
      </c>
      <c r="F9" s="54" t="s">
        <v>85</v>
      </c>
      <c r="G9" s="49" t="s">
        <v>175</v>
      </c>
      <c r="H9" s="54">
        <v>77.0</v>
      </c>
      <c r="I9" s="54" t="s">
        <v>68</v>
      </c>
      <c r="J9" s="54" t="s">
        <v>68</v>
      </c>
      <c r="K9" s="54" t="s">
        <v>68</v>
      </c>
      <c r="L9" s="64" t="s">
        <v>178</v>
      </c>
      <c r="M9" s="66">
        <v>525.0</v>
      </c>
      <c r="N9" s="54">
        <v>192.0</v>
      </c>
      <c r="O9" s="69">
        <v>4162937.89</v>
      </c>
      <c r="P9" s="69">
        <v>1.358819383E7</v>
      </c>
      <c r="Q9" s="49">
        <v>2985642.0</v>
      </c>
      <c r="R9" s="49">
        <v>3597132.0</v>
      </c>
      <c r="S9" s="86">
        <f>(R9-Q9)/Q9</f>
        <v>0.2048102217</v>
      </c>
      <c r="T9" s="69" t="s">
        <v>68</v>
      </c>
      <c r="U9" s="70" t="s">
        <v>182</v>
      </c>
      <c r="V9" s="64">
        <v>400.0</v>
      </c>
      <c r="W9" s="64"/>
      <c r="X9" s="64"/>
      <c r="Y9" s="64"/>
      <c r="Z9" s="64"/>
      <c r="AA9" s="64"/>
      <c r="AB9" s="64">
        <v>125.0</v>
      </c>
    </row>
    <row r="10" ht="111.0" customHeight="1">
      <c r="A10" s="36"/>
      <c r="B10" s="116" t="s">
        <v>185</v>
      </c>
      <c r="C10" s="45" t="s">
        <v>63</v>
      </c>
      <c r="D10" s="49" t="s">
        <v>186</v>
      </c>
      <c r="E10" s="54" t="s">
        <v>4</v>
      </c>
      <c r="F10" s="54" t="s">
        <v>85</v>
      </c>
      <c r="G10" s="49" t="s">
        <v>189</v>
      </c>
      <c r="H10" s="54">
        <v>290.0</v>
      </c>
      <c r="I10" s="54">
        <v>30.0</v>
      </c>
      <c r="J10" s="54" t="s">
        <v>190</v>
      </c>
      <c r="K10" s="54" t="s">
        <v>68</v>
      </c>
      <c r="L10" s="64" t="s">
        <v>191</v>
      </c>
      <c r="M10" s="66">
        <v>1791.0</v>
      </c>
      <c r="N10" s="54" t="s">
        <v>68</v>
      </c>
      <c r="O10" s="49" t="s">
        <v>68</v>
      </c>
      <c r="P10" s="69">
        <v>2.095452353E7</v>
      </c>
      <c r="Q10" s="49" t="s">
        <v>68</v>
      </c>
      <c r="R10" s="49" t="s">
        <v>68</v>
      </c>
      <c r="S10" s="54" t="s">
        <v>68</v>
      </c>
      <c r="T10" s="49">
        <v>1.5998248639E8</v>
      </c>
      <c r="U10" s="70" t="s">
        <v>195</v>
      </c>
      <c r="V10" s="54"/>
      <c r="W10" s="54"/>
      <c r="X10" s="66">
        <v>1469.0</v>
      </c>
      <c r="Y10" s="54">
        <v>336.0</v>
      </c>
      <c r="Z10" s="54"/>
      <c r="AA10" s="54"/>
      <c r="AB10" s="54"/>
    </row>
    <row r="11" ht="170.25" customHeight="1">
      <c r="A11" s="36"/>
      <c r="B11" s="116" t="s">
        <v>197</v>
      </c>
      <c r="C11" s="45" t="s">
        <v>63</v>
      </c>
      <c r="D11" s="49" t="s">
        <v>121</v>
      </c>
      <c r="E11" s="54" t="s">
        <v>4</v>
      </c>
      <c r="F11" s="54" t="s">
        <v>85</v>
      </c>
      <c r="G11" s="49" t="s">
        <v>199</v>
      </c>
      <c r="H11" s="54">
        <v>150.0</v>
      </c>
      <c r="I11" s="54" t="s">
        <v>200</v>
      </c>
      <c r="J11" s="54" t="s">
        <v>68</v>
      </c>
      <c r="K11" s="54" t="s">
        <v>68</v>
      </c>
      <c r="L11" s="64" t="s">
        <v>201</v>
      </c>
      <c r="M11" s="66">
        <v>780.0</v>
      </c>
      <c r="N11" s="54" t="s">
        <v>68</v>
      </c>
      <c r="O11" s="49" t="s">
        <v>68</v>
      </c>
      <c r="P11" s="69">
        <v>1238197.74</v>
      </c>
      <c r="Q11" s="54" t="s">
        <v>68</v>
      </c>
      <c r="R11" s="54" t="s">
        <v>68</v>
      </c>
      <c r="S11" s="54" t="s">
        <v>68</v>
      </c>
      <c r="T11" s="49">
        <v>6.264543442E7</v>
      </c>
      <c r="U11" s="70" t="s">
        <v>202</v>
      </c>
      <c r="V11" s="54"/>
      <c r="W11" s="54"/>
      <c r="X11" s="54">
        <v>704.0</v>
      </c>
      <c r="Y11" s="54">
        <v>76.0</v>
      </c>
      <c r="Z11" s="54"/>
      <c r="AA11" s="54"/>
      <c r="AB11" s="54"/>
    </row>
    <row r="12" ht="174.0" customHeight="1">
      <c r="A12" s="36"/>
      <c r="B12" s="116" t="s">
        <v>204</v>
      </c>
      <c r="C12" s="45" t="s">
        <v>63</v>
      </c>
      <c r="D12" s="49" t="s">
        <v>186</v>
      </c>
      <c r="E12" s="54" t="s">
        <v>4</v>
      </c>
      <c r="F12" s="54" t="s">
        <v>85</v>
      </c>
      <c r="G12" s="145" t="s">
        <v>207</v>
      </c>
      <c r="H12" s="54">
        <v>157.0</v>
      </c>
      <c r="I12" s="54">
        <v>10.0</v>
      </c>
      <c r="J12" s="54" t="s">
        <v>209</v>
      </c>
      <c r="K12" s="54" t="s">
        <v>68</v>
      </c>
      <c r="L12" s="64" t="s">
        <v>211</v>
      </c>
      <c r="M12" s="66">
        <v>1205.0</v>
      </c>
      <c r="N12" s="54" t="s">
        <v>68</v>
      </c>
      <c r="O12" s="49" t="s">
        <v>68</v>
      </c>
      <c r="P12" s="69">
        <v>1.451153385E7</v>
      </c>
      <c r="Q12" s="49" t="s">
        <v>68</v>
      </c>
      <c r="R12" s="49" t="s">
        <v>68</v>
      </c>
      <c r="S12" s="54" t="s">
        <v>68</v>
      </c>
      <c r="T12" s="49">
        <v>1.1644544571E8</v>
      </c>
      <c r="U12" s="70" t="s">
        <v>216</v>
      </c>
      <c r="V12" s="54"/>
      <c r="W12" s="54"/>
      <c r="X12" s="54"/>
      <c r="Y12" s="54"/>
      <c r="Z12" s="54"/>
      <c r="AA12" s="54"/>
      <c r="AB12" s="54"/>
    </row>
    <row r="13" ht="97.5" customHeight="1">
      <c r="A13" s="148"/>
      <c r="B13" s="116" t="s">
        <v>218</v>
      </c>
      <c r="C13" s="45" t="s">
        <v>63</v>
      </c>
      <c r="D13" s="49" t="s">
        <v>186</v>
      </c>
      <c r="E13" s="54" t="s">
        <v>4</v>
      </c>
      <c r="F13" s="54" t="s">
        <v>85</v>
      </c>
      <c r="G13" s="145" t="s">
        <v>221</v>
      </c>
      <c r="H13" s="54">
        <v>181.0</v>
      </c>
      <c r="I13" s="54">
        <v>1.0</v>
      </c>
      <c r="J13" s="54" t="s">
        <v>209</v>
      </c>
      <c r="K13" s="54" t="s">
        <v>68</v>
      </c>
      <c r="L13" s="64" t="s">
        <v>223</v>
      </c>
      <c r="M13" s="66">
        <v>1254.0</v>
      </c>
      <c r="N13" s="54" t="s">
        <v>68</v>
      </c>
      <c r="O13" s="49" t="s">
        <v>68</v>
      </c>
      <c r="P13" s="150">
        <v>1.026214966E7</v>
      </c>
      <c r="Q13" s="49" t="s">
        <v>68</v>
      </c>
      <c r="R13" s="49" t="s">
        <v>68</v>
      </c>
      <c r="S13" s="54" t="s">
        <v>68</v>
      </c>
      <c r="T13" s="49">
        <v>1.0211073789E8</v>
      </c>
      <c r="U13" s="70" t="s">
        <v>228</v>
      </c>
      <c r="V13" s="54"/>
      <c r="W13" s="54"/>
      <c r="X13" s="54"/>
      <c r="Y13" s="54"/>
      <c r="Z13" s="54"/>
      <c r="AA13" s="54"/>
      <c r="AB13" s="54"/>
    </row>
    <row r="14" ht="130.5" customHeight="1">
      <c r="A14" s="36"/>
      <c r="B14" s="116" t="s">
        <v>230</v>
      </c>
      <c r="C14" s="45" t="s">
        <v>63</v>
      </c>
      <c r="D14" s="49" t="s">
        <v>186</v>
      </c>
      <c r="E14" s="54" t="s">
        <v>4</v>
      </c>
      <c r="F14" s="54" t="s">
        <v>85</v>
      </c>
      <c r="G14" s="49" t="s">
        <v>232</v>
      </c>
      <c r="H14" s="54">
        <v>150.0</v>
      </c>
      <c r="I14" s="54" t="s">
        <v>68</v>
      </c>
      <c r="J14" s="54" t="s">
        <v>68</v>
      </c>
      <c r="K14" s="54" t="s">
        <v>68</v>
      </c>
      <c r="L14" s="64" t="s">
        <v>234</v>
      </c>
      <c r="M14" s="66">
        <v>1546.0</v>
      </c>
      <c r="N14" s="54" t="s">
        <v>68</v>
      </c>
      <c r="O14" s="49" t="s">
        <v>68</v>
      </c>
      <c r="P14" s="69">
        <v>8675544.46</v>
      </c>
      <c r="Q14" s="49" t="s">
        <v>68</v>
      </c>
      <c r="R14" s="49" t="s">
        <v>68</v>
      </c>
      <c r="S14" s="54" t="s">
        <v>68</v>
      </c>
      <c r="T14" s="49">
        <v>1.0731685679E8</v>
      </c>
      <c r="U14" s="70" t="s">
        <v>239</v>
      </c>
      <c r="V14" s="54"/>
      <c r="W14" s="54"/>
      <c r="X14" s="66">
        <v>1274.0</v>
      </c>
      <c r="Y14" s="54">
        <v>272.0</v>
      </c>
      <c r="Z14" s="54"/>
      <c r="AA14" s="54"/>
      <c r="AB14" s="54"/>
    </row>
    <row r="15" ht="138.75" customHeight="1">
      <c r="A15" s="36"/>
      <c r="B15" s="116" t="s">
        <v>242</v>
      </c>
      <c r="C15" s="45" t="s">
        <v>63</v>
      </c>
      <c r="D15" s="49" t="s">
        <v>68</v>
      </c>
      <c r="E15" s="54" t="s">
        <v>75</v>
      </c>
      <c r="F15" s="54" t="s">
        <v>108</v>
      </c>
      <c r="G15" s="49" t="s">
        <v>243</v>
      </c>
      <c r="H15" s="54">
        <v>69.0</v>
      </c>
      <c r="I15" s="54" t="s">
        <v>68</v>
      </c>
      <c r="J15" s="54" t="s">
        <v>68</v>
      </c>
      <c r="K15" s="54" t="s">
        <v>68</v>
      </c>
      <c r="L15" s="64" t="s">
        <v>245</v>
      </c>
      <c r="M15" s="66">
        <v>655.0</v>
      </c>
      <c r="N15" s="54">
        <v>68.0</v>
      </c>
      <c r="O15" s="69">
        <v>4184442.93</v>
      </c>
      <c r="P15" s="69">
        <v>1.335889508E7</v>
      </c>
      <c r="Q15" s="49">
        <v>2828257.2</v>
      </c>
      <c r="R15" s="49">
        <v>1.26795196E7</v>
      </c>
      <c r="S15" s="86">
        <f>(R15-Q15)/Q15</f>
        <v>3.483156482</v>
      </c>
      <c r="T15" s="69" t="s">
        <v>68</v>
      </c>
      <c r="U15" s="70" t="s">
        <v>256</v>
      </c>
      <c r="V15" s="64">
        <v>423.0</v>
      </c>
      <c r="W15" s="64"/>
      <c r="X15" s="64"/>
      <c r="Y15" s="64"/>
      <c r="Z15" s="64"/>
      <c r="AA15" s="64">
        <v>105.0</v>
      </c>
      <c r="AB15" s="64">
        <v>127.0</v>
      </c>
    </row>
    <row r="16" ht="111.75" customHeight="1">
      <c r="A16" s="36"/>
      <c r="B16" s="116" t="s">
        <v>257</v>
      </c>
      <c r="C16" s="45" t="s">
        <v>63</v>
      </c>
      <c r="D16" s="49" t="s">
        <v>258</v>
      </c>
      <c r="E16" s="54" t="s">
        <v>4</v>
      </c>
      <c r="F16" s="54" t="s">
        <v>99</v>
      </c>
      <c r="G16" s="49" t="s">
        <v>259</v>
      </c>
      <c r="H16" s="54">
        <v>57.0</v>
      </c>
      <c r="I16" s="54" t="s">
        <v>68</v>
      </c>
      <c r="J16" s="54" t="s">
        <v>68</v>
      </c>
      <c r="K16" s="54" t="s">
        <v>68</v>
      </c>
      <c r="L16" s="64" t="s">
        <v>260</v>
      </c>
      <c r="M16" s="66">
        <v>473.0</v>
      </c>
      <c r="N16" s="54" t="s">
        <v>68</v>
      </c>
      <c r="O16" s="49" t="s">
        <v>68</v>
      </c>
      <c r="P16" s="150">
        <v>2670011.77</v>
      </c>
      <c r="Q16" s="49" t="s">
        <v>68</v>
      </c>
      <c r="R16" s="49" t="s">
        <v>68</v>
      </c>
      <c r="S16" s="54" t="s">
        <v>68</v>
      </c>
      <c r="T16" s="49">
        <v>3.141697937E7</v>
      </c>
      <c r="U16" s="70" t="s">
        <v>262</v>
      </c>
      <c r="V16" s="54"/>
      <c r="W16" s="54"/>
      <c r="X16" s="54">
        <v>380.0</v>
      </c>
      <c r="Y16" s="54">
        <v>93.0</v>
      </c>
      <c r="Z16" s="54"/>
      <c r="AA16" s="54"/>
      <c r="AB16" s="54"/>
    </row>
    <row r="17" ht="162.0" customHeight="1">
      <c r="A17" s="36"/>
      <c r="B17" s="116" t="s">
        <v>264</v>
      </c>
      <c r="C17" s="45" t="s">
        <v>63</v>
      </c>
      <c r="D17" s="49" t="s">
        <v>121</v>
      </c>
      <c r="E17" s="54" t="s">
        <v>4</v>
      </c>
      <c r="F17" s="54" t="s">
        <v>85</v>
      </c>
      <c r="G17" s="49" t="s">
        <v>265</v>
      </c>
      <c r="H17" s="54">
        <v>129.0</v>
      </c>
      <c r="I17" s="54" t="s">
        <v>68</v>
      </c>
      <c r="J17" s="54" t="s">
        <v>68</v>
      </c>
      <c r="K17" s="54" t="s">
        <v>68</v>
      </c>
      <c r="L17" s="64" t="s">
        <v>266</v>
      </c>
      <c r="M17" s="66">
        <v>965.0</v>
      </c>
      <c r="N17" s="54" t="s">
        <v>68</v>
      </c>
      <c r="O17" s="49" t="s">
        <v>68</v>
      </c>
      <c r="P17" s="150">
        <v>1754469.05</v>
      </c>
      <c r="Q17" s="49" t="s">
        <v>68</v>
      </c>
      <c r="R17" s="49" t="s">
        <v>68</v>
      </c>
      <c r="S17" s="54" t="s">
        <v>68</v>
      </c>
      <c r="T17" s="49">
        <v>5.938690557E7</v>
      </c>
      <c r="U17" s="70" t="s">
        <v>270</v>
      </c>
      <c r="V17" s="54"/>
      <c r="W17" s="54"/>
      <c r="X17" s="54"/>
      <c r="Y17" s="54"/>
      <c r="Z17" s="54"/>
      <c r="AA17" s="54"/>
      <c r="AB17" s="54"/>
    </row>
    <row r="18">
      <c r="A18" s="36"/>
      <c r="B18" s="116" t="s">
        <v>271</v>
      </c>
      <c r="C18" s="45" t="s">
        <v>63</v>
      </c>
      <c r="D18" s="49" t="s">
        <v>258</v>
      </c>
      <c r="E18" s="54" t="s">
        <v>4</v>
      </c>
      <c r="F18" s="54" t="s">
        <v>132</v>
      </c>
      <c r="G18" s="49" t="s">
        <v>273</v>
      </c>
      <c r="H18" s="54">
        <v>184.0</v>
      </c>
      <c r="I18" s="54" t="s">
        <v>68</v>
      </c>
      <c r="J18" s="54" t="s">
        <v>68</v>
      </c>
      <c r="K18" s="54" t="s">
        <v>68</v>
      </c>
      <c r="L18" s="64" t="s">
        <v>275</v>
      </c>
      <c r="M18" s="66">
        <v>1400.0</v>
      </c>
      <c r="N18" s="54" t="s">
        <v>68</v>
      </c>
      <c r="O18" s="49" t="s">
        <v>68</v>
      </c>
      <c r="P18" s="69">
        <v>6740221.74</v>
      </c>
      <c r="Q18" s="49" t="s">
        <v>68</v>
      </c>
      <c r="R18" s="49" t="s">
        <v>68</v>
      </c>
      <c r="S18" s="54" t="s">
        <v>68</v>
      </c>
      <c r="T18" s="49">
        <v>6.321452366E7</v>
      </c>
      <c r="U18" s="70" t="s">
        <v>278</v>
      </c>
      <c r="V18" s="54">
        <v>232.0</v>
      </c>
      <c r="W18" s="54"/>
      <c r="X18" s="54">
        <v>927.0</v>
      </c>
      <c r="Y18" s="54"/>
      <c r="Z18" s="54"/>
      <c r="AA18" s="54">
        <v>241.0</v>
      </c>
      <c r="AB18" s="54"/>
    </row>
    <row r="19" ht="135.0" customHeight="1">
      <c r="A19" s="36"/>
      <c r="B19" s="116" t="s">
        <v>279</v>
      </c>
      <c r="C19" s="45" t="s">
        <v>63</v>
      </c>
      <c r="D19" s="49" t="s">
        <v>121</v>
      </c>
      <c r="E19" s="54" t="s">
        <v>4</v>
      </c>
      <c r="F19" s="54" t="s">
        <v>153</v>
      </c>
      <c r="G19" s="49" t="s">
        <v>282</v>
      </c>
      <c r="H19" s="54">
        <v>207.0</v>
      </c>
      <c r="I19" s="54" t="s">
        <v>68</v>
      </c>
      <c r="J19" s="54" t="s">
        <v>68</v>
      </c>
      <c r="K19" s="54" t="s">
        <v>68</v>
      </c>
      <c r="L19" s="64" t="s">
        <v>283</v>
      </c>
      <c r="M19" s="66">
        <v>2710.0</v>
      </c>
      <c r="N19" s="54" t="s">
        <v>68</v>
      </c>
      <c r="O19" s="49" t="s">
        <v>68</v>
      </c>
      <c r="P19" s="69">
        <v>1.994374738E7</v>
      </c>
      <c r="Q19" s="49" t="s">
        <v>68</v>
      </c>
      <c r="R19" s="49" t="s">
        <v>68</v>
      </c>
      <c r="S19" s="54" t="s">
        <v>68</v>
      </c>
      <c r="T19" s="49">
        <v>2.4337626168E8</v>
      </c>
      <c r="U19" s="70" t="s">
        <v>285</v>
      </c>
      <c r="V19" s="54"/>
      <c r="W19" s="54"/>
      <c r="X19" s="54">
        <v>2501.0</v>
      </c>
      <c r="Y19" s="54">
        <v>209.0</v>
      </c>
      <c r="Z19" s="54"/>
      <c r="AA19" s="54"/>
      <c r="AB19" s="54"/>
    </row>
    <row r="20">
      <c r="A20" s="36"/>
      <c r="B20" s="116" t="s">
        <v>287</v>
      </c>
      <c r="C20" s="45" t="s">
        <v>63</v>
      </c>
      <c r="D20" s="49" t="s">
        <v>289</v>
      </c>
      <c r="E20" s="54" t="s">
        <v>4</v>
      </c>
      <c r="F20" s="54" t="s">
        <v>153</v>
      </c>
      <c r="G20" s="49" t="s">
        <v>290</v>
      </c>
      <c r="H20" s="54">
        <v>60.0</v>
      </c>
      <c r="I20" s="54" t="s">
        <v>68</v>
      </c>
      <c r="J20" s="54" t="s">
        <v>68</v>
      </c>
      <c r="K20" s="54" t="s">
        <v>68</v>
      </c>
      <c r="L20" s="64" t="s">
        <v>292</v>
      </c>
      <c r="M20" s="66">
        <v>217.0</v>
      </c>
      <c r="N20" s="54" t="s">
        <v>68</v>
      </c>
      <c r="O20" s="49" t="s">
        <v>68</v>
      </c>
      <c r="P20" s="69">
        <v>4922953.63</v>
      </c>
      <c r="Q20" s="49" t="s">
        <v>68</v>
      </c>
      <c r="R20" s="49" t="s">
        <v>68</v>
      </c>
      <c r="S20" s="54" t="s">
        <v>68</v>
      </c>
      <c r="T20" s="49">
        <v>1.722605632E7</v>
      </c>
      <c r="U20" s="70" t="s">
        <v>293</v>
      </c>
      <c r="V20" s="54"/>
      <c r="W20" s="54"/>
      <c r="X20" s="54">
        <v>217.0</v>
      </c>
      <c r="Y20" s="54"/>
      <c r="Z20" s="54"/>
      <c r="AA20" s="54"/>
      <c r="AB20" s="54"/>
    </row>
    <row r="21" ht="140.25" customHeight="1">
      <c r="A21" s="36"/>
      <c r="B21" s="116" t="s">
        <v>295</v>
      </c>
      <c r="C21" s="45" t="s">
        <v>63</v>
      </c>
      <c r="D21" s="49" t="s">
        <v>68</v>
      </c>
      <c r="E21" s="54" t="s">
        <v>75</v>
      </c>
      <c r="F21" s="54" t="s">
        <v>183</v>
      </c>
      <c r="G21" s="49" t="s">
        <v>297</v>
      </c>
      <c r="H21" s="54">
        <v>156.0</v>
      </c>
      <c r="I21" s="54">
        <v>5.0</v>
      </c>
      <c r="J21" s="54" t="s">
        <v>298</v>
      </c>
      <c r="K21" s="54" t="s">
        <v>68</v>
      </c>
      <c r="L21" s="64" t="s">
        <v>299</v>
      </c>
      <c r="M21" s="66">
        <v>596.0</v>
      </c>
      <c r="N21" s="54">
        <v>386.0</v>
      </c>
      <c r="O21" s="69">
        <v>5359937.89</v>
      </c>
      <c r="P21" s="69">
        <v>2.186986914E7</v>
      </c>
      <c r="Q21" s="49">
        <v>8807953.09</v>
      </c>
      <c r="R21" s="49">
        <v>1.391788995E7</v>
      </c>
      <c r="S21" s="86">
        <f t="shared" ref="S21:S22" si="3">(R21-Q21)/Q21</f>
        <v>0.5801503264</v>
      </c>
      <c r="T21" s="69" t="s">
        <v>68</v>
      </c>
      <c r="U21" s="70" t="s">
        <v>305</v>
      </c>
      <c r="V21" s="64">
        <v>63.0</v>
      </c>
      <c r="W21" s="64"/>
      <c r="X21" s="64"/>
      <c r="Y21" s="64"/>
      <c r="Z21" s="64"/>
      <c r="AA21" s="64">
        <v>164.0</v>
      </c>
      <c r="AB21" s="64">
        <v>369.0</v>
      </c>
    </row>
    <row r="22" ht="187.5" customHeight="1">
      <c r="A22" s="36"/>
      <c r="B22" s="116" t="s">
        <v>306</v>
      </c>
      <c r="C22" s="45" t="s">
        <v>63</v>
      </c>
      <c r="D22" s="49" t="s">
        <v>68</v>
      </c>
      <c r="E22" s="54" t="s">
        <v>75</v>
      </c>
      <c r="F22" s="54" t="s">
        <v>213</v>
      </c>
      <c r="G22" s="49" t="s">
        <v>308</v>
      </c>
      <c r="H22" s="54">
        <v>159.0</v>
      </c>
      <c r="I22" s="54">
        <v>20.0</v>
      </c>
      <c r="J22" s="54" t="s">
        <v>310</v>
      </c>
      <c r="K22" s="54" t="s">
        <v>68</v>
      </c>
      <c r="L22" s="64" t="s">
        <v>311</v>
      </c>
      <c r="M22" s="66">
        <v>998.0</v>
      </c>
      <c r="N22" s="54">
        <v>472.0</v>
      </c>
      <c r="O22" s="69">
        <v>5716381.14</v>
      </c>
      <c r="P22" s="69">
        <v>1.523960322E7</v>
      </c>
      <c r="Q22" s="49">
        <v>7496505.37</v>
      </c>
      <c r="R22" s="49">
        <v>1.551960895E7</v>
      </c>
      <c r="S22" s="86">
        <f t="shared" si="3"/>
        <v>1.070245826</v>
      </c>
      <c r="T22" s="69" t="s">
        <v>68</v>
      </c>
      <c r="U22" s="70" t="s">
        <v>312</v>
      </c>
      <c r="V22" s="64">
        <v>572.0</v>
      </c>
      <c r="W22" s="64"/>
      <c r="X22" s="64"/>
      <c r="Y22" s="64"/>
      <c r="Z22" s="64"/>
      <c r="AA22" s="64">
        <v>76.0</v>
      </c>
      <c r="AB22" s="64">
        <v>350.0</v>
      </c>
    </row>
    <row r="23" ht="192.75" customHeight="1">
      <c r="A23" s="36"/>
      <c r="B23" s="116" t="s">
        <v>314</v>
      </c>
      <c r="C23" s="45" t="s">
        <v>63</v>
      </c>
      <c r="D23" s="49" t="s">
        <v>121</v>
      </c>
      <c r="E23" s="54" t="s">
        <v>4</v>
      </c>
      <c r="F23" s="54" t="s">
        <v>120</v>
      </c>
      <c r="G23" s="49" t="s">
        <v>318</v>
      </c>
      <c r="H23" s="54">
        <v>165.0</v>
      </c>
      <c r="I23" s="54">
        <v>4.0</v>
      </c>
      <c r="J23" s="54" t="s">
        <v>319</v>
      </c>
      <c r="K23" s="54" t="s">
        <v>68</v>
      </c>
      <c r="L23" s="64" t="s">
        <v>320</v>
      </c>
      <c r="M23" s="66">
        <v>1378.0</v>
      </c>
      <c r="N23" s="54" t="s">
        <v>68</v>
      </c>
      <c r="O23" s="49" t="s">
        <v>68</v>
      </c>
      <c r="P23" s="69">
        <v>5769003.71</v>
      </c>
      <c r="Q23" s="177" t="s">
        <v>68</v>
      </c>
      <c r="R23" s="177" t="s">
        <v>68</v>
      </c>
      <c r="S23" s="54" t="s">
        <v>68</v>
      </c>
      <c r="T23" s="179">
        <v>6.964865369E7</v>
      </c>
      <c r="U23" s="70" t="s">
        <v>324</v>
      </c>
      <c r="V23" s="54">
        <v>208.0</v>
      </c>
      <c r="W23" s="54"/>
      <c r="X23" s="54">
        <v>1080.0</v>
      </c>
      <c r="Y23" s="54"/>
      <c r="Z23" s="54"/>
      <c r="AA23" s="54">
        <v>90.0</v>
      </c>
      <c r="AB23" s="54"/>
    </row>
    <row r="24" ht="117.75" customHeight="1">
      <c r="A24" s="36"/>
      <c r="B24" s="116" t="s">
        <v>326</v>
      </c>
      <c r="C24" s="45" t="s">
        <v>63</v>
      </c>
      <c r="D24" s="49" t="s">
        <v>327</v>
      </c>
      <c r="E24" s="54" t="s">
        <v>4</v>
      </c>
      <c r="F24" s="54" t="s">
        <v>224</v>
      </c>
      <c r="G24" s="49" t="s">
        <v>329</v>
      </c>
      <c r="H24" s="54">
        <v>53.0</v>
      </c>
      <c r="I24" s="54">
        <v>10.0</v>
      </c>
      <c r="J24" s="54" t="s">
        <v>298</v>
      </c>
      <c r="K24" s="54" t="s">
        <v>68</v>
      </c>
      <c r="L24" s="64" t="s">
        <v>332</v>
      </c>
      <c r="M24" s="66">
        <v>794.0</v>
      </c>
      <c r="N24" s="54" t="s">
        <v>68</v>
      </c>
      <c r="O24" s="49" t="s">
        <v>68</v>
      </c>
      <c r="P24" s="180">
        <v>7128698.26</v>
      </c>
      <c r="Q24" s="181" t="s">
        <v>68</v>
      </c>
      <c r="R24" s="181" t="s">
        <v>68</v>
      </c>
      <c r="S24" s="54" t="s">
        <v>68</v>
      </c>
      <c r="T24" s="182" t="s">
        <v>335</v>
      </c>
      <c r="U24" s="70" t="s">
        <v>338</v>
      </c>
      <c r="V24" s="54">
        <v>157.0</v>
      </c>
      <c r="W24" s="54"/>
      <c r="X24" s="54">
        <v>566.0</v>
      </c>
      <c r="Y24" s="54">
        <v>71.0</v>
      </c>
      <c r="Z24" s="54"/>
      <c r="AA24" s="54"/>
      <c r="AB24" s="54"/>
    </row>
    <row r="25" ht="429.0" customHeight="1">
      <c r="A25" s="36"/>
      <c r="B25" s="116" t="s">
        <v>341</v>
      </c>
      <c r="C25" s="45" t="s">
        <v>63</v>
      </c>
      <c r="D25" s="49" t="s">
        <v>68</v>
      </c>
      <c r="E25" s="54" t="s">
        <v>75</v>
      </c>
      <c r="F25" s="54" t="s">
        <v>85</v>
      </c>
      <c r="G25" s="49" t="s">
        <v>343</v>
      </c>
      <c r="H25" s="183">
        <v>66.0</v>
      </c>
      <c r="I25" s="183"/>
      <c r="J25" s="183"/>
      <c r="K25" s="183"/>
      <c r="L25" s="64" t="s">
        <v>345</v>
      </c>
      <c r="M25" s="185">
        <v>627.0</v>
      </c>
      <c r="N25" s="54">
        <v>210.0</v>
      </c>
      <c r="O25" s="69">
        <v>4237827.79</v>
      </c>
      <c r="P25" s="69">
        <v>1.103387034E7</v>
      </c>
      <c r="Q25" s="49">
        <v>5515170.69</v>
      </c>
      <c r="R25" s="49">
        <v>1.178376069E7</v>
      </c>
      <c r="S25" s="86">
        <f>(R25-Q25)/Q25</f>
        <v>1.136608521</v>
      </c>
      <c r="T25" s="69" t="s">
        <v>68</v>
      </c>
      <c r="U25" s="188" t="s">
        <v>351</v>
      </c>
      <c r="V25" s="123">
        <v>495.0</v>
      </c>
      <c r="W25" s="123"/>
      <c r="X25" s="123"/>
      <c r="Y25" s="123"/>
      <c r="Z25" s="123"/>
      <c r="AA25" s="123">
        <v>48.0</v>
      </c>
      <c r="AB25" s="123">
        <v>84.0</v>
      </c>
    </row>
    <row r="26" ht="124.5" customHeight="1">
      <c r="A26" s="36"/>
      <c r="B26" s="116" t="s">
        <v>354</v>
      </c>
      <c r="C26" s="45" t="s">
        <v>63</v>
      </c>
      <c r="D26" s="49" t="s">
        <v>121</v>
      </c>
      <c r="E26" s="54" t="s">
        <v>4</v>
      </c>
      <c r="F26" s="54" t="s">
        <v>249</v>
      </c>
      <c r="G26" s="49" t="s">
        <v>356</v>
      </c>
      <c r="H26" s="191">
        <f>182+40</f>
        <v>222</v>
      </c>
      <c r="I26" s="54">
        <v>92.0</v>
      </c>
      <c r="J26" s="54" t="s">
        <v>362</v>
      </c>
      <c r="K26" s="54" t="s">
        <v>68</v>
      </c>
      <c r="L26" s="64" t="s">
        <v>363</v>
      </c>
      <c r="M26" s="66">
        <v>1154.0</v>
      </c>
      <c r="N26" s="54" t="s">
        <v>68</v>
      </c>
      <c r="O26" s="49" t="s">
        <v>68</v>
      </c>
      <c r="P26" s="69">
        <v>5715620.47</v>
      </c>
      <c r="Q26" s="49" t="s">
        <v>68</v>
      </c>
      <c r="R26" s="49" t="s">
        <v>68</v>
      </c>
      <c r="S26" s="54" t="s">
        <v>68</v>
      </c>
      <c r="T26" s="49">
        <v>6.715894759E7</v>
      </c>
      <c r="U26" s="70" t="s">
        <v>366</v>
      </c>
      <c r="V26" s="54"/>
      <c r="W26" s="54"/>
      <c r="X26" s="54">
        <v>1071.0</v>
      </c>
      <c r="Y26" s="54">
        <v>83.0</v>
      </c>
      <c r="Z26" s="54"/>
      <c r="AA26" s="54"/>
      <c r="AB26" s="54"/>
    </row>
    <row r="27" ht="135.75" customHeight="1">
      <c r="A27" s="36"/>
      <c r="B27" s="116" t="s">
        <v>368</v>
      </c>
      <c r="C27" s="45" t="s">
        <v>63</v>
      </c>
      <c r="D27" s="49" t="s">
        <v>121</v>
      </c>
      <c r="E27" s="54" t="s">
        <v>4</v>
      </c>
      <c r="F27" s="54" t="s">
        <v>236</v>
      </c>
      <c r="G27" s="49" t="s">
        <v>370</v>
      </c>
      <c r="H27" s="54">
        <v>125.0</v>
      </c>
      <c r="I27" s="54">
        <v>10.0</v>
      </c>
      <c r="J27" s="54" t="s">
        <v>298</v>
      </c>
      <c r="K27" s="54" t="s">
        <v>68</v>
      </c>
      <c r="L27" s="64" t="s">
        <v>372</v>
      </c>
      <c r="M27" s="66">
        <v>688.0</v>
      </c>
      <c r="N27" s="54" t="s">
        <v>68</v>
      </c>
      <c r="O27" s="49" t="s">
        <v>68</v>
      </c>
      <c r="P27" s="69">
        <v>5665366.95</v>
      </c>
      <c r="Q27" s="49" t="s">
        <v>68</v>
      </c>
      <c r="R27" s="49" t="s">
        <v>68</v>
      </c>
      <c r="S27" s="54" t="s">
        <v>68</v>
      </c>
      <c r="T27" s="49">
        <v>4.153610967E7</v>
      </c>
      <c r="U27" s="70" t="s">
        <v>376</v>
      </c>
      <c r="V27" s="54"/>
      <c r="W27" s="54"/>
      <c r="X27" s="54">
        <v>620.0</v>
      </c>
      <c r="Y27" s="54">
        <v>68.0</v>
      </c>
      <c r="Z27" s="54"/>
      <c r="AA27" s="54"/>
      <c r="AB27" s="54"/>
    </row>
    <row r="28">
      <c r="A28" s="36"/>
      <c r="B28" s="116" t="s">
        <v>378</v>
      </c>
      <c r="C28" s="45" t="s">
        <v>63</v>
      </c>
      <c r="D28" s="49" t="s">
        <v>327</v>
      </c>
      <c r="E28" s="54" t="s">
        <v>4</v>
      </c>
      <c r="F28" s="54" t="s">
        <v>263</v>
      </c>
      <c r="G28" s="49" t="s">
        <v>380</v>
      </c>
      <c r="H28" s="54">
        <v>239.0</v>
      </c>
      <c r="I28" s="54">
        <v>10.0</v>
      </c>
      <c r="J28" s="54" t="s">
        <v>382</v>
      </c>
      <c r="K28" s="54" t="s">
        <v>68</v>
      </c>
      <c r="L28" s="64" t="s">
        <v>384</v>
      </c>
      <c r="M28" s="66">
        <v>1464.0</v>
      </c>
      <c r="N28" s="54" t="s">
        <v>68</v>
      </c>
      <c r="O28" s="49" t="s">
        <v>68</v>
      </c>
      <c r="P28" s="195">
        <v>6126105.76</v>
      </c>
      <c r="Q28" s="49" t="s">
        <v>68</v>
      </c>
      <c r="R28" s="49" t="s">
        <v>68</v>
      </c>
      <c r="S28" s="54" t="s">
        <v>68</v>
      </c>
      <c r="T28" s="49">
        <v>1.0041951708E8</v>
      </c>
      <c r="U28" s="70" t="s">
        <v>387</v>
      </c>
      <c r="V28" s="54"/>
      <c r="W28" s="54"/>
      <c r="X28" s="54">
        <v>1284.0</v>
      </c>
      <c r="Y28" s="54">
        <v>180.0</v>
      </c>
      <c r="Z28" s="54"/>
      <c r="AA28" s="54"/>
      <c r="AB28" s="54"/>
    </row>
    <row r="29" ht="111.75" customHeight="1">
      <c r="A29" s="36"/>
      <c r="B29" s="116" t="s">
        <v>389</v>
      </c>
      <c r="C29" s="45" t="s">
        <v>63</v>
      </c>
      <c r="D29" s="49" t="s">
        <v>289</v>
      </c>
      <c r="E29" s="54" t="s">
        <v>4</v>
      </c>
      <c r="F29" s="54" t="s">
        <v>153</v>
      </c>
      <c r="G29" s="198" t="s">
        <v>391</v>
      </c>
      <c r="H29" s="54">
        <v>164.0</v>
      </c>
      <c r="I29" s="54" t="s">
        <v>393</v>
      </c>
      <c r="J29" s="54"/>
      <c r="K29" s="54" t="s">
        <v>68</v>
      </c>
      <c r="L29" s="64" t="s">
        <v>394</v>
      </c>
      <c r="M29" s="66">
        <v>1031.0</v>
      </c>
      <c r="N29" s="54" t="s">
        <v>68</v>
      </c>
      <c r="O29" s="49" t="s">
        <v>68</v>
      </c>
      <c r="P29" s="69">
        <v>5845658.18</v>
      </c>
      <c r="Q29" s="49" t="s">
        <v>68</v>
      </c>
      <c r="R29" s="49" t="s">
        <v>68</v>
      </c>
      <c r="S29" s="54" t="s">
        <v>68</v>
      </c>
      <c r="T29" s="49">
        <v>4.471225307E7</v>
      </c>
      <c r="U29" s="70" t="s">
        <v>395</v>
      </c>
      <c r="V29" s="54"/>
      <c r="W29" s="54"/>
      <c r="X29" s="54"/>
      <c r="Y29" s="54"/>
      <c r="Z29" s="54"/>
      <c r="AA29" s="54"/>
      <c r="AB29" s="54"/>
    </row>
    <row r="30" ht="48.75" customHeight="1">
      <c r="A30" s="36"/>
      <c r="B30" s="45" t="s">
        <v>396</v>
      </c>
      <c r="C30" s="45" t="s">
        <v>63</v>
      </c>
      <c r="D30" s="49" t="s">
        <v>68</v>
      </c>
      <c r="E30" s="54" t="s">
        <v>397</v>
      </c>
      <c r="F30" s="54" t="s">
        <v>85</v>
      </c>
      <c r="G30" s="49" t="s">
        <v>398</v>
      </c>
      <c r="H30" s="54">
        <v>62.0</v>
      </c>
      <c r="I30" s="54">
        <v>7.0</v>
      </c>
      <c r="J30" s="54" t="s">
        <v>399</v>
      </c>
      <c r="K30" s="54"/>
      <c r="L30" s="64" t="s">
        <v>400</v>
      </c>
      <c r="M30" s="66">
        <v>194.0</v>
      </c>
      <c r="N30" s="54" t="s">
        <v>68</v>
      </c>
      <c r="O30" s="204"/>
      <c r="P30" s="69">
        <v>1.534476817E7</v>
      </c>
      <c r="Q30" s="49" t="s">
        <v>68</v>
      </c>
      <c r="R30" s="49" t="s">
        <v>68</v>
      </c>
      <c r="S30" s="54" t="s">
        <v>402</v>
      </c>
      <c r="T30" s="49" t="s">
        <v>68</v>
      </c>
      <c r="U30" s="207" t="s">
        <v>403</v>
      </c>
      <c r="V30" s="183"/>
      <c r="W30" s="183"/>
      <c r="X30" s="183"/>
      <c r="Y30" s="183"/>
      <c r="Z30" s="183"/>
      <c r="AA30" s="183"/>
      <c r="AB30" s="183"/>
    </row>
    <row r="31" ht="205.5" customHeight="1">
      <c r="A31" s="36"/>
      <c r="B31" s="45" t="s">
        <v>404</v>
      </c>
      <c r="C31" s="45" t="s">
        <v>63</v>
      </c>
      <c r="D31" s="49" t="s">
        <v>68</v>
      </c>
      <c r="E31" s="54" t="s">
        <v>75</v>
      </c>
      <c r="F31" s="54" t="s">
        <v>99</v>
      </c>
      <c r="G31" s="49" t="s">
        <v>405</v>
      </c>
      <c r="H31" s="54">
        <v>79.0</v>
      </c>
      <c r="I31" s="54"/>
      <c r="J31" s="54"/>
      <c r="K31" s="54"/>
      <c r="L31" s="64" t="s">
        <v>406</v>
      </c>
      <c r="M31" s="66">
        <v>841.0</v>
      </c>
      <c r="N31" s="54">
        <v>319.0</v>
      </c>
      <c r="O31" s="69">
        <v>3600000.0</v>
      </c>
      <c r="P31" s="69">
        <v>3.272223326E7</v>
      </c>
      <c r="Q31" s="49">
        <v>4876623.35</v>
      </c>
      <c r="R31" s="49">
        <v>5433963.22</v>
      </c>
      <c r="S31" s="86">
        <f>(R31-Q31)/Q31</f>
        <v>0.1142880698</v>
      </c>
      <c r="T31" s="214"/>
      <c r="U31" s="215" t="s">
        <v>407</v>
      </c>
      <c r="V31" s="217">
        <v>457.0</v>
      </c>
      <c r="W31" s="217"/>
      <c r="X31" s="217"/>
      <c r="Y31" s="217"/>
      <c r="Z31" s="217"/>
      <c r="AA31" s="217">
        <v>94.0</v>
      </c>
      <c r="AB31" s="217">
        <v>290.0</v>
      </c>
    </row>
    <row r="32" ht="93.75" customHeight="1">
      <c r="A32" s="36"/>
      <c r="B32" s="176"/>
      <c r="C32" s="176"/>
      <c r="D32" s="59"/>
      <c r="E32" s="68"/>
      <c r="F32" s="61"/>
      <c r="G32" s="76"/>
      <c r="H32" s="68"/>
      <c r="I32" s="68"/>
      <c r="J32" s="68"/>
      <c r="K32" s="68"/>
      <c r="L32" s="70"/>
      <c r="M32" s="68"/>
      <c r="N32" s="68"/>
      <c r="O32" s="68"/>
      <c r="P32" s="70"/>
      <c r="Q32" s="68"/>
      <c r="R32" s="68"/>
      <c r="S32" s="178"/>
      <c r="T32" s="157"/>
      <c r="U32" s="70"/>
      <c r="V32" s="54"/>
      <c r="W32" s="54"/>
      <c r="X32" s="54"/>
      <c r="Y32" s="54"/>
      <c r="Z32" s="54"/>
      <c r="AA32" s="54"/>
      <c r="AB32" s="54"/>
    </row>
    <row r="33" ht="19.5" customHeight="1">
      <c r="A33" s="36"/>
      <c r="B33" s="220"/>
      <c r="C33" s="220"/>
      <c r="D33" s="212"/>
      <c r="E33" s="221"/>
      <c r="F33" s="222"/>
      <c r="G33" s="223"/>
      <c r="H33" s="157"/>
      <c r="I33" s="157"/>
      <c r="J33" s="157"/>
      <c r="K33" s="157"/>
      <c r="L33" s="178"/>
      <c r="M33" s="157"/>
      <c r="N33" s="178"/>
      <c r="O33" s="157"/>
      <c r="P33" s="178"/>
      <c r="Q33" s="157"/>
      <c r="R33" s="157"/>
      <c r="S33" s="178"/>
      <c r="T33" s="157"/>
      <c r="U33" s="70"/>
      <c r="V33" s="54"/>
      <c r="W33" s="54"/>
      <c r="X33" s="54"/>
      <c r="Y33" s="54"/>
      <c r="Z33" s="54"/>
      <c r="AA33" s="54"/>
      <c r="AB33" s="54"/>
    </row>
    <row r="34" ht="19.5" customHeight="1">
      <c r="A34" s="36"/>
      <c r="B34" s="224"/>
      <c r="C34" s="224"/>
      <c r="D34" s="212"/>
      <c r="E34" s="221"/>
      <c r="F34" s="222"/>
      <c r="G34" s="223"/>
      <c r="H34" s="164"/>
      <c r="I34" s="164"/>
      <c r="J34" s="164"/>
      <c r="K34" s="164"/>
      <c r="L34" s="174"/>
      <c r="M34" s="164"/>
      <c r="N34" s="174"/>
      <c r="O34" s="157"/>
      <c r="P34" s="178"/>
      <c r="Q34" s="157"/>
      <c r="R34" s="157"/>
      <c r="S34" s="178"/>
      <c r="T34" s="157"/>
      <c r="U34" s="178"/>
      <c r="V34" s="191"/>
      <c r="W34" s="191"/>
      <c r="X34" s="191"/>
      <c r="Y34" s="191"/>
      <c r="Z34" s="191"/>
      <c r="AA34" s="191"/>
      <c r="AB34" s="191"/>
    </row>
    <row r="35" ht="19.5" customHeight="1">
      <c r="A35" s="36"/>
      <c r="B35" s="220"/>
      <c r="C35" s="220"/>
      <c r="D35" s="212"/>
      <c r="E35" s="221"/>
      <c r="F35" s="222"/>
      <c r="G35" s="223"/>
      <c r="H35" s="157"/>
      <c r="I35" s="157"/>
      <c r="J35" s="157"/>
      <c r="K35" s="157"/>
      <c r="L35" s="178"/>
      <c r="M35" s="157"/>
      <c r="N35" s="178"/>
      <c r="O35" s="157"/>
      <c r="P35" s="178"/>
      <c r="Q35" s="157"/>
      <c r="R35" s="157"/>
      <c r="S35" s="178"/>
      <c r="T35" s="157"/>
      <c r="U35" s="178"/>
      <c r="V35" s="191"/>
      <c r="W35" s="191"/>
      <c r="X35" s="191"/>
      <c r="Y35" s="191"/>
      <c r="Z35" s="191"/>
      <c r="AA35" s="191"/>
      <c r="AB35" s="191"/>
    </row>
    <row r="36" ht="19.5" customHeight="1">
      <c r="A36" s="36"/>
      <c r="B36" s="220"/>
      <c r="C36" s="220"/>
      <c r="D36" s="212"/>
      <c r="E36" s="221"/>
      <c r="F36" s="222"/>
      <c r="G36" s="223"/>
      <c r="H36" s="157"/>
      <c r="I36" s="157"/>
      <c r="J36" s="157"/>
      <c r="K36" s="157"/>
      <c r="L36" s="178"/>
      <c r="M36" s="157"/>
      <c r="N36" s="178"/>
      <c r="O36" s="157"/>
      <c r="P36" s="178"/>
      <c r="Q36" s="157"/>
      <c r="R36" s="157"/>
      <c r="S36" s="178"/>
      <c r="T36" s="157"/>
      <c r="U36" s="178"/>
      <c r="V36" s="191"/>
      <c r="W36" s="191"/>
      <c r="X36" s="191"/>
      <c r="Y36" s="191"/>
      <c r="Z36" s="191"/>
      <c r="AA36" s="191"/>
      <c r="AB36" s="191"/>
    </row>
    <row r="37" ht="19.5" customHeight="1">
      <c r="A37" s="36"/>
      <c r="B37" s="220"/>
      <c r="C37" s="220"/>
      <c r="D37" s="212"/>
      <c r="E37" s="221"/>
      <c r="F37" s="222"/>
      <c r="G37" s="223"/>
      <c r="H37" s="157"/>
      <c r="I37" s="157"/>
      <c r="J37" s="157"/>
      <c r="K37" s="157"/>
      <c r="L37" s="178"/>
      <c r="M37" s="157"/>
      <c r="N37" s="178"/>
      <c r="O37" s="157"/>
      <c r="P37" s="178"/>
      <c r="Q37" s="157"/>
      <c r="R37" s="157"/>
      <c r="S37" s="178"/>
      <c r="T37" s="157"/>
      <c r="U37" s="178"/>
      <c r="V37" s="191"/>
      <c r="W37" s="191"/>
      <c r="X37" s="191"/>
      <c r="Y37" s="191"/>
      <c r="Z37" s="191"/>
      <c r="AA37" s="191"/>
      <c r="AB37" s="191"/>
    </row>
    <row r="38" ht="19.5" customHeight="1">
      <c r="A38" s="36"/>
      <c r="B38" s="224"/>
      <c r="C38" s="224"/>
      <c r="D38" s="212"/>
      <c r="E38" s="221"/>
      <c r="F38" s="222"/>
      <c r="G38" s="223"/>
      <c r="H38" s="164"/>
      <c r="I38" s="164"/>
      <c r="J38" s="164"/>
      <c r="K38" s="164"/>
      <c r="L38" s="174"/>
      <c r="M38" s="164"/>
      <c r="N38" s="174"/>
      <c r="O38" s="157"/>
      <c r="P38" s="178"/>
      <c r="Q38" s="157"/>
      <c r="R38" s="157"/>
      <c r="S38" s="178"/>
      <c r="T38" s="157"/>
      <c r="U38" s="178"/>
      <c r="V38" s="191"/>
      <c r="W38" s="191"/>
      <c r="X38" s="191"/>
      <c r="Y38" s="191"/>
      <c r="Z38" s="191"/>
      <c r="AA38" s="191"/>
      <c r="AB38" s="191"/>
    </row>
    <row r="39" ht="19.5" customHeight="1">
      <c r="A39" s="36"/>
      <c r="B39" s="224"/>
      <c r="C39" s="224"/>
      <c r="D39" s="212"/>
      <c r="E39" s="221"/>
      <c r="F39" s="222"/>
      <c r="G39" s="223"/>
      <c r="H39" s="164"/>
      <c r="I39" s="164"/>
      <c r="J39" s="164"/>
      <c r="K39" s="164"/>
      <c r="L39" s="174"/>
      <c r="M39" s="164"/>
      <c r="N39" s="174"/>
      <c r="O39" s="157"/>
      <c r="P39" s="178"/>
      <c r="Q39" s="157"/>
      <c r="R39" s="157"/>
      <c r="S39" s="178"/>
      <c r="T39" s="157"/>
      <c r="U39" s="178"/>
      <c r="V39" s="191"/>
      <c r="W39" s="191"/>
      <c r="X39" s="191"/>
      <c r="Y39" s="191"/>
      <c r="Z39" s="191"/>
      <c r="AA39" s="191"/>
      <c r="AB39" s="191"/>
    </row>
    <row r="40" ht="19.5" customHeight="1">
      <c r="A40" s="36"/>
      <c r="B40" s="224"/>
      <c r="C40" s="224"/>
      <c r="D40" s="212"/>
      <c r="E40" s="221"/>
      <c r="F40" s="222"/>
      <c r="G40" s="223"/>
      <c r="H40" s="164"/>
      <c r="I40" s="164"/>
      <c r="J40" s="164"/>
      <c r="K40" s="164"/>
      <c r="L40" s="174"/>
      <c r="M40" s="164"/>
      <c r="N40" s="174"/>
      <c r="O40" s="157"/>
      <c r="P40" s="178"/>
      <c r="Q40" s="157"/>
      <c r="R40" s="157"/>
      <c r="S40" s="178"/>
      <c r="T40" s="157"/>
      <c r="U40" s="178"/>
      <c r="V40" s="191"/>
      <c r="W40" s="191"/>
      <c r="X40" s="191"/>
      <c r="Y40" s="191"/>
      <c r="Z40" s="191"/>
      <c r="AA40" s="191"/>
      <c r="AB40" s="191"/>
    </row>
    <row r="41" ht="19.5" customHeight="1">
      <c r="A41" s="36"/>
      <c r="B41" s="224"/>
      <c r="C41" s="224"/>
      <c r="D41" s="212"/>
      <c r="E41" s="221"/>
      <c r="F41" s="222"/>
      <c r="G41" s="223"/>
      <c r="H41" s="164"/>
      <c r="I41" s="164"/>
      <c r="J41" s="164"/>
      <c r="K41" s="164"/>
      <c r="L41" s="174"/>
      <c r="M41" s="164"/>
      <c r="N41" s="174"/>
      <c r="O41" s="157"/>
      <c r="P41" s="178"/>
      <c r="Q41" s="157"/>
      <c r="R41" s="157"/>
      <c r="S41" s="178"/>
      <c r="T41" s="157"/>
      <c r="U41" s="178"/>
      <c r="V41" s="191"/>
      <c r="W41" s="191"/>
      <c r="X41" s="191"/>
      <c r="Y41" s="191"/>
      <c r="Z41" s="191"/>
      <c r="AA41" s="191"/>
      <c r="AB41" s="191"/>
    </row>
    <row r="42" ht="19.5" customHeight="1">
      <c r="A42" s="36"/>
      <c r="B42" s="224"/>
      <c r="C42" s="224"/>
      <c r="D42" s="212"/>
      <c r="E42" s="221"/>
      <c r="F42" s="222"/>
      <c r="G42" s="223"/>
      <c r="H42" s="164"/>
      <c r="I42" s="164"/>
      <c r="J42" s="164"/>
      <c r="K42" s="164"/>
      <c r="L42" s="174"/>
      <c r="M42" s="164"/>
      <c r="N42" s="174"/>
      <c r="O42" s="157"/>
      <c r="P42" s="178"/>
      <c r="Q42" s="157"/>
      <c r="R42" s="157"/>
      <c r="S42" s="178"/>
      <c r="T42" s="157"/>
      <c r="U42" s="178"/>
      <c r="V42" s="191"/>
      <c r="W42" s="191"/>
      <c r="X42" s="191"/>
      <c r="Y42" s="191"/>
      <c r="Z42" s="191"/>
      <c r="AA42" s="191"/>
      <c r="AB42" s="191"/>
    </row>
    <row r="43" ht="19.5" customHeight="1">
      <c r="A43" s="36"/>
      <c r="B43" s="224"/>
      <c r="C43" s="224"/>
      <c r="D43" s="212"/>
      <c r="E43" s="221"/>
      <c r="F43" s="222"/>
      <c r="G43" s="223"/>
      <c r="H43" s="164"/>
      <c r="I43" s="164"/>
      <c r="J43" s="164"/>
      <c r="K43" s="164"/>
      <c r="L43" s="174"/>
      <c r="M43" s="164"/>
      <c r="N43" s="174"/>
      <c r="O43" s="157"/>
      <c r="P43" s="178"/>
      <c r="Q43" s="157"/>
      <c r="R43" s="157"/>
      <c r="S43" s="178"/>
      <c r="T43" s="157"/>
      <c r="U43" s="178"/>
      <c r="V43" s="191"/>
      <c r="W43" s="191"/>
      <c r="X43" s="191"/>
      <c r="Y43" s="191"/>
      <c r="Z43" s="191"/>
      <c r="AA43" s="191"/>
      <c r="AB43" s="191"/>
    </row>
    <row r="44" ht="19.5" customHeight="1">
      <c r="A44" s="36"/>
      <c r="B44" s="224"/>
      <c r="C44" s="224"/>
      <c r="D44" s="212"/>
      <c r="E44" s="221"/>
      <c r="F44" s="222"/>
      <c r="G44" s="223"/>
      <c r="H44" s="164"/>
      <c r="I44" s="164"/>
      <c r="J44" s="164"/>
      <c r="K44" s="164"/>
      <c r="L44" s="174"/>
      <c r="M44" s="164"/>
      <c r="N44" s="174"/>
      <c r="O44" s="157"/>
      <c r="P44" s="178"/>
      <c r="Q44" s="157"/>
      <c r="R44" s="157"/>
      <c r="S44" s="178"/>
      <c r="T44" s="157"/>
      <c r="U44" s="178"/>
      <c r="V44" s="191"/>
      <c r="W44" s="191"/>
      <c r="X44" s="191"/>
      <c r="Y44" s="191"/>
      <c r="Z44" s="191"/>
      <c r="AA44" s="191"/>
      <c r="AB44" s="191"/>
    </row>
    <row r="45" ht="19.5" customHeight="1">
      <c r="A45" s="36"/>
      <c r="B45" s="224"/>
      <c r="C45" s="224"/>
      <c r="D45" s="212"/>
      <c r="E45" s="221"/>
      <c r="F45" s="222"/>
      <c r="G45" s="223"/>
      <c r="H45" s="164"/>
      <c r="I45" s="164"/>
      <c r="J45" s="164"/>
      <c r="K45" s="164"/>
      <c r="L45" s="174"/>
      <c r="M45" s="164"/>
      <c r="N45" s="174"/>
      <c r="O45" s="157"/>
      <c r="P45" s="178"/>
      <c r="Q45" s="157"/>
      <c r="R45" s="157"/>
      <c r="S45" s="178"/>
      <c r="T45" s="157"/>
      <c r="U45" s="178"/>
      <c r="V45" s="191"/>
      <c r="W45" s="191"/>
      <c r="X45" s="191"/>
      <c r="Y45" s="191"/>
      <c r="Z45" s="191"/>
      <c r="AA45" s="191"/>
      <c r="AB45" s="191"/>
    </row>
    <row r="46" ht="19.5" customHeight="1">
      <c r="A46" s="36"/>
      <c r="B46" s="224"/>
      <c r="C46" s="224"/>
      <c r="D46" s="212"/>
      <c r="E46" s="221"/>
      <c r="F46" s="222"/>
      <c r="G46" s="223"/>
      <c r="H46" s="164"/>
      <c r="I46" s="164"/>
      <c r="J46" s="164"/>
      <c r="K46" s="164"/>
      <c r="L46" s="174"/>
      <c r="M46" s="164"/>
      <c r="N46" s="174"/>
      <c r="O46" s="157"/>
      <c r="P46" s="178"/>
      <c r="Q46" s="157"/>
      <c r="R46" s="157"/>
      <c r="S46" s="178"/>
      <c r="T46" s="157"/>
      <c r="U46" s="178"/>
      <c r="V46" s="191"/>
      <c r="W46" s="191"/>
      <c r="X46" s="191"/>
      <c r="Y46" s="191"/>
      <c r="Z46" s="191"/>
      <c r="AA46" s="191"/>
      <c r="AB46" s="191"/>
    </row>
    <row r="47" ht="19.5" customHeight="1">
      <c r="A47" s="36"/>
      <c r="B47" s="224"/>
      <c r="C47" s="224"/>
      <c r="D47" s="212"/>
      <c r="E47" s="221"/>
      <c r="F47" s="222"/>
      <c r="G47" s="223"/>
      <c r="H47" s="164"/>
      <c r="I47" s="164"/>
      <c r="J47" s="164"/>
      <c r="K47" s="164"/>
      <c r="L47" s="174"/>
      <c r="M47" s="164"/>
      <c r="N47" s="174"/>
      <c r="O47" s="157"/>
      <c r="P47" s="178"/>
      <c r="Q47" s="157"/>
      <c r="R47" s="157"/>
      <c r="S47" s="178"/>
      <c r="T47" s="157"/>
      <c r="U47" s="178"/>
      <c r="V47" s="191"/>
      <c r="W47" s="191"/>
      <c r="X47" s="191"/>
      <c r="Y47" s="191"/>
      <c r="Z47" s="191"/>
      <c r="AA47" s="191"/>
      <c r="AB47" s="191"/>
    </row>
    <row r="48" ht="19.5" customHeight="1">
      <c r="A48" s="36"/>
      <c r="B48" s="224"/>
      <c r="C48" s="224"/>
      <c r="D48" s="212"/>
      <c r="E48" s="221"/>
      <c r="F48" s="222"/>
      <c r="G48" s="223"/>
      <c r="H48" s="164"/>
      <c r="I48" s="164"/>
      <c r="J48" s="164"/>
      <c r="K48" s="164"/>
      <c r="L48" s="174"/>
      <c r="M48" s="164"/>
      <c r="N48" s="174"/>
      <c r="O48" s="157"/>
      <c r="P48" s="178"/>
      <c r="Q48" s="157"/>
      <c r="R48" s="157"/>
      <c r="S48" s="178"/>
      <c r="T48" s="157"/>
      <c r="U48" s="178"/>
      <c r="V48" s="191"/>
      <c r="W48" s="191"/>
      <c r="X48" s="191"/>
      <c r="Y48" s="191"/>
      <c r="Z48" s="191"/>
      <c r="AA48" s="191"/>
      <c r="AB48" s="191"/>
    </row>
    <row r="49" ht="19.5" customHeight="1">
      <c r="A49" s="36"/>
      <c r="B49" s="224"/>
      <c r="C49" s="224"/>
      <c r="D49" s="212"/>
      <c r="E49" s="221"/>
      <c r="F49" s="222"/>
      <c r="G49" s="223"/>
      <c r="H49" s="164"/>
      <c r="I49" s="164"/>
      <c r="J49" s="164"/>
      <c r="K49" s="164"/>
      <c r="L49" s="174"/>
      <c r="M49" s="164"/>
      <c r="N49" s="174"/>
      <c r="O49" s="157"/>
      <c r="P49" s="178"/>
      <c r="Q49" s="157"/>
      <c r="R49" s="157"/>
      <c r="S49" s="178"/>
      <c r="T49" s="157"/>
      <c r="U49" s="178"/>
      <c r="V49" s="191"/>
      <c r="W49" s="191"/>
      <c r="X49" s="191"/>
      <c r="Y49" s="191"/>
      <c r="Z49" s="191"/>
      <c r="AA49" s="191"/>
      <c r="AB49" s="191"/>
    </row>
    <row r="50" ht="19.5" customHeight="1">
      <c r="A50" s="36"/>
      <c r="B50" s="224"/>
      <c r="C50" s="224"/>
      <c r="D50" s="212"/>
      <c r="E50" s="221"/>
      <c r="F50" s="222"/>
      <c r="G50" s="223"/>
      <c r="H50" s="164"/>
      <c r="I50" s="164"/>
      <c r="J50" s="164"/>
      <c r="K50" s="164"/>
      <c r="L50" s="174"/>
      <c r="M50" s="164"/>
      <c r="N50" s="174"/>
      <c r="O50" s="157"/>
      <c r="P50" s="178"/>
      <c r="Q50" s="157"/>
      <c r="R50" s="157"/>
      <c r="S50" s="178"/>
      <c r="T50" s="157"/>
      <c r="U50" s="178"/>
      <c r="V50" s="191"/>
      <c r="W50" s="191"/>
      <c r="X50" s="191"/>
      <c r="Y50" s="191"/>
      <c r="Z50" s="191"/>
      <c r="AA50" s="191"/>
      <c r="AB50" s="191"/>
    </row>
    <row r="51" ht="19.5" customHeight="1">
      <c r="A51" s="36"/>
      <c r="B51" s="224"/>
      <c r="C51" s="224"/>
      <c r="D51" s="212"/>
      <c r="E51" s="221"/>
      <c r="F51" s="222"/>
      <c r="G51" s="223"/>
      <c r="H51" s="164"/>
      <c r="I51" s="164"/>
      <c r="J51" s="164"/>
      <c r="K51" s="164"/>
      <c r="L51" s="174"/>
      <c r="M51" s="164"/>
      <c r="N51" s="174"/>
      <c r="O51" s="157"/>
      <c r="P51" s="178"/>
      <c r="Q51" s="157"/>
      <c r="R51" s="157"/>
      <c r="S51" s="178"/>
      <c r="T51" s="157"/>
      <c r="U51" s="178"/>
      <c r="V51" s="191"/>
      <c r="W51" s="191"/>
      <c r="X51" s="191"/>
      <c r="Y51" s="191"/>
      <c r="Z51" s="191"/>
      <c r="AA51" s="191"/>
      <c r="AB51" s="191"/>
    </row>
    <row r="52" ht="19.5" customHeight="1">
      <c r="A52" s="36"/>
      <c r="B52" s="224"/>
      <c r="C52" s="224"/>
      <c r="D52" s="212"/>
      <c r="E52" s="221"/>
      <c r="F52" s="222"/>
      <c r="G52" s="223"/>
      <c r="H52" s="164"/>
      <c r="I52" s="164"/>
      <c r="J52" s="164"/>
      <c r="K52" s="164"/>
      <c r="L52" s="174"/>
      <c r="M52" s="164"/>
      <c r="N52" s="174"/>
      <c r="O52" s="157"/>
      <c r="P52" s="178"/>
      <c r="Q52" s="157"/>
      <c r="R52" s="157"/>
      <c r="S52" s="178"/>
      <c r="T52" s="157"/>
      <c r="U52" s="178"/>
      <c r="V52" s="191"/>
      <c r="W52" s="191"/>
      <c r="X52" s="191"/>
      <c r="Y52" s="191"/>
      <c r="Z52" s="191"/>
      <c r="AA52" s="191"/>
      <c r="AB52" s="191"/>
    </row>
    <row r="53" ht="19.5" customHeight="1">
      <c r="A53" s="36"/>
      <c r="B53" s="224"/>
      <c r="C53" s="224"/>
      <c r="D53" s="212"/>
      <c r="E53" s="221"/>
      <c r="F53" s="222"/>
      <c r="G53" s="223"/>
      <c r="H53" s="164"/>
      <c r="I53" s="164"/>
      <c r="J53" s="164"/>
      <c r="K53" s="164"/>
      <c r="L53" s="174"/>
      <c r="M53" s="164"/>
      <c r="N53" s="174"/>
      <c r="O53" s="157"/>
      <c r="P53" s="178"/>
      <c r="Q53" s="157"/>
      <c r="R53" s="157"/>
      <c r="S53" s="178"/>
      <c r="T53" s="157"/>
      <c r="U53" s="178"/>
      <c r="V53" s="191"/>
      <c r="W53" s="191"/>
      <c r="X53" s="191"/>
      <c r="Y53" s="191"/>
      <c r="Z53" s="191"/>
      <c r="AA53" s="191"/>
      <c r="AB53" s="191"/>
    </row>
    <row r="54" ht="19.5" customHeight="1">
      <c r="A54" s="36"/>
      <c r="B54" s="224"/>
      <c r="C54" s="224"/>
      <c r="D54" s="212"/>
      <c r="E54" s="221"/>
      <c r="F54" s="222"/>
      <c r="G54" s="223"/>
      <c r="H54" s="164"/>
      <c r="I54" s="164"/>
      <c r="J54" s="164"/>
      <c r="K54" s="164"/>
      <c r="L54" s="174"/>
      <c r="M54" s="164"/>
      <c r="N54" s="174"/>
      <c r="O54" s="157"/>
      <c r="P54" s="178"/>
      <c r="Q54" s="157"/>
      <c r="R54" s="157"/>
      <c r="S54" s="178"/>
      <c r="T54" s="157"/>
      <c r="U54" s="178"/>
      <c r="V54" s="191"/>
      <c r="W54" s="191"/>
      <c r="X54" s="191"/>
      <c r="Y54" s="191"/>
      <c r="Z54" s="191"/>
      <c r="AA54" s="191"/>
      <c r="AB54" s="191"/>
    </row>
    <row r="55" ht="19.5" customHeight="1">
      <c r="A55" s="36"/>
      <c r="B55" s="224"/>
      <c r="C55" s="224"/>
      <c r="D55" s="212"/>
      <c r="E55" s="221"/>
      <c r="F55" s="222"/>
      <c r="G55" s="223"/>
      <c r="H55" s="164"/>
      <c r="I55" s="164"/>
      <c r="J55" s="164"/>
      <c r="K55" s="164"/>
      <c r="L55" s="174"/>
      <c r="M55" s="164"/>
      <c r="N55" s="174"/>
      <c r="O55" s="157"/>
      <c r="P55" s="178"/>
      <c r="Q55" s="157"/>
      <c r="R55" s="157"/>
      <c r="S55" s="178"/>
      <c r="T55" s="157"/>
      <c r="U55" s="178"/>
      <c r="V55" s="191"/>
      <c r="W55" s="191"/>
      <c r="X55" s="191"/>
      <c r="Y55" s="191"/>
      <c r="Z55" s="191"/>
      <c r="AA55" s="191"/>
      <c r="AB55" s="191"/>
    </row>
    <row r="56" ht="19.5" customHeight="1">
      <c r="A56" s="36"/>
      <c r="B56" s="224"/>
      <c r="C56" s="224"/>
      <c r="D56" s="212"/>
      <c r="E56" s="221"/>
      <c r="F56" s="222"/>
      <c r="G56" s="223"/>
      <c r="H56" s="164"/>
      <c r="I56" s="164"/>
      <c r="J56" s="164"/>
      <c r="K56" s="164"/>
      <c r="L56" s="174"/>
      <c r="M56" s="164"/>
      <c r="N56" s="174"/>
      <c r="O56" s="157"/>
      <c r="P56" s="178"/>
      <c r="Q56" s="157"/>
      <c r="R56" s="157"/>
      <c r="S56" s="178"/>
      <c r="T56" s="157"/>
      <c r="U56" s="178"/>
      <c r="V56" s="191"/>
      <c r="W56" s="191"/>
      <c r="X56" s="191"/>
      <c r="Y56" s="191"/>
      <c r="Z56" s="191"/>
      <c r="AA56" s="191"/>
      <c r="AB56" s="191"/>
    </row>
    <row r="57" ht="19.5" customHeight="1">
      <c r="A57" s="36"/>
      <c r="B57" s="224"/>
      <c r="C57" s="224"/>
      <c r="D57" s="212"/>
      <c r="E57" s="221"/>
      <c r="F57" s="222"/>
      <c r="G57" s="223"/>
      <c r="H57" s="164"/>
      <c r="I57" s="164"/>
      <c r="J57" s="164"/>
      <c r="K57" s="164"/>
      <c r="L57" s="174"/>
      <c r="M57" s="164"/>
      <c r="N57" s="174"/>
      <c r="O57" s="157"/>
      <c r="P57" s="178"/>
      <c r="Q57" s="157"/>
      <c r="R57" s="157"/>
      <c r="S57" s="178"/>
      <c r="T57" s="157"/>
      <c r="U57" s="178"/>
      <c r="V57" s="191"/>
      <c r="W57" s="191"/>
      <c r="X57" s="191"/>
      <c r="Y57" s="191"/>
      <c r="Z57" s="191"/>
      <c r="AA57" s="191"/>
      <c r="AB57" s="191"/>
    </row>
    <row r="58" ht="19.5" customHeight="1">
      <c r="A58" s="36"/>
      <c r="B58" s="224"/>
      <c r="C58" s="224"/>
      <c r="D58" s="212"/>
      <c r="E58" s="221"/>
      <c r="F58" s="222"/>
      <c r="G58" s="223"/>
      <c r="H58" s="164"/>
      <c r="I58" s="164"/>
      <c r="J58" s="164"/>
      <c r="K58" s="164"/>
      <c r="L58" s="174"/>
      <c r="M58" s="164"/>
      <c r="N58" s="174"/>
      <c r="O58" s="157"/>
      <c r="P58" s="178"/>
      <c r="Q58" s="157"/>
      <c r="R58" s="157"/>
      <c r="S58" s="178"/>
      <c r="T58" s="157"/>
      <c r="U58" s="178"/>
      <c r="V58" s="191"/>
      <c r="W58" s="191"/>
      <c r="X58" s="191"/>
      <c r="Y58" s="191"/>
      <c r="Z58" s="191"/>
      <c r="AA58" s="191"/>
      <c r="AB58" s="191"/>
    </row>
    <row r="59" ht="19.5" customHeight="1">
      <c r="A59" s="36"/>
      <c r="B59" s="224"/>
      <c r="C59" s="224"/>
      <c r="D59" s="212"/>
      <c r="E59" s="221"/>
      <c r="F59" s="222"/>
      <c r="G59" s="223"/>
      <c r="H59" s="164"/>
      <c r="I59" s="164"/>
      <c r="J59" s="164"/>
      <c r="K59" s="164"/>
      <c r="L59" s="174"/>
      <c r="M59" s="164"/>
      <c r="N59" s="174"/>
      <c r="O59" s="157"/>
      <c r="P59" s="178"/>
      <c r="Q59" s="157"/>
      <c r="R59" s="157"/>
      <c r="S59" s="178"/>
      <c r="T59" s="157"/>
      <c r="U59" s="178"/>
      <c r="V59" s="191"/>
      <c r="W59" s="191"/>
      <c r="X59" s="191"/>
      <c r="Y59" s="191"/>
      <c r="Z59" s="191"/>
      <c r="AA59" s="191"/>
      <c r="AB59" s="191"/>
    </row>
    <row r="60" ht="19.5" customHeight="1">
      <c r="A60" s="36"/>
      <c r="B60" s="224"/>
      <c r="C60" s="224"/>
      <c r="D60" s="212"/>
      <c r="E60" s="221"/>
      <c r="F60" s="222"/>
      <c r="G60" s="223"/>
      <c r="H60" s="164"/>
      <c r="I60" s="164"/>
      <c r="J60" s="164"/>
      <c r="K60" s="164"/>
      <c r="L60" s="174"/>
      <c r="M60" s="164"/>
      <c r="N60" s="174"/>
      <c r="O60" s="157"/>
      <c r="P60" s="178"/>
      <c r="Q60" s="157"/>
      <c r="R60" s="157"/>
      <c r="S60" s="178"/>
      <c r="T60" s="157"/>
      <c r="U60" s="178"/>
      <c r="V60" s="191"/>
      <c r="W60" s="191"/>
      <c r="X60" s="191"/>
      <c r="Y60" s="191"/>
      <c r="Z60" s="191"/>
      <c r="AA60" s="191"/>
      <c r="AB60" s="191"/>
    </row>
    <row r="61" ht="19.5" customHeight="1">
      <c r="A61" s="36"/>
      <c r="B61" s="224"/>
      <c r="C61" s="224"/>
      <c r="D61" s="212"/>
      <c r="E61" s="221"/>
      <c r="F61" s="222"/>
      <c r="G61" s="223"/>
      <c r="H61" s="164"/>
      <c r="I61" s="164"/>
      <c r="J61" s="164"/>
      <c r="K61" s="164"/>
      <c r="L61" s="174"/>
      <c r="M61" s="164"/>
      <c r="N61" s="174"/>
      <c r="O61" s="157"/>
      <c r="P61" s="178"/>
      <c r="Q61" s="157"/>
      <c r="R61" s="157"/>
      <c r="S61" s="178"/>
      <c r="T61" s="157"/>
      <c r="U61" s="178"/>
      <c r="V61" s="191"/>
      <c r="W61" s="191"/>
      <c r="X61" s="191"/>
      <c r="Y61" s="191"/>
      <c r="Z61" s="191"/>
      <c r="AA61" s="191"/>
      <c r="AB61" s="191"/>
    </row>
    <row r="62" ht="19.5" customHeight="1">
      <c r="A62" s="36"/>
      <c r="B62" s="224"/>
      <c r="C62" s="224"/>
      <c r="D62" s="212"/>
      <c r="E62" s="221"/>
      <c r="F62" s="222"/>
      <c r="G62" s="223"/>
      <c r="H62" s="164"/>
      <c r="I62" s="164"/>
      <c r="J62" s="164"/>
      <c r="K62" s="164"/>
      <c r="L62" s="174"/>
      <c r="M62" s="164"/>
      <c r="N62" s="174"/>
      <c r="O62" s="157"/>
      <c r="P62" s="178"/>
      <c r="Q62" s="157"/>
      <c r="R62" s="157"/>
      <c r="S62" s="178"/>
      <c r="T62" s="157"/>
      <c r="U62" s="178"/>
      <c r="V62" s="191"/>
      <c r="W62" s="191"/>
      <c r="X62" s="191"/>
      <c r="Y62" s="191"/>
      <c r="Z62" s="191"/>
      <c r="AA62" s="191"/>
      <c r="AB62" s="191"/>
    </row>
    <row r="63" ht="19.5" customHeight="1">
      <c r="A63" s="36"/>
      <c r="B63" s="224"/>
      <c r="C63" s="224"/>
      <c r="D63" s="212"/>
      <c r="E63" s="221"/>
      <c r="F63" s="222"/>
      <c r="G63" s="223"/>
      <c r="H63" s="164"/>
      <c r="I63" s="164"/>
      <c r="J63" s="164"/>
      <c r="K63" s="164"/>
      <c r="L63" s="174"/>
      <c r="M63" s="164"/>
      <c r="N63" s="174"/>
      <c r="O63" s="157"/>
      <c r="P63" s="178"/>
      <c r="Q63" s="157"/>
      <c r="R63" s="157"/>
      <c r="S63" s="178"/>
      <c r="T63" s="157"/>
      <c r="U63" s="178"/>
      <c r="V63" s="191"/>
      <c r="W63" s="191"/>
      <c r="X63" s="191"/>
      <c r="Y63" s="191"/>
      <c r="Z63" s="191"/>
      <c r="AA63" s="191"/>
      <c r="AB63" s="191"/>
    </row>
    <row r="64" ht="19.5" customHeight="1">
      <c r="A64" s="36"/>
      <c r="B64" s="224"/>
      <c r="C64" s="224"/>
      <c r="D64" s="212"/>
      <c r="E64" s="221"/>
      <c r="F64" s="222"/>
      <c r="G64" s="223"/>
      <c r="H64" s="164"/>
      <c r="I64" s="164"/>
      <c r="J64" s="164"/>
      <c r="K64" s="164"/>
      <c r="L64" s="174"/>
      <c r="M64" s="164"/>
      <c r="N64" s="174"/>
      <c r="O64" s="157"/>
      <c r="P64" s="178"/>
      <c r="Q64" s="157"/>
      <c r="R64" s="157"/>
      <c r="S64" s="178"/>
      <c r="T64" s="157"/>
      <c r="U64" s="178"/>
      <c r="V64" s="191"/>
      <c r="W64" s="191"/>
      <c r="X64" s="191"/>
      <c r="Y64" s="191"/>
      <c r="Z64" s="191"/>
      <c r="AA64" s="191"/>
      <c r="AB64" s="191"/>
    </row>
    <row r="65" ht="19.5" customHeight="1">
      <c r="A65" s="36"/>
      <c r="B65" s="224"/>
      <c r="C65" s="224"/>
      <c r="D65" s="212"/>
      <c r="E65" s="221"/>
      <c r="F65" s="222"/>
      <c r="G65" s="223"/>
      <c r="H65" s="164"/>
      <c r="I65" s="164"/>
      <c r="J65" s="164"/>
      <c r="K65" s="164"/>
      <c r="L65" s="174"/>
      <c r="M65" s="164"/>
      <c r="N65" s="174"/>
      <c r="O65" s="157"/>
      <c r="P65" s="178"/>
      <c r="Q65" s="157"/>
      <c r="R65" s="157"/>
      <c r="S65" s="178"/>
      <c r="T65" s="157"/>
      <c r="U65" s="178"/>
      <c r="V65" s="191"/>
      <c r="W65" s="191"/>
      <c r="X65" s="191"/>
      <c r="Y65" s="191"/>
      <c r="Z65" s="191"/>
      <c r="AA65" s="191"/>
      <c r="AB65" s="191"/>
    </row>
    <row r="66" ht="19.5" customHeight="1">
      <c r="A66" s="36"/>
      <c r="B66" s="224"/>
      <c r="C66" s="224"/>
      <c r="D66" s="212"/>
      <c r="E66" s="221"/>
      <c r="F66" s="222"/>
      <c r="G66" s="223"/>
      <c r="H66" s="164"/>
      <c r="I66" s="164"/>
      <c r="J66" s="164"/>
      <c r="K66" s="164"/>
      <c r="L66" s="174"/>
      <c r="M66" s="164"/>
      <c r="N66" s="174"/>
      <c r="O66" s="157"/>
      <c r="P66" s="178"/>
      <c r="Q66" s="157"/>
      <c r="R66" s="157"/>
      <c r="S66" s="178"/>
      <c r="T66" s="157"/>
      <c r="U66" s="178"/>
      <c r="V66" s="191"/>
      <c r="W66" s="191"/>
      <c r="X66" s="191"/>
      <c r="Y66" s="191"/>
      <c r="Z66" s="191"/>
      <c r="AA66" s="191"/>
      <c r="AB66" s="191"/>
    </row>
    <row r="67" ht="19.5" customHeight="1">
      <c r="A67" s="36"/>
      <c r="B67" s="224"/>
      <c r="C67" s="224"/>
      <c r="D67" s="212"/>
      <c r="E67" s="221"/>
      <c r="F67" s="222"/>
      <c r="G67" s="223"/>
      <c r="H67" s="164"/>
      <c r="I67" s="164"/>
      <c r="J67" s="164"/>
      <c r="K67" s="164"/>
      <c r="L67" s="174"/>
      <c r="M67" s="164"/>
      <c r="N67" s="174"/>
      <c r="O67" s="157"/>
      <c r="P67" s="178"/>
      <c r="Q67" s="157"/>
      <c r="R67" s="157"/>
      <c r="S67" s="178"/>
      <c r="T67" s="157"/>
      <c r="U67" s="178"/>
      <c r="V67" s="191"/>
      <c r="W67" s="191"/>
      <c r="X67" s="191"/>
      <c r="Y67" s="191"/>
      <c r="Z67" s="191"/>
      <c r="AA67" s="191"/>
      <c r="AB67" s="191"/>
    </row>
    <row r="68" ht="19.5" customHeight="1">
      <c r="A68" s="36"/>
      <c r="B68" s="224"/>
      <c r="C68" s="224"/>
      <c r="D68" s="212"/>
      <c r="E68" s="221"/>
      <c r="F68" s="222"/>
      <c r="G68" s="223"/>
      <c r="H68" s="164"/>
      <c r="I68" s="164"/>
      <c r="J68" s="164"/>
      <c r="K68" s="164"/>
      <c r="L68" s="174"/>
      <c r="M68" s="164"/>
      <c r="N68" s="174"/>
      <c r="O68" s="157"/>
      <c r="P68" s="178"/>
      <c r="Q68" s="157"/>
      <c r="R68" s="157"/>
      <c r="S68" s="178"/>
      <c r="T68" s="157"/>
      <c r="U68" s="178"/>
      <c r="V68" s="191"/>
      <c r="W68" s="191"/>
      <c r="X68" s="191"/>
      <c r="Y68" s="191"/>
      <c r="Z68" s="191"/>
      <c r="AA68" s="191"/>
      <c r="AB68" s="191"/>
    </row>
    <row r="69" ht="19.5" customHeight="1">
      <c r="A69" s="36"/>
      <c r="B69" s="224"/>
      <c r="C69" s="224"/>
      <c r="D69" s="212"/>
      <c r="E69" s="221"/>
      <c r="F69" s="222"/>
      <c r="G69" s="223"/>
      <c r="H69" s="164"/>
      <c r="I69" s="164"/>
      <c r="J69" s="164"/>
      <c r="K69" s="164"/>
      <c r="L69" s="174"/>
      <c r="M69" s="164"/>
      <c r="N69" s="174"/>
      <c r="O69" s="157"/>
      <c r="P69" s="178"/>
      <c r="Q69" s="157"/>
      <c r="R69" s="157"/>
      <c r="S69" s="178"/>
      <c r="T69" s="157"/>
      <c r="U69" s="178"/>
      <c r="V69" s="191"/>
      <c r="W69" s="191"/>
      <c r="X69" s="191"/>
      <c r="Y69" s="191"/>
      <c r="Z69" s="191"/>
      <c r="AA69" s="191"/>
      <c r="AB69" s="191"/>
    </row>
    <row r="70" ht="19.5" customHeight="1">
      <c r="A70" s="36"/>
      <c r="B70" s="224"/>
      <c r="C70" s="224"/>
      <c r="D70" s="212"/>
      <c r="E70" s="221"/>
      <c r="F70" s="222"/>
      <c r="G70" s="223"/>
      <c r="H70" s="164"/>
      <c r="I70" s="164"/>
      <c r="J70" s="164"/>
      <c r="K70" s="164"/>
      <c r="L70" s="174"/>
      <c r="M70" s="164"/>
      <c r="N70" s="174"/>
      <c r="O70" s="157"/>
      <c r="P70" s="178"/>
      <c r="Q70" s="157"/>
      <c r="R70" s="157"/>
      <c r="S70" s="178"/>
      <c r="T70" s="157"/>
      <c r="U70" s="178"/>
      <c r="V70" s="191"/>
      <c r="W70" s="191"/>
      <c r="X70" s="191"/>
      <c r="Y70" s="191"/>
      <c r="Z70" s="191"/>
      <c r="AA70" s="191"/>
      <c r="AB70" s="191"/>
    </row>
    <row r="71" ht="19.5" customHeight="1">
      <c r="A71" s="36"/>
      <c r="B71" s="224"/>
      <c r="C71" s="224"/>
      <c r="D71" s="212"/>
      <c r="E71" s="221"/>
      <c r="F71" s="222"/>
      <c r="G71" s="223"/>
      <c r="H71" s="164"/>
      <c r="I71" s="164"/>
      <c r="J71" s="164"/>
      <c r="K71" s="164"/>
      <c r="L71" s="174"/>
      <c r="M71" s="164"/>
      <c r="N71" s="174"/>
      <c r="O71" s="157"/>
      <c r="P71" s="178"/>
      <c r="Q71" s="157"/>
      <c r="R71" s="157"/>
      <c r="S71" s="178"/>
      <c r="T71" s="157"/>
      <c r="U71" s="178"/>
      <c r="V71" s="191"/>
      <c r="W71" s="191"/>
      <c r="X71" s="191"/>
      <c r="Y71" s="191"/>
      <c r="Z71" s="191"/>
      <c r="AA71" s="191"/>
      <c r="AB71" s="191"/>
    </row>
    <row r="72" ht="19.5" customHeight="1">
      <c r="A72" s="36"/>
      <c r="B72" s="224"/>
      <c r="C72" s="224"/>
      <c r="D72" s="212"/>
      <c r="E72" s="221"/>
      <c r="F72" s="222"/>
      <c r="G72" s="223"/>
      <c r="H72" s="164"/>
      <c r="I72" s="164"/>
      <c r="J72" s="164"/>
      <c r="K72" s="164"/>
      <c r="L72" s="174"/>
      <c r="M72" s="164"/>
      <c r="N72" s="174"/>
      <c r="O72" s="157"/>
      <c r="P72" s="178"/>
      <c r="Q72" s="157"/>
      <c r="R72" s="157"/>
      <c r="S72" s="178"/>
      <c r="T72" s="157"/>
      <c r="U72" s="178"/>
      <c r="V72" s="191"/>
      <c r="W72" s="191"/>
      <c r="X72" s="191"/>
      <c r="Y72" s="191"/>
      <c r="Z72" s="191"/>
      <c r="AA72" s="191"/>
      <c r="AB72" s="191"/>
    </row>
    <row r="73" ht="19.5" customHeight="1">
      <c r="A73" s="36"/>
      <c r="B73" s="224"/>
      <c r="C73" s="224"/>
      <c r="D73" s="212"/>
      <c r="E73" s="221"/>
      <c r="F73" s="222"/>
      <c r="G73" s="223"/>
      <c r="H73" s="164"/>
      <c r="I73" s="164"/>
      <c r="J73" s="164"/>
      <c r="K73" s="164"/>
      <c r="L73" s="174"/>
      <c r="M73" s="164"/>
      <c r="N73" s="174"/>
      <c r="O73" s="157"/>
      <c r="P73" s="178"/>
      <c r="Q73" s="157"/>
      <c r="R73" s="157"/>
      <c r="S73" s="178"/>
      <c r="T73" s="157"/>
      <c r="U73" s="178"/>
      <c r="V73" s="191"/>
      <c r="W73" s="191"/>
      <c r="X73" s="191"/>
      <c r="Y73" s="191"/>
      <c r="Z73" s="191"/>
      <c r="AA73" s="191"/>
      <c r="AB73" s="191"/>
    </row>
    <row r="74" ht="19.5" customHeight="1">
      <c r="A74" s="36"/>
      <c r="B74" s="224"/>
      <c r="C74" s="224"/>
      <c r="D74" s="212"/>
      <c r="E74" s="221"/>
      <c r="F74" s="222"/>
      <c r="G74" s="223"/>
      <c r="H74" s="164"/>
      <c r="I74" s="164"/>
      <c r="J74" s="164"/>
      <c r="K74" s="164"/>
      <c r="L74" s="174"/>
      <c r="M74" s="164"/>
      <c r="N74" s="174"/>
      <c r="O74" s="157"/>
      <c r="P74" s="178"/>
      <c r="Q74" s="157"/>
      <c r="R74" s="157"/>
      <c r="S74" s="178"/>
      <c r="T74" s="157"/>
      <c r="U74" s="178"/>
      <c r="V74" s="191"/>
      <c r="W74" s="191"/>
      <c r="X74" s="191"/>
      <c r="Y74" s="191"/>
      <c r="Z74" s="191"/>
      <c r="AA74" s="191"/>
      <c r="AB74" s="191"/>
    </row>
    <row r="75" ht="19.5" customHeight="1">
      <c r="A75" s="36"/>
      <c r="B75" s="224"/>
      <c r="C75" s="224"/>
      <c r="D75" s="212"/>
      <c r="E75" s="221"/>
      <c r="F75" s="222"/>
      <c r="G75" s="223"/>
      <c r="H75" s="164"/>
      <c r="I75" s="164"/>
      <c r="J75" s="164"/>
      <c r="K75" s="164"/>
      <c r="L75" s="174"/>
      <c r="M75" s="164"/>
      <c r="N75" s="174"/>
      <c r="O75" s="157"/>
      <c r="P75" s="178"/>
      <c r="Q75" s="157"/>
      <c r="R75" s="157"/>
      <c r="S75" s="178"/>
      <c r="T75" s="157"/>
      <c r="U75" s="178"/>
      <c r="V75" s="191"/>
      <c r="W75" s="191"/>
      <c r="X75" s="191"/>
      <c r="Y75" s="191"/>
      <c r="Z75" s="191"/>
      <c r="AA75" s="191"/>
      <c r="AB75" s="191"/>
    </row>
    <row r="76" ht="19.5" customHeight="1">
      <c r="A76" s="36"/>
      <c r="B76" s="224"/>
      <c r="C76" s="224"/>
      <c r="D76" s="212"/>
      <c r="E76" s="221"/>
      <c r="F76" s="222"/>
      <c r="G76" s="223"/>
      <c r="H76" s="164"/>
      <c r="I76" s="164"/>
      <c r="J76" s="164"/>
      <c r="K76" s="164"/>
      <c r="L76" s="174"/>
      <c r="M76" s="164"/>
      <c r="N76" s="174"/>
      <c r="O76" s="157"/>
      <c r="P76" s="178"/>
      <c r="Q76" s="157"/>
      <c r="R76" s="157"/>
      <c r="S76" s="178"/>
      <c r="T76" s="157"/>
      <c r="U76" s="178"/>
      <c r="V76" s="191"/>
      <c r="W76" s="191"/>
      <c r="X76" s="191"/>
      <c r="Y76" s="191"/>
      <c r="Z76" s="191"/>
      <c r="AA76" s="191"/>
      <c r="AB76" s="191"/>
    </row>
    <row r="77" ht="19.5" customHeight="1">
      <c r="A77" s="36"/>
      <c r="B77" s="224"/>
      <c r="C77" s="224"/>
      <c r="D77" s="212"/>
      <c r="E77" s="221"/>
      <c r="F77" s="222"/>
      <c r="G77" s="223"/>
      <c r="H77" s="164"/>
      <c r="I77" s="164"/>
      <c r="J77" s="164"/>
      <c r="K77" s="164"/>
      <c r="L77" s="174"/>
      <c r="M77" s="164"/>
      <c r="N77" s="174"/>
      <c r="O77" s="157"/>
      <c r="P77" s="178"/>
      <c r="Q77" s="157"/>
      <c r="R77" s="157"/>
      <c r="S77" s="178"/>
      <c r="T77" s="157"/>
      <c r="U77" s="178"/>
      <c r="V77" s="191"/>
      <c r="W77" s="191"/>
      <c r="X77" s="191"/>
      <c r="Y77" s="191"/>
      <c r="Z77" s="191"/>
      <c r="AA77" s="191"/>
      <c r="AB77" s="191"/>
    </row>
    <row r="78" ht="19.5" customHeight="1">
      <c r="A78" s="36"/>
      <c r="B78" s="224"/>
      <c r="C78" s="224"/>
      <c r="D78" s="212"/>
      <c r="E78" s="221"/>
      <c r="F78" s="222"/>
      <c r="G78" s="223"/>
      <c r="H78" s="164"/>
      <c r="I78" s="164"/>
      <c r="J78" s="164"/>
      <c r="K78" s="164"/>
      <c r="L78" s="174"/>
      <c r="M78" s="164"/>
      <c r="N78" s="174"/>
      <c r="O78" s="157"/>
      <c r="P78" s="178"/>
      <c r="Q78" s="157"/>
      <c r="R78" s="157"/>
      <c r="S78" s="178"/>
      <c r="T78" s="157"/>
      <c r="U78" s="178"/>
      <c r="V78" s="191"/>
      <c r="W78" s="191"/>
      <c r="X78" s="191"/>
      <c r="Y78" s="191"/>
      <c r="Z78" s="191"/>
      <c r="AA78" s="191"/>
      <c r="AB78" s="191"/>
    </row>
    <row r="79" ht="19.5" customHeight="1">
      <c r="A79" s="36"/>
      <c r="B79" s="224"/>
      <c r="C79" s="224"/>
      <c r="D79" s="212"/>
      <c r="E79" s="221"/>
      <c r="F79" s="222"/>
      <c r="G79" s="223"/>
      <c r="H79" s="164"/>
      <c r="I79" s="164"/>
      <c r="J79" s="164"/>
      <c r="K79" s="164"/>
      <c r="L79" s="174"/>
      <c r="M79" s="164"/>
      <c r="N79" s="174"/>
      <c r="O79" s="157"/>
      <c r="P79" s="178"/>
      <c r="Q79" s="157"/>
      <c r="R79" s="157"/>
      <c r="S79" s="178"/>
      <c r="T79" s="157"/>
      <c r="U79" s="178"/>
      <c r="V79" s="191"/>
      <c r="W79" s="191"/>
      <c r="X79" s="191"/>
      <c r="Y79" s="191"/>
      <c r="Z79" s="191"/>
      <c r="AA79" s="191"/>
      <c r="AB79" s="191"/>
    </row>
    <row r="80" ht="19.5" customHeight="1">
      <c r="A80" s="36"/>
      <c r="B80" s="224"/>
      <c r="C80" s="224"/>
      <c r="D80" s="212"/>
      <c r="E80" s="221"/>
      <c r="F80" s="222"/>
      <c r="G80" s="223"/>
      <c r="H80" s="164"/>
      <c r="I80" s="164"/>
      <c r="J80" s="164"/>
      <c r="K80" s="164"/>
      <c r="L80" s="174"/>
      <c r="M80" s="164"/>
      <c r="N80" s="174"/>
      <c r="O80" s="157"/>
      <c r="P80" s="178"/>
      <c r="Q80" s="157"/>
      <c r="R80" s="157"/>
      <c r="S80" s="178"/>
      <c r="T80" s="157"/>
      <c r="U80" s="178"/>
      <c r="V80" s="191"/>
      <c r="W80" s="191"/>
      <c r="X80" s="191"/>
      <c r="Y80" s="191"/>
      <c r="Z80" s="191"/>
      <c r="AA80" s="191"/>
      <c r="AB80" s="191"/>
    </row>
    <row r="81" ht="19.5" customHeight="1">
      <c r="A81" s="36"/>
      <c r="B81" s="224"/>
      <c r="C81" s="224"/>
      <c r="D81" s="212"/>
      <c r="E81" s="221"/>
      <c r="F81" s="222"/>
      <c r="G81" s="223"/>
      <c r="H81" s="164"/>
      <c r="I81" s="164"/>
      <c r="J81" s="164"/>
      <c r="K81" s="164"/>
      <c r="L81" s="174"/>
      <c r="M81" s="164"/>
      <c r="N81" s="174"/>
      <c r="O81" s="157"/>
      <c r="P81" s="178"/>
      <c r="Q81" s="157"/>
      <c r="R81" s="157"/>
      <c r="S81" s="178"/>
      <c r="T81" s="157"/>
      <c r="U81" s="178"/>
      <c r="V81" s="191"/>
      <c r="W81" s="191"/>
      <c r="X81" s="191"/>
      <c r="Y81" s="191"/>
      <c r="Z81" s="191"/>
      <c r="AA81" s="191"/>
      <c r="AB81" s="191"/>
    </row>
    <row r="82" ht="19.5" customHeight="1">
      <c r="A82" s="36"/>
      <c r="B82" s="224"/>
      <c r="C82" s="224"/>
      <c r="D82" s="212"/>
      <c r="E82" s="221"/>
      <c r="F82" s="222"/>
      <c r="G82" s="223"/>
      <c r="H82" s="164"/>
      <c r="I82" s="164"/>
      <c r="J82" s="164"/>
      <c r="K82" s="164"/>
      <c r="L82" s="174"/>
      <c r="M82" s="164"/>
      <c r="N82" s="174"/>
      <c r="O82" s="157"/>
      <c r="P82" s="178"/>
      <c r="Q82" s="157"/>
      <c r="R82" s="157"/>
      <c r="S82" s="178"/>
      <c r="T82" s="157"/>
      <c r="U82" s="178"/>
      <c r="V82" s="191"/>
      <c r="W82" s="191"/>
      <c r="X82" s="191"/>
      <c r="Y82" s="191"/>
      <c r="Z82" s="191"/>
      <c r="AA82" s="191"/>
      <c r="AB82" s="191"/>
    </row>
    <row r="83" ht="19.5" customHeight="1">
      <c r="A83" s="36"/>
      <c r="B83" s="224"/>
      <c r="C83" s="224"/>
      <c r="D83" s="212"/>
      <c r="E83" s="221"/>
      <c r="F83" s="222"/>
      <c r="G83" s="223"/>
      <c r="H83" s="164"/>
      <c r="I83" s="164"/>
      <c r="J83" s="164"/>
      <c r="K83" s="164"/>
      <c r="L83" s="174"/>
      <c r="M83" s="164"/>
      <c r="N83" s="174"/>
      <c r="O83" s="157"/>
      <c r="P83" s="178"/>
      <c r="Q83" s="157"/>
      <c r="R83" s="157"/>
      <c r="S83" s="178"/>
      <c r="T83" s="157"/>
      <c r="U83" s="178"/>
      <c r="V83" s="191"/>
      <c r="W83" s="191"/>
      <c r="X83" s="191"/>
      <c r="Y83" s="191"/>
      <c r="Z83" s="191"/>
      <c r="AA83" s="191"/>
      <c r="AB83" s="191"/>
    </row>
    <row r="84" ht="19.5" customHeight="1">
      <c r="A84" s="36"/>
      <c r="B84" s="224"/>
      <c r="C84" s="224"/>
      <c r="D84" s="212"/>
      <c r="E84" s="221"/>
      <c r="F84" s="222"/>
      <c r="G84" s="223"/>
      <c r="H84" s="164"/>
      <c r="I84" s="164"/>
      <c r="J84" s="164"/>
      <c r="K84" s="164"/>
      <c r="L84" s="174"/>
      <c r="M84" s="164"/>
      <c r="N84" s="174"/>
      <c r="O84" s="157"/>
      <c r="P84" s="178"/>
      <c r="Q84" s="157"/>
      <c r="R84" s="157"/>
      <c r="S84" s="178"/>
      <c r="T84" s="157"/>
      <c r="U84" s="178"/>
      <c r="V84" s="191"/>
      <c r="W84" s="191"/>
      <c r="X84" s="191"/>
      <c r="Y84" s="191"/>
      <c r="Z84" s="191"/>
      <c r="AA84" s="191"/>
      <c r="AB84" s="191"/>
    </row>
    <row r="85" ht="19.5" customHeight="1">
      <c r="A85" s="36"/>
      <c r="B85" s="224"/>
      <c r="C85" s="224"/>
      <c r="D85" s="212"/>
      <c r="E85" s="221"/>
      <c r="F85" s="222"/>
      <c r="G85" s="223"/>
      <c r="H85" s="164"/>
      <c r="I85" s="164"/>
      <c r="J85" s="164"/>
      <c r="K85" s="164"/>
      <c r="L85" s="174"/>
      <c r="M85" s="164"/>
      <c r="N85" s="174"/>
      <c r="O85" s="157"/>
      <c r="P85" s="178"/>
      <c r="Q85" s="157"/>
      <c r="R85" s="157"/>
      <c r="S85" s="178"/>
      <c r="T85" s="157"/>
      <c r="U85" s="178"/>
      <c r="V85" s="191"/>
      <c r="W85" s="191"/>
      <c r="X85" s="191"/>
      <c r="Y85" s="191"/>
      <c r="Z85" s="191"/>
      <c r="AA85" s="191"/>
      <c r="AB85" s="191"/>
    </row>
    <row r="86" ht="19.5" customHeight="1">
      <c r="A86" s="36"/>
      <c r="B86" s="224"/>
      <c r="C86" s="224"/>
      <c r="D86" s="212"/>
      <c r="E86" s="221"/>
      <c r="F86" s="222"/>
      <c r="G86" s="223"/>
      <c r="H86" s="164"/>
      <c r="I86" s="164"/>
      <c r="J86" s="164"/>
      <c r="K86" s="164"/>
      <c r="L86" s="174"/>
      <c r="M86" s="164"/>
      <c r="N86" s="174"/>
      <c r="O86" s="157"/>
      <c r="P86" s="178"/>
      <c r="Q86" s="157"/>
      <c r="R86" s="157"/>
      <c r="S86" s="178"/>
      <c r="T86" s="157"/>
      <c r="U86" s="178"/>
      <c r="V86" s="191"/>
      <c r="W86" s="191"/>
      <c r="X86" s="191"/>
      <c r="Y86" s="191"/>
      <c r="Z86" s="191"/>
      <c r="AA86" s="191"/>
      <c r="AB86" s="191"/>
    </row>
    <row r="87" ht="19.5" customHeight="1">
      <c r="A87" s="36"/>
      <c r="B87" s="224"/>
      <c r="C87" s="224"/>
      <c r="D87" s="212"/>
      <c r="E87" s="221"/>
      <c r="F87" s="222"/>
      <c r="G87" s="223"/>
      <c r="H87" s="164"/>
      <c r="I87" s="164"/>
      <c r="J87" s="164"/>
      <c r="K87" s="164"/>
      <c r="L87" s="174"/>
      <c r="M87" s="164"/>
      <c r="N87" s="174"/>
      <c r="O87" s="157"/>
      <c r="P87" s="178"/>
      <c r="Q87" s="157"/>
      <c r="R87" s="157"/>
      <c r="S87" s="178"/>
      <c r="T87" s="157"/>
      <c r="U87" s="178"/>
      <c r="V87" s="191"/>
      <c r="W87" s="191"/>
      <c r="X87" s="191"/>
      <c r="Y87" s="191"/>
      <c r="Z87" s="191"/>
      <c r="AA87" s="191"/>
      <c r="AB87" s="191"/>
    </row>
    <row r="88" ht="19.5" customHeight="1">
      <c r="A88" s="36"/>
      <c r="B88" s="224"/>
      <c r="C88" s="224"/>
      <c r="D88" s="212"/>
      <c r="E88" s="221"/>
      <c r="F88" s="222"/>
      <c r="G88" s="223"/>
      <c r="H88" s="164"/>
      <c r="I88" s="164"/>
      <c r="J88" s="164"/>
      <c r="K88" s="164"/>
      <c r="L88" s="174"/>
      <c r="M88" s="164"/>
      <c r="N88" s="174"/>
      <c r="O88" s="157"/>
      <c r="P88" s="178"/>
      <c r="Q88" s="157"/>
      <c r="R88" s="157"/>
      <c r="S88" s="178"/>
      <c r="T88" s="157"/>
      <c r="U88" s="178"/>
      <c r="V88" s="191"/>
      <c r="W88" s="191"/>
      <c r="X88" s="191"/>
      <c r="Y88" s="191"/>
      <c r="Z88" s="191"/>
      <c r="AA88" s="191"/>
      <c r="AB88" s="191"/>
    </row>
    <row r="89" ht="19.5" customHeight="1">
      <c r="A89" s="36"/>
      <c r="B89" s="224"/>
      <c r="C89" s="224"/>
      <c r="D89" s="212"/>
      <c r="E89" s="221"/>
      <c r="F89" s="222"/>
      <c r="G89" s="223"/>
      <c r="H89" s="164"/>
      <c r="I89" s="164"/>
      <c r="J89" s="164"/>
      <c r="K89" s="164"/>
      <c r="L89" s="174"/>
      <c r="M89" s="164"/>
      <c r="N89" s="174"/>
      <c r="O89" s="157"/>
      <c r="P89" s="178"/>
      <c r="Q89" s="157"/>
      <c r="R89" s="157"/>
      <c r="S89" s="178"/>
      <c r="T89" s="157"/>
      <c r="U89" s="178"/>
      <c r="V89" s="191"/>
      <c r="W89" s="191"/>
      <c r="X89" s="191"/>
      <c r="Y89" s="191"/>
      <c r="Z89" s="191"/>
      <c r="AA89" s="191"/>
      <c r="AB89" s="191"/>
    </row>
    <row r="90" ht="19.5" customHeight="1">
      <c r="A90" s="36"/>
      <c r="B90" s="224"/>
      <c r="C90" s="224"/>
      <c r="D90" s="212"/>
      <c r="E90" s="221"/>
      <c r="F90" s="222"/>
      <c r="G90" s="223"/>
      <c r="H90" s="164"/>
      <c r="I90" s="164"/>
      <c r="J90" s="164"/>
      <c r="K90" s="164"/>
      <c r="L90" s="174"/>
      <c r="M90" s="164"/>
      <c r="N90" s="174"/>
      <c r="O90" s="157"/>
      <c r="P90" s="178"/>
      <c r="Q90" s="157"/>
      <c r="R90" s="157"/>
      <c r="S90" s="178"/>
      <c r="T90" s="157"/>
      <c r="U90" s="178"/>
      <c r="V90" s="191"/>
      <c r="W90" s="191"/>
      <c r="X90" s="191"/>
      <c r="Y90" s="191"/>
      <c r="Z90" s="191"/>
      <c r="AA90" s="191"/>
      <c r="AB90" s="191"/>
    </row>
    <row r="91" ht="19.5" customHeight="1">
      <c r="A91" s="36"/>
      <c r="B91" s="224"/>
      <c r="C91" s="224"/>
      <c r="D91" s="212"/>
      <c r="E91" s="221"/>
      <c r="F91" s="222"/>
      <c r="G91" s="223"/>
      <c r="H91" s="164"/>
      <c r="I91" s="164"/>
      <c r="J91" s="164"/>
      <c r="K91" s="164"/>
      <c r="L91" s="174"/>
      <c r="M91" s="164"/>
      <c r="N91" s="174"/>
      <c r="O91" s="157"/>
      <c r="P91" s="178"/>
      <c r="Q91" s="157"/>
      <c r="R91" s="157"/>
      <c r="S91" s="178"/>
      <c r="T91" s="157"/>
      <c r="U91" s="178"/>
      <c r="V91" s="191"/>
      <c r="W91" s="191"/>
      <c r="X91" s="191"/>
      <c r="Y91" s="191"/>
      <c r="Z91" s="191"/>
      <c r="AA91" s="191"/>
      <c r="AB91" s="191"/>
    </row>
    <row r="92" ht="19.5" customHeight="1">
      <c r="A92" s="36"/>
      <c r="B92" s="224"/>
      <c r="C92" s="224"/>
      <c r="D92" s="212"/>
      <c r="E92" s="221"/>
      <c r="F92" s="222"/>
      <c r="G92" s="223"/>
      <c r="H92" s="164"/>
      <c r="I92" s="164"/>
      <c r="J92" s="164"/>
      <c r="K92" s="164"/>
      <c r="L92" s="174"/>
      <c r="M92" s="164"/>
      <c r="N92" s="174"/>
      <c r="O92" s="157"/>
      <c r="P92" s="178"/>
      <c r="Q92" s="157"/>
      <c r="R92" s="157"/>
      <c r="S92" s="178"/>
      <c r="T92" s="157"/>
      <c r="U92" s="178"/>
      <c r="V92" s="191"/>
      <c r="W92" s="191"/>
      <c r="X92" s="191"/>
      <c r="Y92" s="191"/>
      <c r="Z92" s="191"/>
      <c r="AA92" s="191"/>
      <c r="AB92" s="191"/>
    </row>
    <row r="93" ht="19.5" customHeight="1">
      <c r="A93" s="36"/>
      <c r="B93" s="224"/>
      <c r="C93" s="224"/>
      <c r="D93" s="212"/>
      <c r="E93" s="221"/>
      <c r="F93" s="222"/>
      <c r="G93" s="223"/>
      <c r="H93" s="164"/>
      <c r="I93" s="164"/>
      <c r="J93" s="164"/>
      <c r="K93" s="164"/>
      <c r="L93" s="174"/>
      <c r="M93" s="164"/>
      <c r="N93" s="174"/>
      <c r="O93" s="157"/>
      <c r="P93" s="178"/>
      <c r="Q93" s="157"/>
      <c r="R93" s="157"/>
      <c r="S93" s="178"/>
      <c r="T93" s="157"/>
      <c r="U93" s="178"/>
      <c r="V93" s="191"/>
      <c r="W93" s="191"/>
      <c r="X93" s="191"/>
      <c r="Y93" s="191"/>
      <c r="Z93" s="191"/>
      <c r="AA93" s="191"/>
      <c r="AB93" s="191"/>
    </row>
    <row r="94" ht="19.5" customHeight="1">
      <c r="A94" s="36"/>
      <c r="B94" s="224"/>
      <c r="C94" s="224"/>
      <c r="D94" s="212"/>
      <c r="E94" s="221"/>
      <c r="F94" s="222"/>
      <c r="G94" s="223"/>
      <c r="H94" s="164"/>
      <c r="I94" s="164"/>
      <c r="J94" s="164"/>
      <c r="K94" s="164"/>
      <c r="L94" s="174"/>
      <c r="M94" s="164"/>
      <c r="N94" s="174"/>
      <c r="O94" s="157"/>
      <c r="P94" s="178"/>
      <c r="Q94" s="157"/>
      <c r="R94" s="157"/>
      <c r="S94" s="178"/>
      <c r="T94" s="157"/>
      <c r="U94" s="178"/>
      <c r="V94" s="191"/>
      <c r="W94" s="191"/>
      <c r="X94" s="191"/>
      <c r="Y94" s="191"/>
      <c r="Z94" s="191"/>
      <c r="AA94" s="191"/>
      <c r="AB94" s="191"/>
    </row>
    <row r="95" ht="19.5" customHeight="1">
      <c r="A95" s="36"/>
      <c r="B95" s="224"/>
      <c r="C95" s="224"/>
      <c r="D95" s="212"/>
      <c r="E95" s="221"/>
      <c r="F95" s="222"/>
      <c r="G95" s="223"/>
      <c r="H95" s="164"/>
      <c r="I95" s="164"/>
      <c r="J95" s="164"/>
      <c r="K95" s="164"/>
      <c r="L95" s="174"/>
      <c r="M95" s="164"/>
      <c r="N95" s="174"/>
      <c r="O95" s="157"/>
      <c r="P95" s="178"/>
      <c r="Q95" s="157"/>
      <c r="R95" s="157"/>
      <c r="S95" s="178"/>
      <c r="T95" s="157"/>
      <c r="U95" s="178"/>
      <c r="V95" s="191"/>
      <c r="W95" s="191"/>
      <c r="X95" s="191"/>
      <c r="Y95" s="191"/>
      <c r="Z95" s="191"/>
      <c r="AA95" s="191"/>
      <c r="AB95" s="191"/>
    </row>
    <row r="96" ht="19.5" customHeight="1">
      <c r="A96" s="36"/>
      <c r="B96" s="224"/>
      <c r="C96" s="224"/>
      <c r="D96" s="212"/>
      <c r="E96" s="221"/>
      <c r="F96" s="222"/>
      <c r="G96" s="223"/>
      <c r="H96" s="164"/>
      <c r="I96" s="164"/>
      <c r="J96" s="164"/>
      <c r="K96" s="164"/>
      <c r="L96" s="174"/>
      <c r="M96" s="164"/>
      <c r="N96" s="174"/>
      <c r="O96" s="157"/>
      <c r="P96" s="178"/>
      <c r="Q96" s="157"/>
      <c r="R96" s="157"/>
      <c r="S96" s="178"/>
      <c r="T96" s="157"/>
      <c r="U96" s="178"/>
      <c r="V96" s="191"/>
      <c r="W96" s="191"/>
      <c r="X96" s="191"/>
      <c r="Y96" s="191"/>
      <c r="Z96" s="191"/>
      <c r="AA96" s="191"/>
      <c r="AB96" s="191"/>
    </row>
    <row r="97" ht="19.5" customHeight="1">
      <c r="A97" s="36"/>
      <c r="B97" s="224"/>
      <c r="C97" s="224"/>
      <c r="D97" s="212"/>
      <c r="E97" s="221"/>
      <c r="F97" s="222"/>
      <c r="G97" s="223"/>
      <c r="H97" s="164"/>
      <c r="I97" s="164"/>
      <c r="J97" s="164"/>
      <c r="K97" s="164"/>
      <c r="L97" s="174"/>
      <c r="M97" s="164"/>
      <c r="N97" s="174"/>
      <c r="O97" s="157"/>
      <c r="P97" s="178"/>
      <c r="Q97" s="157"/>
      <c r="R97" s="157"/>
      <c r="S97" s="178"/>
      <c r="T97" s="157"/>
      <c r="U97" s="178"/>
      <c r="V97" s="191"/>
      <c r="W97" s="191"/>
      <c r="X97" s="191"/>
      <c r="Y97" s="191"/>
      <c r="Z97" s="191"/>
      <c r="AA97" s="191"/>
      <c r="AB97" s="191"/>
    </row>
    <row r="98" ht="19.5" customHeight="1">
      <c r="A98" s="36"/>
      <c r="B98" s="224"/>
      <c r="C98" s="224"/>
      <c r="D98" s="212"/>
      <c r="E98" s="221"/>
      <c r="F98" s="222"/>
      <c r="G98" s="223"/>
      <c r="H98" s="164"/>
      <c r="I98" s="164"/>
      <c r="J98" s="164"/>
      <c r="K98" s="164"/>
      <c r="L98" s="174"/>
      <c r="M98" s="164"/>
      <c r="N98" s="174"/>
      <c r="O98" s="157"/>
      <c r="P98" s="178"/>
      <c r="Q98" s="157"/>
      <c r="R98" s="157"/>
      <c r="S98" s="178"/>
      <c r="T98" s="157"/>
      <c r="U98" s="178"/>
      <c r="V98" s="191"/>
      <c r="W98" s="191"/>
      <c r="X98" s="191"/>
      <c r="Y98" s="191"/>
      <c r="Z98" s="191"/>
      <c r="AA98" s="191"/>
      <c r="AB98" s="191"/>
    </row>
    <row r="99" ht="19.5" customHeight="1">
      <c r="A99" s="36"/>
      <c r="B99" s="224"/>
      <c r="C99" s="224"/>
      <c r="D99" s="212"/>
      <c r="E99" s="221"/>
      <c r="F99" s="222"/>
      <c r="G99" s="223"/>
      <c r="H99" s="164"/>
      <c r="I99" s="164"/>
      <c r="J99" s="164"/>
      <c r="K99" s="164"/>
      <c r="L99" s="174"/>
      <c r="M99" s="164"/>
      <c r="N99" s="174"/>
      <c r="O99" s="157"/>
      <c r="P99" s="178"/>
      <c r="Q99" s="157"/>
      <c r="R99" s="157"/>
      <c r="S99" s="178"/>
      <c r="T99" s="157"/>
      <c r="U99" s="178"/>
      <c r="V99" s="191"/>
      <c r="W99" s="191"/>
      <c r="X99" s="191"/>
      <c r="Y99" s="191"/>
      <c r="Z99" s="191"/>
      <c r="AA99" s="191"/>
      <c r="AB99" s="191"/>
    </row>
    <row r="100" ht="19.5" customHeight="1">
      <c r="A100" s="36"/>
      <c r="B100" s="224"/>
      <c r="C100" s="224"/>
      <c r="D100" s="212"/>
      <c r="E100" s="221"/>
      <c r="F100" s="222"/>
      <c r="G100" s="223"/>
      <c r="H100" s="164"/>
      <c r="I100" s="164"/>
      <c r="J100" s="164"/>
      <c r="K100" s="164"/>
      <c r="L100" s="174"/>
      <c r="M100" s="164"/>
      <c r="N100" s="174"/>
      <c r="O100" s="157"/>
      <c r="P100" s="178"/>
      <c r="Q100" s="157"/>
      <c r="R100" s="157"/>
      <c r="S100" s="178"/>
      <c r="T100" s="157"/>
      <c r="U100" s="178"/>
      <c r="V100" s="191"/>
      <c r="W100" s="191"/>
      <c r="X100" s="191"/>
      <c r="Y100" s="191"/>
      <c r="Z100" s="191"/>
      <c r="AA100" s="191"/>
      <c r="AB100" s="191"/>
    </row>
    <row r="101" ht="19.5" customHeight="1">
      <c r="A101" s="36"/>
      <c r="B101" s="224"/>
      <c r="C101" s="224"/>
      <c r="D101" s="212"/>
      <c r="E101" s="221"/>
      <c r="F101" s="222"/>
      <c r="G101" s="223"/>
      <c r="H101" s="164"/>
      <c r="I101" s="164"/>
      <c r="J101" s="164"/>
      <c r="K101" s="164"/>
      <c r="L101" s="174"/>
      <c r="M101" s="164"/>
      <c r="N101" s="174"/>
      <c r="O101" s="157"/>
      <c r="P101" s="178"/>
      <c r="Q101" s="157"/>
      <c r="R101" s="157"/>
      <c r="S101" s="178"/>
      <c r="T101" s="157"/>
      <c r="U101" s="178"/>
      <c r="V101" s="191"/>
      <c r="W101" s="191"/>
      <c r="X101" s="191"/>
      <c r="Y101" s="191"/>
      <c r="Z101" s="191"/>
      <c r="AA101" s="191"/>
      <c r="AB101" s="191"/>
    </row>
    <row r="102" ht="19.5" customHeight="1">
      <c r="A102" s="36"/>
      <c r="B102" s="224"/>
      <c r="C102" s="224"/>
      <c r="D102" s="212"/>
      <c r="E102" s="221"/>
      <c r="F102" s="222"/>
      <c r="G102" s="223"/>
      <c r="H102" s="164"/>
      <c r="I102" s="164"/>
      <c r="J102" s="164"/>
      <c r="K102" s="164"/>
      <c r="L102" s="174"/>
      <c r="M102" s="164"/>
      <c r="N102" s="174"/>
      <c r="O102" s="157"/>
      <c r="P102" s="178"/>
      <c r="Q102" s="157"/>
      <c r="R102" s="157"/>
      <c r="S102" s="178"/>
      <c r="T102" s="157"/>
      <c r="U102" s="178"/>
      <c r="V102" s="191"/>
      <c r="W102" s="191"/>
      <c r="X102" s="191"/>
      <c r="Y102" s="191"/>
      <c r="Z102" s="191"/>
      <c r="AA102" s="191"/>
      <c r="AB102" s="191"/>
    </row>
    <row r="103" ht="19.5" customHeight="1">
      <c r="A103" s="36"/>
      <c r="B103" s="224"/>
      <c r="C103" s="224"/>
      <c r="D103" s="212"/>
      <c r="E103" s="221"/>
      <c r="F103" s="222"/>
      <c r="G103" s="223"/>
      <c r="H103" s="164"/>
      <c r="I103" s="164"/>
      <c r="J103" s="164"/>
      <c r="K103" s="164"/>
      <c r="L103" s="174"/>
      <c r="M103" s="164"/>
      <c r="N103" s="174"/>
      <c r="O103" s="157"/>
      <c r="P103" s="178"/>
      <c r="Q103" s="157"/>
      <c r="R103" s="157"/>
      <c r="S103" s="178"/>
      <c r="T103" s="157"/>
      <c r="U103" s="178"/>
      <c r="V103" s="191"/>
      <c r="W103" s="191"/>
      <c r="X103" s="191"/>
      <c r="Y103" s="191"/>
      <c r="Z103" s="191"/>
      <c r="AA103" s="191"/>
      <c r="AB103" s="191"/>
    </row>
    <row r="104" ht="19.5" customHeight="1">
      <c r="A104" s="36"/>
      <c r="B104" s="224"/>
      <c r="C104" s="224"/>
      <c r="D104" s="212"/>
      <c r="E104" s="221"/>
      <c r="F104" s="222"/>
      <c r="G104" s="223"/>
      <c r="H104" s="164"/>
      <c r="I104" s="164"/>
      <c r="J104" s="164"/>
      <c r="K104" s="164"/>
      <c r="L104" s="174"/>
      <c r="M104" s="164"/>
      <c r="N104" s="174"/>
      <c r="O104" s="157"/>
      <c r="P104" s="178"/>
      <c r="Q104" s="157"/>
      <c r="R104" s="157"/>
      <c r="S104" s="178"/>
      <c r="T104" s="157"/>
      <c r="U104" s="178"/>
      <c r="V104" s="191"/>
      <c r="W104" s="191"/>
      <c r="X104" s="191"/>
      <c r="Y104" s="191"/>
      <c r="Z104" s="191"/>
      <c r="AA104" s="191"/>
      <c r="AB104" s="191"/>
    </row>
    <row r="105" ht="19.5" customHeight="1">
      <c r="A105" s="36"/>
      <c r="B105" s="224"/>
      <c r="C105" s="224"/>
      <c r="D105" s="212"/>
      <c r="E105" s="221"/>
      <c r="F105" s="222"/>
      <c r="G105" s="223"/>
      <c r="H105" s="164"/>
      <c r="I105" s="164"/>
      <c r="J105" s="164"/>
      <c r="K105" s="164"/>
      <c r="L105" s="174"/>
      <c r="M105" s="164"/>
      <c r="N105" s="174"/>
      <c r="O105" s="157"/>
      <c r="P105" s="178"/>
      <c r="Q105" s="157"/>
      <c r="R105" s="157"/>
      <c r="S105" s="178"/>
      <c r="T105" s="157"/>
      <c r="U105" s="178"/>
      <c r="V105" s="191"/>
      <c r="W105" s="191"/>
      <c r="X105" s="191"/>
      <c r="Y105" s="191"/>
      <c r="Z105" s="191"/>
      <c r="AA105" s="191"/>
      <c r="AB105" s="191"/>
    </row>
    <row r="106" ht="19.5" customHeight="1">
      <c r="A106" s="36"/>
      <c r="B106" s="224"/>
      <c r="C106" s="224"/>
      <c r="D106" s="212"/>
      <c r="E106" s="221"/>
      <c r="F106" s="222"/>
      <c r="G106" s="223"/>
      <c r="H106" s="164"/>
      <c r="I106" s="164"/>
      <c r="J106" s="164"/>
      <c r="K106" s="164"/>
      <c r="L106" s="174"/>
      <c r="M106" s="164"/>
      <c r="N106" s="174"/>
      <c r="O106" s="157"/>
      <c r="P106" s="178"/>
      <c r="Q106" s="157"/>
      <c r="R106" s="157"/>
      <c r="S106" s="178"/>
      <c r="T106" s="157"/>
      <c r="U106" s="178"/>
      <c r="V106" s="191"/>
      <c r="W106" s="191"/>
      <c r="X106" s="191"/>
      <c r="Y106" s="191"/>
      <c r="Z106" s="191"/>
      <c r="AA106" s="191"/>
      <c r="AB106" s="191"/>
    </row>
    <row r="107" ht="19.5" customHeight="1">
      <c r="A107" s="36"/>
      <c r="B107" s="224"/>
      <c r="C107" s="224"/>
      <c r="D107" s="212"/>
      <c r="E107" s="221"/>
      <c r="F107" s="222"/>
      <c r="G107" s="223"/>
      <c r="H107" s="164"/>
      <c r="I107" s="164"/>
      <c r="J107" s="164"/>
      <c r="K107" s="164"/>
      <c r="L107" s="174"/>
      <c r="M107" s="164"/>
      <c r="N107" s="174"/>
      <c r="O107" s="157"/>
      <c r="P107" s="178"/>
      <c r="Q107" s="157"/>
      <c r="R107" s="157"/>
      <c r="S107" s="178"/>
      <c r="T107" s="157"/>
      <c r="U107" s="178"/>
      <c r="V107" s="191"/>
      <c r="W107" s="191"/>
      <c r="X107" s="191"/>
      <c r="Y107" s="191"/>
      <c r="Z107" s="191"/>
      <c r="AA107" s="191"/>
      <c r="AB107" s="191"/>
    </row>
    <row r="108" ht="19.5" customHeight="1">
      <c r="A108" s="36"/>
      <c r="B108" s="224"/>
      <c r="C108" s="224"/>
      <c r="D108" s="212"/>
      <c r="E108" s="221"/>
      <c r="F108" s="222"/>
      <c r="G108" s="223"/>
      <c r="H108" s="164"/>
      <c r="I108" s="164"/>
      <c r="J108" s="164"/>
      <c r="K108" s="164"/>
      <c r="L108" s="174"/>
      <c r="M108" s="164"/>
      <c r="N108" s="174"/>
      <c r="O108" s="157"/>
      <c r="P108" s="178"/>
      <c r="Q108" s="157"/>
      <c r="R108" s="157"/>
      <c r="S108" s="178"/>
      <c r="T108" s="157"/>
      <c r="U108" s="178"/>
      <c r="V108" s="191"/>
      <c r="W108" s="191"/>
      <c r="X108" s="191"/>
      <c r="Y108" s="191"/>
      <c r="Z108" s="191"/>
      <c r="AA108" s="191"/>
      <c r="AB108" s="191"/>
    </row>
    <row r="109" ht="19.5" customHeight="1">
      <c r="A109" s="36"/>
      <c r="B109" s="224"/>
      <c r="C109" s="224"/>
      <c r="D109" s="212"/>
      <c r="E109" s="221"/>
      <c r="F109" s="222"/>
      <c r="G109" s="223"/>
      <c r="H109" s="164"/>
      <c r="I109" s="164"/>
      <c r="J109" s="164"/>
      <c r="K109" s="164"/>
      <c r="L109" s="174"/>
      <c r="M109" s="164"/>
      <c r="N109" s="174"/>
      <c r="O109" s="157"/>
      <c r="P109" s="178"/>
      <c r="Q109" s="157"/>
      <c r="R109" s="157"/>
      <c r="S109" s="178"/>
      <c r="T109" s="157"/>
      <c r="U109" s="178"/>
      <c r="V109" s="191"/>
      <c r="W109" s="191"/>
      <c r="X109" s="191"/>
      <c r="Y109" s="191"/>
      <c r="Z109" s="191"/>
      <c r="AA109" s="191"/>
      <c r="AB109" s="191"/>
    </row>
    <row r="110" ht="19.5" customHeight="1">
      <c r="A110" s="36"/>
      <c r="B110" s="224"/>
      <c r="C110" s="224"/>
      <c r="D110" s="212"/>
      <c r="E110" s="221"/>
      <c r="F110" s="222"/>
      <c r="G110" s="223"/>
      <c r="H110" s="164"/>
      <c r="I110" s="164"/>
      <c r="J110" s="164"/>
      <c r="K110" s="164"/>
      <c r="L110" s="174"/>
      <c r="M110" s="164"/>
      <c r="N110" s="174"/>
      <c r="O110" s="157"/>
      <c r="P110" s="178"/>
      <c r="Q110" s="157"/>
      <c r="R110" s="157"/>
      <c r="S110" s="178"/>
      <c r="T110" s="157"/>
      <c r="U110" s="178"/>
      <c r="V110" s="191"/>
      <c r="W110" s="191"/>
      <c r="X110" s="191"/>
      <c r="Y110" s="191"/>
      <c r="Z110" s="191"/>
      <c r="AA110" s="191"/>
      <c r="AB110" s="191"/>
    </row>
    <row r="111" ht="19.5" customHeight="1">
      <c r="A111" s="36"/>
      <c r="B111" s="224"/>
      <c r="C111" s="224"/>
      <c r="D111" s="212"/>
      <c r="E111" s="221"/>
      <c r="F111" s="222"/>
      <c r="G111" s="223"/>
      <c r="H111" s="164"/>
      <c r="I111" s="164"/>
      <c r="J111" s="164"/>
      <c r="K111" s="164"/>
      <c r="L111" s="174"/>
      <c r="M111" s="164"/>
      <c r="N111" s="174"/>
      <c r="O111" s="157"/>
      <c r="P111" s="178"/>
      <c r="Q111" s="157"/>
      <c r="R111" s="157"/>
      <c r="S111" s="178"/>
      <c r="T111" s="157"/>
      <c r="U111" s="178"/>
      <c r="V111" s="191"/>
      <c r="W111" s="191"/>
      <c r="X111" s="191"/>
      <c r="Y111" s="191"/>
      <c r="Z111" s="191"/>
      <c r="AA111" s="191"/>
      <c r="AB111" s="191"/>
    </row>
    <row r="112" ht="19.5" customHeight="1">
      <c r="A112" s="36"/>
      <c r="B112" s="224"/>
      <c r="C112" s="224"/>
      <c r="D112" s="212"/>
      <c r="E112" s="221"/>
      <c r="F112" s="222"/>
      <c r="G112" s="223"/>
      <c r="H112" s="164"/>
      <c r="I112" s="164"/>
      <c r="J112" s="164"/>
      <c r="K112" s="164"/>
      <c r="L112" s="174"/>
      <c r="M112" s="164"/>
      <c r="N112" s="174"/>
      <c r="O112" s="157"/>
      <c r="P112" s="178"/>
      <c r="Q112" s="157"/>
      <c r="R112" s="157"/>
      <c r="S112" s="178"/>
      <c r="T112" s="157"/>
      <c r="U112" s="178"/>
      <c r="V112" s="191"/>
      <c r="W112" s="191"/>
      <c r="X112" s="191"/>
      <c r="Y112" s="191"/>
      <c r="Z112" s="191"/>
      <c r="AA112" s="191"/>
      <c r="AB112" s="191"/>
    </row>
    <row r="113" ht="19.5" customHeight="1">
      <c r="A113" s="36"/>
      <c r="B113" s="224"/>
      <c r="C113" s="224"/>
      <c r="D113" s="212"/>
      <c r="E113" s="221"/>
      <c r="F113" s="222"/>
      <c r="G113" s="223"/>
      <c r="H113" s="164"/>
      <c r="I113" s="164"/>
      <c r="J113" s="164"/>
      <c r="K113" s="164"/>
      <c r="L113" s="174"/>
      <c r="M113" s="164"/>
      <c r="N113" s="174"/>
      <c r="O113" s="157"/>
      <c r="P113" s="178"/>
      <c r="Q113" s="157"/>
      <c r="R113" s="157"/>
      <c r="S113" s="178"/>
      <c r="T113" s="157"/>
      <c r="U113" s="178"/>
      <c r="V113" s="191"/>
      <c r="W113" s="191"/>
      <c r="X113" s="191"/>
      <c r="Y113" s="191"/>
      <c r="Z113" s="191"/>
      <c r="AA113" s="191"/>
      <c r="AB113" s="191"/>
    </row>
    <row r="114" ht="19.5" customHeight="1">
      <c r="A114" s="36"/>
      <c r="B114" s="224"/>
      <c r="C114" s="224"/>
      <c r="D114" s="212"/>
      <c r="E114" s="221"/>
      <c r="F114" s="222"/>
      <c r="G114" s="223"/>
      <c r="H114" s="164"/>
      <c r="I114" s="164"/>
      <c r="J114" s="164"/>
      <c r="K114" s="164"/>
      <c r="L114" s="174"/>
      <c r="M114" s="164"/>
      <c r="N114" s="174"/>
      <c r="O114" s="157"/>
      <c r="P114" s="178"/>
      <c r="Q114" s="157"/>
      <c r="R114" s="157"/>
      <c r="S114" s="178"/>
      <c r="T114" s="157"/>
      <c r="U114" s="178"/>
      <c r="V114" s="191"/>
      <c r="W114" s="191"/>
      <c r="X114" s="191"/>
      <c r="Y114" s="191"/>
      <c r="Z114" s="191"/>
      <c r="AA114" s="191"/>
      <c r="AB114" s="191"/>
    </row>
    <row r="115" ht="19.5" customHeight="1">
      <c r="A115" s="36"/>
      <c r="B115" s="224"/>
      <c r="C115" s="224"/>
      <c r="D115" s="212"/>
      <c r="E115" s="221"/>
      <c r="F115" s="222"/>
      <c r="G115" s="223"/>
      <c r="H115" s="164"/>
      <c r="I115" s="164"/>
      <c r="J115" s="164"/>
      <c r="K115" s="164"/>
      <c r="L115" s="174"/>
      <c r="M115" s="164"/>
      <c r="N115" s="174"/>
      <c r="O115" s="157"/>
      <c r="P115" s="178"/>
      <c r="Q115" s="157"/>
      <c r="R115" s="157"/>
      <c r="S115" s="178"/>
      <c r="T115" s="157"/>
      <c r="U115" s="178"/>
      <c r="V115" s="191"/>
      <c r="W115" s="191"/>
      <c r="X115" s="191"/>
      <c r="Y115" s="191"/>
      <c r="Z115" s="191"/>
      <c r="AA115" s="191"/>
      <c r="AB115" s="191"/>
    </row>
    <row r="116" ht="19.5" customHeight="1">
      <c r="A116" s="36"/>
      <c r="B116" s="224"/>
      <c r="C116" s="224"/>
      <c r="D116" s="212"/>
      <c r="E116" s="221"/>
      <c r="F116" s="222"/>
      <c r="G116" s="223"/>
      <c r="H116" s="164"/>
      <c r="I116" s="164"/>
      <c r="J116" s="164"/>
      <c r="K116" s="164"/>
      <c r="L116" s="174"/>
      <c r="M116" s="164"/>
      <c r="N116" s="174"/>
      <c r="O116" s="157"/>
      <c r="P116" s="178"/>
      <c r="Q116" s="157"/>
      <c r="R116" s="157"/>
      <c r="S116" s="178"/>
      <c r="T116" s="157"/>
      <c r="U116" s="178"/>
      <c r="V116" s="191"/>
      <c r="W116" s="191"/>
      <c r="X116" s="191"/>
      <c r="Y116" s="191"/>
      <c r="Z116" s="191"/>
      <c r="AA116" s="191"/>
      <c r="AB116" s="191"/>
    </row>
    <row r="117" ht="19.5" customHeight="1">
      <c r="A117" s="36"/>
      <c r="B117" s="224"/>
      <c r="C117" s="224"/>
      <c r="D117" s="212"/>
      <c r="E117" s="221"/>
      <c r="F117" s="222"/>
      <c r="G117" s="223"/>
      <c r="H117" s="164"/>
      <c r="I117" s="164"/>
      <c r="J117" s="164"/>
      <c r="K117" s="164"/>
      <c r="L117" s="174"/>
      <c r="M117" s="164"/>
      <c r="N117" s="174"/>
      <c r="O117" s="157"/>
      <c r="P117" s="178"/>
      <c r="Q117" s="157"/>
      <c r="R117" s="157"/>
      <c r="S117" s="178"/>
      <c r="T117" s="157"/>
      <c r="U117" s="178"/>
      <c r="V117" s="191"/>
      <c r="W117" s="191"/>
      <c r="X117" s="191"/>
      <c r="Y117" s="191"/>
      <c r="Z117" s="191"/>
      <c r="AA117" s="191"/>
      <c r="AB117" s="191"/>
    </row>
    <row r="118" ht="19.5" customHeight="1">
      <c r="A118" s="36"/>
      <c r="B118" s="224"/>
      <c r="C118" s="224"/>
      <c r="D118" s="212"/>
      <c r="E118" s="221"/>
      <c r="F118" s="222"/>
      <c r="G118" s="223"/>
      <c r="H118" s="164"/>
      <c r="I118" s="164"/>
      <c r="J118" s="164"/>
      <c r="K118" s="164"/>
      <c r="L118" s="174"/>
      <c r="M118" s="164"/>
      <c r="N118" s="174"/>
      <c r="O118" s="157"/>
      <c r="P118" s="178"/>
      <c r="Q118" s="157"/>
      <c r="R118" s="157"/>
      <c r="S118" s="178"/>
      <c r="T118" s="157"/>
      <c r="U118" s="178"/>
      <c r="V118" s="191"/>
      <c r="W118" s="191"/>
      <c r="X118" s="191"/>
      <c r="Y118" s="191"/>
      <c r="Z118" s="191"/>
      <c r="AA118" s="191"/>
      <c r="AB118" s="191"/>
    </row>
    <row r="119" ht="19.5" customHeight="1">
      <c r="A119" s="36"/>
      <c r="B119" s="224"/>
      <c r="C119" s="224"/>
      <c r="D119" s="212"/>
      <c r="E119" s="221"/>
      <c r="F119" s="222"/>
      <c r="G119" s="223"/>
      <c r="H119" s="164"/>
      <c r="I119" s="164"/>
      <c r="J119" s="164"/>
      <c r="K119" s="164"/>
      <c r="L119" s="174"/>
      <c r="M119" s="164"/>
      <c r="N119" s="174"/>
      <c r="O119" s="157"/>
      <c r="P119" s="178"/>
      <c r="Q119" s="157"/>
      <c r="R119" s="157"/>
      <c r="S119" s="178"/>
      <c r="T119" s="157"/>
      <c r="U119" s="178"/>
      <c r="V119" s="191"/>
      <c r="W119" s="191"/>
      <c r="X119" s="191"/>
      <c r="Y119" s="191"/>
      <c r="Z119" s="191"/>
      <c r="AA119" s="191"/>
      <c r="AB119" s="191"/>
    </row>
    <row r="120" ht="19.5" customHeight="1">
      <c r="A120" s="36"/>
      <c r="B120" s="224"/>
      <c r="C120" s="224"/>
      <c r="D120" s="212"/>
      <c r="E120" s="221"/>
      <c r="F120" s="222"/>
      <c r="G120" s="223"/>
      <c r="H120" s="164"/>
      <c r="I120" s="164"/>
      <c r="J120" s="164"/>
      <c r="K120" s="164"/>
      <c r="L120" s="174"/>
      <c r="M120" s="164"/>
      <c r="N120" s="174"/>
      <c r="O120" s="157"/>
      <c r="P120" s="178"/>
      <c r="Q120" s="157"/>
      <c r="R120" s="157"/>
      <c r="S120" s="178"/>
      <c r="T120" s="157"/>
      <c r="U120" s="178"/>
      <c r="V120" s="191"/>
      <c r="W120" s="191"/>
      <c r="X120" s="191"/>
      <c r="Y120" s="191"/>
      <c r="Z120" s="191"/>
      <c r="AA120" s="191"/>
      <c r="AB120" s="191"/>
    </row>
    <row r="121" ht="19.5" customHeight="1">
      <c r="A121" s="36"/>
      <c r="B121" s="224"/>
      <c r="C121" s="224"/>
      <c r="D121" s="212"/>
      <c r="E121" s="221"/>
      <c r="F121" s="222"/>
      <c r="G121" s="223"/>
      <c r="H121" s="164"/>
      <c r="I121" s="164"/>
      <c r="J121" s="164"/>
      <c r="K121" s="164"/>
      <c r="L121" s="174"/>
      <c r="M121" s="164"/>
      <c r="N121" s="174"/>
      <c r="O121" s="157"/>
      <c r="P121" s="178"/>
      <c r="Q121" s="157"/>
      <c r="R121" s="157"/>
      <c r="S121" s="178"/>
      <c r="T121" s="157"/>
      <c r="U121" s="178"/>
      <c r="V121" s="191"/>
      <c r="W121" s="191"/>
      <c r="X121" s="191"/>
      <c r="Y121" s="191"/>
      <c r="Z121" s="191"/>
      <c r="AA121" s="191"/>
      <c r="AB121" s="191"/>
    </row>
    <row r="122" ht="19.5" customHeight="1">
      <c r="A122" s="36"/>
      <c r="B122" s="224"/>
      <c r="C122" s="224"/>
      <c r="D122" s="212"/>
      <c r="E122" s="221"/>
      <c r="F122" s="222"/>
      <c r="G122" s="223"/>
      <c r="H122" s="164"/>
      <c r="I122" s="164"/>
      <c r="J122" s="164"/>
      <c r="K122" s="164"/>
      <c r="L122" s="174"/>
      <c r="M122" s="164"/>
      <c r="N122" s="174"/>
      <c r="O122" s="157"/>
      <c r="P122" s="178"/>
      <c r="Q122" s="157"/>
      <c r="R122" s="157"/>
      <c r="S122" s="178"/>
      <c r="T122" s="157"/>
      <c r="U122" s="178"/>
      <c r="V122" s="191"/>
      <c r="W122" s="191"/>
      <c r="X122" s="191"/>
      <c r="Y122" s="191"/>
      <c r="Z122" s="191"/>
      <c r="AA122" s="191"/>
      <c r="AB122" s="191"/>
    </row>
    <row r="123" ht="19.5" customHeight="1">
      <c r="A123" s="36"/>
      <c r="B123" s="224"/>
      <c r="C123" s="224"/>
      <c r="D123" s="212"/>
      <c r="E123" s="221"/>
      <c r="F123" s="222"/>
      <c r="G123" s="223"/>
      <c r="H123" s="164"/>
      <c r="I123" s="164"/>
      <c r="J123" s="164"/>
      <c r="K123" s="164"/>
      <c r="L123" s="174"/>
      <c r="M123" s="164"/>
      <c r="N123" s="174"/>
      <c r="O123" s="157"/>
      <c r="P123" s="178"/>
      <c r="Q123" s="157"/>
      <c r="R123" s="157"/>
      <c r="S123" s="178"/>
      <c r="T123" s="157"/>
      <c r="U123" s="178"/>
      <c r="V123" s="191"/>
      <c r="W123" s="191"/>
      <c r="X123" s="191"/>
      <c r="Y123" s="191"/>
      <c r="Z123" s="191"/>
      <c r="AA123" s="191"/>
      <c r="AB123" s="191"/>
    </row>
    <row r="124" ht="19.5" customHeight="1">
      <c r="A124" s="36"/>
      <c r="B124" s="224"/>
      <c r="C124" s="224"/>
      <c r="D124" s="212"/>
      <c r="E124" s="221"/>
      <c r="F124" s="222"/>
      <c r="G124" s="223"/>
      <c r="H124" s="164"/>
      <c r="I124" s="164"/>
      <c r="J124" s="164"/>
      <c r="K124" s="164"/>
      <c r="L124" s="174"/>
      <c r="M124" s="164"/>
      <c r="N124" s="174"/>
      <c r="O124" s="157"/>
      <c r="P124" s="178"/>
      <c r="Q124" s="157"/>
      <c r="R124" s="157"/>
      <c r="S124" s="178"/>
      <c r="T124" s="157"/>
      <c r="U124" s="178"/>
      <c r="V124" s="191"/>
      <c r="W124" s="191"/>
      <c r="X124" s="191"/>
      <c r="Y124" s="191"/>
      <c r="Z124" s="191"/>
      <c r="AA124" s="191"/>
      <c r="AB124" s="191"/>
    </row>
    <row r="125" ht="19.5" customHeight="1">
      <c r="A125" s="36"/>
      <c r="B125" s="224"/>
      <c r="C125" s="224"/>
      <c r="D125" s="212"/>
      <c r="E125" s="221"/>
      <c r="F125" s="222"/>
      <c r="G125" s="223"/>
      <c r="H125" s="164"/>
      <c r="I125" s="164"/>
      <c r="J125" s="164"/>
      <c r="K125" s="164"/>
      <c r="L125" s="174"/>
      <c r="M125" s="164"/>
      <c r="N125" s="174"/>
      <c r="O125" s="157"/>
      <c r="P125" s="178"/>
      <c r="Q125" s="157"/>
      <c r="R125" s="157"/>
      <c r="S125" s="178"/>
      <c r="T125" s="157"/>
      <c r="U125" s="178"/>
      <c r="V125" s="191"/>
      <c r="W125" s="191"/>
      <c r="X125" s="191"/>
      <c r="Y125" s="191"/>
      <c r="Z125" s="191"/>
      <c r="AA125" s="191"/>
      <c r="AB125" s="191"/>
    </row>
    <row r="126" ht="19.5" customHeight="1">
      <c r="A126" s="36"/>
      <c r="B126" s="224"/>
      <c r="C126" s="224"/>
      <c r="D126" s="212"/>
      <c r="E126" s="221"/>
      <c r="F126" s="222"/>
      <c r="G126" s="223"/>
      <c r="H126" s="164"/>
      <c r="I126" s="164"/>
      <c r="J126" s="164"/>
      <c r="K126" s="164"/>
      <c r="L126" s="174"/>
      <c r="M126" s="164"/>
      <c r="N126" s="174"/>
      <c r="O126" s="157"/>
      <c r="P126" s="178"/>
      <c r="Q126" s="157"/>
      <c r="R126" s="157"/>
      <c r="S126" s="178"/>
      <c r="T126" s="157"/>
      <c r="U126" s="178"/>
      <c r="V126" s="191"/>
      <c r="W126" s="191"/>
      <c r="X126" s="191"/>
      <c r="Y126" s="191"/>
      <c r="Z126" s="191"/>
      <c r="AA126" s="191"/>
      <c r="AB126" s="191"/>
    </row>
    <row r="127" ht="19.5" customHeight="1">
      <c r="A127" s="36"/>
      <c r="B127" s="224"/>
      <c r="C127" s="224"/>
      <c r="D127" s="212"/>
      <c r="E127" s="221"/>
      <c r="F127" s="222"/>
      <c r="G127" s="223"/>
      <c r="H127" s="164"/>
      <c r="I127" s="164"/>
      <c r="J127" s="164"/>
      <c r="K127" s="164"/>
      <c r="L127" s="174"/>
      <c r="M127" s="164"/>
      <c r="N127" s="174"/>
      <c r="O127" s="157"/>
      <c r="P127" s="178"/>
      <c r="Q127" s="157"/>
      <c r="R127" s="157"/>
      <c r="S127" s="178"/>
      <c r="T127" s="157"/>
      <c r="U127" s="178"/>
      <c r="V127" s="191"/>
      <c r="W127" s="191"/>
      <c r="X127" s="191"/>
      <c r="Y127" s="191"/>
      <c r="Z127" s="191"/>
      <c r="AA127" s="191"/>
      <c r="AB127" s="191"/>
    </row>
    <row r="128" ht="19.5" customHeight="1">
      <c r="A128" s="36"/>
      <c r="B128" s="224"/>
      <c r="C128" s="224"/>
      <c r="D128" s="212"/>
      <c r="E128" s="221"/>
      <c r="F128" s="222"/>
      <c r="G128" s="223"/>
      <c r="H128" s="164"/>
      <c r="I128" s="164"/>
      <c r="J128" s="164"/>
      <c r="K128" s="164"/>
      <c r="L128" s="174"/>
      <c r="M128" s="164"/>
      <c r="N128" s="174"/>
      <c r="O128" s="157"/>
      <c r="P128" s="178"/>
      <c r="Q128" s="157"/>
      <c r="R128" s="157"/>
      <c r="S128" s="178"/>
      <c r="T128" s="157"/>
      <c r="U128" s="178"/>
      <c r="V128" s="191"/>
      <c r="W128" s="191"/>
      <c r="X128" s="191"/>
      <c r="Y128" s="191"/>
      <c r="Z128" s="191"/>
      <c r="AA128" s="191"/>
      <c r="AB128" s="191"/>
    </row>
    <row r="129" ht="19.5" customHeight="1">
      <c r="A129" s="36"/>
      <c r="B129" s="224"/>
      <c r="C129" s="224"/>
      <c r="D129" s="212"/>
      <c r="E129" s="221"/>
      <c r="F129" s="222"/>
      <c r="G129" s="223"/>
      <c r="H129" s="164"/>
      <c r="I129" s="164"/>
      <c r="J129" s="164"/>
      <c r="K129" s="164"/>
      <c r="L129" s="174"/>
      <c r="M129" s="164"/>
      <c r="N129" s="174"/>
      <c r="O129" s="157"/>
      <c r="P129" s="178"/>
      <c r="Q129" s="157"/>
      <c r="R129" s="157"/>
      <c r="S129" s="178"/>
      <c r="T129" s="157"/>
      <c r="U129" s="178"/>
      <c r="V129" s="191"/>
      <c r="W129" s="191"/>
      <c r="X129" s="191"/>
      <c r="Y129" s="191"/>
      <c r="Z129" s="191"/>
      <c r="AA129" s="191"/>
      <c r="AB129" s="191"/>
    </row>
    <row r="130" ht="19.5" customHeight="1">
      <c r="A130" s="36"/>
      <c r="B130" s="224"/>
      <c r="C130" s="224"/>
      <c r="D130" s="212"/>
      <c r="E130" s="221"/>
      <c r="F130" s="222"/>
      <c r="G130" s="223"/>
      <c r="H130" s="164"/>
      <c r="I130" s="164"/>
      <c r="J130" s="164"/>
      <c r="K130" s="164"/>
      <c r="L130" s="174"/>
      <c r="M130" s="164"/>
      <c r="N130" s="174"/>
      <c r="O130" s="157"/>
      <c r="P130" s="178"/>
      <c r="Q130" s="157"/>
      <c r="R130" s="157"/>
      <c r="S130" s="178"/>
      <c r="T130" s="157"/>
      <c r="U130" s="178"/>
      <c r="V130" s="191"/>
      <c r="W130" s="191"/>
      <c r="X130" s="191"/>
      <c r="Y130" s="191"/>
      <c r="Z130" s="191"/>
      <c r="AA130" s="191"/>
      <c r="AB130" s="191"/>
    </row>
    <row r="131" ht="19.5" customHeight="1">
      <c r="A131" s="36"/>
      <c r="B131" s="224"/>
      <c r="C131" s="224"/>
      <c r="D131" s="212"/>
      <c r="E131" s="221"/>
      <c r="F131" s="222"/>
      <c r="G131" s="223"/>
      <c r="H131" s="164"/>
      <c r="I131" s="164"/>
      <c r="J131" s="164"/>
      <c r="K131" s="164"/>
      <c r="L131" s="174"/>
      <c r="M131" s="164"/>
      <c r="N131" s="174"/>
      <c r="O131" s="157"/>
      <c r="P131" s="178"/>
      <c r="Q131" s="157"/>
      <c r="R131" s="157"/>
      <c r="S131" s="178"/>
      <c r="T131" s="157"/>
      <c r="U131" s="178"/>
      <c r="V131" s="191"/>
      <c r="W131" s="191"/>
      <c r="X131" s="191"/>
      <c r="Y131" s="191"/>
      <c r="Z131" s="191"/>
      <c r="AA131" s="191"/>
      <c r="AB131" s="191"/>
    </row>
    <row r="132" ht="19.5" customHeight="1">
      <c r="A132" s="36"/>
      <c r="B132" s="224"/>
      <c r="C132" s="224"/>
      <c r="D132" s="212"/>
      <c r="E132" s="221"/>
      <c r="F132" s="222"/>
      <c r="G132" s="223"/>
      <c r="H132" s="164"/>
      <c r="I132" s="164"/>
      <c r="J132" s="164"/>
      <c r="K132" s="164"/>
      <c r="L132" s="174"/>
      <c r="M132" s="164"/>
      <c r="N132" s="174"/>
      <c r="O132" s="157"/>
      <c r="P132" s="178"/>
      <c r="Q132" s="157"/>
      <c r="R132" s="157"/>
      <c r="S132" s="178"/>
      <c r="T132" s="157"/>
      <c r="U132" s="178"/>
      <c r="V132" s="191"/>
      <c r="W132" s="191"/>
      <c r="X132" s="191"/>
      <c r="Y132" s="191"/>
      <c r="Z132" s="191"/>
      <c r="AA132" s="191"/>
      <c r="AB132" s="191"/>
    </row>
    <row r="133" ht="19.5" customHeight="1">
      <c r="A133" s="36"/>
      <c r="B133" s="224"/>
      <c r="C133" s="224"/>
      <c r="D133" s="212"/>
      <c r="E133" s="221"/>
      <c r="F133" s="222"/>
      <c r="G133" s="223"/>
      <c r="H133" s="164"/>
      <c r="I133" s="164"/>
      <c r="J133" s="164"/>
      <c r="K133" s="164"/>
      <c r="L133" s="174"/>
      <c r="M133" s="164"/>
      <c r="N133" s="174"/>
      <c r="O133" s="157"/>
      <c r="P133" s="178"/>
      <c r="Q133" s="157"/>
      <c r="R133" s="157"/>
      <c r="S133" s="178"/>
      <c r="T133" s="157"/>
      <c r="U133" s="178"/>
      <c r="V133" s="191"/>
      <c r="W133" s="191"/>
      <c r="X133" s="191"/>
      <c r="Y133" s="191"/>
      <c r="Z133" s="191"/>
      <c r="AA133" s="191"/>
      <c r="AB133" s="191"/>
    </row>
    <row r="134" ht="19.5" customHeight="1">
      <c r="A134" s="36"/>
      <c r="B134" s="224"/>
      <c r="C134" s="224"/>
      <c r="D134" s="212"/>
      <c r="E134" s="221"/>
      <c r="F134" s="222"/>
      <c r="G134" s="223"/>
      <c r="H134" s="164"/>
      <c r="I134" s="164"/>
      <c r="J134" s="164"/>
      <c r="K134" s="164"/>
      <c r="L134" s="174"/>
      <c r="M134" s="164"/>
      <c r="N134" s="174"/>
      <c r="O134" s="157"/>
      <c r="P134" s="178"/>
      <c r="Q134" s="157"/>
      <c r="R134" s="157"/>
      <c r="S134" s="178"/>
      <c r="T134" s="157"/>
      <c r="U134" s="178"/>
      <c r="V134" s="191"/>
      <c r="W134" s="191"/>
      <c r="X134" s="191"/>
      <c r="Y134" s="191"/>
      <c r="Z134" s="191"/>
      <c r="AA134" s="191"/>
      <c r="AB134" s="191"/>
    </row>
    <row r="135" ht="19.5" customHeight="1">
      <c r="A135" s="36"/>
      <c r="B135" s="224"/>
      <c r="C135" s="224"/>
      <c r="D135" s="212"/>
      <c r="E135" s="221"/>
      <c r="F135" s="222"/>
      <c r="G135" s="223"/>
      <c r="H135" s="164"/>
      <c r="I135" s="164"/>
      <c r="J135" s="164"/>
      <c r="K135" s="164"/>
      <c r="L135" s="174"/>
      <c r="M135" s="164"/>
      <c r="N135" s="174"/>
      <c r="O135" s="157"/>
      <c r="P135" s="178"/>
      <c r="Q135" s="157"/>
      <c r="R135" s="157"/>
      <c r="S135" s="178"/>
      <c r="T135" s="157"/>
      <c r="U135" s="178"/>
      <c r="V135" s="191"/>
      <c r="W135" s="191"/>
      <c r="X135" s="191"/>
      <c r="Y135" s="191"/>
      <c r="Z135" s="191"/>
      <c r="AA135" s="191"/>
      <c r="AB135" s="191"/>
    </row>
    <row r="136" ht="19.5" customHeight="1">
      <c r="A136" s="36"/>
      <c r="B136" s="224"/>
      <c r="C136" s="224"/>
      <c r="D136" s="212"/>
      <c r="E136" s="221"/>
      <c r="F136" s="222"/>
      <c r="G136" s="223"/>
      <c r="H136" s="164"/>
      <c r="I136" s="164"/>
      <c r="J136" s="164"/>
      <c r="K136" s="164"/>
      <c r="L136" s="174"/>
      <c r="M136" s="164"/>
      <c r="N136" s="174"/>
      <c r="O136" s="157"/>
      <c r="P136" s="178"/>
      <c r="Q136" s="157"/>
      <c r="R136" s="157"/>
      <c r="S136" s="178"/>
      <c r="T136" s="157"/>
      <c r="U136" s="178"/>
      <c r="V136" s="191"/>
      <c r="W136" s="191"/>
      <c r="X136" s="191"/>
      <c r="Y136" s="191"/>
      <c r="Z136" s="191"/>
      <c r="AA136" s="191"/>
      <c r="AB136" s="191"/>
    </row>
    <row r="137" ht="19.5" customHeight="1">
      <c r="A137" s="36"/>
      <c r="B137" s="224"/>
      <c r="C137" s="224"/>
      <c r="D137" s="212"/>
      <c r="E137" s="221"/>
      <c r="F137" s="222"/>
      <c r="G137" s="223"/>
      <c r="H137" s="164"/>
      <c r="I137" s="164"/>
      <c r="J137" s="164"/>
      <c r="K137" s="164"/>
      <c r="L137" s="174"/>
      <c r="M137" s="164"/>
      <c r="N137" s="174"/>
      <c r="O137" s="157"/>
      <c r="P137" s="178"/>
      <c r="Q137" s="157"/>
      <c r="R137" s="157"/>
      <c r="S137" s="178"/>
      <c r="T137" s="157"/>
      <c r="U137" s="178"/>
      <c r="V137" s="191"/>
      <c r="W137" s="191"/>
      <c r="X137" s="191"/>
      <c r="Y137" s="191"/>
      <c r="Z137" s="191"/>
      <c r="AA137" s="191"/>
      <c r="AB137" s="191"/>
    </row>
    <row r="138" ht="19.5" customHeight="1">
      <c r="A138" s="36"/>
      <c r="B138" s="224"/>
      <c r="C138" s="224"/>
      <c r="D138" s="212"/>
      <c r="E138" s="221"/>
      <c r="F138" s="222"/>
      <c r="G138" s="223"/>
      <c r="H138" s="164"/>
      <c r="I138" s="164"/>
      <c r="J138" s="164"/>
      <c r="K138" s="164"/>
      <c r="L138" s="174"/>
      <c r="M138" s="164"/>
      <c r="N138" s="174"/>
      <c r="O138" s="157"/>
      <c r="P138" s="178"/>
      <c r="Q138" s="157"/>
      <c r="R138" s="157"/>
      <c r="S138" s="178"/>
      <c r="T138" s="157"/>
      <c r="U138" s="178"/>
      <c r="V138" s="191"/>
      <c r="W138" s="191"/>
      <c r="X138" s="191"/>
      <c r="Y138" s="191"/>
      <c r="Z138" s="191"/>
      <c r="AA138" s="191"/>
      <c r="AB138" s="191"/>
    </row>
    <row r="139" ht="19.5" customHeight="1">
      <c r="A139" s="36"/>
      <c r="B139" s="224"/>
      <c r="C139" s="224"/>
      <c r="D139" s="212"/>
      <c r="E139" s="221"/>
      <c r="F139" s="222"/>
      <c r="G139" s="223"/>
      <c r="H139" s="164"/>
      <c r="I139" s="164"/>
      <c r="J139" s="164"/>
      <c r="K139" s="164"/>
      <c r="L139" s="174"/>
      <c r="M139" s="164"/>
      <c r="N139" s="174"/>
      <c r="O139" s="157"/>
      <c r="P139" s="178"/>
      <c r="Q139" s="157"/>
      <c r="R139" s="157"/>
      <c r="S139" s="178"/>
      <c r="T139" s="157"/>
      <c r="U139" s="178"/>
      <c r="V139" s="191"/>
      <c r="W139" s="191"/>
      <c r="X139" s="191"/>
      <c r="Y139" s="191"/>
      <c r="Z139" s="191"/>
      <c r="AA139" s="191"/>
      <c r="AB139" s="191"/>
    </row>
    <row r="140" ht="19.5" customHeight="1">
      <c r="A140" s="36"/>
      <c r="B140" s="224"/>
      <c r="C140" s="224"/>
      <c r="D140" s="212"/>
      <c r="E140" s="221"/>
      <c r="F140" s="222"/>
      <c r="G140" s="223"/>
      <c r="H140" s="164"/>
      <c r="I140" s="164"/>
      <c r="J140" s="164"/>
      <c r="K140" s="164"/>
      <c r="L140" s="174"/>
      <c r="M140" s="164"/>
      <c r="N140" s="174"/>
      <c r="O140" s="157"/>
      <c r="P140" s="178"/>
      <c r="Q140" s="157"/>
      <c r="R140" s="157"/>
      <c r="S140" s="178"/>
      <c r="T140" s="157"/>
      <c r="U140" s="178"/>
      <c r="V140" s="191"/>
      <c r="W140" s="191"/>
      <c r="X140" s="191"/>
      <c r="Y140" s="191"/>
      <c r="Z140" s="191"/>
      <c r="AA140" s="191"/>
      <c r="AB140" s="191"/>
    </row>
    <row r="141" ht="19.5" customHeight="1">
      <c r="A141" s="36"/>
      <c r="B141" s="224"/>
      <c r="C141" s="224"/>
      <c r="D141" s="212"/>
      <c r="E141" s="221"/>
      <c r="F141" s="222"/>
      <c r="G141" s="223"/>
      <c r="H141" s="164"/>
      <c r="I141" s="164"/>
      <c r="J141" s="164"/>
      <c r="K141" s="164"/>
      <c r="L141" s="174"/>
      <c r="M141" s="164"/>
      <c r="N141" s="174"/>
      <c r="O141" s="157"/>
      <c r="P141" s="178"/>
      <c r="Q141" s="157"/>
      <c r="R141" s="157"/>
      <c r="S141" s="178"/>
      <c r="T141" s="157"/>
      <c r="U141" s="178"/>
      <c r="V141" s="191"/>
      <c r="W141" s="191"/>
      <c r="X141" s="191"/>
      <c r="Y141" s="191"/>
      <c r="Z141" s="191"/>
      <c r="AA141" s="191"/>
      <c r="AB141" s="191"/>
    </row>
    <row r="142" ht="19.5" customHeight="1">
      <c r="A142" s="36"/>
      <c r="B142" s="224"/>
      <c r="C142" s="224"/>
      <c r="D142" s="212"/>
      <c r="E142" s="221"/>
      <c r="F142" s="222"/>
      <c r="G142" s="223"/>
      <c r="H142" s="164"/>
      <c r="I142" s="164"/>
      <c r="J142" s="164"/>
      <c r="K142" s="164"/>
      <c r="L142" s="174"/>
      <c r="M142" s="164"/>
      <c r="N142" s="174"/>
      <c r="O142" s="157"/>
      <c r="P142" s="178"/>
      <c r="Q142" s="157"/>
      <c r="R142" s="157"/>
      <c r="S142" s="178"/>
      <c r="T142" s="157"/>
      <c r="U142" s="178"/>
      <c r="V142" s="191"/>
      <c r="W142" s="191"/>
      <c r="X142" s="191"/>
      <c r="Y142" s="191"/>
      <c r="Z142" s="191"/>
      <c r="AA142" s="191"/>
      <c r="AB142" s="191"/>
    </row>
    <row r="143" ht="19.5" customHeight="1">
      <c r="A143" s="36"/>
      <c r="B143" s="224"/>
      <c r="C143" s="224"/>
      <c r="D143" s="212"/>
      <c r="E143" s="221"/>
      <c r="F143" s="222"/>
      <c r="G143" s="223"/>
      <c r="H143" s="164"/>
      <c r="I143" s="164"/>
      <c r="J143" s="164"/>
      <c r="K143" s="164"/>
      <c r="L143" s="174"/>
      <c r="M143" s="164"/>
      <c r="N143" s="174"/>
      <c r="O143" s="157"/>
      <c r="P143" s="178"/>
      <c r="Q143" s="157"/>
      <c r="R143" s="157"/>
      <c r="S143" s="178"/>
      <c r="T143" s="157"/>
      <c r="U143" s="178"/>
      <c r="V143" s="191"/>
      <c r="W143" s="191"/>
      <c r="X143" s="191"/>
      <c r="Y143" s="191"/>
      <c r="Z143" s="191"/>
      <c r="AA143" s="191"/>
      <c r="AB143" s="191"/>
    </row>
    <row r="144" ht="19.5" customHeight="1">
      <c r="A144" s="36"/>
      <c r="B144" s="224"/>
      <c r="C144" s="224"/>
      <c r="D144" s="212"/>
      <c r="E144" s="221"/>
      <c r="F144" s="222"/>
      <c r="G144" s="223"/>
      <c r="H144" s="164"/>
      <c r="I144" s="164"/>
      <c r="J144" s="164"/>
      <c r="K144" s="164"/>
      <c r="L144" s="174"/>
      <c r="M144" s="164"/>
      <c r="N144" s="174"/>
      <c r="O144" s="157"/>
      <c r="P144" s="178"/>
      <c r="Q144" s="157"/>
      <c r="R144" s="157"/>
      <c r="S144" s="178"/>
      <c r="T144" s="157"/>
      <c r="U144" s="178"/>
      <c r="V144" s="191"/>
      <c r="W144" s="191"/>
      <c r="X144" s="191"/>
      <c r="Y144" s="191"/>
      <c r="Z144" s="191"/>
      <c r="AA144" s="191"/>
      <c r="AB144" s="191"/>
    </row>
    <row r="145" ht="19.5" customHeight="1">
      <c r="A145" s="36"/>
      <c r="B145" s="224"/>
      <c r="C145" s="224"/>
      <c r="D145" s="212"/>
      <c r="E145" s="221"/>
      <c r="F145" s="222"/>
      <c r="G145" s="223"/>
      <c r="H145" s="164"/>
      <c r="I145" s="164"/>
      <c r="J145" s="164"/>
      <c r="K145" s="164"/>
      <c r="L145" s="174"/>
      <c r="M145" s="164"/>
      <c r="N145" s="174"/>
      <c r="O145" s="157"/>
      <c r="P145" s="178"/>
      <c r="Q145" s="157"/>
      <c r="R145" s="157"/>
      <c r="S145" s="178"/>
      <c r="T145" s="157"/>
      <c r="U145" s="178"/>
      <c r="V145" s="191"/>
      <c r="W145" s="191"/>
      <c r="X145" s="191"/>
      <c r="Y145" s="191"/>
      <c r="Z145" s="191"/>
      <c r="AA145" s="191"/>
      <c r="AB145" s="191"/>
    </row>
    <row r="146" ht="19.5" customHeight="1">
      <c r="A146" s="36"/>
      <c r="B146" s="224"/>
      <c r="C146" s="224"/>
      <c r="D146" s="212"/>
      <c r="E146" s="221"/>
      <c r="F146" s="222"/>
      <c r="G146" s="223"/>
      <c r="H146" s="164"/>
      <c r="I146" s="164"/>
      <c r="J146" s="164"/>
      <c r="K146" s="164"/>
      <c r="L146" s="174"/>
      <c r="M146" s="164"/>
      <c r="N146" s="174"/>
      <c r="O146" s="157"/>
      <c r="P146" s="178"/>
      <c r="Q146" s="157"/>
      <c r="R146" s="157"/>
      <c r="S146" s="178"/>
      <c r="T146" s="157"/>
      <c r="U146" s="178"/>
      <c r="V146" s="191"/>
      <c r="W146" s="191"/>
      <c r="X146" s="191"/>
      <c r="Y146" s="191"/>
      <c r="Z146" s="191"/>
      <c r="AA146" s="191"/>
      <c r="AB146" s="191"/>
    </row>
    <row r="147" ht="19.5" customHeight="1">
      <c r="A147" s="36"/>
      <c r="B147" s="224"/>
      <c r="C147" s="224"/>
      <c r="D147" s="212"/>
      <c r="E147" s="221"/>
      <c r="F147" s="222"/>
      <c r="G147" s="223"/>
      <c r="H147" s="164"/>
      <c r="I147" s="164"/>
      <c r="J147" s="164"/>
      <c r="K147" s="164"/>
      <c r="L147" s="174"/>
      <c r="M147" s="164"/>
      <c r="N147" s="174"/>
      <c r="O147" s="157"/>
      <c r="P147" s="178"/>
      <c r="Q147" s="157"/>
      <c r="R147" s="157"/>
      <c r="S147" s="178"/>
      <c r="T147" s="157"/>
      <c r="U147" s="178"/>
      <c r="V147" s="191"/>
      <c r="W147" s="191"/>
      <c r="X147" s="191"/>
      <c r="Y147" s="191"/>
      <c r="Z147" s="191"/>
      <c r="AA147" s="191"/>
      <c r="AB147" s="191"/>
    </row>
    <row r="148" ht="19.5" customHeight="1">
      <c r="A148" s="36"/>
      <c r="B148" s="224"/>
      <c r="C148" s="224"/>
      <c r="D148" s="212"/>
      <c r="E148" s="221"/>
      <c r="F148" s="222"/>
      <c r="G148" s="223"/>
      <c r="H148" s="164"/>
      <c r="I148" s="164"/>
      <c r="J148" s="164"/>
      <c r="K148" s="164"/>
      <c r="L148" s="174"/>
      <c r="M148" s="164"/>
      <c r="N148" s="174"/>
      <c r="O148" s="157"/>
      <c r="P148" s="178"/>
      <c r="Q148" s="157"/>
      <c r="R148" s="157"/>
      <c r="S148" s="178"/>
      <c r="T148" s="157"/>
      <c r="U148" s="178"/>
      <c r="V148" s="191"/>
      <c r="W148" s="191"/>
      <c r="X148" s="191"/>
      <c r="Y148" s="191"/>
      <c r="Z148" s="191"/>
      <c r="AA148" s="191"/>
      <c r="AB148" s="191"/>
    </row>
    <row r="149" ht="19.5" customHeight="1">
      <c r="A149" s="36"/>
      <c r="B149" s="224"/>
      <c r="C149" s="224"/>
      <c r="D149" s="212"/>
      <c r="E149" s="221"/>
      <c r="F149" s="222"/>
      <c r="G149" s="223"/>
      <c r="H149" s="164"/>
      <c r="I149" s="164"/>
      <c r="J149" s="164"/>
      <c r="K149" s="164"/>
      <c r="L149" s="174"/>
      <c r="M149" s="164"/>
      <c r="N149" s="174"/>
      <c r="O149" s="157"/>
      <c r="P149" s="178"/>
      <c r="Q149" s="157"/>
      <c r="R149" s="157"/>
      <c r="S149" s="178"/>
      <c r="T149" s="157"/>
      <c r="U149" s="178"/>
      <c r="V149" s="191"/>
      <c r="W149" s="191"/>
      <c r="X149" s="191"/>
      <c r="Y149" s="191"/>
      <c r="Z149" s="191"/>
      <c r="AA149" s="191"/>
      <c r="AB149" s="191"/>
    </row>
    <row r="150" ht="19.5" customHeight="1">
      <c r="A150" s="36"/>
      <c r="B150" s="224"/>
      <c r="C150" s="224"/>
      <c r="D150" s="212"/>
      <c r="E150" s="221"/>
      <c r="F150" s="222"/>
      <c r="G150" s="223"/>
      <c r="H150" s="164"/>
      <c r="I150" s="164"/>
      <c r="J150" s="164"/>
      <c r="K150" s="164"/>
      <c r="L150" s="174"/>
      <c r="M150" s="164"/>
      <c r="N150" s="174"/>
      <c r="O150" s="157"/>
      <c r="P150" s="178"/>
      <c r="Q150" s="157"/>
      <c r="R150" s="157"/>
      <c r="S150" s="178"/>
      <c r="T150" s="157"/>
      <c r="U150" s="178"/>
      <c r="V150" s="191"/>
      <c r="W150" s="191"/>
      <c r="X150" s="191"/>
      <c r="Y150" s="191"/>
      <c r="Z150" s="191"/>
      <c r="AA150" s="191"/>
      <c r="AB150" s="191"/>
    </row>
    <row r="151" ht="19.5" customHeight="1">
      <c r="A151" s="36"/>
      <c r="B151" s="224"/>
      <c r="C151" s="224"/>
      <c r="D151" s="212"/>
      <c r="E151" s="221"/>
      <c r="F151" s="222"/>
      <c r="G151" s="223"/>
      <c r="H151" s="164"/>
      <c r="I151" s="164"/>
      <c r="J151" s="164"/>
      <c r="K151" s="164"/>
      <c r="L151" s="174"/>
      <c r="M151" s="164"/>
      <c r="N151" s="174"/>
      <c r="O151" s="157"/>
      <c r="P151" s="178"/>
      <c r="Q151" s="157"/>
      <c r="R151" s="157"/>
      <c r="S151" s="178"/>
      <c r="T151" s="157"/>
      <c r="U151" s="178"/>
      <c r="V151" s="191"/>
      <c r="W151" s="191"/>
      <c r="X151" s="191"/>
      <c r="Y151" s="191"/>
      <c r="Z151" s="191"/>
      <c r="AA151" s="191"/>
      <c r="AB151" s="191"/>
    </row>
    <row r="152" ht="19.5" customHeight="1">
      <c r="A152" s="36"/>
      <c r="B152" s="224"/>
      <c r="C152" s="224"/>
      <c r="D152" s="212"/>
      <c r="E152" s="221"/>
      <c r="F152" s="222"/>
      <c r="G152" s="223"/>
      <c r="H152" s="164"/>
      <c r="I152" s="164"/>
      <c r="J152" s="164"/>
      <c r="K152" s="164"/>
      <c r="L152" s="174"/>
      <c r="M152" s="164"/>
      <c r="N152" s="174"/>
      <c r="O152" s="157"/>
      <c r="P152" s="178"/>
      <c r="Q152" s="157"/>
      <c r="R152" s="157"/>
      <c r="S152" s="178"/>
      <c r="T152" s="157"/>
      <c r="U152" s="178"/>
      <c r="V152" s="191"/>
      <c r="W152" s="191"/>
      <c r="X152" s="191"/>
      <c r="Y152" s="191"/>
      <c r="Z152" s="191"/>
      <c r="AA152" s="191"/>
      <c r="AB152" s="191"/>
    </row>
    <row r="153" ht="19.5" customHeight="1">
      <c r="A153" s="36"/>
      <c r="B153" s="224"/>
      <c r="C153" s="224"/>
      <c r="D153" s="212"/>
      <c r="E153" s="221"/>
      <c r="F153" s="222"/>
      <c r="G153" s="223"/>
      <c r="H153" s="164"/>
      <c r="I153" s="164"/>
      <c r="J153" s="164"/>
      <c r="K153" s="164"/>
      <c r="L153" s="174"/>
      <c r="M153" s="164"/>
      <c r="N153" s="174"/>
      <c r="O153" s="157"/>
      <c r="P153" s="178"/>
      <c r="Q153" s="157"/>
      <c r="R153" s="157"/>
      <c r="S153" s="178"/>
      <c r="T153" s="157"/>
      <c r="U153" s="178"/>
      <c r="V153" s="191"/>
      <c r="W153" s="191"/>
      <c r="X153" s="191"/>
      <c r="Y153" s="191"/>
      <c r="Z153" s="191"/>
      <c r="AA153" s="191"/>
      <c r="AB153" s="191"/>
    </row>
    <row r="154" ht="19.5" customHeight="1">
      <c r="A154" s="36"/>
      <c r="B154" s="224"/>
      <c r="C154" s="224"/>
      <c r="D154" s="212"/>
      <c r="E154" s="221"/>
      <c r="F154" s="222"/>
      <c r="G154" s="223"/>
      <c r="H154" s="164"/>
      <c r="I154" s="164"/>
      <c r="J154" s="164"/>
      <c r="K154" s="164"/>
      <c r="L154" s="174"/>
      <c r="M154" s="164"/>
      <c r="N154" s="174"/>
      <c r="O154" s="157"/>
      <c r="P154" s="178"/>
      <c r="Q154" s="157"/>
      <c r="R154" s="157"/>
      <c r="S154" s="178"/>
      <c r="T154" s="157"/>
      <c r="U154" s="178"/>
      <c r="V154" s="191"/>
      <c r="W154" s="191"/>
      <c r="X154" s="191"/>
      <c r="Y154" s="191"/>
      <c r="Z154" s="191"/>
      <c r="AA154" s="191"/>
      <c r="AB154" s="191"/>
    </row>
    <row r="155" ht="19.5" customHeight="1">
      <c r="A155" s="36"/>
      <c r="B155" s="224"/>
      <c r="C155" s="224"/>
      <c r="D155" s="212"/>
      <c r="E155" s="221"/>
      <c r="F155" s="222"/>
      <c r="G155" s="223"/>
      <c r="H155" s="164"/>
      <c r="I155" s="164"/>
      <c r="J155" s="164"/>
      <c r="K155" s="164"/>
      <c r="L155" s="174"/>
      <c r="M155" s="164"/>
      <c r="N155" s="174"/>
      <c r="O155" s="157"/>
      <c r="P155" s="178"/>
      <c r="Q155" s="157"/>
      <c r="R155" s="157"/>
      <c r="S155" s="178"/>
      <c r="T155" s="157"/>
      <c r="U155" s="178"/>
      <c r="V155" s="191"/>
      <c r="W155" s="191"/>
      <c r="X155" s="191"/>
      <c r="Y155" s="191"/>
      <c r="Z155" s="191"/>
      <c r="AA155" s="191"/>
      <c r="AB155" s="191"/>
    </row>
    <row r="156" ht="19.5" customHeight="1">
      <c r="A156" s="36"/>
      <c r="B156" s="224"/>
      <c r="C156" s="224"/>
      <c r="D156" s="212"/>
      <c r="E156" s="221"/>
      <c r="F156" s="222"/>
      <c r="G156" s="223"/>
      <c r="H156" s="164"/>
      <c r="I156" s="164"/>
      <c r="J156" s="164"/>
      <c r="K156" s="164"/>
      <c r="L156" s="174"/>
      <c r="M156" s="164"/>
      <c r="N156" s="174"/>
      <c r="O156" s="157"/>
      <c r="P156" s="178"/>
      <c r="Q156" s="157"/>
      <c r="R156" s="157"/>
      <c r="S156" s="178"/>
      <c r="T156" s="157"/>
      <c r="U156" s="178"/>
      <c r="V156" s="191"/>
      <c r="W156" s="191"/>
      <c r="X156" s="191"/>
      <c r="Y156" s="191"/>
      <c r="Z156" s="191"/>
      <c r="AA156" s="191"/>
      <c r="AB156" s="191"/>
    </row>
    <row r="157" ht="19.5" customHeight="1">
      <c r="A157" s="36"/>
      <c r="B157" s="224"/>
      <c r="C157" s="224"/>
      <c r="D157" s="212"/>
      <c r="E157" s="221"/>
      <c r="F157" s="222"/>
      <c r="G157" s="223"/>
      <c r="H157" s="164"/>
      <c r="I157" s="164"/>
      <c r="J157" s="164"/>
      <c r="K157" s="164"/>
      <c r="L157" s="174"/>
      <c r="M157" s="164"/>
      <c r="N157" s="174"/>
      <c r="O157" s="157"/>
      <c r="P157" s="178"/>
      <c r="Q157" s="157"/>
      <c r="R157" s="157"/>
      <c r="S157" s="178"/>
      <c r="T157" s="157"/>
      <c r="U157" s="178"/>
      <c r="V157" s="191"/>
      <c r="W157" s="191"/>
      <c r="X157" s="191"/>
      <c r="Y157" s="191"/>
      <c r="Z157" s="191"/>
      <c r="AA157" s="191"/>
      <c r="AB157" s="191"/>
    </row>
    <row r="158" ht="19.5" customHeight="1">
      <c r="A158" s="36"/>
      <c r="B158" s="224"/>
      <c r="C158" s="224"/>
      <c r="D158" s="212"/>
      <c r="E158" s="221"/>
      <c r="F158" s="222"/>
      <c r="G158" s="223"/>
      <c r="H158" s="164"/>
      <c r="I158" s="164"/>
      <c r="J158" s="164"/>
      <c r="K158" s="164"/>
      <c r="L158" s="174"/>
      <c r="M158" s="164"/>
      <c r="N158" s="174"/>
      <c r="O158" s="157"/>
      <c r="P158" s="178"/>
      <c r="Q158" s="157"/>
      <c r="R158" s="157"/>
      <c r="S158" s="178"/>
      <c r="T158" s="157"/>
      <c r="U158" s="178"/>
      <c r="V158" s="191"/>
      <c r="W158" s="191"/>
      <c r="X158" s="191"/>
      <c r="Y158" s="191"/>
      <c r="Z158" s="191"/>
      <c r="AA158" s="191"/>
      <c r="AB158" s="191"/>
    </row>
    <row r="159" ht="19.5" customHeight="1">
      <c r="A159" s="36"/>
      <c r="B159" s="224"/>
      <c r="C159" s="224"/>
      <c r="D159" s="212"/>
      <c r="E159" s="221"/>
      <c r="F159" s="222"/>
      <c r="G159" s="223"/>
      <c r="H159" s="164"/>
      <c r="I159" s="164"/>
      <c r="J159" s="164"/>
      <c r="K159" s="164"/>
      <c r="L159" s="174"/>
      <c r="M159" s="164"/>
      <c r="N159" s="174"/>
      <c r="O159" s="157"/>
      <c r="P159" s="178"/>
      <c r="Q159" s="157"/>
      <c r="R159" s="157"/>
      <c r="S159" s="178"/>
      <c r="T159" s="157"/>
      <c r="U159" s="178"/>
      <c r="V159" s="191"/>
      <c r="W159" s="191"/>
      <c r="X159" s="191"/>
      <c r="Y159" s="191"/>
      <c r="Z159" s="191"/>
      <c r="AA159" s="191"/>
      <c r="AB159" s="191"/>
    </row>
    <row r="160" ht="19.5" customHeight="1">
      <c r="A160" s="36"/>
      <c r="B160" s="224"/>
      <c r="C160" s="224"/>
      <c r="D160" s="212"/>
      <c r="E160" s="221"/>
      <c r="F160" s="222"/>
      <c r="G160" s="223"/>
      <c r="H160" s="164"/>
      <c r="I160" s="164"/>
      <c r="J160" s="164"/>
      <c r="K160" s="164"/>
      <c r="L160" s="174"/>
      <c r="M160" s="164"/>
      <c r="N160" s="174"/>
      <c r="O160" s="157"/>
      <c r="P160" s="178"/>
      <c r="Q160" s="157"/>
      <c r="R160" s="157"/>
      <c r="S160" s="178"/>
      <c r="T160" s="157"/>
      <c r="U160" s="178"/>
      <c r="V160" s="191"/>
      <c r="W160" s="191"/>
      <c r="X160" s="191"/>
      <c r="Y160" s="191"/>
      <c r="Z160" s="191"/>
      <c r="AA160" s="191"/>
      <c r="AB160" s="191"/>
    </row>
    <row r="161" ht="19.5" customHeight="1">
      <c r="A161" s="36"/>
      <c r="B161" s="224"/>
      <c r="C161" s="224"/>
      <c r="D161" s="212"/>
      <c r="E161" s="221"/>
      <c r="F161" s="222"/>
      <c r="G161" s="223"/>
      <c r="H161" s="164"/>
      <c r="I161" s="164"/>
      <c r="J161" s="164"/>
      <c r="K161" s="164"/>
      <c r="L161" s="174"/>
      <c r="M161" s="164"/>
      <c r="N161" s="174"/>
      <c r="O161" s="157"/>
      <c r="P161" s="178"/>
      <c r="Q161" s="157"/>
      <c r="R161" s="157"/>
      <c r="S161" s="178"/>
      <c r="T161" s="157"/>
      <c r="U161" s="178"/>
      <c r="V161" s="191"/>
      <c r="W161" s="191"/>
      <c r="X161" s="191"/>
      <c r="Y161" s="191"/>
      <c r="Z161" s="191"/>
      <c r="AA161" s="191"/>
      <c r="AB161" s="191"/>
    </row>
    <row r="162" ht="19.5" customHeight="1">
      <c r="A162" s="36"/>
      <c r="B162" s="224"/>
      <c r="C162" s="224"/>
      <c r="D162" s="212"/>
      <c r="E162" s="221"/>
      <c r="F162" s="222"/>
      <c r="G162" s="223"/>
      <c r="H162" s="164"/>
      <c r="I162" s="164"/>
      <c r="J162" s="164"/>
      <c r="K162" s="164"/>
      <c r="L162" s="174"/>
      <c r="M162" s="164"/>
      <c r="N162" s="174"/>
      <c r="O162" s="157"/>
      <c r="P162" s="178"/>
      <c r="Q162" s="157"/>
      <c r="R162" s="157"/>
      <c r="S162" s="178"/>
      <c r="T162" s="157"/>
      <c r="U162" s="178"/>
      <c r="V162" s="191"/>
      <c r="W162" s="191"/>
      <c r="X162" s="191"/>
      <c r="Y162" s="191"/>
      <c r="Z162" s="191"/>
      <c r="AA162" s="191"/>
      <c r="AB162" s="191"/>
    </row>
    <row r="163" ht="19.5" customHeight="1">
      <c r="A163" s="36"/>
      <c r="B163" s="224"/>
      <c r="C163" s="224"/>
      <c r="D163" s="212"/>
      <c r="E163" s="221"/>
      <c r="F163" s="222"/>
      <c r="G163" s="223"/>
      <c r="H163" s="164"/>
      <c r="I163" s="164"/>
      <c r="J163" s="164"/>
      <c r="K163" s="164"/>
      <c r="L163" s="174"/>
      <c r="M163" s="164"/>
      <c r="N163" s="174"/>
      <c r="O163" s="157"/>
      <c r="P163" s="178"/>
      <c r="Q163" s="157"/>
      <c r="R163" s="157"/>
      <c r="S163" s="178"/>
      <c r="T163" s="157"/>
      <c r="U163" s="178"/>
      <c r="V163" s="191"/>
      <c r="W163" s="191"/>
      <c r="X163" s="191"/>
      <c r="Y163" s="191"/>
      <c r="Z163" s="191"/>
      <c r="AA163" s="191"/>
      <c r="AB163" s="191"/>
    </row>
    <row r="164" ht="19.5" customHeight="1">
      <c r="A164" s="36"/>
      <c r="B164" s="224"/>
      <c r="C164" s="224"/>
      <c r="D164" s="212"/>
      <c r="E164" s="221"/>
      <c r="F164" s="222"/>
      <c r="G164" s="223"/>
      <c r="H164" s="164"/>
      <c r="I164" s="164"/>
      <c r="J164" s="164"/>
      <c r="K164" s="164"/>
      <c r="L164" s="174"/>
      <c r="M164" s="164"/>
      <c r="N164" s="174"/>
      <c r="O164" s="157"/>
      <c r="P164" s="178"/>
      <c r="Q164" s="157"/>
      <c r="R164" s="157"/>
      <c r="S164" s="178"/>
      <c r="T164" s="157"/>
      <c r="U164" s="178"/>
      <c r="V164" s="191"/>
      <c r="W164" s="191"/>
      <c r="X164" s="191"/>
      <c r="Y164" s="191"/>
      <c r="Z164" s="191"/>
      <c r="AA164" s="191"/>
      <c r="AB164" s="191"/>
    </row>
    <row r="165" ht="19.5" customHeight="1">
      <c r="A165" s="36"/>
      <c r="B165" s="224"/>
      <c r="C165" s="224"/>
      <c r="D165" s="212"/>
      <c r="E165" s="221"/>
      <c r="F165" s="222"/>
      <c r="G165" s="223"/>
      <c r="H165" s="164"/>
      <c r="I165" s="164"/>
      <c r="J165" s="164"/>
      <c r="K165" s="164"/>
      <c r="L165" s="174"/>
      <c r="M165" s="164"/>
      <c r="N165" s="174"/>
      <c r="O165" s="157"/>
      <c r="P165" s="178"/>
      <c r="Q165" s="157"/>
      <c r="R165" s="157"/>
      <c r="S165" s="178"/>
      <c r="T165" s="157"/>
      <c r="U165" s="178"/>
      <c r="V165" s="191"/>
      <c r="W165" s="191"/>
      <c r="X165" s="191"/>
      <c r="Y165" s="191"/>
      <c r="Z165" s="191"/>
      <c r="AA165" s="191"/>
      <c r="AB165" s="191"/>
    </row>
    <row r="166" ht="19.5" customHeight="1">
      <c r="A166" s="36"/>
      <c r="B166" s="224"/>
      <c r="C166" s="224"/>
      <c r="D166" s="212"/>
      <c r="E166" s="221"/>
      <c r="F166" s="222"/>
      <c r="G166" s="223"/>
      <c r="H166" s="164"/>
      <c r="I166" s="164"/>
      <c r="J166" s="164"/>
      <c r="K166" s="164"/>
      <c r="L166" s="174"/>
      <c r="M166" s="164"/>
      <c r="N166" s="174"/>
      <c r="O166" s="157"/>
      <c r="P166" s="178"/>
      <c r="Q166" s="157"/>
      <c r="R166" s="157"/>
      <c r="S166" s="178"/>
      <c r="T166" s="157"/>
      <c r="U166" s="178"/>
      <c r="V166" s="191"/>
      <c r="W166" s="191"/>
      <c r="X166" s="191"/>
      <c r="Y166" s="191"/>
      <c r="Z166" s="191"/>
      <c r="AA166" s="191"/>
      <c r="AB166" s="191"/>
    </row>
    <row r="167" ht="19.5" customHeight="1">
      <c r="A167" s="36"/>
      <c r="B167" s="224"/>
      <c r="C167" s="224"/>
      <c r="D167" s="212"/>
      <c r="E167" s="221"/>
      <c r="F167" s="222"/>
      <c r="G167" s="223"/>
      <c r="H167" s="164"/>
      <c r="I167" s="164"/>
      <c r="J167" s="164"/>
      <c r="K167" s="164"/>
      <c r="L167" s="174"/>
      <c r="M167" s="164"/>
      <c r="N167" s="174"/>
      <c r="O167" s="157"/>
      <c r="P167" s="178"/>
      <c r="Q167" s="157"/>
      <c r="R167" s="157"/>
      <c r="S167" s="178"/>
      <c r="T167" s="157"/>
      <c r="U167" s="178"/>
      <c r="V167" s="191"/>
      <c r="W167" s="191"/>
      <c r="X167" s="191"/>
      <c r="Y167" s="191"/>
      <c r="Z167" s="191"/>
      <c r="AA167" s="191"/>
      <c r="AB167" s="191"/>
    </row>
    <row r="168" ht="19.5" customHeight="1">
      <c r="A168" s="36"/>
      <c r="B168" s="224"/>
      <c r="C168" s="224"/>
      <c r="D168" s="212"/>
      <c r="E168" s="221"/>
      <c r="F168" s="222"/>
      <c r="G168" s="223"/>
      <c r="H168" s="164"/>
      <c r="I168" s="164"/>
      <c r="J168" s="164"/>
      <c r="K168" s="164"/>
      <c r="L168" s="174"/>
      <c r="M168" s="164"/>
      <c r="N168" s="174"/>
      <c r="O168" s="157"/>
      <c r="P168" s="178"/>
      <c r="Q168" s="157"/>
      <c r="R168" s="157"/>
      <c r="S168" s="178"/>
      <c r="T168" s="157"/>
      <c r="U168" s="178"/>
      <c r="V168" s="191"/>
      <c r="W168" s="191"/>
      <c r="X168" s="191"/>
      <c r="Y168" s="191"/>
      <c r="Z168" s="191"/>
      <c r="AA168" s="191"/>
      <c r="AB168" s="191"/>
    </row>
    <row r="169" ht="19.5" customHeight="1">
      <c r="A169" s="36"/>
      <c r="B169" s="224"/>
      <c r="C169" s="224"/>
      <c r="D169" s="212"/>
      <c r="E169" s="221"/>
      <c r="F169" s="222"/>
      <c r="G169" s="223"/>
      <c r="H169" s="164"/>
      <c r="I169" s="164"/>
      <c r="J169" s="164"/>
      <c r="K169" s="164"/>
      <c r="L169" s="174"/>
      <c r="M169" s="164"/>
      <c r="N169" s="174"/>
      <c r="O169" s="157"/>
      <c r="P169" s="178"/>
      <c r="Q169" s="157"/>
      <c r="R169" s="157"/>
      <c r="S169" s="178"/>
      <c r="T169" s="157"/>
      <c r="U169" s="178"/>
      <c r="V169" s="191"/>
      <c r="W169" s="191"/>
      <c r="X169" s="191"/>
      <c r="Y169" s="191"/>
      <c r="Z169" s="191"/>
      <c r="AA169" s="191"/>
      <c r="AB169" s="191"/>
    </row>
    <row r="170" ht="19.5" customHeight="1">
      <c r="A170" s="36"/>
      <c r="B170" s="224"/>
      <c r="C170" s="224"/>
      <c r="D170" s="212"/>
      <c r="E170" s="221"/>
      <c r="F170" s="222"/>
      <c r="G170" s="223"/>
      <c r="H170" s="164"/>
      <c r="I170" s="164"/>
      <c r="J170" s="164"/>
      <c r="K170" s="164"/>
      <c r="L170" s="174"/>
      <c r="M170" s="164"/>
      <c r="N170" s="174"/>
      <c r="O170" s="157"/>
      <c r="P170" s="178"/>
      <c r="Q170" s="157"/>
      <c r="R170" s="157"/>
      <c r="S170" s="178"/>
      <c r="T170" s="157"/>
      <c r="U170" s="178"/>
      <c r="V170" s="191"/>
      <c r="W170" s="191"/>
      <c r="X170" s="191"/>
      <c r="Y170" s="191"/>
      <c r="Z170" s="191"/>
      <c r="AA170" s="191"/>
      <c r="AB170" s="191"/>
    </row>
    <row r="171" ht="19.5" customHeight="1">
      <c r="A171" s="36"/>
      <c r="B171" s="224"/>
      <c r="C171" s="224"/>
      <c r="D171" s="212"/>
      <c r="E171" s="221"/>
      <c r="F171" s="222"/>
      <c r="G171" s="223"/>
      <c r="H171" s="164"/>
      <c r="I171" s="164"/>
      <c r="J171" s="164"/>
      <c r="K171" s="164"/>
      <c r="L171" s="174"/>
      <c r="M171" s="164"/>
      <c r="N171" s="174"/>
      <c r="O171" s="157"/>
      <c r="P171" s="178"/>
      <c r="Q171" s="157"/>
      <c r="R171" s="157"/>
      <c r="S171" s="178"/>
      <c r="T171" s="157"/>
      <c r="U171" s="178"/>
      <c r="V171" s="191"/>
      <c r="W171" s="191"/>
      <c r="X171" s="191"/>
      <c r="Y171" s="191"/>
      <c r="Z171" s="191"/>
      <c r="AA171" s="191"/>
      <c r="AB171" s="191"/>
    </row>
    <row r="172" ht="19.5" customHeight="1">
      <c r="A172" s="36"/>
      <c r="B172" s="224"/>
      <c r="C172" s="224"/>
      <c r="D172" s="212"/>
      <c r="E172" s="221"/>
      <c r="F172" s="222"/>
      <c r="G172" s="223"/>
      <c r="H172" s="164"/>
      <c r="I172" s="164"/>
      <c r="J172" s="164"/>
      <c r="K172" s="164"/>
      <c r="L172" s="174"/>
      <c r="M172" s="164"/>
      <c r="N172" s="174"/>
      <c r="O172" s="157"/>
      <c r="P172" s="178"/>
      <c r="Q172" s="157"/>
      <c r="R172" s="157"/>
      <c r="S172" s="178"/>
      <c r="T172" s="157"/>
      <c r="U172" s="178"/>
      <c r="V172" s="191"/>
      <c r="W172" s="191"/>
      <c r="X172" s="191"/>
      <c r="Y172" s="191"/>
      <c r="Z172" s="191"/>
      <c r="AA172" s="191"/>
      <c r="AB172" s="191"/>
    </row>
    <row r="173" ht="19.5" customHeight="1">
      <c r="A173" s="36"/>
      <c r="B173" s="224"/>
      <c r="C173" s="224"/>
      <c r="D173" s="212"/>
      <c r="E173" s="221"/>
      <c r="F173" s="222"/>
      <c r="G173" s="223"/>
      <c r="H173" s="164"/>
      <c r="I173" s="164"/>
      <c r="J173" s="164"/>
      <c r="K173" s="164"/>
      <c r="L173" s="174"/>
      <c r="M173" s="164"/>
      <c r="N173" s="174"/>
      <c r="O173" s="157"/>
      <c r="P173" s="178"/>
      <c r="Q173" s="157"/>
      <c r="R173" s="157"/>
      <c r="S173" s="178"/>
      <c r="T173" s="157"/>
      <c r="U173" s="178"/>
      <c r="V173" s="191"/>
      <c r="W173" s="191"/>
      <c r="X173" s="191"/>
      <c r="Y173" s="191"/>
      <c r="Z173" s="191"/>
      <c r="AA173" s="191"/>
      <c r="AB173" s="191"/>
    </row>
    <row r="174" ht="19.5" customHeight="1">
      <c r="A174" s="36"/>
      <c r="B174" s="224"/>
      <c r="C174" s="224"/>
      <c r="D174" s="212"/>
      <c r="E174" s="221"/>
      <c r="F174" s="222"/>
      <c r="G174" s="223"/>
      <c r="H174" s="164"/>
      <c r="I174" s="164"/>
      <c r="J174" s="164"/>
      <c r="K174" s="164"/>
      <c r="L174" s="174"/>
      <c r="M174" s="164"/>
      <c r="N174" s="174"/>
      <c r="O174" s="157"/>
      <c r="P174" s="178"/>
      <c r="Q174" s="157"/>
      <c r="R174" s="157"/>
      <c r="S174" s="178"/>
      <c r="T174" s="157"/>
      <c r="U174" s="178"/>
      <c r="V174" s="191"/>
      <c r="W174" s="191"/>
      <c r="X174" s="191"/>
      <c r="Y174" s="191"/>
      <c r="Z174" s="191"/>
      <c r="AA174" s="191"/>
      <c r="AB174" s="191"/>
    </row>
    <row r="175" ht="19.5" customHeight="1">
      <c r="A175" s="36"/>
      <c r="B175" s="224"/>
      <c r="C175" s="224"/>
      <c r="D175" s="212"/>
      <c r="E175" s="221"/>
      <c r="F175" s="222"/>
      <c r="G175" s="223"/>
      <c r="H175" s="164"/>
      <c r="I175" s="164"/>
      <c r="J175" s="164"/>
      <c r="K175" s="164"/>
      <c r="L175" s="174"/>
      <c r="M175" s="164"/>
      <c r="N175" s="174"/>
      <c r="O175" s="157"/>
      <c r="P175" s="178"/>
      <c r="Q175" s="157"/>
      <c r="R175" s="157"/>
      <c r="S175" s="178"/>
      <c r="T175" s="157"/>
      <c r="U175" s="178"/>
      <c r="V175" s="191"/>
      <c r="W175" s="191"/>
      <c r="X175" s="191"/>
      <c r="Y175" s="191"/>
      <c r="Z175" s="191"/>
      <c r="AA175" s="191"/>
      <c r="AB175" s="191"/>
    </row>
    <row r="176" ht="19.5" customHeight="1">
      <c r="A176" s="36"/>
      <c r="B176" s="224"/>
      <c r="C176" s="224"/>
      <c r="D176" s="212"/>
      <c r="E176" s="221"/>
      <c r="F176" s="222"/>
      <c r="G176" s="223"/>
      <c r="H176" s="164"/>
      <c r="I176" s="164"/>
      <c r="J176" s="164"/>
      <c r="K176" s="164"/>
      <c r="L176" s="174"/>
      <c r="M176" s="164"/>
      <c r="N176" s="174"/>
      <c r="O176" s="157"/>
      <c r="P176" s="178"/>
      <c r="Q176" s="157"/>
      <c r="R176" s="157"/>
      <c r="S176" s="178"/>
      <c r="T176" s="157"/>
      <c r="U176" s="178"/>
      <c r="V176" s="191"/>
      <c r="W176" s="191"/>
      <c r="X176" s="191"/>
      <c r="Y176" s="191"/>
      <c r="Z176" s="191"/>
      <c r="AA176" s="191"/>
      <c r="AB176" s="191"/>
    </row>
    <row r="177" ht="19.5" customHeight="1">
      <c r="A177" s="36"/>
      <c r="B177" s="224"/>
      <c r="C177" s="224"/>
      <c r="D177" s="212"/>
      <c r="E177" s="221"/>
      <c r="F177" s="222"/>
      <c r="G177" s="223"/>
      <c r="H177" s="164"/>
      <c r="I177" s="164"/>
      <c r="J177" s="164"/>
      <c r="K177" s="164"/>
      <c r="L177" s="174"/>
      <c r="M177" s="164"/>
      <c r="N177" s="174"/>
      <c r="O177" s="157"/>
      <c r="P177" s="178"/>
      <c r="Q177" s="157"/>
      <c r="R177" s="157"/>
      <c r="S177" s="178"/>
      <c r="T177" s="157"/>
      <c r="U177" s="178"/>
      <c r="V177" s="191"/>
      <c r="W177" s="191"/>
      <c r="X177" s="191"/>
      <c r="Y177" s="191"/>
      <c r="Z177" s="191"/>
      <c r="AA177" s="191"/>
      <c r="AB177" s="191"/>
    </row>
    <row r="178" ht="19.5" customHeight="1">
      <c r="A178" s="36"/>
      <c r="B178" s="224"/>
      <c r="C178" s="224"/>
      <c r="D178" s="212"/>
      <c r="E178" s="221"/>
      <c r="F178" s="222"/>
      <c r="G178" s="223"/>
      <c r="H178" s="164"/>
      <c r="I178" s="164"/>
      <c r="J178" s="164"/>
      <c r="K178" s="164"/>
      <c r="L178" s="174"/>
      <c r="M178" s="164"/>
      <c r="N178" s="174"/>
      <c r="O178" s="157"/>
      <c r="P178" s="178"/>
      <c r="Q178" s="157"/>
      <c r="R178" s="157"/>
      <c r="S178" s="178"/>
      <c r="T178" s="157"/>
      <c r="U178" s="178"/>
      <c r="V178" s="191"/>
      <c r="W178" s="191"/>
      <c r="X178" s="191"/>
      <c r="Y178" s="191"/>
      <c r="Z178" s="191"/>
      <c r="AA178" s="191"/>
      <c r="AB178" s="191"/>
    </row>
    <row r="179" ht="19.5" customHeight="1">
      <c r="A179" s="36"/>
      <c r="B179" s="224"/>
      <c r="C179" s="224"/>
      <c r="D179" s="212"/>
      <c r="E179" s="221"/>
      <c r="F179" s="222"/>
      <c r="G179" s="223"/>
      <c r="H179" s="164"/>
      <c r="I179" s="164"/>
      <c r="J179" s="164"/>
      <c r="K179" s="164"/>
      <c r="L179" s="174"/>
      <c r="M179" s="164"/>
      <c r="N179" s="174"/>
      <c r="O179" s="157"/>
      <c r="P179" s="178"/>
      <c r="Q179" s="157"/>
      <c r="R179" s="157"/>
      <c r="S179" s="178"/>
      <c r="T179" s="157"/>
      <c r="U179" s="178"/>
      <c r="V179" s="191"/>
      <c r="W179" s="191"/>
      <c r="X179" s="191"/>
      <c r="Y179" s="191"/>
      <c r="Z179" s="191"/>
      <c r="AA179" s="191"/>
      <c r="AB179" s="191"/>
    </row>
    <row r="180" ht="19.5" customHeight="1">
      <c r="A180" s="36"/>
      <c r="B180" s="224"/>
      <c r="C180" s="224"/>
      <c r="D180" s="212"/>
      <c r="E180" s="221"/>
      <c r="F180" s="222"/>
      <c r="G180" s="223"/>
      <c r="H180" s="164"/>
      <c r="I180" s="164"/>
      <c r="J180" s="164"/>
      <c r="K180" s="164"/>
      <c r="L180" s="174"/>
      <c r="M180" s="164"/>
      <c r="N180" s="174"/>
      <c r="O180" s="157"/>
      <c r="P180" s="178"/>
      <c r="Q180" s="157"/>
      <c r="R180" s="157"/>
      <c r="S180" s="178"/>
      <c r="T180" s="157"/>
      <c r="U180" s="178"/>
      <c r="V180" s="191"/>
      <c r="W180" s="191"/>
      <c r="X180" s="191"/>
      <c r="Y180" s="191"/>
      <c r="Z180" s="191"/>
      <c r="AA180" s="191"/>
      <c r="AB180" s="191"/>
    </row>
    <row r="181" ht="19.5" customHeight="1">
      <c r="A181" s="36"/>
      <c r="B181" s="224"/>
      <c r="C181" s="224"/>
      <c r="D181" s="212"/>
      <c r="E181" s="221"/>
      <c r="F181" s="222"/>
      <c r="G181" s="223"/>
      <c r="H181" s="164"/>
      <c r="I181" s="164"/>
      <c r="J181" s="164"/>
      <c r="K181" s="164"/>
      <c r="L181" s="174"/>
      <c r="M181" s="164"/>
      <c r="N181" s="174"/>
      <c r="O181" s="157"/>
      <c r="P181" s="178"/>
      <c r="Q181" s="157"/>
      <c r="R181" s="157"/>
      <c r="S181" s="178"/>
      <c r="T181" s="157"/>
      <c r="U181" s="178"/>
      <c r="V181" s="191"/>
      <c r="W181" s="191"/>
      <c r="X181" s="191"/>
      <c r="Y181" s="191"/>
      <c r="Z181" s="191"/>
      <c r="AA181" s="191"/>
      <c r="AB181" s="191"/>
    </row>
    <row r="182" ht="19.5" customHeight="1">
      <c r="A182" s="36"/>
      <c r="B182" s="224"/>
      <c r="C182" s="224"/>
      <c r="D182" s="212"/>
      <c r="E182" s="221"/>
      <c r="F182" s="222"/>
      <c r="G182" s="223"/>
      <c r="H182" s="164"/>
      <c r="I182" s="164"/>
      <c r="J182" s="164"/>
      <c r="K182" s="164"/>
      <c r="L182" s="174"/>
      <c r="M182" s="164"/>
      <c r="N182" s="174"/>
      <c r="O182" s="157"/>
      <c r="P182" s="178"/>
      <c r="Q182" s="157"/>
      <c r="R182" s="157"/>
      <c r="S182" s="178"/>
      <c r="T182" s="157"/>
      <c r="U182" s="178"/>
      <c r="V182" s="191"/>
      <c r="W182" s="191"/>
      <c r="X182" s="191"/>
      <c r="Y182" s="191"/>
      <c r="Z182" s="191"/>
      <c r="AA182" s="191"/>
      <c r="AB182" s="191"/>
    </row>
    <row r="183" ht="19.5" customHeight="1">
      <c r="A183" s="36"/>
      <c r="B183" s="224"/>
      <c r="C183" s="224"/>
      <c r="D183" s="212"/>
      <c r="E183" s="221"/>
      <c r="F183" s="222"/>
      <c r="G183" s="223"/>
      <c r="H183" s="164"/>
      <c r="I183" s="164"/>
      <c r="J183" s="164"/>
      <c r="K183" s="164"/>
      <c r="L183" s="174"/>
      <c r="M183" s="164"/>
      <c r="N183" s="174"/>
      <c r="O183" s="157"/>
      <c r="P183" s="178"/>
      <c r="Q183" s="157"/>
      <c r="R183" s="157"/>
      <c r="S183" s="178"/>
      <c r="T183" s="157"/>
      <c r="U183" s="178"/>
      <c r="V183" s="191"/>
      <c r="W183" s="191"/>
      <c r="X183" s="191"/>
      <c r="Y183" s="191"/>
      <c r="Z183" s="191"/>
      <c r="AA183" s="191"/>
      <c r="AB183" s="191"/>
    </row>
    <row r="184" ht="19.5" customHeight="1">
      <c r="A184" s="36"/>
      <c r="B184" s="224"/>
      <c r="C184" s="224"/>
      <c r="D184" s="212"/>
      <c r="E184" s="221"/>
      <c r="F184" s="222"/>
      <c r="G184" s="223"/>
      <c r="H184" s="164"/>
      <c r="I184" s="164"/>
      <c r="J184" s="164"/>
      <c r="K184" s="164"/>
      <c r="L184" s="174"/>
      <c r="M184" s="164"/>
      <c r="N184" s="174"/>
      <c r="O184" s="157"/>
      <c r="P184" s="178"/>
      <c r="Q184" s="157"/>
      <c r="R184" s="157"/>
      <c r="S184" s="178"/>
      <c r="T184" s="157"/>
      <c r="U184" s="178"/>
      <c r="V184" s="191"/>
      <c r="W184" s="191"/>
      <c r="X184" s="191"/>
      <c r="Y184" s="191"/>
      <c r="Z184" s="191"/>
      <c r="AA184" s="191"/>
      <c r="AB184" s="191"/>
    </row>
    <row r="185" ht="19.5" customHeight="1">
      <c r="A185" s="36"/>
      <c r="B185" s="224"/>
      <c r="C185" s="224"/>
      <c r="D185" s="212"/>
      <c r="E185" s="221"/>
      <c r="F185" s="222"/>
      <c r="G185" s="223"/>
      <c r="H185" s="164"/>
      <c r="I185" s="164"/>
      <c r="J185" s="164"/>
      <c r="K185" s="164"/>
      <c r="L185" s="174"/>
      <c r="M185" s="164"/>
      <c r="N185" s="174"/>
      <c r="O185" s="157"/>
      <c r="P185" s="178"/>
      <c r="Q185" s="157"/>
      <c r="R185" s="157"/>
      <c r="S185" s="178"/>
      <c r="T185" s="157"/>
      <c r="U185" s="178"/>
      <c r="V185" s="191"/>
      <c r="W185" s="191"/>
      <c r="X185" s="191"/>
      <c r="Y185" s="191"/>
      <c r="Z185" s="191"/>
      <c r="AA185" s="191"/>
      <c r="AB185" s="191"/>
    </row>
    <row r="186" ht="19.5" customHeight="1">
      <c r="A186" s="36"/>
      <c r="B186" s="224"/>
      <c r="C186" s="224"/>
      <c r="D186" s="212"/>
      <c r="E186" s="221"/>
      <c r="F186" s="222"/>
      <c r="G186" s="223"/>
      <c r="H186" s="164"/>
      <c r="I186" s="164"/>
      <c r="J186" s="164"/>
      <c r="K186" s="164"/>
      <c r="L186" s="174"/>
      <c r="M186" s="164"/>
      <c r="N186" s="174"/>
      <c r="O186" s="157"/>
      <c r="P186" s="178"/>
      <c r="Q186" s="157"/>
      <c r="R186" s="157"/>
      <c r="S186" s="178"/>
      <c r="T186" s="157"/>
      <c r="U186" s="178"/>
      <c r="V186" s="191"/>
      <c r="W186" s="191"/>
      <c r="X186" s="191"/>
      <c r="Y186" s="191"/>
      <c r="Z186" s="191"/>
      <c r="AA186" s="191"/>
      <c r="AB186" s="191"/>
    </row>
    <row r="187" ht="19.5" customHeight="1">
      <c r="A187" s="36"/>
      <c r="B187" s="224"/>
      <c r="C187" s="224"/>
      <c r="D187" s="212"/>
      <c r="E187" s="221"/>
      <c r="F187" s="222"/>
      <c r="G187" s="223"/>
      <c r="H187" s="164"/>
      <c r="I187" s="164"/>
      <c r="J187" s="164"/>
      <c r="K187" s="164"/>
      <c r="L187" s="174"/>
      <c r="M187" s="164"/>
      <c r="N187" s="174"/>
      <c r="O187" s="157"/>
      <c r="P187" s="178"/>
      <c r="Q187" s="157"/>
      <c r="R187" s="157"/>
      <c r="S187" s="178"/>
      <c r="T187" s="157"/>
      <c r="U187" s="178"/>
      <c r="V187" s="191"/>
      <c r="W187" s="191"/>
      <c r="X187" s="191"/>
      <c r="Y187" s="191"/>
      <c r="Z187" s="191"/>
      <c r="AA187" s="191"/>
      <c r="AB187" s="191"/>
    </row>
    <row r="188" ht="19.5" customHeight="1">
      <c r="A188" s="36"/>
      <c r="B188" s="224"/>
      <c r="C188" s="224"/>
      <c r="D188" s="212"/>
      <c r="E188" s="221"/>
      <c r="F188" s="222"/>
      <c r="G188" s="223"/>
      <c r="H188" s="164"/>
      <c r="I188" s="164"/>
      <c r="J188" s="164"/>
      <c r="K188" s="164"/>
      <c r="L188" s="174"/>
      <c r="M188" s="164"/>
      <c r="N188" s="174"/>
      <c r="O188" s="157"/>
      <c r="P188" s="178"/>
      <c r="Q188" s="157"/>
      <c r="R188" s="157"/>
      <c r="S188" s="178"/>
      <c r="T188" s="157"/>
      <c r="U188" s="178"/>
      <c r="V188" s="191"/>
      <c r="W188" s="191"/>
      <c r="X188" s="191"/>
      <c r="Y188" s="191"/>
      <c r="Z188" s="191"/>
      <c r="AA188" s="191"/>
      <c r="AB188" s="191"/>
    </row>
    <row r="189" ht="19.5" customHeight="1">
      <c r="A189" s="36"/>
      <c r="B189" s="224"/>
      <c r="C189" s="224"/>
      <c r="D189" s="212"/>
      <c r="E189" s="221"/>
      <c r="F189" s="222"/>
      <c r="G189" s="223"/>
      <c r="H189" s="164"/>
      <c r="I189" s="164"/>
      <c r="J189" s="164"/>
      <c r="K189" s="164"/>
      <c r="L189" s="174"/>
      <c r="M189" s="164"/>
      <c r="N189" s="174"/>
      <c r="O189" s="157"/>
      <c r="P189" s="178"/>
      <c r="Q189" s="157"/>
      <c r="R189" s="157"/>
      <c r="S189" s="178"/>
      <c r="T189" s="157"/>
      <c r="U189" s="178"/>
      <c r="V189" s="191"/>
      <c r="W189" s="191"/>
      <c r="X189" s="191"/>
      <c r="Y189" s="191"/>
      <c r="Z189" s="191"/>
      <c r="AA189" s="191"/>
      <c r="AB189" s="191"/>
    </row>
    <row r="190" ht="19.5" customHeight="1">
      <c r="A190" s="36"/>
      <c r="B190" s="224"/>
      <c r="C190" s="224"/>
      <c r="D190" s="212"/>
      <c r="E190" s="221"/>
      <c r="F190" s="222"/>
      <c r="G190" s="223"/>
      <c r="H190" s="164"/>
      <c r="I190" s="164"/>
      <c r="J190" s="164"/>
      <c r="K190" s="164"/>
      <c r="L190" s="174"/>
      <c r="M190" s="164"/>
      <c r="N190" s="174"/>
      <c r="O190" s="157"/>
      <c r="P190" s="178"/>
      <c r="Q190" s="157"/>
      <c r="R190" s="157"/>
      <c r="S190" s="178"/>
      <c r="T190" s="157"/>
      <c r="U190" s="178"/>
      <c r="V190" s="191"/>
      <c r="W190" s="191"/>
      <c r="X190" s="191"/>
      <c r="Y190" s="191"/>
      <c r="Z190" s="191"/>
      <c r="AA190" s="191"/>
      <c r="AB190" s="191"/>
    </row>
    <row r="191" ht="19.5" customHeight="1">
      <c r="A191" s="36"/>
      <c r="B191" s="224"/>
      <c r="C191" s="224"/>
      <c r="D191" s="212"/>
      <c r="E191" s="221"/>
      <c r="F191" s="222"/>
      <c r="G191" s="223"/>
      <c r="H191" s="164"/>
      <c r="I191" s="164"/>
      <c r="J191" s="164"/>
      <c r="K191" s="164"/>
      <c r="L191" s="174"/>
      <c r="M191" s="164"/>
      <c r="N191" s="174"/>
      <c r="O191" s="157"/>
      <c r="P191" s="178"/>
      <c r="Q191" s="157"/>
      <c r="R191" s="157"/>
      <c r="S191" s="178"/>
      <c r="T191" s="157"/>
      <c r="U191" s="178"/>
      <c r="V191" s="191"/>
      <c r="W191" s="191"/>
      <c r="X191" s="191"/>
      <c r="Y191" s="191"/>
      <c r="Z191" s="191"/>
      <c r="AA191" s="191"/>
      <c r="AB191" s="191"/>
    </row>
    <row r="192" ht="19.5" customHeight="1">
      <c r="A192" s="36"/>
      <c r="B192" s="224"/>
      <c r="C192" s="224"/>
      <c r="D192" s="212"/>
      <c r="E192" s="221"/>
      <c r="F192" s="222"/>
      <c r="G192" s="223"/>
      <c r="H192" s="164"/>
      <c r="I192" s="164"/>
      <c r="J192" s="164"/>
      <c r="K192" s="164"/>
      <c r="L192" s="174"/>
      <c r="M192" s="164"/>
      <c r="N192" s="174"/>
      <c r="O192" s="157"/>
      <c r="P192" s="178"/>
      <c r="Q192" s="157"/>
      <c r="R192" s="157"/>
      <c r="S192" s="178"/>
      <c r="T192" s="157"/>
      <c r="U192" s="178"/>
      <c r="V192" s="191"/>
      <c r="W192" s="191"/>
      <c r="X192" s="191"/>
      <c r="Y192" s="191"/>
      <c r="Z192" s="191"/>
      <c r="AA192" s="191"/>
      <c r="AB192" s="191"/>
    </row>
    <row r="193" ht="19.5" customHeight="1">
      <c r="A193" s="36"/>
      <c r="B193" s="224"/>
      <c r="C193" s="224"/>
      <c r="D193" s="212"/>
      <c r="E193" s="221"/>
      <c r="F193" s="222"/>
      <c r="G193" s="223"/>
      <c r="H193" s="164"/>
      <c r="I193" s="164"/>
      <c r="J193" s="164"/>
      <c r="K193" s="164"/>
      <c r="L193" s="174"/>
      <c r="M193" s="164"/>
      <c r="N193" s="174"/>
      <c r="O193" s="157"/>
      <c r="P193" s="178"/>
      <c r="Q193" s="157"/>
      <c r="R193" s="157"/>
      <c r="S193" s="178"/>
      <c r="T193" s="157"/>
      <c r="U193" s="178"/>
      <c r="V193" s="191"/>
      <c r="W193" s="191"/>
      <c r="X193" s="191"/>
      <c r="Y193" s="191"/>
      <c r="Z193" s="191"/>
      <c r="AA193" s="191"/>
      <c r="AB193" s="191"/>
    </row>
    <row r="194" ht="19.5" customHeight="1">
      <c r="A194" s="36"/>
      <c r="B194" s="224"/>
      <c r="C194" s="224"/>
      <c r="D194" s="212"/>
      <c r="E194" s="221"/>
      <c r="F194" s="222"/>
      <c r="G194" s="223"/>
      <c r="H194" s="164"/>
      <c r="I194" s="164"/>
      <c r="J194" s="164"/>
      <c r="K194" s="164"/>
      <c r="L194" s="174"/>
      <c r="M194" s="164"/>
      <c r="N194" s="174"/>
      <c r="O194" s="157"/>
      <c r="P194" s="178"/>
      <c r="Q194" s="157"/>
      <c r="R194" s="157"/>
      <c r="S194" s="178"/>
      <c r="T194" s="157"/>
      <c r="U194" s="178"/>
      <c r="V194" s="191"/>
      <c r="W194" s="191"/>
      <c r="X194" s="191"/>
      <c r="Y194" s="191"/>
      <c r="Z194" s="191"/>
      <c r="AA194" s="191"/>
      <c r="AB194" s="191"/>
    </row>
    <row r="195" ht="19.5" customHeight="1">
      <c r="A195" s="36"/>
      <c r="B195" s="224"/>
      <c r="C195" s="224"/>
      <c r="D195" s="212"/>
      <c r="E195" s="221"/>
      <c r="F195" s="222"/>
      <c r="G195" s="223"/>
      <c r="H195" s="164"/>
      <c r="I195" s="164"/>
      <c r="J195" s="164"/>
      <c r="K195" s="164"/>
      <c r="L195" s="174"/>
      <c r="M195" s="164"/>
      <c r="N195" s="174"/>
      <c r="O195" s="157"/>
      <c r="P195" s="178"/>
      <c r="Q195" s="157"/>
      <c r="R195" s="157"/>
      <c r="S195" s="178"/>
      <c r="T195" s="157"/>
      <c r="U195" s="178"/>
      <c r="V195" s="191"/>
      <c r="W195" s="191"/>
      <c r="X195" s="191"/>
      <c r="Y195" s="191"/>
      <c r="Z195" s="191"/>
      <c r="AA195" s="191"/>
      <c r="AB195" s="191"/>
    </row>
    <row r="196" ht="19.5" customHeight="1">
      <c r="A196" s="36"/>
      <c r="B196" s="224"/>
      <c r="C196" s="224"/>
      <c r="D196" s="212"/>
      <c r="E196" s="221"/>
      <c r="F196" s="222"/>
      <c r="G196" s="223"/>
      <c r="H196" s="164"/>
      <c r="I196" s="164"/>
      <c r="J196" s="164"/>
      <c r="K196" s="164"/>
      <c r="L196" s="174"/>
      <c r="M196" s="164"/>
      <c r="N196" s="174"/>
      <c r="O196" s="157"/>
      <c r="P196" s="178"/>
      <c r="Q196" s="157"/>
      <c r="R196" s="157"/>
      <c r="S196" s="178"/>
      <c r="T196" s="157"/>
      <c r="U196" s="178"/>
      <c r="V196" s="191"/>
      <c r="W196" s="191"/>
      <c r="X196" s="191"/>
      <c r="Y196" s="191"/>
      <c r="Z196" s="191"/>
      <c r="AA196" s="191"/>
      <c r="AB196" s="191"/>
    </row>
    <row r="197" ht="19.5" customHeight="1">
      <c r="A197" s="36"/>
      <c r="B197" s="224"/>
      <c r="C197" s="224"/>
      <c r="D197" s="212"/>
      <c r="E197" s="221"/>
      <c r="F197" s="222"/>
      <c r="G197" s="223"/>
      <c r="H197" s="164"/>
      <c r="I197" s="164"/>
      <c r="J197" s="164"/>
      <c r="K197" s="164"/>
      <c r="L197" s="174"/>
      <c r="M197" s="164"/>
      <c r="N197" s="174"/>
      <c r="O197" s="157"/>
      <c r="P197" s="178"/>
      <c r="Q197" s="157"/>
      <c r="R197" s="157"/>
      <c r="S197" s="178"/>
      <c r="T197" s="157"/>
      <c r="U197" s="178"/>
      <c r="V197" s="191"/>
      <c r="W197" s="191"/>
      <c r="X197" s="191"/>
      <c r="Y197" s="191"/>
      <c r="Z197" s="191"/>
      <c r="AA197" s="191"/>
      <c r="AB197" s="191"/>
    </row>
    <row r="198" ht="19.5" customHeight="1">
      <c r="A198" s="36"/>
      <c r="B198" s="224"/>
      <c r="C198" s="224"/>
      <c r="D198" s="212"/>
      <c r="E198" s="221"/>
      <c r="F198" s="222"/>
      <c r="G198" s="223"/>
      <c r="H198" s="164"/>
      <c r="I198" s="164"/>
      <c r="J198" s="164"/>
      <c r="K198" s="164"/>
      <c r="L198" s="174"/>
      <c r="M198" s="164"/>
      <c r="N198" s="174"/>
      <c r="O198" s="157"/>
      <c r="P198" s="178"/>
      <c r="Q198" s="157"/>
      <c r="R198" s="157"/>
      <c r="S198" s="178"/>
      <c r="T198" s="157"/>
      <c r="U198" s="178"/>
      <c r="V198" s="191"/>
      <c r="W198" s="191"/>
      <c r="X198" s="191"/>
      <c r="Y198" s="191"/>
      <c r="Z198" s="191"/>
      <c r="AA198" s="191"/>
      <c r="AB198" s="191"/>
    </row>
    <row r="199" ht="19.5" customHeight="1">
      <c r="A199" s="36"/>
      <c r="B199" s="224"/>
      <c r="C199" s="224"/>
      <c r="D199" s="212"/>
      <c r="E199" s="221"/>
      <c r="F199" s="222"/>
      <c r="G199" s="223"/>
      <c r="H199" s="164"/>
      <c r="I199" s="164"/>
      <c r="J199" s="164"/>
      <c r="K199" s="164"/>
      <c r="L199" s="174"/>
      <c r="M199" s="164"/>
      <c r="N199" s="174"/>
      <c r="O199" s="157"/>
      <c r="P199" s="178"/>
      <c r="Q199" s="157"/>
      <c r="R199" s="157"/>
      <c r="S199" s="178"/>
      <c r="T199" s="157"/>
      <c r="U199" s="178"/>
      <c r="V199" s="191"/>
      <c r="W199" s="191"/>
      <c r="X199" s="191"/>
      <c r="Y199" s="191"/>
      <c r="Z199" s="191"/>
      <c r="AA199" s="191"/>
      <c r="AB199" s="191"/>
    </row>
    <row r="200" ht="19.5" customHeight="1">
      <c r="A200" s="36"/>
      <c r="B200" s="224"/>
      <c r="C200" s="224"/>
      <c r="D200" s="212"/>
      <c r="E200" s="221"/>
      <c r="F200" s="222"/>
      <c r="G200" s="223"/>
      <c r="H200" s="164"/>
      <c r="I200" s="164"/>
      <c r="J200" s="164"/>
      <c r="K200" s="164"/>
      <c r="L200" s="174"/>
      <c r="M200" s="164"/>
      <c r="N200" s="174"/>
      <c r="O200" s="157"/>
      <c r="P200" s="178"/>
      <c r="Q200" s="157"/>
      <c r="R200" s="157"/>
      <c r="S200" s="178"/>
      <c r="T200" s="157"/>
      <c r="U200" s="178"/>
      <c r="V200" s="191"/>
      <c r="W200" s="191"/>
      <c r="X200" s="191"/>
      <c r="Y200" s="191"/>
      <c r="Z200" s="191"/>
      <c r="AA200" s="191"/>
      <c r="AB200" s="191"/>
    </row>
    <row r="201" ht="19.5" customHeight="1">
      <c r="A201" s="36"/>
      <c r="B201" s="224"/>
      <c r="C201" s="224"/>
      <c r="D201" s="212"/>
      <c r="E201" s="221"/>
      <c r="F201" s="222"/>
      <c r="G201" s="223"/>
      <c r="H201" s="164"/>
      <c r="I201" s="164"/>
      <c r="J201" s="164"/>
      <c r="K201" s="164"/>
      <c r="L201" s="174"/>
      <c r="M201" s="164"/>
      <c r="N201" s="174"/>
      <c r="O201" s="157"/>
      <c r="P201" s="178"/>
      <c r="Q201" s="157"/>
      <c r="R201" s="157"/>
      <c r="S201" s="178"/>
      <c r="T201" s="157"/>
      <c r="U201" s="178"/>
      <c r="V201" s="191"/>
      <c r="W201" s="191"/>
      <c r="X201" s="191"/>
      <c r="Y201" s="191"/>
      <c r="Z201" s="191"/>
      <c r="AA201" s="191"/>
      <c r="AB201" s="191"/>
    </row>
    <row r="202" ht="19.5" customHeight="1">
      <c r="A202" s="36"/>
      <c r="B202" s="224"/>
      <c r="C202" s="224"/>
      <c r="D202" s="212"/>
      <c r="E202" s="221"/>
      <c r="F202" s="222"/>
      <c r="G202" s="223"/>
      <c r="H202" s="164"/>
      <c r="I202" s="164"/>
      <c r="J202" s="164"/>
      <c r="K202" s="164"/>
      <c r="L202" s="174"/>
      <c r="M202" s="164"/>
      <c r="N202" s="174"/>
      <c r="O202" s="157"/>
      <c r="P202" s="178"/>
      <c r="Q202" s="157"/>
      <c r="R202" s="157"/>
      <c r="S202" s="178"/>
      <c r="T202" s="157"/>
      <c r="U202" s="178"/>
      <c r="V202" s="191"/>
      <c r="W202" s="191"/>
      <c r="X202" s="191"/>
      <c r="Y202" s="191"/>
      <c r="Z202" s="191"/>
      <c r="AA202" s="191"/>
      <c r="AB202" s="191"/>
    </row>
    <row r="203" ht="19.5" customHeight="1">
      <c r="A203" s="36"/>
      <c r="B203" s="224"/>
      <c r="C203" s="224"/>
      <c r="D203" s="212"/>
      <c r="E203" s="221"/>
      <c r="F203" s="222"/>
      <c r="G203" s="223"/>
      <c r="H203" s="164"/>
      <c r="I203" s="164"/>
      <c r="J203" s="164"/>
      <c r="K203" s="164"/>
      <c r="L203" s="174"/>
      <c r="M203" s="164"/>
      <c r="N203" s="174"/>
      <c r="O203" s="157"/>
      <c r="P203" s="178"/>
      <c r="Q203" s="157"/>
      <c r="R203" s="157"/>
      <c r="S203" s="178"/>
      <c r="T203" s="157"/>
      <c r="U203" s="178"/>
      <c r="V203" s="191"/>
      <c r="W203" s="191"/>
      <c r="X203" s="191"/>
      <c r="Y203" s="191"/>
      <c r="Z203" s="191"/>
      <c r="AA203" s="191"/>
      <c r="AB203" s="191"/>
    </row>
    <row r="204" ht="19.5" customHeight="1">
      <c r="A204" s="36"/>
      <c r="B204" s="224"/>
      <c r="C204" s="224"/>
      <c r="D204" s="212"/>
      <c r="E204" s="221"/>
      <c r="F204" s="222"/>
      <c r="G204" s="223"/>
      <c r="H204" s="164"/>
      <c r="I204" s="164"/>
      <c r="J204" s="164"/>
      <c r="K204" s="164"/>
      <c r="L204" s="174"/>
      <c r="M204" s="164"/>
      <c r="N204" s="174"/>
      <c r="O204" s="157"/>
      <c r="P204" s="178"/>
      <c r="Q204" s="157"/>
      <c r="R204" s="157"/>
      <c r="S204" s="178"/>
      <c r="T204" s="157"/>
      <c r="U204" s="178"/>
      <c r="V204" s="191"/>
      <c r="W204" s="191"/>
      <c r="X204" s="191"/>
      <c r="Y204" s="191"/>
      <c r="Z204" s="191"/>
      <c r="AA204" s="191"/>
      <c r="AB204" s="191"/>
    </row>
    <row r="205" ht="19.5" customHeight="1">
      <c r="A205" s="36"/>
      <c r="B205" s="224"/>
      <c r="C205" s="224"/>
      <c r="D205" s="212"/>
      <c r="E205" s="221"/>
      <c r="F205" s="222"/>
      <c r="G205" s="223"/>
      <c r="H205" s="164"/>
      <c r="I205" s="164"/>
      <c r="J205" s="164"/>
      <c r="K205" s="164"/>
      <c r="L205" s="174"/>
      <c r="M205" s="164"/>
      <c r="N205" s="174"/>
      <c r="O205" s="157"/>
      <c r="P205" s="178"/>
      <c r="Q205" s="157"/>
      <c r="R205" s="157"/>
      <c r="S205" s="178"/>
      <c r="T205" s="157"/>
      <c r="U205" s="178"/>
      <c r="V205" s="191"/>
      <c r="W205" s="191"/>
      <c r="X205" s="191"/>
      <c r="Y205" s="191"/>
      <c r="Z205" s="191"/>
      <c r="AA205" s="191"/>
      <c r="AB205" s="191"/>
    </row>
    <row r="206" ht="19.5" customHeight="1">
      <c r="A206" s="36"/>
      <c r="B206" s="224"/>
      <c r="C206" s="224"/>
      <c r="D206" s="212"/>
      <c r="E206" s="221"/>
      <c r="F206" s="222"/>
      <c r="G206" s="223"/>
      <c r="H206" s="164"/>
      <c r="I206" s="164"/>
      <c r="J206" s="164"/>
      <c r="K206" s="164"/>
      <c r="L206" s="174"/>
      <c r="M206" s="164"/>
      <c r="N206" s="174"/>
      <c r="O206" s="157"/>
      <c r="P206" s="178"/>
      <c r="Q206" s="157"/>
      <c r="R206" s="157"/>
      <c r="S206" s="178"/>
      <c r="T206" s="157"/>
      <c r="U206" s="178"/>
      <c r="V206" s="191"/>
      <c r="W206" s="191"/>
      <c r="X206" s="191"/>
      <c r="Y206" s="191"/>
      <c r="Z206" s="191"/>
      <c r="AA206" s="191"/>
      <c r="AB206" s="191"/>
    </row>
    <row r="207" ht="19.5" customHeight="1">
      <c r="A207" s="36"/>
      <c r="B207" s="224"/>
      <c r="C207" s="224"/>
      <c r="D207" s="212"/>
      <c r="E207" s="221"/>
      <c r="F207" s="222"/>
      <c r="G207" s="223"/>
      <c r="H207" s="164"/>
      <c r="I207" s="164"/>
      <c r="J207" s="164"/>
      <c r="K207" s="164"/>
      <c r="L207" s="174"/>
      <c r="M207" s="164"/>
      <c r="N207" s="174"/>
      <c r="O207" s="157"/>
      <c r="P207" s="178"/>
      <c r="Q207" s="157"/>
      <c r="R207" s="157"/>
      <c r="S207" s="178"/>
      <c r="T207" s="157"/>
      <c r="U207" s="178"/>
      <c r="V207" s="191"/>
      <c r="W207" s="191"/>
      <c r="X207" s="191"/>
      <c r="Y207" s="191"/>
      <c r="Z207" s="191"/>
      <c r="AA207" s="191"/>
      <c r="AB207" s="191"/>
    </row>
    <row r="208" ht="19.5" customHeight="1">
      <c r="A208" s="36"/>
      <c r="B208" s="224"/>
      <c r="C208" s="224"/>
      <c r="D208" s="212"/>
      <c r="E208" s="221"/>
      <c r="F208" s="222"/>
      <c r="G208" s="223"/>
      <c r="H208" s="164"/>
      <c r="I208" s="164"/>
      <c r="J208" s="164"/>
      <c r="K208" s="164"/>
      <c r="L208" s="174"/>
      <c r="M208" s="164"/>
      <c r="N208" s="174"/>
      <c r="O208" s="157"/>
      <c r="P208" s="178"/>
      <c r="Q208" s="157"/>
      <c r="R208" s="157"/>
      <c r="S208" s="178"/>
      <c r="T208" s="157"/>
      <c r="U208" s="178"/>
      <c r="V208" s="191"/>
      <c r="W208" s="191"/>
      <c r="X208" s="191"/>
      <c r="Y208" s="191"/>
      <c r="Z208" s="191"/>
      <c r="AA208" s="191"/>
      <c r="AB208" s="191"/>
    </row>
    <row r="209" ht="19.5" customHeight="1">
      <c r="A209" s="36"/>
      <c r="B209" s="224"/>
      <c r="C209" s="224"/>
      <c r="D209" s="212"/>
      <c r="E209" s="221"/>
      <c r="F209" s="222"/>
      <c r="G209" s="223"/>
      <c r="H209" s="164"/>
      <c r="I209" s="164"/>
      <c r="J209" s="164"/>
      <c r="K209" s="164"/>
      <c r="L209" s="174"/>
      <c r="M209" s="164"/>
      <c r="N209" s="174"/>
      <c r="O209" s="157"/>
      <c r="P209" s="178"/>
      <c r="Q209" s="157"/>
      <c r="R209" s="157"/>
      <c r="S209" s="178"/>
      <c r="T209" s="157"/>
      <c r="U209" s="178"/>
      <c r="V209" s="191"/>
      <c r="W209" s="191"/>
      <c r="X209" s="191"/>
      <c r="Y209" s="191"/>
      <c r="Z209" s="191"/>
      <c r="AA209" s="191"/>
      <c r="AB209" s="191"/>
    </row>
    <row r="210" ht="19.5" customHeight="1">
      <c r="A210" s="36"/>
      <c r="B210" s="224"/>
      <c r="C210" s="224"/>
      <c r="D210" s="212"/>
      <c r="E210" s="221"/>
      <c r="F210" s="222"/>
      <c r="G210" s="223"/>
      <c r="H210" s="164"/>
      <c r="I210" s="164"/>
      <c r="J210" s="164"/>
      <c r="K210" s="164"/>
      <c r="L210" s="174"/>
      <c r="M210" s="164"/>
      <c r="N210" s="174"/>
      <c r="O210" s="157"/>
      <c r="P210" s="178"/>
      <c r="Q210" s="157"/>
      <c r="R210" s="157"/>
      <c r="S210" s="178"/>
      <c r="T210" s="157"/>
      <c r="U210" s="178"/>
      <c r="V210" s="191"/>
      <c r="W210" s="191"/>
      <c r="X210" s="191"/>
      <c r="Y210" s="191"/>
      <c r="Z210" s="191"/>
      <c r="AA210" s="191"/>
      <c r="AB210" s="191"/>
    </row>
    <row r="211" ht="19.5" customHeight="1">
      <c r="A211" s="36"/>
      <c r="B211" s="224"/>
      <c r="C211" s="224"/>
      <c r="D211" s="212"/>
      <c r="E211" s="221"/>
      <c r="F211" s="222"/>
      <c r="G211" s="223"/>
      <c r="H211" s="164"/>
      <c r="I211" s="164"/>
      <c r="J211" s="164"/>
      <c r="K211" s="164"/>
      <c r="L211" s="174"/>
      <c r="M211" s="164"/>
      <c r="N211" s="174"/>
      <c r="O211" s="157"/>
      <c r="P211" s="178"/>
      <c r="Q211" s="157"/>
      <c r="R211" s="157"/>
      <c r="S211" s="178"/>
      <c r="T211" s="157"/>
      <c r="U211" s="178"/>
      <c r="V211" s="191"/>
      <c r="W211" s="191"/>
      <c r="X211" s="191"/>
      <c r="Y211" s="191"/>
      <c r="Z211" s="191"/>
      <c r="AA211" s="191"/>
      <c r="AB211" s="191"/>
    </row>
    <row r="212" ht="19.5" customHeight="1">
      <c r="A212" s="36"/>
      <c r="B212" s="224"/>
      <c r="C212" s="224"/>
      <c r="D212" s="212"/>
      <c r="E212" s="221"/>
      <c r="F212" s="222"/>
      <c r="G212" s="223"/>
      <c r="H212" s="164"/>
      <c r="I212" s="164"/>
      <c r="J212" s="164"/>
      <c r="K212" s="164"/>
      <c r="L212" s="174"/>
      <c r="M212" s="164"/>
      <c r="N212" s="174"/>
      <c r="O212" s="157"/>
      <c r="P212" s="178"/>
      <c r="Q212" s="157"/>
      <c r="R212" s="157"/>
      <c r="S212" s="178"/>
      <c r="T212" s="157"/>
      <c r="U212" s="178"/>
      <c r="V212" s="191"/>
      <c r="W212" s="191"/>
      <c r="X212" s="191"/>
      <c r="Y212" s="191"/>
      <c r="Z212" s="191"/>
      <c r="AA212" s="191"/>
      <c r="AB212" s="191"/>
    </row>
    <row r="213" ht="19.5" customHeight="1">
      <c r="A213" s="36"/>
      <c r="B213" s="224"/>
      <c r="C213" s="224"/>
      <c r="D213" s="212"/>
      <c r="E213" s="221"/>
      <c r="F213" s="222"/>
      <c r="G213" s="223"/>
      <c r="H213" s="164"/>
      <c r="I213" s="164"/>
      <c r="J213" s="164"/>
      <c r="K213" s="164"/>
      <c r="L213" s="174"/>
      <c r="M213" s="164"/>
      <c r="N213" s="174"/>
      <c r="O213" s="157"/>
      <c r="P213" s="178"/>
      <c r="Q213" s="157"/>
      <c r="R213" s="157"/>
      <c r="S213" s="178"/>
      <c r="T213" s="157"/>
      <c r="U213" s="178"/>
      <c r="V213" s="191"/>
      <c r="W213" s="191"/>
      <c r="X213" s="191"/>
      <c r="Y213" s="191"/>
      <c r="Z213" s="191"/>
      <c r="AA213" s="191"/>
      <c r="AB213" s="191"/>
    </row>
    <row r="214" ht="19.5" customHeight="1">
      <c r="A214" s="36"/>
      <c r="B214" s="224"/>
      <c r="C214" s="224"/>
      <c r="D214" s="212"/>
      <c r="E214" s="221"/>
      <c r="F214" s="222"/>
      <c r="G214" s="223"/>
      <c r="H214" s="164"/>
      <c r="I214" s="164"/>
      <c r="J214" s="164"/>
      <c r="K214" s="164"/>
      <c r="L214" s="174"/>
      <c r="M214" s="164"/>
      <c r="N214" s="174"/>
      <c r="O214" s="157"/>
      <c r="P214" s="178"/>
      <c r="Q214" s="157"/>
      <c r="R214" s="157"/>
      <c r="S214" s="178"/>
      <c r="T214" s="157"/>
      <c r="U214" s="178"/>
      <c r="V214" s="191"/>
      <c r="W214" s="191"/>
      <c r="X214" s="191"/>
      <c r="Y214" s="191"/>
      <c r="Z214" s="191"/>
      <c r="AA214" s="191"/>
      <c r="AB214" s="191"/>
    </row>
    <row r="215" ht="19.5" customHeight="1">
      <c r="A215" s="36"/>
      <c r="B215" s="224"/>
      <c r="C215" s="224"/>
      <c r="D215" s="212"/>
      <c r="E215" s="221"/>
      <c r="F215" s="222"/>
      <c r="G215" s="223"/>
      <c r="H215" s="164"/>
      <c r="I215" s="164"/>
      <c r="J215" s="164"/>
      <c r="K215" s="164"/>
      <c r="L215" s="174"/>
      <c r="M215" s="164"/>
      <c r="N215" s="174"/>
      <c r="O215" s="157"/>
      <c r="P215" s="178"/>
      <c r="Q215" s="157"/>
      <c r="R215" s="157"/>
      <c r="S215" s="178"/>
      <c r="T215" s="157"/>
      <c r="U215" s="178"/>
      <c r="V215" s="191"/>
      <c r="W215" s="191"/>
      <c r="X215" s="191"/>
      <c r="Y215" s="191"/>
      <c r="Z215" s="191"/>
      <c r="AA215" s="191"/>
      <c r="AB215" s="191"/>
    </row>
    <row r="216" ht="19.5" customHeight="1">
      <c r="A216" s="36"/>
      <c r="B216" s="224"/>
      <c r="C216" s="224"/>
      <c r="D216" s="212"/>
      <c r="E216" s="221"/>
      <c r="F216" s="222"/>
      <c r="G216" s="223"/>
      <c r="H216" s="164"/>
      <c r="I216" s="164"/>
      <c r="J216" s="164"/>
      <c r="K216" s="164"/>
      <c r="L216" s="174"/>
      <c r="M216" s="164"/>
      <c r="N216" s="174"/>
      <c r="O216" s="157"/>
      <c r="P216" s="178"/>
      <c r="Q216" s="157"/>
      <c r="R216" s="157"/>
      <c r="S216" s="178"/>
      <c r="T216" s="157"/>
      <c r="U216" s="178"/>
      <c r="V216" s="191"/>
      <c r="W216" s="191"/>
      <c r="X216" s="191"/>
      <c r="Y216" s="191"/>
      <c r="Z216" s="191"/>
      <c r="AA216" s="191"/>
      <c r="AB216" s="191"/>
    </row>
    <row r="217" ht="19.5" customHeight="1">
      <c r="A217" s="36"/>
      <c r="B217" s="224"/>
      <c r="C217" s="224"/>
      <c r="D217" s="212"/>
      <c r="E217" s="221"/>
      <c r="F217" s="222"/>
      <c r="G217" s="223"/>
      <c r="H217" s="164"/>
      <c r="I217" s="164"/>
      <c r="J217" s="164"/>
      <c r="K217" s="164"/>
      <c r="L217" s="174"/>
      <c r="M217" s="164"/>
      <c r="N217" s="174"/>
      <c r="O217" s="157"/>
      <c r="P217" s="178"/>
      <c r="Q217" s="157"/>
      <c r="R217" s="157"/>
      <c r="S217" s="178"/>
      <c r="T217" s="157"/>
      <c r="U217" s="178"/>
      <c r="V217" s="191"/>
      <c r="W217" s="191"/>
      <c r="X217" s="191"/>
      <c r="Y217" s="191"/>
      <c r="Z217" s="191"/>
      <c r="AA217" s="191"/>
      <c r="AB217" s="191"/>
    </row>
    <row r="218" ht="19.5" customHeight="1">
      <c r="A218" s="36"/>
      <c r="B218" s="224"/>
      <c r="C218" s="224"/>
      <c r="D218" s="212"/>
      <c r="E218" s="221"/>
      <c r="F218" s="222"/>
      <c r="G218" s="223"/>
      <c r="H218" s="164"/>
      <c r="I218" s="164"/>
      <c r="J218" s="164"/>
      <c r="K218" s="164"/>
      <c r="L218" s="174"/>
      <c r="M218" s="164"/>
      <c r="N218" s="174"/>
      <c r="O218" s="157"/>
      <c r="P218" s="178"/>
      <c r="Q218" s="157"/>
      <c r="R218" s="157"/>
      <c r="S218" s="178"/>
      <c r="T218" s="157"/>
      <c r="U218" s="178"/>
      <c r="V218" s="191"/>
      <c r="W218" s="191"/>
      <c r="X218" s="191"/>
      <c r="Y218" s="191"/>
      <c r="Z218" s="191"/>
      <c r="AA218" s="191"/>
      <c r="AB218" s="191"/>
    </row>
    <row r="219" ht="19.5" customHeight="1">
      <c r="A219" s="36"/>
      <c r="B219" s="224"/>
      <c r="C219" s="224"/>
      <c r="D219" s="212"/>
      <c r="E219" s="221"/>
      <c r="F219" s="222"/>
      <c r="G219" s="223"/>
      <c r="H219" s="164"/>
      <c r="I219" s="164"/>
      <c r="J219" s="164"/>
      <c r="K219" s="164"/>
      <c r="L219" s="174"/>
      <c r="M219" s="164"/>
      <c r="N219" s="174"/>
      <c r="O219" s="157"/>
      <c r="P219" s="178"/>
      <c r="Q219" s="157"/>
      <c r="R219" s="157"/>
      <c r="S219" s="178"/>
      <c r="T219" s="157"/>
      <c r="U219" s="178"/>
      <c r="V219" s="191"/>
      <c r="W219" s="191"/>
      <c r="X219" s="191"/>
      <c r="Y219" s="191"/>
      <c r="Z219" s="191"/>
      <c r="AA219" s="191"/>
      <c r="AB219" s="191"/>
    </row>
    <row r="220" ht="19.5" customHeight="1">
      <c r="A220" s="36"/>
      <c r="B220" s="224"/>
      <c r="C220" s="224"/>
      <c r="D220" s="212"/>
      <c r="E220" s="221"/>
      <c r="F220" s="222"/>
      <c r="G220" s="223"/>
      <c r="H220" s="164"/>
      <c r="I220" s="164"/>
      <c r="J220" s="164"/>
      <c r="K220" s="164"/>
      <c r="L220" s="174"/>
      <c r="M220" s="164"/>
      <c r="N220" s="174"/>
      <c r="O220" s="157"/>
      <c r="P220" s="178"/>
      <c r="Q220" s="157"/>
      <c r="R220" s="157"/>
      <c r="S220" s="178"/>
      <c r="T220" s="157"/>
      <c r="U220" s="178"/>
      <c r="V220" s="191"/>
      <c r="W220" s="191"/>
      <c r="X220" s="191"/>
      <c r="Y220" s="191"/>
      <c r="Z220" s="191"/>
      <c r="AA220" s="191"/>
      <c r="AB220" s="191"/>
    </row>
    <row r="221" ht="15.75" customHeight="1">
      <c r="A221" s="288"/>
      <c r="B221" s="224"/>
      <c r="C221" s="224"/>
      <c r="D221" s="212"/>
      <c r="E221" s="221"/>
      <c r="F221" s="222"/>
      <c r="G221" s="223"/>
      <c r="H221" s="164"/>
      <c r="I221" s="164"/>
      <c r="J221" s="164"/>
      <c r="K221" s="164"/>
      <c r="L221" s="174"/>
      <c r="M221" s="164"/>
      <c r="N221" s="174"/>
      <c r="O221" s="157"/>
      <c r="P221" s="178"/>
      <c r="Q221" s="157"/>
      <c r="R221" s="157"/>
      <c r="S221" s="178"/>
      <c r="T221" s="157"/>
      <c r="U221" s="178"/>
      <c r="V221" s="191"/>
      <c r="W221" s="191"/>
      <c r="X221" s="191"/>
      <c r="Y221" s="191"/>
      <c r="Z221" s="191"/>
      <c r="AA221" s="191"/>
      <c r="AB221" s="191"/>
    </row>
    <row r="222" ht="15.75" customHeight="1">
      <c r="A222" s="288"/>
      <c r="B222" s="224"/>
      <c r="C222" s="224"/>
      <c r="D222" s="212"/>
      <c r="E222" s="221"/>
      <c r="F222" s="222"/>
      <c r="G222" s="223"/>
      <c r="H222" s="164"/>
      <c r="I222" s="164"/>
      <c r="J222" s="164"/>
      <c r="K222" s="164"/>
      <c r="L222" s="174"/>
      <c r="M222" s="164"/>
      <c r="N222" s="174"/>
      <c r="O222" s="157"/>
      <c r="P222" s="178"/>
      <c r="Q222" s="157"/>
      <c r="R222" s="157"/>
      <c r="S222" s="178"/>
      <c r="T222" s="157"/>
      <c r="U222" s="178"/>
      <c r="V222" s="191"/>
      <c r="W222" s="191"/>
      <c r="X222" s="191"/>
      <c r="Y222" s="191"/>
      <c r="Z222" s="191"/>
      <c r="AA222" s="191"/>
      <c r="AB222" s="191"/>
    </row>
    <row r="223" ht="15.75" customHeight="1">
      <c r="A223" s="288"/>
      <c r="B223" s="224"/>
      <c r="C223" s="224"/>
      <c r="D223" s="212"/>
      <c r="E223" s="221"/>
      <c r="F223" s="222"/>
      <c r="G223" s="223"/>
      <c r="H223" s="164"/>
      <c r="I223" s="164"/>
      <c r="J223" s="164"/>
      <c r="K223" s="164"/>
      <c r="L223" s="174"/>
      <c r="M223" s="164"/>
      <c r="N223" s="174"/>
      <c r="O223" s="157"/>
      <c r="P223" s="178"/>
      <c r="Q223" s="157"/>
      <c r="R223" s="157"/>
      <c r="S223" s="178"/>
      <c r="T223" s="157"/>
      <c r="U223" s="178"/>
      <c r="V223" s="191"/>
      <c r="W223" s="191"/>
      <c r="X223" s="191"/>
      <c r="Y223" s="191"/>
      <c r="Z223" s="191"/>
      <c r="AA223" s="191"/>
      <c r="AB223" s="191"/>
    </row>
    <row r="224" ht="15.75" customHeight="1">
      <c r="A224" s="288"/>
      <c r="B224" s="224"/>
      <c r="C224" s="224"/>
      <c r="D224" s="212"/>
      <c r="E224" s="221"/>
      <c r="F224" s="222"/>
      <c r="G224" s="223"/>
      <c r="H224" s="164"/>
      <c r="I224" s="164"/>
      <c r="J224" s="164"/>
      <c r="K224" s="164"/>
      <c r="L224" s="174"/>
      <c r="M224" s="164"/>
      <c r="N224" s="174"/>
      <c r="O224" s="157"/>
      <c r="P224" s="178"/>
      <c r="Q224" s="157"/>
      <c r="R224" s="157"/>
      <c r="S224" s="178"/>
      <c r="T224" s="157"/>
      <c r="U224" s="178"/>
      <c r="V224" s="191"/>
      <c r="W224" s="191"/>
      <c r="X224" s="191"/>
      <c r="Y224" s="191"/>
      <c r="Z224" s="191"/>
      <c r="AA224" s="191"/>
      <c r="AB224" s="191"/>
    </row>
    <row r="225" ht="15.75" customHeight="1">
      <c r="A225" s="288"/>
      <c r="B225" s="224"/>
      <c r="C225" s="224"/>
      <c r="D225" s="212"/>
      <c r="E225" s="221"/>
      <c r="F225" s="222"/>
      <c r="G225" s="223"/>
      <c r="H225" s="164"/>
      <c r="I225" s="164"/>
      <c r="J225" s="164"/>
      <c r="K225" s="164"/>
      <c r="L225" s="174"/>
      <c r="M225" s="164"/>
      <c r="N225" s="174"/>
      <c r="O225" s="157"/>
      <c r="P225" s="178"/>
      <c r="Q225" s="157"/>
      <c r="R225" s="157"/>
      <c r="S225" s="178"/>
      <c r="T225" s="157"/>
      <c r="U225" s="178"/>
      <c r="V225" s="191"/>
      <c r="W225" s="191"/>
      <c r="X225" s="191"/>
      <c r="Y225" s="191"/>
      <c r="Z225" s="191"/>
      <c r="AA225" s="191"/>
      <c r="AB225" s="191"/>
    </row>
    <row r="226" ht="15.75" customHeight="1">
      <c r="A226" s="288"/>
      <c r="B226" s="224"/>
      <c r="C226" s="224"/>
      <c r="D226" s="212"/>
      <c r="E226" s="221"/>
      <c r="F226" s="222"/>
      <c r="G226" s="223"/>
      <c r="H226" s="164"/>
      <c r="I226" s="164"/>
      <c r="J226" s="164"/>
      <c r="K226" s="164"/>
      <c r="L226" s="174"/>
      <c r="M226" s="164"/>
      <c r="N226" s="174"/>
      <c r="O226" s="157"/>
      <c r="P226" s="178"/>
      <c r="Q226" s="157"/>
      <c r="R226" s="157"/>
      <c r="S226" s="178"/>
      <c r="T226" s="157"/>
      <c r="U226" s="178"/>
      <c r="V226" s="191"/>
      <c r="W226" s="191"/>
      <c r="X226" s="191"/>
      <c r="Y226" s="191"/>
      <c r="Z226" s="191"/>
      <c r="AA226" s="191"/>
      <c r="AB226" s="191"/>
    </row>
    <row r="227" ht="15.75" customHeight="1">
      <c r="A227" s="288"/>
      <c r="B227" s="224"/>
      <c r="C227" s="224"/>
      <c r="D227" s="212"/>
      <c r="E227" s="221"/>
      <c r="F227" s="222"/>
      <c r="G227" s="223"/>
      <c r="H227" s="164"/>
      <c r="I227" s="164"/>
      <c r="J227" s="164"/>
      <c r="K227" s="164"/>
      <c r="L227" s="174"/>
      <c r="M227" s="164"/>
      <c r="N227" s="174"/>
      <c r="O227" s="157"/>
      <c r="P227" s="178"/>
      <c r="Q227" s="157"/>
      <c r="R227" s="157"/>
      <c r="S227" s="178"/>
      <c r="T227" s="157"/>
      <c r="U227" s="178"/>
      <c r="V227" s="191"/>
      <c r="W227" s="191"/>
      <c r="X227" s="191"/>
      <c r="Y227" s="191"/>
      <c r="Z227" s="191"/>
      <c r="AA227" s="191"/>
      <c r="AB227" s="191"/>
    </row>
    <row r="228" ht="15.75" customHeight="1">
      <c r="A228" s="288"/>
      <c r="B228" s="224"/>
      <c r="C228" s="224"/>
      <c r="D228" s="212"/>
      <c r="E228" s="221"/>
      <c r="F228" s="222"/>
      <c r="G228" s="223"/>
      <c r="H228" s="164"/>
      <c r="I228" s="164"/>
      <c r="J228" s="164"/>
      <c r="K228" s="164"/>
      <c r="L228" s="174"/>
      <c r="M228" s="164"/>
      <c r="N228" s="174"/>
      <c r="O228" s="157"/>
      <c r="P228" s="178"/>
      <c r="Q228" s="157"/>
      <c r="R228" s="157"/>
      <c r="S228" s="178"/>
      <c r="T228" s="157"/>
      <c r="U228" s="178"/>
      <c r="V228" s="191"/>
      <c r="W228" s="191"/>
      <c r="X228" s="191"/>
      <c r="Y228" s="191"/>
      <c r="Z228" s="191"/>
      <c r="AA228" s="191"/>
      <c r="AB228" s="191"/>
    </row>
    <row r="229" ht="15.75" customHeight="1">
      <c r="A229" s="288"/>
      <c r="B229" s="224"/>
      <c r="C229" s="224"/>
      <c r="D229" s="212"/>
      <c r="E229" s="221"/>
      <c r="F229" s="222"/>
      <c r="G229" s="223"/>
      <c r="H229" s="164"/>
      <c r="I229" s="164"/>
      <c r="J229" s="164"/>
      <c r="K229" s="164"/>
      <c r="L229" s="174"/>
      <c r="M229" s="164"/>
      <c r="N229" s="174"/>
      <c r="O229" s="157"/>
      <c r="P229" s="178"/>
      <c r="Q229" s="157"/>
      <c r="R229" s="157"/>
      <c r="S229" s="178"/>
      <c r="T229" s="157"/>
      <c r="U229" s="178"/>
      <c r="V229" s="191"/>
      <c r="W229" s="191"/>
      <c r="X229" s="191"/>
      <c r="Y229" s="191"/>
      <c r="Z229" s="191"/>
      <c r="AA229" s="191"/>
      <c r="AB229" s="191"/>
    </row>
    <row r="230" ht="15.75" customHeight="1">
      <c r="A230" s="288"/>
      <c r="B230" s="224"/>
      <c r="C230" s="224"/>
      <c r="D230" s="212"/>
      <c r="E230" s="221"/>
      <c r="F230" s="222"/>
      <c r="G230" s="223"/>
      <c r="H230" s="164"/>
      <c r="I230" s="164"/>
      <c r="J230" s="164"/>
      <c r="K230" s="164"/>
      <c r="L230" s="174"/>
      <c r="M230" s="164"/>
      <c r="N230" s="174"/>
      <c r="O230" s="157"/>
      <c r="P230" s="178"/>
      <c r="Q230" s="157"/>
      <c r="R230" s="157"/>
      <c r="S230" s="178"/>
      <c r="T230" s="157"/>
      <c r="U230" s="178"/>
      <c r="V230" s="191"/>
      <c r="W230" s="191"/>
      <c r="X230" s="191"/>
      <c r="Y230" s="191"/>
      <c r="Z230" s="191"/>
      <c r="AA230" s="191"/>
      <c r="AB230" s="191"/>
    </row>
    <row r="231" ht="15.75" customHeight="1">
      <c r="A231" s="288"/>
      <c r="B231" s="224"/>
      <c r="C231" s="224"/>
      <c r="D231" s="212"/>
      <c r="E231" s="221"/>
      <c r="F231" s="222"/>
      <c r="G231" s="223"/>
      <c r="H231" s="164"/>
      <c r="I231" s="164"/>
      <c r="J231" s="164"/>
      <c r="K231" s="164"/>
      <c r="L231" s="174"/>
      <c r="M231" s="164"/>
      <c r="N231" s="174"/>
      <c r="O231" s="157"/>
      <c r="P231" s="178"/>
      <c r="Q231" s="157"/>
      <c r="R231" s="157"/>
      <c r="S231" s="178"/>
      <c r="T231" s="157"/>
      <c r="U231" s="178"/>
      <c r="V231" s="191"/>
      <c r="W231" s="191"/>
      <c r="X231" s="191"/>
      <c r="Y231" s="191"/>
      <c r="Z231" s="191"/>
      <c r="AA231" s="191"/>
      <c r="AB231" s="191"/>
    </row>
    <row r="232" ht="15.75" customHeight="1">
      <c r="A232" s="288"/>
      <c r="B232" s="224"/>
      <c r="C232" s="224"/>
      <c r="D232" s="212"/>
      <c r="E232" s="221"/>
      <c r="F232" s="222"/>
      <c r="G232" s="223"/>
      <c r="H232" s="164"/>
      <c r="I232" s="164"/>
      <c r="J232" s="164"/>
      <c r="K232" s="164"/>
      <c r="L232" s="174"/>
      <c r="M232" s="164"/>
      <c r="N232" s="174"/>
      <c r="O232" s="157"/>
      <c r="P232" s="178"/>
      <c r="Q232" s="157"/>
      <c r="R232" s="157"/>
      <c r="S232" s="178"/>
      <c r="T232" s="157"/>
      <c r="U232" s="178"/>
      <c r="V232" s="191"/>
      <c r="W232" s="191"/>
      <c r="X232" s="191"/>
      <c r="Y232" s="191"/>
      <c r="Z232" s="191"/>
      <c r="AA232" s="191"/>
      <c r="AB232" s="191"/>
    </row>
    <row r="233" ht="15.75" customHeight="1">
      <c r="A233" s="288"/>
      <c r="B233" s="224"/>
      <c r="C233" s="224"/>
      <c r="D233" s="212"/>
      <c r="E233" s="221"/>
      <c r="F233" s="222"/>
      <c r="G233" s="223"/>
      <c r="H233" s="164"/>
      <c r="I233" s="164"/>
      <c r="J233" s="164"/>
      <c r="K233" s="164"/>
      <c r="L233" s="174"/>
      <c r="M233" s="164"/>
      <c r="N233" s="174"/>
      <c r="O233" s="157"/>
      <c r="P233" s="178"/>
      <c r="Q233" s="157"/>
      <c r="R233" s="157"/>
      <c r="S233" s="178"/>
      <c r="T233" s="157"/>
      <c r="U233" s="178"/>
      <c r="V233" s="191"/>
      <c r="W233" s="191"/>
      <c r="X233" s="191"/>
      <c r="Y233" s="191"/>
      <c r="Z233" s="191"/>
      <c r="AA233" s="191"/>
      <c r="AB233" s="191"/>
    </row>
    <row r="234" ht="15.75" customHeight="1">
      <c r="A234" s="288"/>
      <c r="B234" s="224"/>
      <c r="C234" s="224"/>
      <c r="D234" s="212"/>
      <c r="E234" s="221"/>
      <c r="F234" s="222"/>
      <c r="G234" s="223"/>
      <c r="H234" s="164"/>
      <c r="I234" s="164"/>
      <c r="J234" s="164"/>
      <c r="K234" s="164"/>
      <c r="L234" s="174"/>
      <c r="M234" s="164"/>
      <c r="N234" s="174"/>
      <c r="O234" s="157"/>
      <c r="P234" s="178"/>
      <c r="Q234" s="157"/>
      <c r="R234" s="157"/>
      <c r="S234" s="178"/>
      <c r="T234" s="157"/>
      <c r="U234" s="178"/>
      <c r="V234" s="191"/>
      <c r="W234" s="191"/>
      <c r="X234" s="191"/>
      <c r="Y234" s="191"/>
      <c r="Z234" s="191"/>
      <c r="AA234" s="191"/>
      <c r="AB234" s="191"/>
    </row>
    <row r="235" ht="15.75" customHeight="1">
      <c r="A235" s="288"/>
      <c r="B235" s="224"/>
      <c r="C235" s="224"/>
      <c r="D235" s="212"/>
      <c r="E235" s="221"/>
      <c r="F235" s="222"/>
      <c r="G235" s="223"/>
      <c r="H235" s="164"/>
      <c r="I235" s="164"/>
      <c r="J235" s="164"/>
      <c r="K235" s="164"/>
      <c r="L235" s="174"/>
      <c r="M235" s="164"/>
      <c r="N235" s="174"/>
      <c r="O235" s="157"/>
      <c r="P235" s="178"/>
      <c r="Q235" s="157"/>
      <c r="R235" s="157"/>
      <c r="S235" s="178"/>
      <c r="T235" s="157"/>
      <c r="U235" s="178"/>
      <c r="V235" s="191"/>
      <c r="W235" s="191"/>
      <c r="X235" s="191"/>
      <c r="Y235" s="191"/>
      <c r="Z235" s="191"/>
      <c r="AA235" s="191"/>
      <c r="AB235" s="191"/>
    </row>
    <row r="236" ht="15.75" customHeight="1">
      <c r="A236" s="288"/>
      <c r="B236" s="224"/>
      <c r="C236" s="224"/>
      <c r="D236" s="212"/>
      <c r="E236" s="221"/>
      <c r="F236" s="222"/>
      <c r="G236" s="223"/>
      <c r="H236" s="164"/>
      <c r="I236" s="164"/>
      <c r="J236" s="164"/>
      <c r="K236" s="164"/>
      <c r="L236" s="174"/>
      <c r="M236" s="164"/>
      <c r="N236" s="174"/>
      <c r="O236" s="157"/>
      <c r="P236" s="178"/>
      <c r="Q236" s="157"/>
      <c r="R236" s="157"/>
      <c r="S236" s="178"/>
      <c r="T236" s="157"/>
      <c r="U236" s="178"/>
      <c r="V236" s="191"/>
      <c r="W236" s="191"/>
      <c r="X236" s="191"/>
      <c r="Y236" s="191"/>
      <c r="Z236" s="191"/>
      <c r="AA236" s="191"/>
      <c r="AB236" s="191"/>
    </row>
    <row r="237" ht="15.75" customHeight="1">
      <c r="A237" s="288"/>
      <c r="B237" s="224"/>
      <c r="C237" s="224"/>
      <c r="D237" s="212"/>
      <c r="E237" s="221"/>
      <c r="F237" s="222"/>
      <c r="G237" s="223"/>
      <c r="H237" s="164"/>
      <c r="I237" s="164"/>
      <c r="J237" s="164"/>
      <c r="K237" s="164"/>
      <c r="L237" s="174"/>
      <c r="M237" s="164"/>
      <c r="N237" s="174"/>
      <c r="O237" s="157"/>
      <c r="P237" s="178"/>
      <c r="Q237" s="157"/>
      <c r="R237" s="157"/>
      <c r="S237" s="178"/>
      <c r="T237" s="157"/>
      <c r="U237" s="178"/>
      <c r="V237" s="191"/>
      <c r="W237" s="191"/>
      <c r="X237" s="191"/>
      <c r="Y237" s="191"/>
      <c r="Z237" s="191"/>
      <c r="AA237" s="191"/>
      <c r="AB237" s="191"/>
    </row>
    <row r="238" ht="15.75" customHeight="1">
      <c r="A238" s="288"/>
      <c r="B238" s="224"/>
      <c r="C238" s="224"/>
      <c r="D238" s="212"/>
      <c r="E238" s="221"/>
      <c r="F238" s="222"/>
      <c r="G238" s="223"/>
      <c r="H238" s="164"/>
      <c r="I238" s="164"/>
      <c r="J238" s="164"/>
      <c r="K238" s="164"/>
      <c r="L238" s="174"/>
      <c r="M238" s="164"/>
      <c r="N238" s="174"/>
      <c r="O238" s="157"/>
      <c r="P238" s="178"/>
      <c r="Q238" s="157"/>
      <c r="R238" s="157"/>
      <c r="S238" s="178"/>
      <c r="T238" s="157"/>
      <c r="U238" s="178"/>
      <c r="V238" s="191"/>
      <c r="W238" s="191"/>
      <c r="X238" s="191"/>
      <c r="Y238" s="191"/>
      <c r="Z238" s="191"/>
      <c r="AA238" s="191"/>
      <c r="AB238" s="191"/>
    </row>
    <row r="239" ht="15.75" customHeight="1">
      <c r="A239" s="288"/>
      <c r="B239" s="224"/>
      <c r="C239" s="224"/>
      <c r="D239" s="212"/>
      <c r="E239" s="221"/>
      <c r="F239" s="222"/>
      <c r="G239" s="223"/>
      <c r="H239" s="164"/>
      <c r="I239" s="164"/>
      <c r="J239" s="164"/>
      <c r="K239" s="164"/>
      <c r="L239" s="174"/>
      <c r="M239" s="164"/>
      <c r="N239" s="174"/>
      <c r="O239" s="157"/>
      <c r="P239" s="178"/>
      <c r="Q239" s="157"/>
      <c r="R239" s="157"/>
      <c r="S239" s="178"/>
      <c r="T239" s="157"/>
      <c r="U239" s="178"/>
      <c r="V239" s="191"/>
      <c r="W239" s="191"/>
      <c r="X239" s="191"/>
      <c r="Y239" s="191"/>
      <c r="Z239" s="191"/>
      <c r="AA239" s="191"/>
      <c r="AB239" s="191"/>
    </row>
    <row r="240" ht="15.75" customHeight="1">
      <c r="A240" s="288"/>
      <c r="B240" s="224"/>
      <c r="C240" s="224"/>
      <c r="D240" s="212"/>
      <c r="E240" s="221"/>
      <c r="F240" s="222"/>
      <c r="G240" s="223"/>
      <c r="H240" s="164"/>
      <c r="I240" s="164"/>
      <c r="J240" s="164"/>
      <c r="K240" s="164"/>
      <c r="L240" s="174"/>
      <c r="M240" s="164"/>
      <c r="N240" s="174"/>
      <c r="O240" s="157"/>
      <c r="P240" s="178"/>
      <c r="Q240" s="157"/>
      <c r="R240" s="157"/>
      <c r="S240" s="178"/>
      <c r="T240" s="157"/>
      <c r="U240" s="178"/>
      <c r="V240" s="191"/>
      <c r="W240" s="191"/>
      <c r="X240" s="191"/>
      <c r="Y240" s="191"/>
      <c r="Z240" s="191"/>
      <c r="AA240" s="191"/>
      <c r="AB240" s="191"/>
    </row>
    <row r="241" ht="15.75" customHeight="1">
      <c r="A241" s="288"/>
      <c r="B241" s="224"/>
      <c r="C241" s="224"/>
      <c r="D241" s="212"/>
      <c r="E241" s="221"/>
      <c r="F241" s="222"/>
      <c r="G241" s="223"/>
      <c r="H241" s="164"/>
      <c r="I241" s="164"/>
      <c r="J241" s="164"/>
      <c r="K241" s="164"/>
      <c r="L241" s="174"/>
      <c r="M241" s="164"/>
      <c r="N241" s="174"/>
      <c r="O241" s="157"/>
      <c r="P241" s="178"/>
      <c r="Q241" s="157"/>
      <c r="R241" s="157"/>
      <c r="S241" s="178"/>
      <c r="T241" s="157"/>
      <c r="U241" s="178"/>
      <c r="V241" s="191"/>
      <c r="W241" s="191"/>
      <c r="X241" s="191"/>
      <c r="Y241" s="191"/>
      <c r="Z241" s="191"/>
      <c r="AA241" s="191"/>
      <c r="AB241" s="191"/>
    </row>
    <row r="242" ht="15.75" customHeight="1">
      <c r="A242" s="288"/>
      <c r="B242" s="224"/>
      <c r="C242" s="224"/>
      <c r="D242" s="212"/>
      <c r="E242" s="221"/>
      <c r="F242" s="222"/>
      <c r="G242" s="223"/>
      <c r="H242" s="164"/>
      <c r="I242" s="164"/>
      <c r="J242" s="164"/>
      <c r="K242" s="164"/>
      <c r="L242" s="174"/>
      <c r="M242" s="164"/>
      <c r="N242" s="174"/>
      <c r="O242" s="157"/>
      <c r="P242" s="178"/>
      <c r="Q242" s="157"/>
      <c r="R242" s="157"/>
      <c r="S242" s="178"/>
      <c r="T242" s="157"/>
      <c r="U242" s="178"/>
      <c r="V242" s="191"/>
      <c r="W242" s="191"/>
      <c r="X242" s="191"/>
      <c r="Y242" s="191"/>
      <c r="Z242" s="191"/>
      <c r="AA242" s="191"/>
      <c r="AB242" s="191"/>
    </row>
    <row r="243" ht="15.75" customHeight="1">
      <c r="A243" s="288"/>
      <c r="B243" s="224"/>
      <c r="C243" s="224"/>
      <c r="D243" s="212"/>
      <c r="E243" s="221"/>
      <c r="F243" s="222"/>
      <c r="G243" s="223"/>
      <c r="H243" s="164"/>
      <c r="I243" s="164"/>
      <c r="J243" s="164"/>
      <c r="K243" s="164"/>
      <c r="L243" s="174"/>
      <c r="M243" s="164"/>
      <c r="N243" s="174"/>
      <c r="O243" s="157"/>
      <c r="P243" s="178"/>
      <c r="Q243" s="157"/>
      <c r="R243" s="157"/>
      <c r="S243" s="178"/>
      <c r="T243" s="157"/>
      <c r="U243" s="178"/>
      <c r="V243" s="191"/>
      <c r="W243" s="191"/>
      <c r="X243" s="191"/>
      <c r="Y243" s="191"/>
      <c r="Z243" s="191"/>
      <c r="AA243" s="191"/>
      <c r="AB243" s="191"/>
    </row>
    <row r="244" ht="15.75" customHeight="1">
      <c r="A244" s="288"/>
      <c r="B244" s="224"/>
      <c r="C244" s="224"/>
      <c r="D244" s="212"/>
      <c r="E244" s="221"/>
      <c r="F244" s="222"/>
      <c r="G244" s="223"/>
      <c r="H244" s="164"/>
      <c r="I244" s="164"/>
      <c r="J244" s="164"/>
      <c r="K244" s="164"/>
      <c r="L244" s="174"/>
      <c r="M244" s="164"/>
      <c r="N244" s="174"/>
      <c r="O244" s="157"/>
      <c r="P244" s="178"/>
      <c r="Q244" s="157"/>
      <c r="R244" s="157"/>
      <c r="S244" s="178"/>
      <c r="T244" s="157"/>
      <c r="U244" s="178"/>
      <c r="V244" s="191"/>
      <c r="W244" s="191"/>
      <c r="X244" s="191"/>
      <c r="Y244" s="191"/>
      <c r="Z244" s="191"/>
      <c r="AA244" s="191"/>
      <c r="AB244" s="191"/>
    </row>
    <row r="245" ht="15.75" customHeight="1">
      <c r="A245" s="288"/>
      <c r="B245" s="224"/>
      <c r="C245" s="224"/>
      <c r="D245" s="212"/>
      <c r="E245" s="221"/>
      <c r="F245" s="222"/>
      <c r="G245" s="223"/>
      <c r="H245" s="164"/>
      <c r="I245" s="164"/>
      <c r="J245" s="164"/>
      <c r="K245" s="164"/>
      <c r="L245" s="174"/>
      <c r="M245" s="164"/>
      <c r="N245" s="174"/>
      <c r="O245" s="157"/>
      <c r="P245" s="178"/>
      <c r="Q245" s="157"/>
      <c r="R245" s="157"/>
      <c r="S245" s="178"/>
      <c r="T245" s="157"/>
      <c r="U245" s="178"/>
      <c r="V245" s="191"/>
      <c r="W245" s="191"/>
      <c r="X245" s="191"/>
      <c r="Y245" s="191"/>
      <c r="Z245" s="191"/>
      <c r="AA245" s="191"/>
      <c r="AB245" s="191"/>
    </row>
    <row r="246" ht="15.75" customHeight="1">
      <c r="A246" s="288"/>
      <c r="B246" s="224"/>
      <c r="C246" s="224"/>
      <c r="D246" s="212"/>
      <c r="E246" s="221"/>
      <c r="F246" s="222"/>
      <c r="G246" s="223"/>
      <c r="H246" s="164"/>
      <c r="I246" s="164"/>
      <c r="J246" s="164"/>
      <c r="K246" s="164"/>
      <c r="L246" s="174"/>
      <c r="M246" s="164"/>
      <c r="N246" s="174"/>
      <c r="O246" s="157"/>
      <c r="P246" s="178"/>
      <c r="Q246" s="157"/>
      <c r="R246" s="157"/>
      <c r="S246" s="178"/>
      <c r="T246" s="157"/>
      <c r="U246" s="178"/>
      <c r="V246" s="191"/>
      <c r="W246" s="191"/>
      <c r="X246" s="191"/>
      <c r="Y246" s="191"/>
      <c r="Z246" s="191"/>
      <c r="AA246" s="191"/>
      <c r="AB246" s="191"/>
    </row>
    <row r="247" ht="15.75" customHeight="1">
      <c r="A247" s="288"/>
      <c r="B247" s="224"/>
      <c r="C247" s="224"/>
      <c r="D247" s="212"/>
      <c r="E247" s="221"/>
      <c r="F247" s="222"/>
      <c r="G247" s="223"/>
      <c r="H247" s="164"/>
      <c r="I247" s="164"/>
      <c r="J247" s="164"/>
      <c r="K247" s="164"/>
      <c r="L247" s="174"/>
      <c r="M247" s="164"/>
      <c r="N247" s="174"/>
      <c r="O247" s="157"/>
      <c r="P247" s="178"/>
      <c r="Q247" s="157"/>
      <c r="R247" s="157"/>
      <c r="S247" s="178"/>
      <c r="T247" s="157"/>
      <c r="U247" s="178"/>
      <c r="V247" s="191"/>
      <c r="W247" s="191"/>
      <c r="X247" s="191"/>
      <c r="Y247" s="191"/>
      <c r="Z247" s="191"/>
      <c r="AA247" s="191"/>
      <c r="AB247" s="191"/>
    </row>
    <row r="248" ht="15.75" customHeight="1">
      <c r="A248" s="288"/>
      <c r="B248" s="224"/>
      <c r="C248" s="224"/>
      <c r="D248" s="212"/>
      <c r="E248" s="221"/>
      <c r="F248" s="222"/>
      <c r="G248" s="223"/>
      <c r="H248" s="164"/>
      <c r="I248" s="164"/>
      <c r="J248" s="164"/>
      <c r="K248" s="164"/>
      <c r="L248" s="174"/>
      <c r="M248" s="164"/>
      <c r="N248" s="174"/>
      <c r="O248" s="157"/>
      <c r="P248" s="178"/>
      <c r="Q248" s="157"/>
      <c r="R248" s="157"/>
      <c r="S248" s="178"/>
      <c r="T248" s="157"/>
      <c r="U248" s="178"/>
      <c r="V248" s="191"/>
      <c r="W248" s="191"/>
      <c r="X248" s="191"/>
      <c r="Y248" s="191"/>
      <c r="Z248" s="191"/>
      <c r="AA248" s="191"/>
      <c r="AB248" s="191"/>
    </row>
    <row r="249" ht="15.75" customHeight="1">
      <c r="A249" s="288"/>
      <c r="B249" s="224"/>
      <c r="C249" s="224"/>
      <c r="D249" s="212"/>
      <c r="E249" s="221"/>
      <c r="F249" s="222"/>
      <c r="G249" s="223"/>
      <c r="H249" s="164"/>
      <c r="I249" s="164"/>
      <c r="J249" s="164"/>
      <c r="K249" s="164"/>
      <c r="L249" s="174"/>
      <c r="M249" s="164"/>
      <c r="N249" s="174"/>
      <c r="O249" s="157"/>
      <c r="P249" s="178"/>
      <c r="Q249" s="157"/>
      <c r="R249" s="157"/>
      <c r="S249" s="178"/>
      <c r="T249" s="157"/>
      <c r="U249" s="178"/>
      <c r="V249" s="191"/>
      <c r="W249" s="191"/>
      <c r="X249" s="191"/>
      <c r="Y249" s="191"/>
      <c r="Z249" s="191"/>
      <c r="AA249" s="191"/>
      <c r="AB249" s="191"/>
    </row>
    <row r="250" ht="15.75" customHeight="1">
      <c r="A250" s="288"/>
      <c r="B250" s="224"/>
      <c r="C250" s="224"/>
      <c r="D250" s="212"/>
      <c r="E250" s="221"/>
      <c r="F250" s="222"/>
      <c r="G250" s="223"/>
      <c r="H250" s="164"/>
      <c r="I250" s="164"/>
      <c r="J250" s="164"/>
      <c r="K250" s="164"/>
      <c r="L250" s="174"/>
      <c r="M250" s="164"/>
      <c r="N250" s="174"/>
      <c r="O250" s="157"/>
      <c r="P250" s="178"/>
      <c r="Q250" s="157"/>
      <c r="R250" s="157"/>
      <c r="S250" s="178"/>
      <c r="T250" s="157"/>
      <c r="U250" s="178"/>
      <c r="V250" s="191"/>
      <c r="W250" s="191"/>
      <c r="X250" s="191"/>
      <c r="Y250" s="191"/>
      <c r="Z250" s="191"/>
      <c r="AA250" s="191"/>
      <c r="AB250" s="191"/>
    </row>
    <row r="251" ht="15.75" customHeight="1">
      <c r="A251" s="288"/>
      <c r="B251" s="224"/>
      <c r="C251" s="224"/>
      <c r="D251" s="212"/>
      <c r="E251" s="221"/>
      <c r="F251" s="222"/>
      <c r="G251" s="223"/>
      <c r="H251" s="164"/>
      <c r="I251" s="164"/>
      <c r="J251" s="164"/>
      <c r="K251" s="164"/>
      <c r="L251" s="174"/>
      <c r="M251" s="164"/>
      <c r="N251" s="174"/>
      <c r="O251" s="157"/>
      <c r="P251" s="178"/>
      <c r="Q251" s="157"/>
      <c r="R251" s="157"/>
      <c r="S251" s="178"/>
      <c r="T251" s="157"/>
      <c r="U251" s="178"/>
      <c r="V251" s="191"/>
      <c r="W251" s="191"/>
      <c r="X251" s="191"/>
      <c r="Y251" s="191"/>
      <c r="Z251" s="191"/>
      <c r="AA251" s="191"/>
      <c r="AB251" s="191"/>
    </row>
    <row r="252" ht="15.75" customHeight="1">
      <c r="A252" s="288"/>
      <c r="B252" s="224"/>
      <c r="C252" s="224"/>
      <c r="D252" s="212"/>
      <c r="E252" s="221"/>
      <c r="F252" s="222"/>
      <c r="G252" s="223"/>
      <c r="H252" s="164"/>
      <c r="I252" s="164"/>
      <c r="J252" s="164"/>
      <c r="K252" s="164"/>
      <c r="L252" s="174"/>
      <c r="M252" s="164"/>
      <c r="N252" s="174"/>
      <c r="O252" s="157"/>
      <c r="P252" s="178"/>
      <c r="Q252" s="157"/>
      <c r="R252" s="157"/>
      <c r="S252" s="178"/>
      <c r="T252" s="157"/>
      <c r="U252" s="178"/>
      <c r="V252" s="191"/>
      <c r="W252" s="191"/>
      <c r="X252" s="191"/>
      <c r="Y252" s="191"/>
      <c r="Z252" s="191"/>
      <c r="AA252" s="191"/>
      <c r="AB252" s="191"/>
    </row>
    <row r="253" ht="15.75" customHeight="1">
      <c r="A253" s="288"/>
      <c r="B253" s="224"/>
      <c r="C253" s="224"/>
      <c r="D253" s="212"/>
      <c r="E253" s="221"/>
      <c r="F253" s="222"/>
      <c r="G253" s="223"/>
      <c r="H253" s="164"/>
      <c r="I253" s="164"/>
      <c r="J253" s="164"/>
      <c r="K253" s="164"/>
      <c r="L253" s="174"/>
      <c r="M253" s="164"/>
      <c r="N253" s="174"/>
      <c r="O253" s="157"/>
      <c r="P253" s="178"/>
      <c r="Q253" s="157"/>
      <c r="R253" s="157"/>
      <c r="S253" s="178"/>
      <c r="T253" s="157"/>
      <c r="U253" s="178"/>
      <c r="V253" s="191"/>
      <c r="W253" s="191"/>
      <c r="X253" s="191"/>
      <c r="Y253" s="191"/>
      <c r="Z253" s="191"/>
      <c r="AA253" s="191"/>
      <c r="AB253" s="191"/>
    </row>
    <row r="254" ht="15.75" customHeight="1">
      <c r="A254" s="288"/>
      <c r="B254" s="224"/>
      <c r="C254" s="224"/>
      <c r="D254" s="212"/>
      <c r="E254" s="221"/>
      <c r="F254" s="222"/>
      <c r="G254" s="223"/>
      <c r="H254" s="164"/>
      <c r="I254" s="164"/>
      <c r="J254" s="164"/>
      <c r="K254" s="164"/>
      <c r="L254" s="174"/>
      <c r="M254" s="164"/>
      <c r="N254" s="174"/>
      <c r="O254" s="157"/>
      <c r="P254" s="178"/>
      <c r="Q254" s="157"/>
      <c r="R254" s="157"/>
      <c r="S254" s="178"/>
      <c r="T254" s="157"/>
      <c r="U254" s="178"/>
      <c r="V254" s="191"/>
      <c r="W254" s="191"/>
      <c r="X254" s="191"/>
      <c r="Y254" s="191"/>
      <c r="Z254" s="191"/>
      <c r="AA254" s="191"/>
      <c r="AB254" s="191"/>
    </row>
    <row r="255" ht="15.75" customHeight="1">
      <c r="A255" s="288"/>
      <c r="B255" s="224"/>
      <c r="C255" s="224"/>
      <c r="D255" s="212"/>
      <c r="E255" s="221"/>
      <c r="F255" s="222"/>
      <c r="G255" s="223"/>
      <c r="H255" s="164"/>
      <c r="I255" s="164"/>
      <c r="J255" s="164"/>
      <c r="K255" s="164"/>
      <c r="L255" s="174"/>
      <c r="M255" s="164"/>
      <c r="N255" s="174"/>
      <c r="O255" s="157"/>
      <c r="P255" s="178"/>
      <c r="Q255" s="157"/>
      <c r="R255" s="157"/>
      <c r="S255" s="178"/>
      <c r="T255" s="157"/>
      <c r="U255" s="178"/>
      <c r="V255" s="191"/>
      <c r="W255" s="191"/>
      <c r="X255" s="191"/>
      <c r="Y255" s="191"/>
      <c r="Z255" s="191"/>
      <c r="AA255" s="191"/>
      <c r="AB255" s="191"/>
    </row>
    <row r="256" ht="15.75" customHeight="1">
      <c r="A256" s="288"/>
      <c r="B256" s="224"/>
      <c r="C256" s="224"/>
      <c r="D256" s="212"/>
      <c r="E256" s="221"/>
      <c r="F256" s="222"/>
      <c r="G256" s="223"/>
      <c r="H256" s="164"/>
      <c r="I256" s="164"/>
      <c r="J256" s="164"/>
      <c r="K256" s="164"/>
      <c r="L256" s="174"/>
      <c r="M256" s="164"/>
      <c r="N256" s="174"/>
      <c r="O256" s="157"/>
      <c r="P256" s="178"/>
      <c r="Q256" s="157"/>
      <c r="R256" s="157"/>
      <c r="S256" s="178"/>
      <c r="T256" s="157"/>
      <c r="U256" s="178"/>
      <c r="V256" s="191"/>
      <c r="W256" s="191"/>
      <c r="X256" s="191"/>
      <c r="Y256" s="191"/>
      <c r="Z256" s="191"/>
      <c r="AA256" s="191"/>
      <c r="AB256" s="191"/>
    </row>
    <row r="257" ht="15.75" customHeight="1">
      <c r="A257" s="288"/>
      <c r="B257" s="224"/>
      <c r="C257" s="224"/>
      <c r="D257" s="212"/>
      <c r="E257" s="221"/>
      <c r="F257" s="222"/>
      <c r="G257" s="223"/>
      <c r="H257" s="164"/>
      <c r="I257" s="164"/>
      <c r="J257" s="164"/>
      <c r="K257" s="164"/>
      <c r="L257" s="174"/>
      <c r="M257" s="164"/>
      <c r="N257" s="174"/>
      <c r="O257" s="157"/>
      <c r="P257" s="178"/>
      <c r="Q257" s="157"/>
      <c r="R257" s="157"/>
      <c r="S257" s="178"/>
      <c r="T257" s="157"/>
      <c r="U257" s="178"/>
      <c r="V257" s="191"/>
      <c r="W257" s="191"/>
      <c r="X257" s="191"/>
      <c r="Y257" s="191"/>
      <c r="Z257" s="191"/>
      <c r="AA257" s="191"/>
      <c r="AB257" s="191"/>
    </row>
    <row r="258" ht="15.75" customHeight="1">
      <c r="A258" s="288"/>
      <c r="B258" s="224"/>
      <c r="C258" s="224"/>
      <c r="D258" s="212"/>
      <c r="E258" s="221"/>
      <c r="F258" s="222"/>
      <c r="G258" s="223"/>
      <c r="H258" s="164"/>
      <c r="I258" s="164"/>
      <c r="J258" s="164"/>
      <c r="K258" s="164"/>
      <c r="L258" s="174"/>
      <c r="M258" s="164"/>
      <c r="N258" s="174"/>
      <c r="O258" s="157"/>
      <c r="P258" s="178"/>
      <c r="Q258" s="157"/>
      <c r="R258" s="157"/>
      <c r="S258" s="178"/>
      <c r="T258" s="157"/>
      <c r="U258" s="178"/>
      <c r="V258" s="191"/>
      <c r="W258" s="191"/>
      <c r="X258" s="191"/>
      <c r="Y258" s="191"/>
      <c r="Z258" s="191"/>
      <c r="AA258" s="191"/>
      <c r="AB258" s="191"/>
    </row>
    <row r="259" ht="15.75" customHeight="1">
      <c r="A259" s="288"/>
      <c r="B259" s="224"/>
      <c r="C259" s="224"/>
      <c r="D259" s="212"/>
      <c r="E259" s="221"/>
      <c r="F259" s="222"/>
      <c r="G259" s="223"/>
      <c r="H259" s="164"/>
      <c r="I259" s="164"/>
      <c r="J259" s="164"/>
      <c r="K259" s="164"/>
      <c r="L259" s="174"/>
      <c r="M259" s="164"/>
      <c r="N259" s="174"/>
      <c r="O259" s="157"/>
      <c r="P259" s="178"/>
      <c r="Q259" s="157"/>
      <c r="R259" s="157"/>
      <c r="S259" s="178"/>
      <c r="T259" s="157"/>
      <c r="U259" s="178"/>
      <c r="V259" s="191"/>
      <c r="W259" s="191"/>
      <c r="X259" s="191"/>
      <c r="Y259" s="191"/>
      <c r="Z259" s="191"/>
      <c r="AA259" s="191"/>
      <c r="AB259" s="191"/>
    </row>
    <row r="260" ht="15.75" customHeight="1">
      <c r="A260" s="288"/>
      <c r="B260" s="224"/>
      <c r="C260" s="224"/>
      <c r="D260" s="212"/>
      <c r="E260" s="221"/>
      <c r="F260" s="222"/>
      <c r="G260" s="223"/>
      <c r="H260" s="164"/>
      <c r="I260" s="164"/>
      <c r="J260" s="164"/>
      <c r="K260" s="164"/>
      <c r="L260" s="174"/>
      <c r="M260" s="164"/>
      <c r="N260" s="174"/>
      <c r="O260" s="157"/>
      <c r="P260" s="178"/>
      <c r="Q260" s="157"/>
      <c r="R260" s="157"/>
      <c r="S260" s="178"/>
      <c r="T260" s="157"/>
      <c r="U260" s="178"/>
      <c r="V260" s="191"/>
      <c r="W260" s="191"/>
      <c r="X260" s="191"/>
      <c r="Y260" s="191"/>
      <c r="Z260" s="191"/>
      <c r="AA260" s="191"/>
      <c r="AB260" s="191"/>
    </row>
    <row r="261" ht="15.75" customHeight="1">
      <c r="A261" s="288"/>
      <c r="B261" s="224"/>
      <c r="C261" s="224"/>
      <c r="D261" s="212"/>
      <c r="E261" s="221"/>
      <c r="F261" s="222"/>
      <c r="G261" s="223"/>
      <c r="H261" s="164"/>
      <c r="I261" s="164"/>
      <c r="J261" s="164"/>
      <c r="K261" s="164"/>
      <c r="L261" s="174"/>
      <c r="M261" s="164"/>
      <c r="N261" s="174"/>
      <c r="O261" s="157"/>
      <c r="P261" s="178"/>
      <c r="Q261" s="157"/>
      <c r="R261" s="157"/>
      <c r="S261" s="178"/>
      <c r="T261" s="157"/>
      <c r="U261" s="178"/>
      <c r="V261" s="191"/>
      <c r="W261" s="191"/>
      <c r="X261" s="191"/>
      <c r="Y261" s="191"/>
      <c r="Z261" s="191"/>
      <c r="AA261" s="191"/>
      <c r="AB261" s="191"/>
    </row>
    <row r="262" ht="15.75" customHeight="1">
      <c r="A262" s="288"/>
      <c r="B262" s="224"/>
      <c r="C262" s="224"/>
      <c r="D262" s="212"/>
      <c r="E262" s="221"/>
      <c r="F262" s="222"/>
      <c r="G262" s="223"/>
      <c r="H262" s="164"/>
      <c r="I262" s="164"/>
      <c r="J262" s="164"/>
      <c r="K262" s="164"/>
      <c r="L262" s="174"/>
      <c r="M262" s="164"/>
      <c r="N262" s="174"/>
      <c r="O262" s="157"/>
      <c r="P262" s="178"/>
      <c r="Q262" s="157"/>
      <c r="R262" s="157"/>
      <c r="S262" s="178"/>
      <c r="T262" s="157"/>
      <c r="U262" s="178"/>
      <c r="V262" s="191"/>
      <c r="W262" s="191"/>
      <c r="X262" s="191"/>
      <c r="Y262" s="191"/>
      <c r="Z262" s="191"/>
      <c r="AA262" s="191"/>
      <c r="AB262" s="191"/>
    </row>
    <row r="263" ht="15.75" customHeight="1">
      <c r="A263" s="288"/>
      <c r="B263" s="224"/>
      <c r="C263" s="224"/>
      <c r="D263" s="212"/>
      <c r="E263" s="221"/>
      <c r="F263" s="222"/>
      <c r="G263" s="223"/>
      <c r="H263" s="164"/>
      <c r="I263" s="164"/>
      <c r="J263" s="164"/>
      <c r="K263" s="164"/>
      <c r="L263" s="174"/>
      <c r="M263" s="164"/>
      <c r="N263" s="174"/>
      <c r="O263" s="157"/>
      <c r="P263" s="178"/>
      <c r="Q263" s="157"/>
      <c r="R263" s="157"/>
      <c r="S263" s="178"/>
      <c r="T263" s="157"/>
      <c r="U263" s="178"/>
      <c r="V263" s="191"/>
      <c r="W263" s="191"/>
      <c r="X263" s="191"/>
      <c r="Y263" s="191"/>
      <c r="Z263" s="191"/>
      <c r="AA263" s="191"/>
      <c r="AB263" s="191"/>
    </row>
    <row r="264" ht="15.75" customHeight="1">
      <c r="A264" s="288"/>
      <c r="B264" s="224"/>
      <c r="C264" s="224"/>
      <c r="D264" s="212"/>
      <c r="E264" s="221"/>
      <c r="F264" s="222"/>
      <c r="G264" s="223"/>
      <c r="H264" s="164"/>
      <c r="I264" s="164"/>
      <c r="J264" s="164"/>
      <c r="K264" s="164"/>
      <c r="L264" s="174"/>
      <c r="M264" s="164"/>
      <c r="N264" s="174"/>
      <c r="O264" s="157"/>
      <c r="P264" s="178"/>
      <c r="Q264" s="157"/>
      <c r="R264" s="157"/>
      <c r="S264" s="178"/>
      <c r="T264" s="157"/>
      <c r="U264" s="178"/>
      <c r="V264" s="191"/>
      <c r="W264" s="191"/>
      <c r="X264" s="191"/>
      <c r="Y264" s="191"/>
      <c r="Z264" s="191"/>
      <c r="AA264" s="191"/>
      <c r="AB264" s="191"/>
    </row>
    <row r="265" ht="15.75" customHeight="1">
      <c r="A265" s="288"/>
      <c r="B265" s="224"/>
      <c r="C265" s="224"/>
      <c r="D265" s="212"/>
      <c r="E265" s="221"/>
      <c r="F265" s="222"/>
      <c r="G265" s="223"/>
      <c r="H265" s="164"/>
      <c r="I265" s="164"/>
      <c r="J265" s="164"/>
      <c r="K265" s="164"/>
      <c r="L265" s="174"/>
      <c r="M265" s="164"/>
      <c r="N265" s="174"/>
      <c r="O265" s="157"/>
      <c r="P265" s="178"/>
      <c r="Q265" s="157"/>
      <c r="R265" s="157"/>
      <c r="S265" s="178"/>
      <c r="T265" s="157"/>
      <c r="U265" s="178"/>
      <c r="V265" s="191"/>
      <c r="W265" s="191"/>
      <c r="X265" s="191"/>
      <c r="Y265" s="191"/>
      <c r="Z265" s="191"/>
      <c r="AA265" s="191"/>
      <c r="AB265" s="191"/>
    </row>
    <row r="266" ht="15.75" customHeight="1">
      <c r="A266" s="288"/>
      <c r="B266" s="224"/>
      <c r="C266" s="224"/>
      <c r="D266" s="212"/>
      <c r="E266" s="221"/>
      <c r="F266" s="222"/>
      <c r="G266" s="223"/>
      <c r="H266" s="164"/>
      <c r="I266" s="164"/>
      <c r="J266" s="164"/>
      <c r="K266" s="164"/>
      <c r="L266" s="174"/>
      <c r="M266" s="164"/>
      <c r="N266" s="174"/>
      <c r="O266" s="157"/>
      <c r="P266" s="178"/>
      <c r="Q266" s="157"/>
      <c r="R266" s="157"/>
      <c r="S266" s="178"/>
      <c r="T266" s="157"/>
      <c r="U266" s="178"/>
      <c r="V266" s="191"/>
      <c r="W266" s="191"/>
      <c r="X266" s="191"/>
      <c r="Y266" s="191"/>
      <c r="Z266" s="191"/>
      <c r="AA266" s="191"/>
      <c r="AB266" s="191"/>
    </row>
    <row r="267" ht="15.75" customHeight="1">
      <c r="A267" s="288"/>
      <c r="B267" s="224"/>
      <c r="C267" s="224"/>
      <c r="D267" s="212"/>
      <c r="E267" s="221"/>
      <c r="F267" s="222"/>
      <c r="G267" s="223"/>
      <c r="H267" s="164"/>
      <c r="I267" s="164"/>
      <c r="J267" s="164"/>
      <c r="K267" s="164"/>
      <c r="L267" s="174"/>
      <c r="M267" s="164"/>
      <c r="N267" s="174"/>
      <c r="O267" s="157"/>
      <c r="P267" s="178"/>
      <c r="Q267" s="157"/>
      <c r="R267" s="157"/>
      <c r="S267" s="178"/>
      <c r="T267" s="157"/>
      <c r="U267" s="178"/>
      <c r="V267" s="191"/>
      <c r="W267" s="191"/>
      <c r="X267" s="191"/>
      <c r="Y267" s="191"/>
      <c r="Z267" s="191"/>
      <c r="AA267" s="191"/>
      <c r="AB267" s="191"/>
    </row>
    <row r="268" ht="15.75" customHeight="1">
      <c r="A268" s="288"/>
      <c r="B268" s="224"/>
      <c r="C268" s="224"/>
      <c r="D268" s="212"/>
      <c r="E268" s="221"/>
      <c r="F268" s="222"/>
      <c r="G268" s="223"/>
      <c r="H268" s="164"/>
      <c r="I268" s="164"/>
      <c r="J268" s="164"/>
      <c r="K268" s="164"/>
      <c r="L268" s="174"/>
      <c r="M268" s="164"/>
      <c r="N268" s="174"/>
      <c r="O268" s="157"/>
      <c r="P268" s="178"/>
      <c r="Q268" s="157"/>
      <c r="R268" s="157"/>
      <c r="S268" s="178"/>
      <c r="T268" s="157"/>
      <c r="U268" s="178"/>
      <c r="V268" s="191"/>
      <c r="W268" s="191"/>
      <c r="X268" s="191"/>
      <c r="Y268" s="191"/>
      <c r="Z268" s="191"/>
      <c r="AA268" s="191"/>
      <c r="AB268" s="191"/>
    </row>
    <row r="269" ht="15.75" customHeight="1">
      <c r="A269" s="288"/>
      <c r="B269" s="224"/>
      <c r="C269" s="224"/>
      <c r="D269" s="212"/>
      <c r="E269" s="221"/>
      <c r="F269" s="222"/>
      <c r="G269" s="223"/>
      <c r="H269" s="164"/>
      <c r="I269" s="164"/>
      <c r="J269" s="164"/>
      <c r="K269" s="164"/>
      <c r="L269" s="174"/>
      <c r="M269" s="164"/>
      <c r="N269" s="174"/>
      <c r="O269" s="157"/>
      <c r="P269" s="178"/>
      <c r="Q269" s="157"/>
      <c r="R269" s="157"/>
      <c r="S269" s="178"/>
      <c r="T269" s="157"/>
      <c r="U269" s="178"/>
      <c r="V269" s="191"/>
      <c r="W269" s="191"/>
      <c r="X269" s="191"/>
      <c r="Y269" s="191"/>
      <c r="Z269" s="191"/>
      <c r="AA269" s="191"/>
      <c r="AB269" s="191"/>
    </row>
    <row r="270" ht="15.75" customHeight="1">
      <c r="A270" s="288"/>
      <c r="B270" s="224"/>
      <c r="C270" s="224"/>
      <c r="D270" s="212"/>
      <c r="E270" s="221"/>
      <c r="F270" s="222"/>
      <c r="G270" s="223"/>
      <c r="H270" s="164"/>
      <c r="I270" s="164"/>
      <c r="J270" s="164"/>
      <c r="K270" s="164"/>
      <c r="L270" s="174"/>
      <c r="M270" s="164"/>
      <c r="N270" s="174"/>
      <c r="O270" s="157"/>
      <c r="P270" s="178"/>
      <c r="Q270" s="157"/>
      <c r="R270" s="157"/>
      <c r="S270" s="178"/>
      <c r="T270" s="157"/>
      <c r="U270" s="178"/>
      <c r="V270" s="191"/>
      <c r="W270" s="191"/>
      <c r="X270" s="191"/>
      <c r="Y270" s="191"/>
      <c r="Z270" s="191"/>
      <c r="AA270" s="191"/>
      <c r="AB270" s="191"/>
    </row>
    <row r="271" ht="15.75" customHeight="1">
      <c r="A271" s="288"/>
      <c r="B271" s="224"/>
      <c r="C271" s="224"/>
      <c r="D271" s="212"/>
      <c r="E271" s="221"/>
      <c r="F271" s="222"/>
      <c r="G271" s="223"/>
      <c r="H271" s="164"/>
      <c r="I271" s="164"/>
      <c r="J271" s="164"/>
      <c r="K271" s="164"/>
      <c r="L271" s="174"/>
      <c r="M271" s="164"/>
      <c r="N271" s="174"/>
      <c r="O271" s="157"/>
      <c r="P271" s="178"/>
      <c r="Q271" s="157"/>
      <c r="R271" s="157"/>
      <c r="S271" s="178"/>
      <c r="T271" s="157"/>
      <c r="U271" s="178"/>
      <c r="V271" s="191"/>
      <c r="W271" s="191"/>
      <c r="X271" s="191"/>
      <c r="Y271" s="191"/>
      <c r="Z271" s="191"/>
      <c r="AA271" s="191"/>
      <c r="AB271" s="191"/>
    </row>
    <row r="272" ht="15.75" customHeight="1">
      <c r="A272" s="288"/>
      <c r="B272" s="224"/>
      <c r="C272" s="224"/>
      <c r="D272" s="212"/>
      <c r="E272" s="221"/>
      <c r="F272" s="222"/>
      <c r="G272" s="223"/>
      <c r="H272" s="164"/>
      <c r="I272" s="164"/>
      <c r="J272" s="164"/>
      <c r="K272" s="164"/>
      <c r="L272" s="174"/>
      <c r="M272" s="164"/>
      <c r="N272" s="174"/>
      <c r="O272" s="157"/>
      <c r="P272" s="178"/>
      <c r="Q272" s="157"/>
      <c r="R272" s="157"/>
      <c r="S272" s="178"/>
      <c r="T272" s="157"/>
      <c r="U272" s="178"/>
      <c r="V272" s="191"/>
      <c r="W272" s="191"/>
      <c r="X272" s="191"/>
      <c r="Y272" s="191"/>
      <c r="Z272" s="191"/>
      <c r="AA272" s="191"/>
      <c r="AB272" s="191"/>
    </row>
    <row r="273" ht="15.75" customHeight="1">
      <c r="A273" s="288"/>
      <c r="B273" s="224"/>
      <c r="C273" s="224"/>
      <c r="D273" s="212"/>
      <c r="E273" s="221"/>
      <c r="F273" s="222"/>
      <c r="G273" s="223"/>
      <c r="H273" s="164"/>
      <c r="I273" s="164"/>
      <c r="J273" s="164"/>
      <c r="K273" s="164"/>
      <c r="L273" s="174"/>
      <c r="M273" s="164"/>
      <c r="N273" s="174"/>
      <c r="O273" s="157"/>
      <c r="P273" s="178"/>
      <c r="Q273" s="157"/>
      <c r="R273" s="157"/>
      <c r="S273" s="178"/>
      <c r="T273" s="157"/>
      <c r="U273" s="178"/>
      <c r="V273" s="191"/>
      <c r="W273" s="191"/>
      <c r="X273" s="191"/>
      <c r="Y273" s="191"/>
      <c r="Z273" s="191"/>
      <c r="AA273" s="191"/>
      <c r="AB273" s="191"/>
    </row>
    <row r="274" ht="15.75" customHeight="1">
      <c r="A274" s="288"/>
      <c r="B274" s="224"/>
      <c r="C274" s="224"/>
      <c r="D274" s="212"/>
      <c r="E274" s="221"/>
      <c r="F274" s="222"/>
      <c r="G274" s="223"/>
      <c r="H274" s="164"/>
      <c r="I274" s="164"/>
      <c r="J274" s="164"/>
      <c r="K274" s="164"/>
      <c r="L274" s="174"/>
      <c r="M274" s="164"/>
      <c r="N274" s="174"/>
      <c r="O274" s="157"/>
      <c r="P274" s="178"/>
      <c r="Q274" s="157"/>
      <c r="R274" s="157"/>
      <c r="S274" s="178"/>
      <c r="T274" s="157"/>
      <c r="U274" s="178"/>
      <c r="V274" s="191"/>
      <c r="W274" s="191"/>
      <c r="X274" s="191"/>
      <c r="Y274" s="191"/>
      <c r="Z274" s="191"/>
      <c r="AA274" s="191"/>
      <c r="AB274" s="191"/>
    </row>
    <row r="275" ht="15.75" customHeight="1">
      <c r="A275" s="288"/>
      <c r="B275" s="224"/>
      <c r="C275" s="224"/>
      <c r="D275" s="212"/>
      <c r="E275" s="221"/>
      <c r="F275" s="222"/>
      <c r="G275" s="223"/>
      <c r="H275" s="164"/>
      <c r="I275" s="164"/>
      <c r="J275" s="164"/>
      <c r="K275" s="164"/>
      <c r="L275" s="174"/>
      <c r="M275" s="164"/>
      <c r="N275" s="174"/>
      <c r="O275" s="157"/>
      <c r="P275" s="178"/>
      <c r="Q275" s="157"/>
      <c r="R275" s="157"/>
      <c r="S275" s="178"/>
      <c r="T275" s="157"/>
      <c r="U275" s="178"/>
      <c r="V275" s="191"/>
      <c r="W275" s="191"/>
      <c r="X275" s="191"/>
      <c r="Y275" s="191"/>
      <c r="Z275" s="191"/>
      <c r="AA275" s="191"/>
      <c r="AB275" s="191"/>
    </row>
    <row r="276" ht="15.75" customHeight="1">
      <c r="A276" s="288"/>
      <c r="B276" s="224"/>
      <c r="C276" s="224"/>
      <c r="D276" s="212"/>
      <c r="E276" s="221"/>
      <c r="F276" s="222"/>
      <c r="G276" s="223"/>
      <c r="H276" s="164"/>
      <c r="I276" s="164"/>
      <c r="J276" s="164"/>
      <c r="K276" s="164"/>
      <c r="L276" s="174"/>
      <c r="M276" s="164"/>
      <c r="N276" s="174"/>
      <c r="O276" s="157"/>
      <c r="P276" s="178"/>
      <c r="Q276" s="157"/>
      <c r="R276" s="157"/>
      <c r="S276" s="178"/>
      <c r="T276" s="157"/>
      <c r="U276" s="178"/>
      <c r="V276" s="191"/>
      <c r="W276" s="191"/>
      <c r="X276" s="191"/>
      <c r="Y276" s="191"/>
      <c r="Z276" s="191"/>
      <c r="AA276" s="191"/>
      <c r="AB276" s="191"/>
    </row>
    <row r="277" ht="15.75" customHeight="1">
      <c r="A277" s="288"/>
      <c r="B277" s="224"/>
      <c r="C277" s="224"/>
      <c r="D277" s="212"/>
      <c r="E277" s="221"/>
      <c r="F277" s="222"/>
      <c r="G277" s="223"/>
      <c r="H277" s="164"/>
      <c r="I277" s="164"/>
      <c r="J277" s="164"/>
      <c r="K277" s="164"/>
      <c r="L277" s="174"/>
      <c r="M277" s="164"/>
      <c r="N277" s="174"/>
      <c r="O277" s="157"/>
      <c r="P277" s="178"/>
      <c r="Q277" s="157"/>
      <c r="R277" s="157"/>
      <c r="S277" s="178"/>
      <c r="T277" s="157"/>
      <c r="U277" s="178"/>
      <c r="V277" s="191"/>
      <c r="W277" s="191"/>
      <c r="X277" s="191"/>
      <c r="Y277" s="191"/>
      <c r="Z277" s="191"/>
      <c r="AA277" s="191"/>
      <c r="AB277" s="191"/>
    </row>
    <row r="278" ht="15.75" customHeight="1">
      <c r="A278" s="288"/>
      <c r="B278" s="224"/>
      <c r="C278" s="224"/>
      <c r="D278" s="212"/>
      <c r="E278" s="221"/>
      <c r="F278" s="222"/>
      <c r="G278" s="223"/>
      <c r="H278" s="164"/>
      <c r="I278" s="164"/>
      <c r="J278" s="164"/>
      <c r="K278" s="164"/>
      <c r="L278" s="174"/>
      <c r="M278" s="164"/>
      <c r="N278" s="174"/>
      <c r="O278" s="157"/>
      <c r="P278" s="178"/>
      <c r="Q278" s="157"/>
      <c r="R278" s="157"/>
      <c r="S278" s="178"/>
      <c r="T278" s="157"/>
      <c r="U278" s="178"/>
      <c r="V278" s="191"/>
      <c r="W278" s="191"/>
      <c r="X278" s="191"/>
      <c r="Y278" s="191"/>
      <c r="Z278" s="191"/>
      <c r="AA278" s="191"/>
      <c r="AB278" s="191"/>
    </row>
    <row r="279" ht="15.75" customHeight="1">
      <c r="A279" s="288"/>
      <c r="B279" s="224"/>
      <c r="C279" s="224"/>
      <c r="D279" s="212"/>
      <c r="E279" s="221"/>
      <c r="F279" s="222"/>
      <c r="G279" s="223"/>
      <c r="H279" s="164"/>
      <c r="I279" s="164"/>
      <c r="J279" s="164"/>
      <c r="K279" s="164"/>
      <c r="L279" s="174"/>
      <c r="M279" s="164"/>
      <c r="N279" s="174"/>
      <c r="O279" s="157"/>
      <c r="P279" s="178"/>
      <c r="Q279" s="157"/>
      <c r="R279" s="157"/>
      <c r="S279" s="178"/>
      <c r="T279" s="157"/>
      <c r="U279" s="178"/>
      <c r="V279" s="191"/>
      <c r="W279" s="191"/>
      <c r="X279" s="191"/>
      <c r="Y279" s="191"/>
      <c r="Z279" s="191"/>
      <c r="AA279" s="191"/>
      <c r="AB279" s="191"/>
    </row>
    <row r="280" ht="15.75" customHeight="1">
      <c r="A280" s="288"/>
      <c r="B280" s="224"/>
      <c r="C280" s="224"/>
      <c r="D280" s="212"/>
      <c r="E280" s="221"/>
      <c r="F280" s="222"/>
      <c r="G280" s="223"/>
      <c r="H280" s="164"/>
      <c r="I280" s="164"/>
      <c r="J280" s="164"/>
      <c r="K280" s="164"/>
      <c r="L280" s="174"/>
      <c r="M280" s="164"/>
      <c r="N280" s="174"/>
      <c r="O280" s="157"/>
      <c r="P280" s="178"/>
      <c r="Q280" s="157"/>
      <c r="R280" s="157"/>
      <c r="S280" s="178"/>
      <c r="T280" s="157"/>
      <c r="U280" s="178"/>
      <c r="V280" s="191"/>
      <c r="W280" s="191"/>
      <c r="X280" s="191"/>
      <c r="Y280" s="191"/>
      <c r="Z280" s="191"/>
      <c r="AA280" s="191"/>
      <c r="AB280" s="191"/>
    </row>
    <row r="281" ht="15.75" customHeight="1">
      <c r="A281" s="288"/>
      <c r="B281" s="224"/>
      <c r="C281" s="224"/>
      <c r="D281" s="212"/>
      <c r="E281" s="221"/>
      <c r="F281" s="222"/>
      <c r="G281" s="223"/>
      <c r="H281" s="164"/>
      <c r="I281" s="164"/>
      <c r="J281" s="164"/>
      <c r="K281" s="164"/>
      <c r="L281" s="174"/>
      <c r="M281" s="164"/>
      <c r="N281" s="174"/>
      <c r="O281" s="157"/>
      <c r="P281" s="178"/>
      <c r="Q281" s="157"/>
      <c r="R281" s="157"/>
      <c r="S281" s="178"/>
      <c r="T281" s="157"/>
      <c r="U281" s="178"/>
      <c r="V281" s="191"/>
      <c r="W281" s="191"/>
      <c r="X281" s="191"/>
      <c r="Y281" s="191"/>
      <c r="Z281" s="191"/>
      <c r="AA281" s="191"/>
      <c r="AB281" s="191"/>
    </row>
    <row r="282" ht="15.75" customHeight="1">
      <c r="A282" s="288"/>
      <c r="B282" s="224"/>
      <c r="C282" s="224"/>
      <c r="D282" s="212"/>
      <c r="E282" s="221"/>
      <c r="F282" s="222"/>
      <c r="G282" s="223"/>
      <c r="H282" s="164"/>
      <c r="I282" s="164"/>
      <c r="J282" s="164"/>
      <c r="K282" s="164"/>
      <c r="L282" s="174"/>
      <c r="M282" s="164"/>
      <c r="N282" s="174"/>
      <c r="O282" s="157"/>
      <c r="P282" s="178"/>
      <c r="Q282" s="157"/>
      <c r="R282" s="157"/>
      <c r="S282" s="178"/>
      <c r="T282" s="157"/>
      <c r="U282" s="178"/>
      <c r="V282" s="191"/>
      <c r="W282" s="191"/>
      <c r="X282" s="191"/>
      <c r="Y282" s="191"/>
      <c r="Z282" s="191"/>
      <c r="AA282" s="191"/>
      <c r="AB282" s="191"/>
    </row>
    <row r="283" ht="15.75" customHeight="1">
      <c r="A283" s="288"/>
      <c r="B283" s="224"/>
      <c r="C283" s="224"/>
      <c r="D283" s="212"/>
      <c r="E283" s="221"/>
      <c r="F283" s="222"/>
      <c r="G283" s="223"/>
      <c r="H283" s="164"/>
      <c r="I283" s="164"/>
      <c r="J283" s="164"/>
      <c r="K283" s="164"/>
      <c r="L283" s="174"/>
      <c r="M283" s="164"/>
      <c r="N283" s="174"/>
      <c r="O283" s="157"/>
      <c r="P283" s="178"/>
      <c r="Q283" s="157"/>
      <c r="R283" s="157"/>
      <c r="S283" s="178"/>
      <c r="T283" s="157"/>
      <c r="U283" s="178"/>
      <c r="V283" s="191"/>
      <c r="W283" s="191"/>
      <c r="X283" s="191"/>
      <c r="Y283" s="191"/>
      <c r="Z283" s="191"/>
      <c r="AA283" s="191"/>
      <c r="AB283" s="191"/>
    </row>
    <row r="284" ht="15.75" customHeight="1">
      <c r="A284" s="288"/>
      <c r="B284" s="224"/>
      <c r="C284" s="224"/>
      <c r="D284" s="212"/>
      <c r="E284" s="221"/>
      <c r="F284" s="222"/>
      <c r="G284" s="223"/>
      <c r="H284" s="164"/>
      <c r="I284" s="164"/>
      <c r="J284" s="164"/>
      <c r="K284" s="164"/>
      <c r="L284" s="174"/>
      <c r="M284" s="164"/>
      <c r="N284" s="174"/>
      <c r="O284" s="157"/>
      <c r="P284" s="178"/>
      <c r="Q284" s="157"/>
      <c r="R284" s="157"/>
      <c r="S284" s="178"/>
      <c r="T284" s="157"/>
      <c r="U284" s="178"/>
      <c r="V284" s="191"/>
      <c r="W284" s="191"/>
      <c r="X284" s="191"/>
      <c r="Y284" s="191"/>
      <c r="Z284" s="191"/>
      <c r="AA284" s="191"/>
      <c r="AB284" s="191"/>
    </row>
    <row r="285" ht="15.75" customHeight="1">
      <c r="A285" s="288"/>
      <c r="B285" s="224"/>
      <c r="C285" s="224"/>
      <c r="D285" s="212"/>
      <c r="E285" s="221"/>
      <c r="F285" s="222"/>
      <c r="G285" s="223"/>
      <c r="H285" s="164"/>
      <c r="I285" s="164"/>
      <c r="J285" s="164"/>
      <c r="K285" s="164"/>
      <c r="L285" s="174"/>
      <c r="M285" s="164"/>
      <c r="N285" s="174"/>
      <c r="O285" s="157"/>
      <c r="P285" s="178"/>
      <c r="Q285" s="157"/>
      <c r="R285" s="157"/>
      <c r="S285" s="178"/>
      <c r="T285" s="157"/>
      <c r="U285" s="178"/>
      <c r="V285" s="191"/>
      <c r="W285" s="191"/>
      <c r="X285" s="191"/>
      <c r="Y285" s="191"/>
      <c r="Z285" s="191"/>
      <c r="AA285" s="191"/>
      <c r="AB285" s="191"/>
    </row>
    <row r="286" ht="15.75" customHeight="1">
      <c r="A286" s="288"/>
      <c r="B286" s="224"/>
      <c r="C286" s="224"/>
      <c r="D286" s="212"/>
      <c r="E286" s="221"/>
      <c r="F286" s="222"/>
      <c r="G286" s="223"/>
      <c r="H286" s="164"/>
      <c r="I286" s="164"/>
      <c r="J286" s="164"/>
      <c r="K286" s="164"/>
      <c r="L286" s="174"/>
      <c r="M286" s="164"/>
      <c r="N286" s="174"/>
      <c r="O286" s="157"/>
      <c r="P286" s="178"/>
      <c r="Q286" s="157"/>
      <c r="R286" s="157"/>
      <c r="S286" s="178"/>
      <c r="T286" s="157"/>
      <c r="U286" s="178"/>
      <c r="V286" s="191"/>
      <c r="W286" s="191"/>
      <c r="X286" s="191"/>
      <c r="Y286" s="191"/>
      <c r="Z286" s="191"/>
      <c r="AA286" s="191"/>
      <c r="AB286" s="191"/>
    </row>
    <row r="287" ht="15.75" customHeight="1">
      <c r="A287" s="288"/>
      <c r="B287" s="224"/>
      <c r="C287" s="224"/>
      <c r="D287" s="212"/>
      <c r="E287" s="221"/>
      <c r="F287" s="222"/>
      <c r="G287" s="223"/>
      <c r="H287" s="164"/>
      <c r="I287" s="164"/>
      <c r="J287" s="164"/>
      <c r="K287" s="164"/>
      <c r="L287" s="174"/>
      <c r="M287" s="164"/>
      <c r="N287" s="174"/>
      <c r="O287" s="157"/>
      <c r="P287" s="178"/>
      <c r="Q287" s="157"/>
      <c r="R287" s="157"/>
      <c r="S287" s="178"/>
      <c r="T287" s="157"/>
      <c r="U287" s="178"/>
      <c r="V287" s="191"/>
      <c r="W287" s="191"/>
      <c r="X287" s="191"/>
      <c r="Y287" s="191"/>
      <c r="Z287" s="191"/>
      <c r="AA287" s="191"/>
      <c r="AB287" s="191"/>
    </row>
    <row r="288" ht="15.75" customHeight="1">
      <c r="A288" s="288"/>
      <c r="B288" s="224"/>
      <c r="C288" s="224"/>
      <c r="D288" s="212"/>
      <c r="E288" s="221"/>
      <c r="F288" s="222"/>
      <c r="G288" s="223"/>
      <c r="H288" s="164"/>
      <c r="I288" s="164"/>
      <c r="J288" s="164"/>
      <c r="K288" s="164"/>
      <c r="L288" s="174"/>
      <c r="M288" s="164"/>
      <c r="N288" s="174"/>
      <c r="O288" s="157"/>
      <c r="P288" s="178"/>
      <c r="Q288" s="157"/>
      <c r="R288" s="157"/>
      <c r="S288" s="178"/>
      <c r="T288" s="157"/>
      <c r="U288" s="178"/>
      <c r="V288" s="191"/>
      <c r="W288" s="191"/>
      <c r="X288" s="191"/>
      <c r="Y288" s="191"/>
      <c r="Z288" s="191"/>
      <c r="AA288" s="191"/>
      <c r="AB288" s="191"/>
    </row>
    <row r="289" ht="15.75" customHeight="1">
      <c r="A289" s="288"/>
      <c r="B289" s="224"/>
      <c r="C289" s="224"/>
      <c r="D289" s="212"/>
      <c r="E289" s="221"/>
      <c r="F289" s="222"/>
      <c r="G289" s="223"/>
      <c r="H289" s="164"/>
      <c r="I289" s="164"/>
      <c r="J289" s="164"/>
      <c r="K289" s="164"/>
      <c r="L289" s="174"/>
      <c r="M289" s="164"/>
      <c r="N289" s="174"/>
      <c r="O289" s="157"/>
      <c r="P289" s="178"/>
      <c r="Q289" s="157"/>
      <c r="R289" s="157"/>
      <c r="S289" s="178"/>
      <c r="T289" s="157"/>
      <c r="U289" s="178"/>
      <c r="V289" s="191"/>
      <c r="W289" s="191"/>
      <c r="X289" s="191"/>
      <c r="Y289" s="191"/>
      <c r="Z289" s="191"/>
      <c r="AA289" s="191"/>
      <c r="AB289" s="191"/>
    </row>
    <row r="290" ht="15.75" customHeight="1">
      <c r="A290" s="288"/>
      <c r="B290" s="224"/>
      <c r="C290" s="224"/>
      <c r="D290" s="212"/>
      <c r="E290" s="221"/>
      <c r="F290" s="222"/>
      <c r="G290" s="223"/>
      <c r="H290" s="164"/>
      <c r="I290" s="164"/>
      <c r="J290" s="164"/>
      <c r="K290" s="164"/>
      <c r="L290" s="174"/>
      <c r="M290" s="164"/>
      <c r="N290" s="174"/>
      <c r="O290" s="157"/>
      <c r="P290" s="178"/>
      <c r="Q290" s="157"/>
      <c r="R290" s="157"/>
      <c r="S290" s="178"/>
      <c r="T290" s="157"/>
      <c r="U290" s="178"/>
      <c r="V290" s="191"/>
      <c r="W290" s="191"/>
      <c r="X290" s="191"/>
      <c r="Y290" s="191"/>
      <c r="Z290" s="191"/>
      <c r="AA290" s="191"/>
      <c r="AB290" s="191"/>
    </row>
    <row r="291" ht="15.75" customHeight="1">
      <c r="A291" s="288"/>
      <c r="B291" s="224"/>
      <c r="C291" s="224"/>
      <c r="D291" s="212"/>
      <c r="E291" s="221"/>
      <c r="F291" s="222"/>
      <c r="G291" s="223"/>
      <c r="H291" s="164"/>
      <c r="I291" s="164"/>
      <c r="J291" s="164"/>
      <c r="K291" s="164"/>
      <c r="L291" s="174"/>
      <c r="M291" s="164"/>
      <c r="N291" s="174"/>
      <c r="O291" s="157"/>
      <c r="P291" s="178"/>
      <c r="Q291" s="157"/>
      <c r="R291" s="157"/>
      <c r="S291" s="178"/>
      <c r="T291" s="157"/>
      <c r="U291" s="178"/>
      <c r="V291" s="191"/>
      <c r="W291" s="191"/>
      <c r="X291" s="191"/>
      <c r="Y291" s="191"/>
      <c r="Z291" s="191"/>
      <c r="AA291" s="191"/>
      <c r="AB291" s="191"/>
    </row>
    <row r="292" ht="15.75" customHeight="1">
      <c r="A292" s="288"/>
      <c r="B292" s="224"/>
      <c r="C292" s="224"/>
      <c r="D292" s="212"/>
      <c r="E292" s="221"/>
      <c r="F292" s="222"/>
      <c r="G292" s="223"/>
      <c r="H292" s="164"/>
      <c r="I292" s="164"/>
      <c r="J292" s="164"/>
      <c r="K292" s="164"/>
      <c r="L292" s="174"/>
      <c r="M292" s="164"/>
      <c r="N292" s="174"/>
      <c r="O292" s="157"/>
      <c r="P292" s="178"/>
      <c r="Q292" s="157"/>
      <c r="R292" s="157"/>
      <c r="S292" s="178"/>
      <c r="T292" s="157"/>
      <c r="U292" s="178"/>
      <c r="V292" s="191"/>
      <c r="W292" s="191"/>
      <c r="X292" s="191"/>
      <c r="Y292" s="191"/>
      <c r="Z292" s="191"/>
      <c r="AA292" s="191"/>
      <c r="AB292" s="191"/>
    </row>
    <row r="293" ht="15.75" customHeight="1">
      <c r="A293" s="288"/>
      <c r="B293" s="224"/>
      <c r="C293" s="224"/>
      <c r="D293" s="212"/>
      <c r="E293" s="221"/>
      <c r="F293" s="222"/>
      <c r="G293" s="223"/>
      <c r="H293" s="164"/>
      <c r="I293" s="164"/>
      <c r="J293" s="164"/>
      <c r="K293" s="164"/>
      <c r="L293" s="174"/>
      <c r="M293" s="164"/>
      <c r="N293" s="174"/>
      <c r="O293" s="157"/>
      <c r="P293" s="178"/>
      <c r="Q293" s="157"/>
      <c r="R293" s="157"/>
      <c r="S293" s="178"/>
      <c r="T293" s="157"/>
      <c r="U293" s="178"/>
      <c r="V293" s="191"/>
      <c r="W293" s="191"/>
      <c r="X293" s="191"/>
      <c r="Y293" s="191"/>
      <c r="Z293" s="191"/>
      <c r="AA293" s="191"/>
      <c r="AB293" s="191"/>
    </row>
    <row r="294" ht="15.75" customHeight="1">
      <c r="A294" s="288"/>
      <c r="B294" s="224"/>
      <c r="C294" s="224"/>
      <c r="D294" s="212"/>
      <c r="E294" s="221"/>
      <c r="F294" s="222"/>
      <c r="G294" s="223"/>
      <c r="H294" s="164"/>
      <c r="I294" s="164"/>
      <c r="J294" s="164"/>
      <c r="K294" s="164"/>
      <c r="L294" s="174"/>
      <c r="M294" s="164"/>
      <c r="N294" s="174"/>
      <c r="O294" s="157"/>
      <c r="P294" s="178"/>
      <c r="Q294" s="157"/>
      <c r="R294" s="157"/>
      <c r="S294" s="178"/>
      <c r="T294" s="157"/>
      <c r="U294" s="178"/>
      <c r="V294" s="191"/>
      <c r="W294" s="191"/>
      <c r="X294" s="191"/>
      <c r="Y294" s="191"/>
      <c r="Z294" s="191"/>
      <c r="AA294" s="191"/>
      <c r="AB294" s="191"/>
    </row>
    <row r="295" ht="15.75" customHeight="1">
      <c r="A295" s="288"/>
      <c r="B295" s="224"/>
      <c r="C295" s="224"/>
      <c r="D295" s="212"/>
      <c r="E295" s="221"/>
      <c r="F295" s="222"/>
      <c r="G295" s="223"/>
      <c r="H295" s="164"/>
      <c r="I295" s="164"/>
      <c r="J295" s="164"/>
      <c r="K295" s="164"/>
      <c r="L295" s="174"/>
      <c r="M295" s="164"/>
      <c r="N295" s="174"/>
      <c r="O295" s="157"/>
      <c r="P295" s="178"/>
      <c r="Q295" s="157"/>
      <c r="R295" s="157"/>
      <c r="S295" s="178"/>
      <c r="T295" s="157"/>
      <c r="U295" s="178"/>
      <c r="V295" s="191"/>
      <c r="W295" s="191"/>
      <c r="X295" s="191"/>
      <c r="Y295" s="191"/>
      <c r="Z295" s="191"/>
      <c r="AA295" s="191"/>
      <c r="AB295" s="191"/>
    </row>
    <row r="296" ht="15.75" customHeight="1">
      <c r="A296" s="288"/>
      <c r="B296" s="224"/>
      <c r="C296" s="224"/>
      <c r="D296" s="212"/>
      <c r="E296" s="221"/>
      <c r="F296" s="222"/>
      <c r="G296" s="223"/>
      <c r="H296" s="164"/>
      <c r="I296" s="164"/>
      <c r="J296" s="164"/>
      <c r="K296" s="164"/>
      <c r="L296" s="174"/>
      <c r="M296" s="164"/>
      <c r="N296" s="174"/>
      <c r="O296" s="157"/>
      <c r="P296" s="178"/>
      <c r="Q296" s="157"/>
      <c r="R296" s="157"/>
      <c r="S296" s="178"/>
      <c r="T296" s="157"/>
      <c r="U296" s="178"/>
      <c r="V296" s="191"/>
      <c r="W296" s="191"/>
      <c r="X296" s="191"/>
      <c r="Y296" s="191"/>
      <c r="Z296" s="191"/>
      <c r="AA296" s="191"/>
      <c r="AB296" s="191"/>
    </row>
    <row r="297" ht="15.75" customHeight="1">
      <c r="A297" s="288"/>
      <c r="B297" s="224"/>
      <c r="C297" s="224"/>
      <c r="D297" s="212"/>
      <c r="E297" s="221"/>
      <c r="F297" s="222"/>
      <c r="G297" s="223"/>
      <c r="H297" s="164"/>
      <c r="I297" s="164"/>
      <c r="J297" s="164"/>
      <c r="K297" s="164"/>
      <c r="L297" s="174"/>
      <c r="M297" s="164"/>
      <c r="N297" s="174"/>
      <c r="O297" s="157"/>
      <c r="P297" s="178"/>
      <c r="Q297" s="157"/>
      <c r="R297" s="157"/>
      <c r="S297" s="178"/>
      <c r="T297" s="157"/>
      <c r="U297" s="178"/>
      <c r="V297" s="191"/>
      <c r="W297" s="191"/>
      <c r="X297" s="191"/>
      <c r="Y297" s="191"/>
      <c r="Z297" s="191"/>
      <c r="AA297" s="191"/>
      <c r="AB297" s="191"/>
    </row>
    <row r="298" ht="15.75" customHeight="1">
      <c r="A298" s="288"/>
      <c r="B298" s="224"/>
      <c r="C298" s="224"/>
      <c r="D298" s="212"/>
      <c r="E298" s="221"/>
      <c r="F298" s="222"/>
      <c r="G298" s="223"/>
      <c r="H298" s="164"/>
      <c r="I298" s="164"/>
      <c r="J298" s="164"/>
      <c r="K298" s="164"/>
      <c r="L298" s="174"/>
      <c r="M298" s="164"/>
      <c r="N298" s="174"/>
      <c r="O298" s="157"/>
      <c r="P298" s="178"/>
      <c r="Q298" s="157"/>
      <c r="R298" s="157"/>
      <c r="S298" s="178"/>
      <c r="T298" s="157"/>
      <c r="U298" s="178"/>
      <c r="V298" s="191"/>
      <c r="W298" s="191"/>
      <c r="X298" s="191"/>
      <c r="Y298" s="191"/>
      <c r="Z298" s="191"/>
      <c r="AA298" s="191"/>
      <c r="AB298" s="191"/>
    </row>
    <row r="299" ht="15.75" customHeight="1">
      <c r="A299" s="288"/>
      <c r="B299" s="224"/>
      <c r="C299" s="224"/>
      <c r="D299" s="212"/>
      <c r="E299" s="221"/>
      <c r="F299" s="222"/>
      <c r="G299" s="223"/>
      <c r="H299" s="164"/>
      <c r="I299" s="164"/>
      <c r="J299" s="164"/>
      <c r="K299" s="164"/>
      <c r="L299" s="174"/>
      <c r="M299" s="164"/>
      <c r="N299" s="174"/>
      <c r="O299" s="157"/>
      <c r="P299" s="178"/>
      <c r="Q299" s="157"/>
      <c r="R299" s="157"/>
      <c r="S299" s="178"/>
      <c r="T299" s="157"/>
      <c r="U299" s="178"/>
      <c r="V299" s="191"/>
      <c r="W299" s="191"/>
      <c r="X299" s="191"/>
      <c r="Y299" s="191"/>
      <c r="Z299" s="191"/>
      <c r="AA299" s="191"/>
      <c r="AB299" s="191"/>
    </row>
    <row r="300" ht="15.75" customHeight="1">
      <c r="A300" s="288"/>
      <c r="B300" s="224"/>
      <c r="C300" s="224"/>
      <c r="D300" s="212"/>
      <c r="E300" s="221"/>
      <c r="F300" s="222"/>
      <c r="G300" s="223"/>
      <c r="H300" s="164"/>
      <c r="I300" s="164"/>
      <c r="J300" s="164"/>
      <c r="K300" s="164"/>
      <c r="L300" s="174"/>
      <c r="M300" s="164"/>
      <c r="N300" s="174"/>
      <c r="O300" s="157"/>
      <c r="P300" s="178"/>
      <c r="Q300" s="157"/>
      <c r="R300" s="157"/>
      <c r="S300" s="178"/>
      <c r="T300" s="157"/>
      <c r="U300" s="178"/>
      <c r="V300" s="191"/>
      <c r="W300" s="191"/>
      <c r="X300" s="191"/>
      <c r="Y300" s="191"/>
      <c r="Z300" s="191"/>
      <c r="AA300" s="191"/>
      <c r="AB300" s="191"/>
    </row>
    <row r="301" ht="15.75" customHeight="1">
      <c r="A301" s="288"/>
      <c r="B301" s="224"/>
      <c r="C301" s="224"/>
      <c r="D301" s="212"/>
      <c r="E301" s="221"/>
      <c r="F301" s="222"/>
      <c r="G301" s="223"/>
      <c r="H301" s="164"/>
      <c r="I301" s="164"/>
      <c r="J301" s="164"/>
      <c r="K301" s="164"/>
      <c r="L301" s="174"/>
      <c r="M301" s="164"/>
      <c r="N301" s="174"/>
      <c r="O301" s="157"/>
      <c r="P301" s="178"/>
      <c r="Q301" s="157"/>
      <c r="R301" s="157"/>
      <c r="S301" s="178"/>
      <c r="T301" s="157"/>
      <c r="U301" s="178"/>
      <c r="V301" s="191"/>
      <c r="W301" s="191"/>
      <c r="X301" s="191"/>
      <c r="Y301" s="191"/>
      <c r="Z301" s="191"/>
      <c r="AA301" s="191"/>
      <c r="AB301" s="191"/>
    </row>
    <row r="302" ht="15.75" customHeight="1">
      <c r="A302" s="288"/>
      <c r="B302" s="224"/>
      <c r="C302" s="224"/>
      <c r="D302" s="212"/>
      <c r="E302" s="221"/>
      <c r="F302" s="222"/>
      <c r="G302" s="223"/>
      <c r="H302" s="164"/>
      <c r="I302" s="164"/>
      <c r="J302" s="164"/>
      <c r="K302" s="164"/>
      <c r="L302" s="174"/>
      <c r="M302" s="164"/>
      <c r="N302" s="174"/>
      <c r="O302" s="157"/>
      <c r="P302" s="178"/>
      <c r="Q302" s="157"/>
      <c r="R302" s="157"/>
      <c r="S302" s="178"/>
      <c r="T302" s="157"/>
      <c r="U302" s="178"/>
      <c r="V302" s="191"/>
      <c r="W302" s="191"/>
      <c r="X302" s="191"/>
      <c r="Y302" s="191"/>
      <c r="Z302" s="191"/>
      <c r="AA302" s="191"/>
      <c r="AB302" s="191"/>
    </row>
    <row r="303" ht="15.75" customHeight="1">
      <c r="A303" s="288"/>
      <c r="B303" s="224"/>
      <c r="C303" s="224"/>
      <c r="D303" s="212"/>
      <c r="E303" s="221"/>
      <c r="F303" s="222"/>
      <c r="G303" s="223"/>
      <c r="H303" s="164"/>
      <c r="I303" s="164"/>
      <c r="J303" s="164"/>
      <c r="K303" s="164"/>
      <c r="L303" s="174"/>
      <c r="M303" s="164"/>
      <c r="N303" s="174"/>
      <c r="O303" s="157"/>
      <c r="P303" s="178"/>
      <c r="Q303" s="157"/>
      <c r="R303" s="157"/>
      <c r="S303" s="178"/>
      <c r="T303" s="157"/>
      <c r="U303" s="178"/>
      <c r="V303" s="191"/>
      <c r="W303" s="191"/>
      <c r="X303" s="191"/>
      <c r="Y303" s="191"/>
      <c r="Z303" s="191"/>
      <c r="AA303" s="191"/>
      <c r="AB303" s="191"/>
    </row>
    <row r="304" ht="15.75" customHeight="1">
      <c r="A304" s="288"/>
      <c r="B304" s="224"/>
      <c r="C304" s="224"/>
      <c r="D304" s="212"/>
      <c r="E304" s="221"/>
      <c r="F304" s="222"/>
      <c r="G304" s="223"/>
      <c r="H304" s="164"/>
      <c r="I304" s="164"/>
      <c r="J304" s="164"/>
      <c r="K304" s="164"/>
      <c r="L304" s="174"/>
      <c r="M304" s="164"/>
      <c r="N304" s="174"/>
      <c r="O304" s="157"/>
      <c r="P304" s="178"/>
      <c r="Q304" s="157"/>
      <c r="R304" s="157"/>
      <c r="S304" s="178"/>
      <c r="T304" s="157"/>
      <c r="U304" s="178"/>
      <c r="V304" s="191"/>
      <c r="W304" s="191"/>
      <c r="X304" s="191"/>
      <c r="Y304" s="191"/>
      <c r="Z304" s="191"/>
      <c r="AA304" s="191"/>
      <c r="AB304" s="191"/>
    </row>
    <row r="305" ht="15.75" customHeight="1">
      <c r="A305" s="288"/>
      <c r="B305" s="224"/>
      <c r="C305" s="224"/>
      <c r="D305" s="212"/>
      <c r="E305" s="221"/>
      <c r="F305" s="222"/>
      <c r="G305" s="223"/>
      <c r="H305" s="164"/>
      <c r="I305" s="164"/>
      <c r="J305" s="164"/>
      <c r="K305" s="164"/>
      <c r="L305" s="174"/>
      <c r="M305" s="164"/>
      <c r="N305" s="174"/>
      <c r="O305" s="157"/>
      <c r="P305" s="178"/>
      <c r="Q305" s="157"/>
      <c r="R305" s="157"/>
      <c r="S305" s="178"/>
      <c r="T305" s="157"/>
      <c r="U305" s="178"/>
      <c r="V305" s="191"/>
      <c r="W305" s="191"/>
      <c r="X305" s="191"/>
      <c r="Y305" s="191"/>
      <c r="Z305" s="191"/>
      <c r="AA305" s="191"/>
      <c r="AB305" s="191"/>
    </row>
    <row r="306" ht="15.75" customHeight="1">
      <c r="A306" s="288"/>
      <c r="B306" s="224"/>
      <c r="C306" s="224"/>
      <c r="D306" s="212"/>
      <c r="E306" s="221"/>
      <c r="F306" s="222"/>
      <c r="G306" s="223"/>
      <c r="H306" s="164"/>
      <c r="I306" s="164"/>
      <c r="J306" s="164"/>
      <c r="K306" s="164"/>
      <c r="L306" s="174"/>
      <c r="M306" s="164"/>
      <c r="N306" s="174"/>
      <c r="O306" s="157"/>
      <c r="P306" s="178"/>
      <c r="Q306" s="157"/>
      <c r="R306" s="157"/>
      <c r="S306" s="178"/>
      <c r="T306" s="157"/>
      <c r="U306" s="178"/>
      <c r="V306" s="191"/>
      <c r="W306" s="191"/>
      <c r="X306" s="191"/>
      <c r="Y306" s="191"/>
      <c r="Z306" s="191"/>
      <c r="AA306" s="191"/>
      <c r="AB306" s="191"/>
    </row>
    <row r="307" ht="15.75" customHeight="1">
      <c r="A307" s="288"/>
      <c r="B307" s="224"/>
      <c r="C307" s="224"/>
      <c r="D307" s="212"/>
      <c r="E307" s="221"/>
      <c r="F307" s="222"/>
      <c r="G307" s="223"/>
      <c r="H307" s="164"/>
      <c r="I307" s="164"/>
      <c r="J307" s="164"/>
      <c r="K307" s="164"/>
      <c r="L307" s="174"/>
      <c r="M307" s="164"/>
      <c r="N307" s="174"/>
      <c r="O307" s="157"/>
      <c r="P307" s="178"/>
      <c r="Q307" s="157"/>
      <c r="R307" s="157"/>
      <c r="S307" s="178"/>
      <c r="T307" s="157"/>
      <c r="U307" s="178"/>
      <c r="V307" s="191"/>
      <c r="W307" s="191"/>
      <c r="X307" s="191"/>
      <c r="Y307" s="191"/>
      <c r="Z307" s="191"/>
      <c r="AA307" s="191"/>
      <c r="AB307" s="191"/>
    </row>
    <row r="308" ht="15.75" customHeight="1">
      <c r="A308" s="288"/>
      <c r="B308" s="224"/>
      <c r="C308" s="224"/>
      <c r="D308" s="212"/>
      <c r="E308" s="221"/>
      <c r="F308" s="222"/>
      <c r="G308" s="223"/>
      <c r="H308" s="164"/>
      <c r="I308" s="164"/>
      <c r="J308" s="164"/>
      <c r="K308" s="164"/>
      <c r="L308" s="174"/>
      <c r="M308" s="164"/>
      <c r="N308" s="174"/>
      <c r="O308" s="157"/>
      <c r="P308" s="178"/>
      <c r="Q308" s="157"/>
      <c r="R308" s="157"/>
      <c r="S308" s="178"/>
      <c r="T308" s="157"/>
      <c r="U308" s="178"/>
      <c r="V308" s="191"/>
      <c r="W308" s="191"/>
      <c r="X308" s="191"/>
      <c r="Y308" s="191"/>
      <c r="Z308" s="191"/>
      <c r="AA308" s="191"/>
      <c r="AB308" s="191"/>
    </row>
    <row r="309" ht="15.75" customHeight="1">
      <c r="A309" s="288"/>
      <c r="B309" s="224"/>
      <c r="C309" s="224"/>
      <c r="D309" s="212"/>
      <c r="E309" s="221"/>
      <c r="F309" s="222"/>
      <c r="G309" s="223"/>
      <c r="H309" s="164"/>
      <c r="I309" s="164"/>
      <c r="J309" s="164"/>
      <c r="K309" s="164"/>
      <c r="L309" s="174"/>
      <c r="M309" s="164"/>
      <c r="N309" s="174"/>
      <c r="O309" s="157"/>
      <c r="P309" s="178"/>
      <c r="Q309" s="157"/>
      <c r="R309" s="157"/>
      <c r="S309" s="178"/>
      <c r="T309" s="157"/>
      <c r="U309" s="178"/>
      <c r="V309" s="191"/>
      <c r="W309" s="191"/>
      <c r="X309" s="191"/>
      <c r="Y309" s="191"/>
      <c r="Z309" s="191"/>
      <c r="AA309" s="191"/>
      <c r="AB309" s="191"/>
    </row>
    <row r="310" ht="15.75" customHeight="1">
      <c r="A310" s="288"/>
      <c r="B310" s="224"/>
      <c r="C310" s="224"/>
      <c r="D310" s="212"/>
      <c r="E310" s="221"/>
      <c r="F310" s="222"/>
      <c r="G310" s="223"/>
      <c r="H310" s="164"/>
      <c r="I310" s="164"/>
      <c r="J310" s="164"/>
      <c r="K310" s="164"/>
      <c r="L310" s="174"/>
      <c r="M310" s="164"/>
      <c r="N310" s="174"/>
      <c r="O310" s="157"/>
      <c r="P310" s="178"/>
      <c r="Q310" s="157"/>
      <c r="R310" s="157"/>
      <c r="S310" s="178"/>
      <c r="T310" s="157"/>
      <c r="U310" s="178"/>
      <c r="V310" s="191"/>
      <c r="W310" s="191"/>
      <c r="X310" s="191"/>
      <c r="Y310" s="191"/>
      <c r="Z310" s="191"/>
      <c r="AA310" s="191"/>
      <c r="AB310" s="191"/>
    </row>
    <row r="311" ht="15.75" customHeight="1">
      <c r="A311" s="288"/>
      <c r="B311" s="224"/>
      <c r="C311" s="224"/>
      <c r="D311" s="212"/>
      <c r="E311" s="221"/>
      <c r="F311" s="222"/>
      <c r="G311" s="223"/>
      <c r="H311" s="164"/>
      <c r="I311" s="164"/>
      <c r="J311" s="164"/>
      <c r="K311" s="164"/>
      <c r="L311" s="174"/>
      <c r="M311" s="164"/>
      <c r="N311" s="174"/>
      <c r="O311" s="157"/>
      <c r="P311" s="178"/>
      <c r="Q311" s="157"/>
      <c r="R311" s="157"/>
      <c r="S311" s="178"/>
      <c r="T311" s="157"/>
      <c r="U311" s="178"/>
      <c r="V311" s="191"/>
      <c r="W311" s="191"/>
      <c r="X311" s="191"/>
      <c r="Y311" s="191"/>
      <c r="Z311" s="191"/>
      <c r="AA311" s="191"/>
      <c r="AB311" s="191"/>
    </row>
    <row r="312" ht="15.75" customHeight="1">
      <c r="A312" s="288"/>
      <c r="B312" s="224"/>
      <c r="C312" s="224"/>
      <c r="D312" s="212"/>
      <c r="E312" s="221"/>
      <c r="F312" s="222"/>
      <c r="G312" s="223"/>
      <c r="H312" s="164"/>
      <c r="I312" s="164"/>
      <c r="J312" s="164"/>
      <c r="K312" s="164"/>
      <c r="L312" s="174"/>
      <c r="M312" s="164"/>
      <c r="N312" s="174"/>
      <c r="O312" s="157"/>
      <c r="P312" s="178"/>
      <c r="Q312" s="157"/>
      <c r="R312" s="157"/>
      <c r="S312" s="178"/>
      <c r="T312" s="157"/>
      <c r="U312" s="178"/>
      <c r="V312" s="191"/>
      <c r="W312" s="191"/>
      <c r="X312" s="191"/>
      <c r="Y312" s="191"/>
      <c r="Z312" s="191"/>
      <c r="AA312" s="191"/>
      <c r="AB312" s="191"/>
    </row>
    <row r="313" ht="15.75" customHeight="1">
      <c r="A313" s="288"/>
      <c r="B313" s="224"/>
      <c r="C313" s="224"/>
      <c r="D313" s="212"/>
      <c r="E313" s="221"/>
      <c r="F313" s="222"/>
      <c r="G313" s="223"/>
      <c r="H313" s="164"/>
      <c r="I313" s="164"/>
      <c r="J313" s="164"/>
      <c r="K313" s="164"/>
      <c r="L313" s="174"/>
      <c r="M313" s="164"/>
      <c r="N313" s="174"/>
      <c r="O313" s="157"/>
      <c r="P313" s="178"/>
      <c r="Q313" s="157"/>
      <c r="R313" s="157"/>
      <c r="S313" s="178"/>
      <c r="T313" s="157"/>
      <c r="U313" s="178"/>
      <c r="V313" s="191"/>
      <c r="W313" s="191"/>
      <c r="X313" s="191"/>
      <c r="Y313" s="191"/>
      <c r="Z313" s="191"/>
      <c r="AA313" s="191"/>
      <c r="AB313" s="191"/>
    </row>
    <row r="314" ht="15.75" customHeight="1">
      <c r="A314" s="288"/>
      <c r="B314" s="224"/>
      <c r="C314" s="224"/>
      <c r="D314" s="212"/>
      <c r="E314" s="221"/>
      <c r="F314" s="222"/>
      <c r="G314" s="223"/>
      <c r="H314" s="164"/>
      <c r="I314" s="164"/>
      <c r="J314" s="164"/>
      <c r="K314" s="164"/>
      <c r="L314" s="174"/>
      <c r="M314" s="164"/>
      <c r="N314" s="174"/>
      <c r="O314" s="157"/>
      <c r="P314" s="178"/>
      <c r="Q314" s="157"/>
      <c r="R314" s="157"/>
      <c r="S314" s="178"/>
      <c r="T314" s="157"/>
      <c r="U314" s="178"/>
      <c r="V314" s="191"/>
      <c r="W314" s="191"/>
      <c r="X314" s="191"/>
      <c r="Y314" s="191"/>
      <c r="Z314" s="191"/>
      <c r="AA314" s="191"/>
      <c r="AB314" s="191"/>
    </row>
    <row r="315" ht="15.75" customHeight="1">
      <c r="A315" s="288"/>
      <c r="B315" s="224"/>
      <c r="C315" s="224"/>
      <c r="D315" s="212"/>
      <c r="E315" s="221"/>
      <c r="F315" s="222"/>
      <c r="G315" s="223"/>
      <c r="H315" s="164"/>
      <c r="I315" s="164"/>
      <c r="J315" s="164"/>
      <c r="K315" s="164"/>
      <c r="L315" s="174"/>
      <c r="M315" s="164"/>
      <c r="N315" s="174"/>
      <c r="O315" s="157"/>
      <c r="P315" s="178"/>
      <c r="Q315" s="157"/>
      <c r="R315" s="157"/>
      <c r="S315" s="178"/>
      <c r="T315" s="157"/>
      <c r="U315" s="178"/>
      <c r="V315" s="191"/>
      <c r="W315" s="191"/>
      <c r="X315" s="191"/>
      <c r="Y315" s="191"/>
      <c r="Z315" s="191"/>
      <c r="AA315" s="191"/>
      <c r="AB315" s="191"/>
    </row>
    <row r="316" ht="15.75" customHeight="1">
      <c r="A316" s="288"/>
      <c r="B316" s="224"/>
      <c r="C316" s="224"/>
      <c r="D316" s="212"/>
      <c r="E316" s="221"/>
      <c r="F316" s="222"/>
      <c r="G316" s="223"/>
      <c r="H316" s="164"/>
      <c r="I316" s="164"/>
      <c r="J316" s="164"/>
      <c r="K316" s="164"/>
      <c r="L316" s="174"/>
      <c r="M316" s="164"/>
      <c r="N316" s="174"/>
      <c r="O316" s="157"/>
      <c r="P316" s="178"/>
      <c r="Q316" s="157"/>
      <c r="R316" s="157"/>
      <c r="S316" s="178"/>
      <c r="T316" s="157"/>
      <c r="U316" s="178"/>
      <c r="V316" s="191"/>
      <c r="W316" s="191"/>
      <c r="X316" s="191"/>
      <c r="Y316" s="191"/>
      <c r="Z316" s="191"/>
      <c r="AA316" s="191"/>
      <c r="AB316" s="191"/>
    </row>
    <row r="317" ht="15.75" customHeight="1">
      <c r="A317" s="288"/>
      <c r="B317" s="224"/>
      <c r="C317" s="224"/>
      <c r="D317" s="212"/>
      <c r="E317" s="221"/>
      <c r="F317" s="222"/>
      <c r="G317" s="223"/>
      <c r="H317" s="164"/>
      <c r="I317" s="164"/>
      <c r="J317" s="164"/>
      <c r="K317" s="164"/>
      <c r="L317" s="174"/>
      <c r="M317" s="164"/>
      <c r="N317" s="174"/>
      <c r="O317" s="157"/>
      <c r="P317" s="178"/>
      <c r="Q317" s="157"/>
      <c r="R317" s="157"/>
      <c r="S317" s="178"/>
      <c r="T317" s="157"/>
      <c r="U317" s="178"/>
      <c r="V317" s="191"/>
      <c r="W317" s="191"/>
      <c r="X317" s="191"/>
      <c r="Y317" s="191"/>
      <c r="Z317" s="191"/>
      <c r="AA317" s="191"/>
      <c r="AB317" s="191"/>
    </row>
    <row r="318" ht="15.75" customHeight="1">
      <c r="A318" s="288"/>
      <c r="B318" s="224"/>
      <c r="C318" s="224"/>
      <c r="D318" s="212"/>
      <c r="E318" s="221"/>
      <c r="F318" s="222"/>
      <c r="G318" s="223"/>
      <c r="H318" s="164"/>
      <c r="I318" s="164"/>
      <c r="J318" s="164"/>
      <c r="K318" s="164"/>
      <c r="L318" s="174"/>
      <c r="M318" s="164"/>
      <c r="N318" s="174"/>
      <c r="O318" s="157"/>
      <c r="P318" s="178"/>
      <c r="Q318" s="157"/>
      <c r="R318" s="157"/>
      <c r="S318" s="178"/>
      <c r="T318" s="157"/>
      <c r="U318" s="178"/>
      <c r="V318" s="191"/>
      <c r="W318" s="191"/>
      <c r="X318" s="191"/>
      <c r="Y318" s="191"/>
      <c r="Z318" s="191"/>
      <c r="AA318" s="191"/>
      <c r="AB318" s="191"/>
    </row>
    <row r="319" ht="15.75" customHeight="1">
      <c r="A319" s="288"/>
      <c r="B319" s="224"/>
      <c r="C319" s="224"/>
      <c r="D319" s="212"/>
      <c r="E319" s="221"/>
      <c r="F319" s="222"/>
      <c r="G319" s="223"/>
      <c r="H319" s="164"/>
      <c r="I319" s="164"/>
      <c r="J319" s="164"/>
      <c r="K319" s="164"/>
      <c r="L319" s="174"/>
      <c r="M319" s="164"/>
      <c r="N319" s="174"/>
      <c r="O319" s="157"/>
      <c r="P319" s="178"/>
      <c r="Q319" s="157"/>
      <c r="R319" s="157"/>
      <c r="S319" s="178"/>
      <c r="T319" s="157"/>
      <c r="U319" s="178"/>
      <c r="V319" s="191"/>
      <c r="W319" s="191"/>
      <c r="X319" s="191"/>
      <c r="Y319" s="191"/>
      <c r="Z319" s="191"/>
      <c r="AA319" s="191"/>
      <c r="AB319" s="191"/>
    </row>
    <row r="320" ht="15.75" customHeight="1">
      <c r="A320" s="288"/>
      <c r="B320" s="224"/>
      <c r="C320" s="224"/>
      <c r="D320" s="212"/>
      <c r="E320" s="221"/>
      <c r="F320" s="222"/>
      <c r="G320" s="223"/>
      <c r="H320" s="164"/>
      <c r="I320" s="164"/>
      <c r="J320" s="164"/>
      <c r="K320" s="164"/>
      <c r="L320" s="174"/>
      <c r="M320" s="164"/>
      <c r="N320" s="174"/>
      <c r="O320" s="157"/>
      <c r="P320" s="178"/>
      <c r="Q320" s="157"/>
      <c r="R320" s="157"/>
      <c r="S320" s="178"/>
      <c r="T320" s="157"/>
      <c r="U320" s="178"/>
      <c r="V320" s="191"/>
      <c r="W320" s="191"/>
      <c r="X320" s="191"/>
      <c r="Y320" s="191"/>
      <c r="Z320" s="191"/>
      <c r="AA320" s="191"/>
      <c r="AB320" s="191"/>
    </row>
    <row r="321" ht="15.75" customHeight="1">
      <c r="A321" s="288"/>
      <c r="B321" s="224"/>
      <c r="C321" s="224"/>
      <c r="D321" s="212"/>
      <c r="E321" s="221"/>
      <c r="F321" s="222"/>
      <c r="G321" s="223"/>
      <c r="H321" s="164"/>
      <c r="I321" s="164"/>
      <c r="J321" s="164"/>
      <c r="K321" s="164"/>
      <c r="L321" s="174"/>
      <c r="M321" s="164"/>
      <c r="N321" s="174"/>
      <c r="O321" s="157"/>
      <c r="P321" s="178"/>
      <c r="Q321" s="157"/>
      <c r="R321" s="157"/>
      <c r="S321" s="178"/>
      <c r="T321" s="157"/>
      <c r="U321" s="178"/>
      <c r="V321" s="191"/>
      <c r="W321" s="191"/>
      <c r="X321" s="191"/>
      <c r="Y321" s="191"/>
      <c r="Z321" s="191"/>
      <c r="AA321" s="191"/>
      <c r="AB321" s="191"/>
    </row>
    <row r="322" ht="15.75" customHeight="1">
      <c r="A322" s="288"/>
      <c r="B322" s="224"/>
      <c r="C322" s="224"/>
      <c r="D322" s="212"/>
      <c r="E322" s="221"/>
      <c r="F322" s="222"/>
      <c r="G322" s="223"/>
      <c r="H322" s="164"/>
      <c r="I322" s="164"/>
      <c r="J322" s="164"/>
      <c r="K322" s="164"/>
      <c r="L322" s="174"/>
      <c r="M322" s="164"/>
      <c r="N322" s="174"/>
      <c r="O322" s="157"/>
      <c r="P322" s="178"/>
      <c r="Q322" s="157"/>
      <c r="R322" s="157"/>
      <c r="S322" s="178"/>
      <c r="T322" s="157"/>
      <c r="U322" s="178"/>
      <c r="V322" s="191"/>
      <c r="W322" s="191"/>
      <c r="X322" s="191"/>
      <c r="Y322" s="191"/>
      <c r="Z322" s="191"/>
      <c r="AA322" s="191"/>
      <c r="AB322" s="191"/>
    </row>
    <row r="323" ht="15.75" customHeight="1">
      <c r="A323" s="288"/>
      <c r="B323" s="224"/>
      <c r="C323" s="224"/>
      <c r="D323" s="212"/>
      <c r="E323" s="221"/>
      <c r="F323" s="222"/>
      <c r="G323" s="223"/>
      <c r="H323" s="164"/>
      <c r="I323" s="164"/>
      <c r="J323" s="164"/>
      <c r="K323" s="164"/>
      <c r="L323" s="174"/>
      <c r="M323" s="164"/>
      <c r="N323" s="174"/>
      <c r="O323" s="157"/>
      <c r="P323" s="178"/>
      <c r="Q323" s="157"/>
      <c r="R323" s="157"/>
      <c r="S323" s="178"/>
      <c r="T323" s="157"/>
      <c r="U323" s="178"/>
      <c r="V323" s="191"/>
      <c r="W323" s="191"/>
      <c r="X323" s="191"/>
      <c r="Y323" s="191"/>
      <c r="Z323" s="191"/>
      <c r="AA323" s="191"/>
      <c r="AB323" s="191"/>
    </row>
    <row r="324" ht="15.75" customHeight="1">
      <c r="A324" s="288"/>
      <c r="B324" s="224"/>
      <c r="C324" s="224"/>
      <c r="D324" s="212"/>
      <c r="E324" s="221"/>
      <c r="F324" s="222"/>
      <c r="G324" s="223"/>
      <c r="H324" s="164"/>
      <c r="I324" s="164"/>
      <c r="J324" s="164"/>
      <c r="K324" s="164"/>
      <c r="L324" s="174"/>
      <c r="M324" s="164"/>
      <c r="N324" s="174"/>
      <c r="O324" s="157"/>
      <c r="P324" s="178"/>
      <c r="Q324" s="157"/>
      <c r="R324" s="157"/>
      <c r="S324" s="178"/>
      <c r="T324" s="157"/>
      <c r="U324" s="178"/>
      <c r="V324" s="191"/>
      <c r="W324" s="191"/>
      <c r="X324" s="191"/>
      <c r="Y324" s="191"/>
      <c r="Z324" s="191"/>
      <c r="AA324" s="191"/>
      <c r="AB324" s="191"/>
    </row>
    <row r="325" ht="15.75" customHeight="1">
      <c r="A325" s="288"/>
      <c r="B325" s="224"/>
      <c r="C325" s="224"/>
      <c r="D325" s="212"/>
      <c r="E325" s="221"/>
      <c r="F325" s="222"/>
      <c r="G325" s="223"/>
      <c r="H325" s="164"/>
      <c r="I325" s="164"/>
      <c r="J325" s="164"/>
      <c r="K325" s="164"/>
      <c r="L325" s="174"/>
      <c r="M325" s="164"/>
      <c r="N325" s="174"/>
      <c r="O325" s="157"/>
      <c r="P325" s="178"/>
      <c r="Q325" s="157"/>
      <c r="R325" s="157"/>
      <c r="S325" s="178"/>
      <c r="T325" s="157"/>
      <c r="U325" s="178"/>
      <c r="V325" s="191"/>
      <c r="W325" s="191"/>
      <c r="X325" s="191"/>
      <c r="Y325" s="191"/>
      <c r="Z325" s="191"/>
      <c r="AA325" s="191"/>
      <c r="AB325" s="191"/>
    </row>
    <row r="326" ht="15.75" customHeight="1">
      <c r="A326" s="288"/>
      <c r="B326" s="224"/>
      <c r="C326" s="224"/>
      <c r="D326" s="212"/>
      <c r="E326" s="221"/>
      <c r="F326" s="222"/>
      <c r="G326" s="223"/>
      <c r="H326" s="164"/>
      <c r="I326" s="164"/>
      <c r="J326" s="164"/>
      <c r="K326" s="164"/>
      <c r="L326" s="174"/>
      <c r="M326" s="164"/>
      <c r="N326" s="174"/>
      <c r="O326" s="157"/>
      <c r="P326" s="178"/>
      <c r="Q326" s="157"/>
      <c r="R326" s="157"/>
      <c r="S326" s="178"/>
      <c r="T326" s="157"/>
      <c r="U326" s="178"/>
      <c r="V326" s="191"/>
      <c r="W326" s="191"/>
      <c r="X326" s="191"/>
      <c r="Y326" s="191"/>
      <c r="Z326" s="191"/>
      <c r="AA326" s="191"/>
      <c r="AB326" s="191"/>
    </row>
    <row r="327" ht="15.75" customHeight="1">
      <c r="A327" s="288"/>
      <c r="B327" s="224"/>
      <c r="C327" s="224"/>
      <c r="D327" s="212"/>
      <c r="E327" s="221"/>
      <c r="F327" s="222"/>
      <c r="G327" s="223"/>
      <c r="H327" s="164"/>
      <c r="I327" s="164"/>
      <c r="J327" s="164"/>
      <c r="K327" s="164"/>
      <c r="L327" s="174"/>
      <c r="M327" s="164"/>
      <c r="N327" s="174"/>
      <c r="O327" s="157"/>
      <c r="P327" s="178"/>
      <c r="Q327" s="157"/>
      <c r="R327" s="157"/>
      <c r="S327" s="178"/>
      <c r="T327" s="157"/>
      <c r="U327" s="178"/>
      <c r="V327" s="191"/>
      <c r="W327" s="191"/>
      <c r="X327" s="191"/>
      <c r="Y327" s="191"/>
      <c r="Z327" s="191"/>
      <c r="AA327" s="191"/>
      <c r="AB327" s="191"/>
    </row>
    <row r="328" ht="15.75" customHeight="1">
      <c r="A328" s="288"/>
      <c r="B328" s="224"/>
      <c r="C328" s="224"/>
      <c r="D328" s="212"/>
      <c r="E328" s="221"/>
      <c r="F328" s="222"/>
      <c r="G328" s="223"/>
      <c r="H328" s="164"/>
      <c r="I328" s="164"/>
      <c r="J328" s="164"/>
      <c r="K328" s="164"/>
      <c r="L328" s="174"/>
      <c r="M328" s="164"/>
      <c r="N328" s="174"/>
      <c r="O328" s="157"/>
      <c r="P328" s="178"/>
      <c r="Q328" s="157"/>
      <c r="R328" s="157"/>
      <c r="S328" s="178"/>
      <c r="T328" s="157"/>
      <c r="U328" s="178"/>
      <c r="V328" s="191"/>
      <c r="W328" s="191"/>
      <c r="X328" s="191"/>
      <c r="Y328" s="191"/>
      <c r="Z328" s="191"/>
      <c r="AA328" s="191"/>
      <c r="AB328" s="191"/>
    </row>
    <row r="329" ht="15.75" customHeight="1">
      <c r="A329" s="288"/>
      <c r="B329" s="224"/>
      <c r="C329" s="224"/>
      <c r="D329" s="212"/>
      <c r="E329" s="221"/>
      <c r="F329" s="222"/>
      <c r="G329" s="223"/>
      <c r="H329" s="164"/>
      <c r="I329" s="164"/>
      <c r="J329" s="164"/>
      <c r="K329" s="164"/>
      <c r="L329" s="174"/>
      <c r="M329" s="164"/>
      <c r="N329" s="174"/>
      <c r="O329" s="157"/>
      <c r="P329" s="178"/>
      <c r="Q329" s="157"/>
      <c r="R329" s="157"/>
      <c r="S329" s="178"/>
      <c r="T329" s="157"/>
      <c r="U329" s="178"/>
      <c r="V329" s="191"/>
      <c r="W329" s="191"/>
      <c r="X329" s="191"/>
      <c r="Y329" s="191"/>
      <c r="Z329" s="191"/>
      <c r="AA329" s="191"/>
      <c r="AB329" s="191"/>
    </row>
    <row r="330" ht="15.75" customHeight="1">
      <c r="A330" s="288"/>
      <c r="B330" s="224"/>
      <c r="C330" s="224"/>
      <c r="D330" s="212"/>
      <c r="E330" s="221"/>
      <c r="F330" s="222"/>
      <c r="G330" s="223"/>
      <c r="H330" s="164"/>
      <c r="I330" s="164"/>
      <c r="J330" s="164"/>
      <c r="K330" s="164"/>
      <c r="L330" s="174"/>
      <c r="M330" s="164"/>
      <c r="N330" s="174"/>
      <c r="O330" s="157"/>
      <c r="P330" s="178"/>
      <c r="Q330" s="157"/>
      <c r="R330" s="157"/>
      <c r="S330" s="178"/>
      <c r="T330" s="157"/>
      <c r="U330" s="178"/>
      <c r="V330" s="191"/>
      <c r="W330" s="191"/>
      <c r="X330" s="191"/>
      <c r="Y330" s="191"/>
      <c r="Z330" s="191"/>
      <c r="AA330" s="191"/>
      <c r="AB330" s="191"/>
    </row>
    <row r="331" ht="15.75" customHeight="1">
      <c r="A331" s="288"/>
      <c r="B331" s="224"/>
      <c r="C331" s="224"/>
      <c r="D331" s="212"/>
      <c r="E331" s="221"/>
      <c r="F331" s="222"/>
      <c r="G331" s="223"/>
      <c r="H331" s="164"/>
      <c r="I331" s="164"/>
      <c r="J331" s="164"/>
      <c r="K331" s="164"/>
      <c r="L331" s="174"/>
      <c r="M331" s="164"/>
      <c r="N331" s="174"/>
      <c r="O331" s="157"/>
      <c r="P331" s="178"/>
      <c r="Q331" s="157"/>
      <c r="R331" s="157"/>
      <c r="S331" s="178"/>
      <c r="T331" s="157"/>
      <c r="U331" s="178"/>
      <c r="V331" s="191"/>
      <c r="W331" s="191"/>
      <c r="X331" s="191"/>
      <c r="Y331" s="191"/>
      <c r="Z331" s="191"/>
      <c r="AA331" s="191"/>
      <c r="AB331" s="191"/>
    </row>
    <row r="332" ht="15.75" customHeight="1">
      <c r="A332" s="288"/>
      <c r="B332" s="224"/>
      <c r="C332" s="224"/>
      <c r="D332" s="212"/>
      <c r="E332" s="221"/>
      <c r="F332" s="222"/>
      <c r="G332" s="223"/>
      <c r="H332" s="164"/>
      <c r="I332" s="164"/>
      <c r="J332" s="164"/>
      <c r="K332" s="164"/>
      <c r="L332" s="174"/>
      <c r="M332" s="164"/>
      <c r="N332" s="174"/>
      <c r="O332" s="157"/>
      <c r="P332" s="178"/>
      <c r="Q332" s="157"/>
      <c r="R332" s="157"/>
      <c r="S332" s="178"/>
      <c r="T332" s="157"/>
      <c r="U332" s="178"/>
      <c r="V332" s="191"/>
      <c r="W332" s="191"/>
      <c r="X332" s="191"/>
      <c r="Y332" s="191"/>
      <c r="Z332" s="191"/>
      <c r="AA332" s="191"/>
      <c r="AB332" s="191"/>
    </row>
    <row r="333" ht="15.75" customHeight="1">
      <c r="A333" s="288"/>
      <c r="B333" s="224"/>
      <c r="C333" s="224"/>
      <c r="D333" s="212"/>
      <c r="E333" s="221"/>
      <c r="F333" s="222"/>
      <c r="G333" s="223"/>
      <c r="H333" s="164"/>
      <c r="I333" s="164"/>
      <c r="J333" s="164"/>
      <c r="K333" s="164"/>
      <c r="L333" s="174"/>
      <c r="M333" s="164"/>
      <c r="N333" s="174"/>
      <c r="O333" s="157"/>
      <c r="P333" s="178"/>
      <c r="Q333" s="157"/>
      <c r="R333" s="157"/>
      <c r="S333" s="178"/>
      <c r="T333" s="157"/>
      <c r="U333" s="178"/>
      <c r="V333" s="191"/>
      <c r="W333" s="191"/>
      <c r="X333" s="191"/>
      <c r="Y333" s="191"/>
      <c r="Z333" s="191"/>
      <c r="AA333" s="191"/>
      <c r="AB333" s="191"/>
    </row>
    <row r="334" ht="15.75" customHeight="1">
      <c r="A334" s="288"/>
      <c r="B334" s="224"/>
      <c r="C334" s="224"/>
      <c r="D334" s="212"/>
      <c r="E334" s="221"/>
      <c r="F334" s="222"/>
      <c r="G334" s="223"/>
      <c r="H334" s="164"/>
      <c r="I334" s="164"/>
      <c r="J334" s="164"/>
      <c r="K334" s="164"/>
      <c r="L334" s="174"/>
      <c r="M334" s="164"/>
      <c r="N334" s="174"/>
      <c r="O334" s="157"/>
      <c r="P334" s="178"/>
      <c r="Q334" s="157"/>
      <c r="R334" s="157"/>
      <c r="S334" s="178"/>
      <c r="T334" s="157"/>
      <c r="U334" s="178"/>
      <c r="V334" s="191"/>
      <c r="W334" s="191"/>
      <c r="X334" s="191"/>
      <c r="Y334" s="191"/>
      <c r="Z334" s="191"/>
      <c r="AA334" s="191"/>
      <c r="AB334" s="191"/>
    </row>
    <row r="335" ht="15.75" customHeight="1">
      <c r="A335" s="288"/>
      <c r="B335" s="224"/>
      <c r="C335" s="224"/>
      <c r="D335" s="212"/>
      <c r="E335" s="221"/>
      <c r="F335" s="222"/>
      <c r="G335" s="223"/>
      <c r="H335" s="164"/>
      <c r="I335" s="164"/>
      <c r="J335" s="164"/>
      <c r="K335" s="164"/>
      <c r="L335" s="174"/>
      <c r="M335" s="164"/>
      <c r="N335" s="174"/>
      <c r="O335" s="157"/>
      <c r="P335" s="178"/>
      <c r="Q335" s="157"/>
      <c r="R335" s="157"/>
      <c r="S335" s="178"/>
      <c r="T335" s="157"/>
      <c r="U335" s="178"/>
      <c r="V335" s="191"/>
      <c r="W335" s="191"/>
      <c r="X335" s="191"/>
      <c r="Y335" s="191"/>
      <c r="Z335" s="191"/>
      <c r="AA335" s="191"/>
      <c r="AB335" s="191"/>
    </row>
    <row r="336" ht="15.75" customHeight="1">
      <c r="A336" s="288"/>
      <c r="B336" s="224"/>
      <c r="C336" s="224"/>
      <c r="D336" s="212"/>
      <c r="E336" s="221"/>
      <c r="F336" s="222"/>
      <c r="G336" s="223"/>
      <c r="H336" s="164"/>
      <c r="I336" s="164"/>
      <c r="J336" s="164"/>
      <c r="K336" s="164"/>
      <c r="L336" s="174"/>
      <c r="M336" s="164"/>
      <c r="N336" s="174"/>
      <c r="O336" s="157"/>
      <c r="P336" s="178"/>
      <c r="Q336" s="157"/>
      <c r="R336" s="157"/>
      <c r="S336" s="178"/>
      <c r="T336" s="157"/>
      <c r="U336" s="178"/>
      <c r="V336" s="191"/>
      <c r="W336" s="191"/>
      <c r="X336" s="191"/>
      <c r="Y336" s="191"/>
      <c r="Z336" s="191"/>
      <c r="AA336" s="191"/>
      <c r="AB336" s="191"/>
    </row>
    <row r="337" ht="15.75" customHeight="1">
      <c r="A337" s="288"/>
      <c r="B337" s="224"/>
      <c r="C337" s="224"/>
      <c r="D337" s="212"/>
      <c r="E337" s="221"/>
      <c r="F337" s="222"/>
      <c r="G337" s="223"/>
      <c r="H337" s="164"/>
      <c r="I337" s="164"/>
      <c r="J337" s="164"/>
      <c r="K337" s="164"/>
      <c r="L337" s="174"/>
      <c r="M337" s="164"/>
      <c r="N337" s="174"/>
      <c r="O337" s="157"/>
      <c r="P337" s="178"/>
      <c r="Q337" s="157"/>
      <c r="R337" s="157"/>
      <c r="S337" s="178"/>
      <c r="T337" s="157"/>
      <c r="U337" s="178"/>
      <c r="V337" s="191"/>
      <c r="W337" s="191"/>
      <c r="X337" s="191"/>
      <c r="Y337" s="191"/>
      <c r="Z337" s="191"/>
      <c r="AA337" s="191"/>
      <c r="AB337" s="191"/>
    </row>
    <row r="338" ht="15.75" customHeight="1">
      <c r="A338" s="288"/>
      <c r="B338" s="224"/>
      <c r="C338" s="224"/>
      <c r="D338" s="212"/>
      <c r="E338" s="221"/>
      <c r="F338" s="222"/>
      <c r="G338" s="223"/>
      <c r="H338" s="164"/>
      <c r="I338" s="164"/>
      <c r="J338" s="164"/>
      <c r="K338" s="164"/>
      <c r="L338" s="174"/>
      <c r="M338" s="164"/>
      <c r="N338" s="174"/>
      <c r="O338" s="157"/>
      <c r="P338" s="178"/>
      <c r="Q338" s="157"/>
      <c r="R338" s="157"/>
      <c r="S338" s="178"/>
      <c r="T338" s="157"/>
      <c r="U338" s="178"/>
      <c r="V338" s="191"/>
      <c r="W338" s="191"/>
      <c r="X338" s="191"/>
      <c r="Y338" s="191"/>
      <c r="Z338" s="191"/>
      <c r="AA338" s="191"/>
      <c r="AB338" s="191"/>
    </row>
    <row r="339" ht="15.75" customHeight="1">
      <c r="A339" s="288"/>
      <c r="B339" s="224"/>
      <c r="C339" s="224"/>
      <c r="D339" s="212"/>
      <c r="E339" s="221"/>
      <c r="F339" s="222"/>
      <c r="G339" s="223"/>
      <c r="H339" s="164"/>
      <c r="I339" s="164"/>
      <c r="J339" s="164"/>
      <c r="K339" s="164"/>
      <c r="L339" s="174"/>
      <c r="M339" s="164"/>
      <c r="N339" s="174"/>
      <c r="O339" s="157"/>
      <c r="P339" s="178"/>
      <c r="Q339" s="157"/>
      <c r="R339" s="157"/>
      <c r="S339" s="178"/>
      <c r="T339" s="157"/>
      <c r="U339" s="178"/>
      <c r="V339" s="191"/>
      <c r="W339" s="191"/>
      <c r="X339" s="191"/>
      <c r="Y339" s="191"/>
      <c r="Z339" s="191"/>
      <c r="AA339" s="191"/>
      <c r="AB339" s="191"/>
    </row>
    <row r="340" ht="15.75" customHeight="1">
      <c r="A340" s="288"/>
      <c r="B340" s="224"/>
      <c r="C340" s="224"/>
      <c r="D340" s="212"/>
      <c r="E340" s="221"/>
      <c r="F340" s="222"/>
      <c r="G340" s="223"/>
      <c r="H340" s="164"/>
      <c r="I340" s="164"/>
      <c r="J340" s="164"/>
      <c r="K340" s="164"/>
      <c r="L340" s="174"/>
      <c r="M340" s="164"/>
      <c r="N340" s="174"/>
      <c r="O340" s="157"/>
      <c r="P340" s="178"/>
      <c r="Q340" s="157"/>
      <c r="R340" s="157"/>
      <c r="S340" s="178"/>
      <c r="T340" s="157"/>
      <c r="U340" s="178"/>
      <c r="V340" s="191"/>
      <c r="W340" s="191"/>
      <c r="X340" s="191"/>
      <c r="Y340" s="191"/>
      <c r="Z340" s="191"/>
      <c r="AA340" s="191"/>
      <c r="AB340" s="191"/>
    </row>
    <row r="341" ht="15.75" customHeight="1">
      <c r="A341" s="288"/>
      <c r="B341" s="224"/>
      <c r="C341" s="224"/>
      <c r="D341" s="212"/>
      <c r="E341" s="221"/>
      <c r="F341" s="222"/>
      <c r="G341" s="223"/>
      <c r="H341" s="164"/>
      <c r="I341" s="164"/>
      <c r="J341" s="164"/>
      <c r="K341" s="164"/>
      <c r="L341" s="174"/>
      <c r="M341" s="164"/>
      <c r="N341" s="174"/>
      <c r="O341" s="157"/>
      <c r="P341" s="178"/>
      <c r="Q341" s="157"/>
      <c r="R341" s="157"/>
      <c r="S341" s="178"/>
      <c r="T341" s="157"/>
      <c r="U341" s="178"/>
      <c r="V341" s="191"/>
      <c r="W341" s="191"/>
      <c r="X341" s="191"/>
      <c r="Y341" s="191"/>
      <c r="Z341" s="191"/>
      <c r="AA341" s="191"/>
      <c r="AB341" s="191"/>
    </row>
    <row r="342" ht="15.75" customHeight="1">
      <c r="A342" s="288"/>
      <c r="B342" s="224"/>
      <c r="C342" s="224"/>
      <c r="D342" s="212"/>
      <c r="E342" s="221"/>
      <c r="F342" s="222"/>
      <c r="G342" s="223"/>
      <c r="H342" s="164"/>
      <c r="I342" s="164"/>
      <c r="J342" s="164"/>
      <c r="K342" s="164"/>
      <c r="L342" s="174"/>
      <c r="M342" s="164"/>
      <c r="N342" s="174"/>
      <c r="O342" s="157"/>
      <c r="P342" s="178"/>
      <c r="Q342" s="157"/>
      <c r="R342" s="157"/>
      <c r="S342" s="178"/>
      <c r="T342" s="157"/>
      <c r="U342" s="178"/>
      <c r="V342" s="191"/>
      <c r="W342" s="191"/>
      <c r="X342" s="191"/>
      <c r="Y342" s="191"/>
      <c r="Z342" s="191"/>
      <c r="AA342" s="191"/>
      <c r="AB342" s="191"/>
    </row>
    <row r="343" ht="15.75" customHeight="1">
      <c r="A343" s="288"/>
      <c r="B343" s="224"/>
      <c r="C343" s="224"/>
      <c r="D343" s="212"/>
      <c r="E343" s="221"/>
      <c r="F343" s="222"/>
      <c r="G343" s="223"/>
      <c r="H343" s="164"/>
      <c r="I343" s="164"/>
      <c r="J343" s="164"/>
      <c r="K343" s="164"/>
      <c r="L343" s="174"/>
      <c r="M343" s="164"/>
      <c r="N343" s="174"/>
      <c r="O343" s="157"/>
      <c r="P343" s="178"/>
      <c r="Q343" s="157"/>
      <c r="R343" s="157"/>
      <c r="S343" s="178"/>
      <c r="T343" s="157"/>
      <c r="U343" s="178"/>
      <c r="V343" s="191"/>
      <c r="W343" s="191"/>
      <c r="X343" s="191"/>
      <c r="Y343" s="191"/>
      <c r="Z343" s="191"/>
      <c r="AA343" s="191"/>
      <c r="AB343" s="191"/>
    </row>
    <row r="344" ht="15.75" customHeight="1">
      <c r="A344" s="288"/>
      <c r="B344" s="224"/>
      <c r="C344" s="224"/>
      <c r="D344" s="212"/>
      <c r="E344" s="221"/>
      <c r="F344" s="222"/>
      <c r="G344" s="223"/>
      <c r="H344" s="164"/>
      <c r="I344" s="164"/>
      <c r="J344" s="164"/>
      <c r="K344" s="164"/>
      <c r="L344" s="174"/>
      <c r="M344" s="164"/>
      <c r="N344" s="174"/>
      <c r="O344" s="157"/>
      <c r="P344" s="178"/>
      <c r="Q344" s="157"/>
      <c r="R344" s="157"/>
      <c r="S344" s="178"/>
      <c r="T344" s="157"/>
      <c r="U344" s="178"/>
      <c r="V344" s="191"/>
      <c r="W344" s="191"/>
      <c r="X344" s="191"/>
      <c r="Y344" s="191"/>
      <c r="Z344" s="191"/>
      <c r="AA344" s="191"/>
      <c r="AB344" s="191"/>
    </row>
    <row r="345" ht="15.75" customHeight="1">
      <c r="A345" s="288"/>
      <c r="B345" s="224"/>
      <c r="C345" s="224"/>
      <c r="D345" s="212"/>
      <c r="E345" s="221"/>
      <c r="F345" s="222"/>
      <c r="G345" s="223"/>
      <c r="H345" s="164"/>
      <c r="I345" s="164"/>
      <c r="J345" s="164"/>
      <c r="K345" s="164"/>
      <c r="L345" s="174"/>
      <c r="M345" s="164"/>
      <c r="N345" s="174"/>
      <c r="O345" s="157"/>
      <c r="P345" s="178"/>
      <c r="Q345" s="157"/>
      <c r="R345" s="157"/>
      <c r="S345" s="178"/>
      <c r="T345" s="157"/>
      <c r="U345" s="178"/>
      <c r="V345" s="191"/>
      <c r="W345" s="191"/>
      <c r="X345" s="191"/>
      <c r="Y345" s="191"/>
      <c r="Z345" s="191"/>
      <c r="AA345" s="191"/>
      <c r="AB345" s="191"/>
    </row>
    <row r="346" ht="15.75" customHeight="1">
      <c r="A346" s="288"/>
      <c r="B346" s="224"/>
      <c r="C346" s="224"/>
      <c r="D346" s="212"/>
      <c r="E346" s="221"/>
      <c r="F346" s="222"/>
      <c r="G346" s="223"/>
      <c r="H346" s="164"/>
      <c r="I346" s="164"/>
      <c r="J346" s="164"/>
      <c r="K346" s="164"/>
      <c r="L346" s="174"/>
      <c r="M346" s="164"/>
      <c r="N346" s="174"/>
      <c r="O346" s="157"/>
      <c r="P346" s="178"/>
      <c r="Q346" s="157"/>
      <c r="R346" s="157"/>
      <c r="S346" s="178"/>
      <c r="T346" s="157"/>
      <c r="U346" s="178"/>
      <c r="V346" s="191"/>
      <c r="W346" s="191"/>
      <c r="X346" s="191"/>
      <c r="Y346" s="191"/>
      <c r="Z346" s="191"/>
      <c r="AA346" s="191"/>
      <c r="AB346" s="191"/>
    </row>
    <row r="347" ht="15.75" customHeight="1">
      <c r="A347" s="288"/>
      <c r="B347" s="224"/>
      <c r="C347" s="224"/>
      <c r="D347" s="212"/>
      <c r="E347" s="221"/>
      <c r="F347" s="222"/>
      <c r="G347" s="223"/>
      <c r="H347" s="164"/>
      <c r="I347" s="164"/>
      <c r="J347" s="164"/>
      <c r="K347" s="164"/>
      <c r="L347" s="174"/>
      <c r="M347" s="164"/>
      <c r="N347" s="174"/>
      <c r="O347" s="157"/>
      <c r="P347" s="178"/>
      <c r="Q347" s="157"/>
      <c r="R347" s="157"/>
      <c r="S347" s="178"/>
      <c r="T347" s="157"/>
      <c r="U347" s="178"/>
      <c r="V347" s="191"/>
      <c r="W347" s="191"/>
      <c r="X347" s="191"/>
      <c r="Y347" s="191"/>
      <c r="Z347" s="191"/>
      <c r="AA347" s="191"/>
      <c r="AB347" s="191"/>
    </row>
    <row r="348" ht="15.75" customHeight="1">
      <c r="A348" s="288"/>
      <c r="B348" s="224"/>
      <c r="C348" s="224"/>
      <c r="D348" s="212"/>
      <c r="E348" s="221"/>
      <c r="F348" s="222"/>
      <c r="G348" s="223"/>
      <c r="H348" s="164"/>
      <c r="I348" s="164"/>
      <c r="J348" s="164"/>
      <c r="K348" s="164"/>
      <c r="L348" s="174"/>
      <c r="M348" s="164"/>
      <c r="N348" s="174"/>
      <c r="O348" s="157"/>
      <c r="P348" s="178"/>
      <c r="Q348" s="157"/>
      <c r="R348" s="157"/>
      <c r="S348" s="178"/>
      <c r="T348" s="157"/>
      <c r="U348" s="178"/>
      <c r="V348" s="191"/>
      <c r="W348" s="191"/>
      <c r="X348" s="191"/>
      <c r="Y348" s="191"/>
      <c r="Z348" s="191"/>
      <c r="AA348" s="191"/>
      <c r="AB348" s="191"/>
    </row>
    <row r="349" ht="15.75" customHeight="1">
      <c r="A349" s="288"/>
      <c r="B349" s="224"/>
      <c r="C349" s="224"/>
      <c r="D349" s="212"/>
      <c r="E349" s="221"/>
      <c r="F349" s="222"/>
      <c r="G349" s="223"/>
      <c r="H349" s="164"/>
      <c r="I349" s="164"/>
      <c r="J349" s="164"/>
      <c r="K349" s="164"/>
      <c r="L349" s="174"/>
      <c r="M349" s="164"/>
      <c r="N349" s="174"/>
      <c r="O349" s="157"/>
      <c r="P349" s="178"/>
      <c r="Q349" s="157"/>
      <c r="R349" s="157"/>
      <c r="S349" s="178"/>
      <c r="T349" s="157"/>
      <c r="U349" s="178"/>
      <c r="V349" s="191"/>
      <c r="W349" s="191"/>
      <c r="X349" s="191"/>
      <c r="Y349" s="191"/>
      <c r="Z349" s="191"/>
      <c r="AA349" s="191"/>
      <c r="AB349" s="191"/>
    </row>
    <row r="350" ht="15.75" customHeight="1">
      <c r="A350" s="288"/>
      <c r="B350" s="224"/>
      <c r="C350" s="224"/>
      <c r="D350" s="212"/>
      <c r="E350" s="221"/>
      <c r="F350" s="222"/>
      <c r="G350" s="223"/>
      <c r="H350" s="164"/>
      <c r="I350" s="164"/>
      <c r="J350" s="164"/>
      <c r="K350" s="164"/>
      <c r="L350" s="174"/>
      <c r="M350" s="164"/>
      <c r="N350" s="174"/>
      <c r="O350" s="157"/>
      <c r="P350" s="178"/>
      <c r="Q350" s="157"/>
      <c r="R350" s="157"/>
      <c r="S350" s="178"/>
      <c r="T350" s="157"/>
      <c r="U350" s="178"/>
      <c r="V350" s="191"/>
      <c r="W350" s="191"/>
      <c r="X350" s="191"/>
      <c r="Y350" s="191"/>
      <c r="Z350" s="191"/>
      <c r="AA350" s="191"/>
      <c r="AB350" s="191"/>
    </row>
    <row r="351" ht="15.75" customHeight="1">
      <c r="A351" s="288"/>
      <c r="B351" s="224"/>
      <c r="C351" s="224"/>
      <c r="D351" s="212"/>
      <c r="E351" s="221"/>
      <c r="F351" s="222"/>
      <c r="G351" s="223"/>
      <c r="H351" s="164"/>
      <c r="I351" s="164"/>
      <c r="J351" s="164"/>
      <c r="K351" s="164"/>
      <c r="L351" s="174"/>
      <c r="M351" s="164"/>
      <c r="N351" s="174"/>
      <c r="O351" s="157"/>
      <c r="P351" s="178"/>
      <c r="Q351" s="157"/>
      <c r="R351" s="157"/>
      <c r="S351" s="178"/>
      <c r="T351" s="157"/>
      <c r="U351" s="178"/>
      <c r="V351" s="191"/>
      <c r="W351" s="191"/>
      <c r="X351" s="191"/>
      <c r="Y351" s="191"/>
      <c r="Z351" s="191"/>
      <c r="AA351" s="191"/>
      <c r="AB351" s="191"/>
    </row>
    <row r="352" ht="15.75" customHeight="1">
      <c r="A352" s="288"/>
      <c r="B352" s="224"/>
      <c r="C352" s="224"/>
      <c r="D352" s="212"/>
      <c r="E352" s="221"/>
      <c r="F352" s="222"/>
      <c r="G352" s="223"/>
      <c r="H352" s="164"/>
      <c r="I352" s="164"/>
      <c r="J352" s="164"/>
      <c r="K352" s="164"/>
      <c r="L352" s="174"/>
      <c r="M352" s="164"/>
      <c r="N352" s="174"/>
      <c r="O352" s="157"/>
      <c r="P352" s="178"/>
      <c r="Q352" s="157"/>
      <c r="R352" s="157"/>
      <c r="S352" s="178"/>
      <c r="T352" s="157"/>
      <c r="U352" s="178"/>
      <c r="V352" s="191"/>
      <c r="W352" s="191"/>
      <c r="X352" s="191"/>
      <c r="Y352" s="191"/>
      <c r="Z352" s="191"/>
      <c r="AA352" s="191"/>
      <c r="AB352" s="191"/>
    </row>
    <row r="353" ht="15.75" customHeight="1">
      <c r="A353" s="288"/>
      <c r="B353" s="224"/>
      <c r="C353" s="224"/>
      <c r="D353" s="212"/>
      <c r="E353" s="221"/>
      <c r="F353" s="222"/>
      <c r="G353" s="223"/>
      <c r="H353" s="164"/>
      <c r="I353" s="164"/>
      <c r="J353" s="164"/>
      <c r="K353" s="164"/>
      <c r="L353" s="174"/>
      <c r="M353" s="164"/>
      <c r="N353" s="174"/>
      <c r="O353" s="157"/>
      <c r="P353" s="178"/>
      <c r="Q353" s="157"/>
      <c r="R353" s="157"/>
      <c r="S353" s="178"/>
      <c r="T353" s="157"/>
      <c r="U353" s="178"/>
      <c r="V353" s="191"/>
      <c r="W353" s="191"/>
      <c r="X353" s="191"/>
      <c r="Y353" s="191"/>
      <c r="Z353" s="191"/>
      <c r="AA353" s="191"/>
      <c r="AB353" s="191"/>
    </row>
    <row r="354" ht="15.75" customHeight="1">
      <c r="A354" s="288"/>
      <c r="B354" s="224"/>
      <c r="C354" s="224"/>
      <c r="D354" s="212"/>
      <c r="E354" s="221"/>
      <c r="F354" s="222"/>
      <c r="G354" s="223"/>
      <c r="H354" s="164"/>
      <c r="I354" s="164"/>
      <c r="J354" s="164"/>
      <c r="K354" s="164"/>
      <c r="L354" s="174"/>
      <c r="M354" s="164"/>
      <c r="N354" s="174"/>
      <c r="O354" s="157"/>
      <c r="P354" s="178"/>
      <c r="Q354" s="157"/>
      <c r="R354" s="157"/>
      <c r="S354" s="178"/>
      <c r="T354" s="157"/>
      <c r="U354" s="178"/>
      <c r="V354" s="191"/>
      <c r="W354" s="191"/>
      <c r="X354" s="191"/>
      <c r="Y354" s="191"/>
      <c r="Z354" s="191"/>
      <c r="AA354" s="191"/>
      <c r="AB354" s="191"/>
    </row>
    <row r="355" ht="15.75" customHeight="1">
      <c r="A355" s="288"/>
      <c r="B355" s="224"/>
      <c r="C355" s="224"/>
      <c r="D355" s="212"/>
      <c r="E355" s="221"/>
      <c r="F355" s="222"/>
      <c r="G355" s="223"/>
      <c r="H355" s="164"/>
      <c r="I355" s="164"/>
      <c r="J355" s="164"/>
      <c r="K355" s="164"/>
      <c r="L355" s="174"/>
      <c r="M355" s="164"/>
      <c r="N355" s="174"/>
      <c r="O355" s="157"/>
      <c r="P355" s="178"/>
      <c r="Q355" s="157"/>
      <c r="R355" s="157"/>
      <c r="S355" s="178"/>
      <c r="T355" s="157"/>
      <c r="U355" s="178"/>
      <c r="V355" s="191"/>
      <c r="W355" s="191"/>
      <c r="X355" s="191"/>
      <c r="Y355" s="191"/>
      <c r="Z355" s="191"/>
      <c r="AA355" s="191"/>
      <c r="AB355" s="191"/>
    </row>
    <row r="356" ht="15.75" customHeight="1">
      <c r="A356" s="288"/>
      <c r="B356" s="224"/>
      <c r="C356" s="224"/>
      <c r="D356" s="212"/>
      <c r="E356" s="221"/>
      <c r="F356" s="222"/>
      <c r="G356" s="223"/>
      <c r="H356" s="164"/>
      <c r="I356" s="164"/>
      <c r="J356" s="164"/>
      <c r="K356" s="164"/>
      <c r="L356" s="174"/>
      <c r="M356" s="164"/>
      <c r="N356" s="174"/>
      <c r="O356" s="157"/>
      <c r="P356" s="178"/>
      <c r="Q356" s="157"/>
      <c r="R356" s="157"/>
      <c r="S356" s="178"/>
      <c r="T356" s="157"/>
      <c r="U356" s="178"/>
      <c r="V356" s="191"/>
      <c r="W356" s="191"/>
      <c r="X356" s="191"/>
      <c r="Y356" s="191"/>
      <c r="Z356" s="191"/>
      <c r="AA356" s="191"/>
      <c r="AB356" s="191"/>
    </row>
    <row r="357" ht="15.75" customHeight="1">
      <c r="A357" s="288"/>
      <c r="B357" s="224"/>
      <c r="C357" s="224"/>
      <c r="D357" s="212"/>
      <c r="E357" s="221"/>
      <c r="F357" s="222"/>
      <c r="G357" s="223"/>
      <c r="H357" s="164"/>
      <c r="I357" s="164"/>
      <c r="J357" s="164"/>
      <c r="K357" s="164"/>
      <c r="L357" s="174"/>
      <c r="M357" s="164"/>
      <c r="N357" s="174"/>
      <c r="O357" s="157"/>
      <c r="P357" s="178"/>
      <c r="Q357" s="157"/>
      <c r="R357" s="157"/>
      <c r="S357" s="178"/>
      <c r="T357" s="157"/>
      <c r="U357" s="178"/>
      <c r="V357" s="191"/>
      <c r="W357" s="191"/>
      <c r="X357" s="191"/>
      <c r="Y357" s="191"/>
      <c r="Z357" s="191"/>
      <c r="AA357" s="191"/>
      <c r="AB357" s="191"/>
    </row>
    <row r="358" ht="15.75" customHeight="1">
      <c r="A358" s="288"/>
      <c r="B358" s="224"/>
      <c r="C358" s="224"/>
      <c r="D358" s="212"/>
      <c r="E358" s="221"/>
      <c r="F358" s="222"/>
      <c r="G358" s="223"/>
      <c r="H358" s="164"/>
      <c r="I358" s="164"/>
      <c r="J358" s="164"/>
      <c r="K358" s="164"/>
      <c r="L358" s="174"/>
      <c r="M358" s="164"/>
      <c r="N358" s="174"/>
      <c r="O358" s="157"/>
      <c r="P358" s="178"/>
      <c r="Q358" s="157"/>
      <c r="R358" s="157"/>
      <c r="S358" s="178"/>
      <c r="T358" s="157"/>
      <c r="U358" s="178"/>
      <c r="V358" s="191"/>
      <c r="W358" s="191"/>
      <c r="X358" s="191"/>
      <c r="Y358" s="191"/>
      <c r="Z358" s="191"/>
      <c r="AA358" s="191"/>
      <c r="AB358" s="191"/>
    </row>
    <row r="359" ht="15.75" customHeight="1">
      <c r="A359" s="288"/>
      <c r="B359" s="224"/>
      <c r="C359" s="224"/>
      <c r="D359" s="212"/>
      <c r="E359" s="221"/>
      <c r="F359" s="222"/>
      <c r="G359" s="223"/>
      <c r="H359" s="164"/>
      <c r="I359" s="164"/>
      <c r="J359" s="164"/>
      <c r="K359" s="164"/>
      <c r="L359" s="174"/>
      <c r="M359" s="164"/>
      <c r="N359" s="174"/>
      <c r="O359" s="157"/>
      <c r="P359" s="178"/>
      <c r="Q359" s="157"/>
      <c r="R359" s="157"/>
      <c r="S359" s="178"/>
      <c r="T359" s="157"/>
      <c r="U359" s="178"/>
      <c r="V359" s="191"/>
      <c r="W359" s="191"/>
      <c r="X359" s="191"/>
      <c r="Y359" s="191"/>
      <c r="Z359" s="191"/>
      <c r="AA359" s="191"/>
      <c r="AB359" s="191"/>
    </row>
    <row r="360" ht="15.75" customHeight="1">
      <c r="A360" s="288"/>
      <c r="B360" s="224"/>
      <c r="C360" s="224"/>
      <c r="D360" s="212"/>
      <c r="E360" s="221"/>
      <c r="F360" s="222"/>
      <c r="G360" s="223"/>
      <c r="H360" s="164"/>
      <c r="I360" s="164"/>
      <c r="J360" s="164"/>
      <c r="K360" s="164"/>
      <c r="L360" s="174"/>
      <c r="M360" s="164"/>
      <c r="N360" s="174"/>
      <c r="O360" s="157"/>
      <c r="P360" s="178"/>
      <c r="Q360" s="157"/>
      <c r="R360" s="157"/>
      <c r="S360" s="178"/>
      <c r="T360" s="157"/>
      <c r="U360" s="178"/>
      <c r="V360" s="191"/>
      <c r="W360" s="191"/>
      <c r="X360" s="191"/>
      <c r="Y360" s="191"/>
      <c r="Z360" s="191"/>
      <c r="AA360" s="191"/>
      <c r="AB360" s="191"/>
    </row>
    <row r="361" ht="15.75" customHeight="1">
      <c r="A361" s="288"/>
      <c r="B361" s="224"/>
      <c r="C361" s="224"/>
      <c r="D361" s="212"/>
      <c r="E361" s="221"/>
      <c r="F361" s="222"/>
      <c r="G361" s="223"/>
      <c r="H361" s="164"/>
      <c r="I361" s="164"/>
      <c r="J361" s="164"/>
      <c r="K361" s="164"/>
      <c r="L361" s="174"/>
      <c r="M361" s="164"/>
      <c r="N361" s="174"/>
      <c r="O361" s="157"/>
      <c r="P361" s="178"/>
      <c r="Q361" s="157"/>
      <c r="R361" s="157"/>
      <c r="S361" s="178"/>
      <c r="T361" s="157"/>
      <c r="U361" s="178"/>
      <c r="V361" s="191"/>
      <c r="W361" s="191"/>
      <c r="X361" s="191"/>
      <c r="Y361" s="191"/>
      <c r="Z361" s="191"/>
      <c r="AA361" s="191"/>
      <c r="AB361" s="191"/>
    </row>
    <row r="362" ht="15.75" customHeight="1">
      <c r="A362" s="288"/>
      <c r="B362" s="224"/>
      <c r="C362" s="224"/>
      <c r="D362" s="212"/>
      <c r="E362" s="221"/>
      <c r="F362" s="222"/>
      <c r="G362" s="223"/>
      <c r="H362" s="164"/>
      <c r="I362" s="164"/>
      <c r="J362" s="164"/>
      <c r="K362" s="164"/>
      <c r="L362" s="174"/>
      <c r="M362" s="164"/>
      <c r="N362" s="174"/>
      <c r="O362" s="157"/>
      <c r="P362" s="178"/>
      <c r="Q362" s="157"/>
      <c r="R362" s="157"/>
      <c r="S362" s="178"/>
      <c r="T362" s="157"/>
      <c r="U362" s="178"/>
      <c r="V362" s="191"/>
      <c r="W362" s="191"/>
      <c r="X362" s="191"/>
      <c r="Y362" s="191"/>
      <c r="Z362" s="191"/>
      <c r="AA362" s="191"/>
      <c r="AB362" s="191"/>
    </row>
    <row r="363" ht="15.75" customHeight="1">
      <c r="A363" s="288"/>
      <c r="B363" s="224"/>
      <c r="C363" s="224"/>
      <c r="D363" s="212"/>
      <c r="E363" s="221"/>
      <c r="F363" s="222"/>
      <c r="G363" s="223"/>
      <c r="H363" s="164"/>
      <c r="I363" s="164"/>
      <c r="J363" s="164"/>
      <c r="K363" s="164"/>
      <c r="L363" s="174"/>
      <c r="M363" s="164"/>
      <c r="N363" s="174"/>
      <c r="O363" s="157"/>
      <c r="P363" s="178"/>
      <c r="Q363" s="157"/>
      <c r="R363" s="157"/>
      <c r="S363" s="178"/>
      <c r="T363" s="157"/>
      <c r="U363" s="178"/>
      <c r="V363" s="191"/>
      <c r="W363" s="191"/>
      <c r="X363" s="191"/>
      <c r="Y363" s="191"/>
      <c r="Z363" s="191"/>
      <c r="AA363" s="191"/>
      <c r="AB363" s="191"/>
    </row>
    <row r="364" ht="15.75" customHeight="1">
      <c r="A364" s="288"/>
      <c r="B364" s="224"/>
      <c r="C364" s="224"/>
      <c r="D364" s="212"/>
      <c r="E364" s="221"/>
      <c r="F364" s="222"/>
      <c r="G364" s="223"/>
      <c r="H364" s="164"/>
      <c r="I364" s="164"/>
      <c r="J364" s="164"/>
      <c r="K364" s="164"/>
      <c r="L364" s="174"/>
      <c r="M364" s="164"/>
      <c r="N364" s="174"/>
      <c r="O364" s="157"/>
      <c r="P364" s="178"/>
      <c r="Q364" s="157"/>
      <c r="R364" s="157"/>
      <c r="S364" s="178"/>
      <c r="T364" s="157"/>
      <c r="U364" s="178"/>
      <c r="V364" s="191"/>
      <c r="W364" s="191"/>
      <c r="X364" s="191"/>
      <c r="Y364" s="191"/>
      <c r="Z364" s="191"/>
      <c r="AA364" s="191"/>
      <c r="AB364" s="191"/>
    </row>
    <row r="365" ht="15.75" customHeight="1">
      <c r="A365" s="288"/>
      <c r="B365" s="224"/>
      <c r="C365" s="224"/>
      <c r="D365" s="212"/>
      <c r="E365" s="221"/>
      <c r="F365" s="222"/>
      <c r="G365" s="223"/>
      <c r="H365" s="164"/>
      <c r="I365" s="164"/>
      <c r="J365" s="164"/>
      <c r="K365" s="164"/>
      <c r="L365" s="174"/>
      <c r="M365" s="164"/>
      <c r="N365" s="174"/>
      <c r="O365" s="157"/>
      <c r="P365" s="178"/>
      <c r="Q365" s="157"/>
      <c r="R365" s="157"/>
      <c r="S365" s="178"/>
      <c r="T365" s="157"/>
      <c r="U365" s="178"/>
      <c r="V365" s="191"/>
      <c r="W365" s="191"/>
      <c r="X365" s="191"/>
      <c r="Y365" s="191"/>
      <c r="Z365" s="191"/>
      <c r="AA365" s="191"/>
      <c r="AB365" s="191"/>
    </row>
    <row r="366" ht="15.75" customHeight="1">
      <c r="A366" s="288"/>
      <c r="B366" s="224"/>
      <c r="C366" s="224"/>
      <c r="D366" s="212"/>
      <c r="E366" s="221"/>
      <c r="F366" s="222"/>
      <c r="G366" s="223"/>
      <c r="H366" s="164"/>
      <c r="I366" s="164"/>
      <c r="J366" s="164"/>
      <c r="K366" s="164"/>
      <c r="L366" s="174"/>
      <c r="M366" s="164"/>
      <c r="N366" s="174"/>
      <c r="O366" s="157"/>
      <c r="P366" s="178"/>
      <c r="Q366" s="157"/>
      <c r="R366" s="157"/>
      <c r="S366" s="178"/>
      <c r="T366" s="157"/>
      <c r="U366" s="178"/>
      <c r="V366" s="191"/>
      <c r="W366" s="191"/>
      <c r="X366" s="191"/>
      <c r="Y366" s="191"/>
      <c r="Z366" s="191"/>
      <c r="AA366" s="191"/>
      <c r="AB366" s="191"/>
    </row>
    <row r="367" ht="15.75" customHeight="1">
      <c r="A367" s="288"/>
      <c r="B367" s="224"/>
      <c r="C367" s="224"/>
      <c r="D367" s="212"/>
      <c r="E367" s="221"/>
      <c r="F367" s="222"/>
      <c r="G367" s="223"/>
      <c r="H367" s="164"/>
      <c r="I367" s="164"/>
      <c r="J367" s="164"/>
      <c r="K367" s="164"/>
      <c r="L367" s="174"/>
      <c r="M367" s="164"/>
      <c r="N367" s="174"/>
      <c r="O367" s="157"/>
      <c r="P367" s="178"/>
      <c r="Q367" s="157"/>
      <c r="R367" s="157"/>
      <c r="S367" s="178"/>
      <c r="T367" s="157"/>
      <c r="U367" s="178"/>
      <c r="V367" s="191"/>
      <c r="W367" s="191"/>
      <c r="X367" s="191"/>
      <c r="Y367" s="191"/>
      <c r="Z367" s="191"/>
      <c r="AA367" s="191"/>
      <c r="AB367" s="191"/>
    </row>
    <row r="368" ht="15.75" customHeight="1">
      <c r="A368" s="288"/>
      <c r="B368" s="224"/>
      <c r="C368" s="224"/>
      <c r="D368" s="212"/>
      <c r="E368" s="221"/>
      <c r="F368" s="222"/>
      <c r="G368" s="223"/>
      <c r="H368" s="164"/>
      <c r="I368" s="164"/>
      <c r="J368" s="164"/>
      <c r="K368" s="164"/>
      <c r="L368" s="174"/>
      <c r="M368" s="164"/>
      <c r="N368" s="174"/>
      <c r="O368" s="157"/>
      <c r="P368" s="178"/>
      <c r="Q368" s="157"/>
      <c r="R368" s="157"/>
      <c r="S368" s="178"/>
      <c r="T368" s="157"/>
      <c r="U368" s="178"/>
      <c r="V368" s="191"/>
      <c r="W368" s="191"/>
      <c r="X368" s="191"/>
      <c r="Y368" s="191"/>
      <c r="Z368" s="191"/>
      <c r="AA368" s="191"/>
      <c r="AB368" s="191"/>
    </row>
    <row r="369" ht="15.75" customHeight="1">
      <c r="A369" s="288"/>
      <c r="B369" s="224"/>
      <c r="C369" s="224"/>
      <c r="D369" s="212"/>
      <c r="E369" s="221"/>
      <c r="F369" s="222"/>
      <c r="G369" s="223"/>
      <c r="H369" s="164"/>
      <c r="I369" s="164"/>
      <c r="J369" s="164"/>
      <c r="K369" s="164"/>
      <c r="L369" s="174"/>
      <c r="M369" s="164"/>
      <c r="N369" s="174"/>
      <c r="O369" s="157"/>
      <c r="P369" s="178"/>
      <c r="Q369" s="157"/>
      <c r="R369" s="157"/>
      <c r="S369" s="178"/>
      <c r="T369" s="157"/>
      <c r="U369" s="178"/>
      <c r="V369" s="191"/>
      <c r="W369" s="191"/>
      <c r="X369" s="191"/>
      <c r="Y369" s="191"/>
      <c r="Z369" s="191"/>
      <c r="AA369" s="191"/>
      <c r="AB369" s="191"/>
    </row>
    <row r="370" ht="15.75" customHeight="1">
      <c r="A370" s="288"/>
      <c r="B370" s="224"/>
      <c r="C370" s="224"/>
      <c r="D370" s="212"/>
      <c r="E370" s="221"/>
      <c r="F370" s="222"/>
      <c r="G370" s="223"/>
      <c r="H370" s="164"/>
      <c r="I370" s="164"/>
      <c r="J370" s="164"/>
      <c r="K370" s="164"/>
      <c r="L370" s="174"/>
      <c r="M370" s="164"/>
      <c r="N370" s="174"/>
      <c r="O370" s="157"/>
      <c r="P370" s="178"/>
      <c r="Q370" s="157"/>
      <c r="R370" s="157"/>
      <c r="S370" s="178"/>
      <c r="T370" s="157"/>
      <c r="U370" s="178"/>
      <c r="V370" s="191"/>
      <c r="W370" s="191"/>
      <c r="X370" s="191"/>
      <c r="Y370" s="191"/>
      <c r="Z370" s="191"/>
      <c r="AA370" s="191"/>
      <c r="AB370" s="191"/>
    </row>
    <row r="371" ht="15.75" customHeight="1">
      <c r="A371" s="288"/>
      <c r="B371" s="224"/>
      <c r="C371" s="224"/>
      <c r="D371" s="212"/>
      <c r="E371" s="221"/>
      <c r="F371" s="222"/>
      <c r="G371" s="223"/>
      <c r="H371" s="164"/>
      <c r="I371" s="164"/>
      <c r="J371" s="164"/>
      <c r="K371" s="164"/>
      <c r="L371" s="174"/>
      <c r="M371" s="164"/>
      <c r="N371" s="174"/>
      <c r="O371" s="157"/>
      <c r="P371" s="178"/>
      <c r="Q371" s="157"/>
      <c r="R371" s="157"/>
      <c r="S371" s="178"/>
      <c r="T371" s="157"/>
      <c r="U371" s="178"/>
      <c r="V371" s="191"/>
      <c r="W371" s="191"/>
      <c r="X371" s="191"/>
      <c r="Y371" s="191"/>
      <c r="Z371" s="191"/>
      <c r="AA371" s="191"/>
      <c r="AB371" s="191"/>
    </row>
    <row r="372" ht="15.75" customHeight="1">
      <c r="A372" s="288"/>
      <c r="B372" s="224"/>
      <c r="C372" s="224"/>
      <c r="D372" s="212"/>
      <c r="E372" s="221"/>
      <c r="F372" s="222"/>
      <c r="G372" s="223"/>
      <c r="H372" s="164"/>
      <c r="I372" s="164"/>
      <c r="J372" s="164"/>
      <c r="K372" s="164"/>
      <c r="L372" s="174"/>
      <c r="M372" s="164"/>
      <c r="N372" s="174"/>
      <c r="O372" s="157"/>
      <c r="P372" s="178"/>
      <c r="Q372" s="157"/>
      <c r="R372" s="157"/>
      <c r="S372" s="178"/>
      <c r="T372" s="157"/>
      <c r="U372" s="178"/>
      <c r="V372" s="191"/>
      <c r="W372" s="191"/>
      <c r="X372" s="191"/>
      <c r="Y372" s="191"/>
      <c r="Z372" s="191"/>
      <c r="AA372" s="191"/>
      <c r="AB372" s="191"/>
    </row>
    <row r="373" ht="15.75" customHeight="1">
      <c r="A373" s="288"/>
      <c r="B373" s="224"/>
      <c r="C373" s="224"/>
      <c r="D373" s="212"/>
      <c r="E373" s="221"/>
      <c r="F373" s="222"/>
      <c r="G373" s="223"/>
      <c r="H373" s="164"/>
      <c r="I373" s="164"/>
      <c r="J373" s="164"/>
      <c r="K373" s="164"/>
      <c r="L373" s="174"/>
      <c r="M373" s="164"/>
      <c r="N373" s="174"/>
      <c r="O373" s="157"/>
      <c r="P373" s="178"/>
      <c r="Q373" s="157"/>
      <c r="R373" s="157"/>
      <c r="S373" s="178"/>
      <c r="T373" s="157"/>
      <c r="U373" s="178"/>
      <c r="V373" s="191"/>
      <c r="W373" s="191"/>
      <c r="X373" s="191"/>
      <c r="Y373" s="191"/>
      <c r="Z373" s="191"/>
      <c r="AA373" s="191"/>
      <c r="AB373" s="191"/>
    </row>
    <row r="374" ht="15.75" customHeight="1">
      <c r="A374" s="288"/>
      <c r="B374" s="224"/>
      <c r="C374" s="224"/>
      <c r="D374" s="212"/>
      <c r="E374" s="221"/>
      <c r="F374" s="222"/>
      <c r="G374" s="223"/>
      <c r="H374" s="164"/>
      <c r="I374" s="164"/>
      <c r="J374" s="164"/>
      <c r="K374" s="164"/>
      <c r="L374" s="174"/>
      <c r="M374" s="164"/>
      <c r="N374" s="174"/>
      <c r="O374" s="157"/>
      <c r="P374" s="178"/>
      <c r="Q374" s="157"/>
      <c r="R374" s="157"/>
      <c r="S374" s="178"/>
      <c r="T374" s="157"/>
      <c r="U374" s="178"/>
      <c r="V374" s="191"/>
      <c r="W374" s="191"/>
      <c r="X374" s="191"/>
      <c r="Y374" s="191"/>
      <c r="Z374" s="191"/>
      <c r="AA374" s="191"/>
      <c r="AB374" s="191"/>
    </row>
    <row r="375" ht="15.75" customHeight="1">
      <c r="A375" s="288"/>
      <c r="B375" s="224"/>
      <c r="C375" s="224"/>
      <c r="D375" s="212"/>
      <c r="E375" s="221"/>
      <c r="F375" s="222"/>
      <c r="G375" s="223"/>
      <c r="H375" s="164"/>
      <c r="I375" s="164"/>
      <c r="J375" s="164"/>
      <c r="K375" s="164"/>
      <c r="L375" s="174"/>
      <c r="M375" s="164"/>
      <c r="N375" s="174"/>
      <c r="O375" s="157"/>
      <c r="P375" s="178"/>
      <c r="Q375" s="157"/>
      <c r="R375" s="157"/>
      <c r="S375" s="178"/>
      <c r="T375" s="157"/>
      <c r="U375" s="178"/>
      <c r="V375" s="191"/>
      <c r="W375" s="191"/>
      <c r="X375" s="191"/>
      <c r="Y375" s="191"/>
      <c r="Z375" s="191"/>
      <c r="AA375" s="191"/>
      <c r="AB375" s="191"/>
    </row>
    <row r="376" ht="15.75" customHeight="1">
      <c r="A376" s="288"/>
      <c r="B376" s="224"/>
      <c r="C376" s="224"/>
      <c r="D376" s="212"/>
      <c r="E376" s="221"/>
      <c r="F376" s="222"/>
      <c r="G376" s="223"/>
      <c r="H376" s="164"/>
      <c r="I376" s="164"/>
      <c r="J376" s="164"/>
      <c r="K376" s="164"/>
      <c r="L376" s="174"/>
      <c r="M376" s="164"/>
      <c r="N376" s="174"/>
      <c r="O376" s="157"/>
      <c r="P376" s="178"/>
      <c r="Q376" s="157"/>
      <c r="R376" s="157"/>
      <c r="S376" s="178"/>
      <c r="T376" s="157"/>
      <c r="U376" s="178"/>
      <c r="V376" s="191"/>
      <c r="W376" s="191"/>
      <c r="X376" s="191"/>
      <c r="Y376" s="191"/>
      <c r="Z376" s="191"/>
      <c r="AA376" s="191"/>
      <c r="AB376" s="191"/>
    </row>
    <row r="377" ht="15.75" customHeight="1">
      <c r="A377" s="288"/>
      <c r="B377" s="224"/>
      <c r="C377" s="224"/>
      <c r="D377" s="212"/>
      <c r="E377" s="221"/>
      <c r="F377" s="222"/>
      <c r="G377" s="223"/>
      <c r="H377" s="164"/>
      <c r="I377" s="164"/>
      <c r="J377" s="164"/>
      <c r="K377" s="164"/>
      <c r="L377" s="174"/>
      <c r="M377" s="164"/>
      <c r="N377" s="174"/>
      <c r="O377" s="157"/>
      <c r="P377" s="178"/>
      <c r="Q377" s="157"/>
      <c r="R377" s="157"/>
      <c r="S377" s="178"/>
      <c r="T377" s="157"/>
      <c r="U377" s="178"/>
      <c r="V377" s="191"/>
      <c r="W377" s="191"/>
      <c r="X377" s="191"/>
      <c r="Y377" s="191"/>
      <c r="Z377" s="191"/>
      <c r="AA377" s="191"/>
      <c r="AB377" s="191"/>
    </row>
    <row r="378" ht="15.75" customHeight="1">
      <c r="A378" s="288"/>
      <c r="B378" s="224"/>
      <c r="C378" s="224"/>
      <c r="D378" s="212"/>
      <c r="E378" s="221"/>
      <c r="F378" s="222"/>
      <c r="G378" s="223"/>
      <c r="H378" s="164"/>
      <c r="I378" s="164"/>
      <c r="J378" s="164"/>
      <c r="K378" s="164"/>
      <c r="L378" s="174"/>
      <c r="M378" s="164"/>
      <c r="N378" s="174"/>
      <c r="O378" s="157"/>
      <c r="P378" s="178"/>
      <c r="Q378" s="157"/>
      <c r="R378" s="157"/>
      <c r="S378" s="178"/>
      <c r="T378" s="157"/>
      <c r="U378" s="178"/>
      <c r="V378" s="191"/>
      <c r="W378" s="191"/>
      <c r="X378" s="191"/>
      <c r="Y378" s="191"/>
      <c r="Z378" s="191"/>
      <c r="AA378" s="191"/>
      <c r="AB378" s="191"/>
    </row>
    <row r="379" ht="15.75" customHeight="1">
      <c r="A379" s="288"/>
      <c r="B379" s="224"/>
      <c r="C379" s="224"/>
      <c r="D379" s="212"/>
      <c r="E379" s="221"/>
      <c r="F379" s="222"/>
      <c r="G379" s="223"/>
      <c r="H379" s="164"/>
      <c r="I379" s="164"/>
      <c r="J379" s="164"/>
      <c r="K379" s="164"/>
      <c r="L379" s="174"/>
      <c r="M379" s="164"/>
      <c r="N379" s="174"/>
      <c r="O379" s="157"/>
      <c r="P379" s="178"/>
      <c r="Q379" s="157"/>
      <c r="R379" s="157"/>
      <c r="S379" s="178"/>
      <c r="T379" s="157"/>
      <c r="U379" s="178"/>
      <c r="V379" s="191"/>
      <c r="W379" s="191"/>
      <c r="X379" s="191"/>
      <c r="Y379" s="191"/>
      <c r="Z379" s="191"/>
      <c r="AA379" s="191"/>
      <c r="AB379" s="191"/>
    </row>
    <row r="380" ht="15.75" customHeight="1">
      <c r="A380" s="288"/>
      <c r="B380" s="224"/>
      <c r="C380" s="224"/>
      <c r="D380" s="212"/>
      <c r="E380" s="221"/>
      <c r="F380" s="222"/>
      <c r="G380" s="223"/>
      <c r="H380" s="164"/>
      <c r="I380" s="164"/>
      <c r="J380" s="164"/>
      <c r="K380" s="164"/>
      <c r="L380" s="174"/>
      <c r="M380" s="164"/>
      <c r="N380" s="174"/>
      <c r="O380" s="157"/>
      <c r="P380" s="178"/>
      <c r="Q380" s="157"/>
      <c r="R380" s="157"/>
      <c r="S380" s="178"/>
      <c r="T380" s="157"/>
      <c r="U380" s="178"/>
      <c r="V380" s="191"/>
      <c r="W380" s="191"/>
      <c r="X380" s="191"/>
      <c r="Y380" s="191"/>
      <c r="Z380" s="191"/>
      <c r="AA380" s="191"/>
      <c r="AB380" s="191"/>
    </row>
    <row r="381" ht="15.75" customHeight="1">
      <c r="A381" s="288"/>
      <c r="B381" s="224"/>
      <c r="C381" s="224"/>
      <c r="D381" s="212"/>
      <c r="E381" s="221"/>
      <c r="F381" s="222"/>
      <c r="G381" s="223"/>
      <c r="H381" s="164"/>
      <c r="I381" s="164"/>
      <c r="J381" s="164"/>
      <c r="K381" s="164"/>
      <c r="L381" s="174"/>
      <c r="M381" s="164"/>
      <c r="N381" s="174"/>
      <c r="O381" s="157"/>
      <c r="P381" s="178"/>
      <c r="Q381" s="157"/>
      <c r="R381" s="157"/>
      <c r="S381" s="178"/>
      <c r="T381" s="157"/>
      <c r="U381" s="178"/>
      <c r="V381" s="191"/>
      <c r="W381" s="191"/>
      <c r="X381" s="191"/>
      <c r="Y381" s="191"/>
      <c r="Z381" s="191"/>
      <c r="AA381" s="191"/>
      <c r="AB381" s="191"/>
    </row>
    <row r="382" ht="15.75" customHeight="1">
      <c r="A382" s="288"/>
      <c r="B382" s="224"/>
      <c r="C382" s="224"/>
      <c r="D382" s="212"/>
      <c r="E382" s="221"/>
      <c r="F382" s="222"/>
      <c r="G382" s="223"/>
      <c r="H382" s="164"/>
      <c r="I382" s="164"/>
      <c r="J382" s="164"/>
      <c r="K382" s="164"/>
      <c r="L382" s="174"/>
      <c r="M382" s="164"/>
      <c r="N382" s="174"/>
      <c r="O382" s="157"/>
      <c r="P382" s="178"/>
      <c r="Q382" s="157"/>
      <c r="R382" s="157"/>
      <c r="S382" s="178"/>
      <c r="T382" s="157"/>
      <c r="U382" s="178"/>
      <c r="V382" s="191"/>
      <c r="W382" s="191"/>
      <c r="X382" s="191"/>
      <c r="Y382" s="191"/>
      <c r="Z382" s="191"/>
      <c r="AA382" s="191"/>
      <c r="AB382" s="191"/>
    </row>
    <row r="383" ht="15.75" customHeight="1">
      <c r="A383" s="288"/>
      <c r="B383" s="224"/>
      <c r="C383" s="224"/>
      <c r="D383" s="212"/>
      <c r="E383" s="221"/>
      <c r="F383" s="222"/>
      <c r="G383" s="223"/>
      <c r="H383" s="164"/>
      <c r="I383" s="164"/>
      <c r="J383" s="164"/>
      <c r="K383" s="164"/>
      <c r="L383" s="174"/>
      <c r="M383" s="164"/>
      <c r="N383" s="174"/>
      <c r="O383" s="157"/>
      <c r="P383" s="178"/>
      <c r="Q383" s="157"/>
      <c r="R383" s="157"/>
      <c r="S383" s="178"/>
      <c r="T383" s="157"/>
      <c r="U383" s="178"/>
      <c r="V383" s="191"/>
      <c r="W383" s="191"/>
      <c r="X383" s="191"/>
      <c r="Y383" s="191"/>
      <c r="Z383" s="191"/>
      <c r="AA383" s="191"/>
      <c r="AB383" s="191"/>
    </row>
    <row r="384" ht="15.75" customHeight="1">
      <c r="A384" s="288"/>
      <c r="B384" s="224"/>
      <c r="C384" s="224"/>
      <c r="D384" s="212"/>
      <c r="E384" s="221"/>
      <c r="F384" s="222"/>
      <c r="G384" s="223"/>
      <c r="H384" s="164"/>
      <c r="I384" s="164"/>
      <c r="J384" s="164"/>
      <c r="K384" s="164"/>
      <c r="L384" s="174"/>
      <c r="M384" s="164"/>
      <c r="N384" s="174"/>
      <c r="O384" s="157"/>
      <c r="P384" s="178"/>
      <c r="Q384" s="157"/>
      <c r="R384" s="157"/>
      <c r="S384" s="178"/>
      <c r="T384" s="157"/>
      <c r="U384" s="178"/>
      <c r="V384" s="191"/>
      <c r="W384" s="191"/>
      <c r="X384" s="191"/>
      <c r="Y384" s="191"/>
      <c r="Z384" s="191"/>
      <c r="AA384" s="191"/>
      <c r="AB384" s="191"/>
    </row>
    <row r="385" ht="15.75" customHeight="1">
      <c r="A385" s="288"/>
      <c r="B385" s="224"/>
      <c r="C385" s="224"/>
      <c r="D385" s="212"/>
      <c r="E385" s="221"/>
      <c r="F385" s="222"/>
      <c r="G385" s="223"/>
      <c r="H385" s="164"/>
      <c r="I385" s="164"/>
      <c r="J385" s="164"/>
      <c r="K385" s="164"/>
      <c r="L385" s="174"/>
      <c r="M385" s="164"/>
      <c r="N385" s="174"/>
      <c r="O385" s="157"/>
      <c r="P385" s="178"/>
      <c r="Q385" s="157"/>
      <c r="R385" s="157"/>
      <c r="S385" s="178"/>
      <c r="T385" s="157"/>
      <c r="U385" s="178"/>
      <c r="V385" s="191"/>
      <c r="W385" s="191"/>
      <c r="X385" s="191"/>
      <c r="Y385" s="191"/>
      <c r="Z385" s="191"/>
      <c r="AA385" s="191"/>
      <c r="AB385" s="191"/>
    </row>
    <row r="386" ht="15.75" customHeight="1">
      <c r="A386" s="288"/>
      <c r="B386" s="224"/>
      <c r="C386" s="224"/>
      <c r="D386" s="212"/>
      <c r="E386" s="221"/>
      <c r="F386" s="222"/>
      <c r="G386" s="223"/>
      <c r="H386" s="164"/>
      <c r="I386" s="164"/>
      <c r="J386" s="164"/>
      <c r="K386" s="164"/>
      <c r="L386" s="174"/>
      <c r="M386" s="164"/>
      <c r="N386" s="174"/>
      <c r="O386" s="157"/>
      <c r="P386" s="178"/>
      <c r="Q386" s="157"/>
      <c r="R386" s="157"/>
      <c r="S386" s="178"/>
      <c r="T386" s="157"/>
      <c r="U386" s="178"/>
      <c r="V386" s="191"/>
      <c r="W386" s="191"/>
      <c r="X386" s="191"/>
      <c r="Y386" s="191"/>
      <c r="Z386" s="191"/>
      <c r="AA386" s="191"/>
      <c r="AB386" s="191"/>
    </row>
    <row r="387" ht="15.75" customHeight="1">
      <c r="A387" s="288"/>
      <c r="B387" s="224"/>
      <c r="C387" s="224"/>
      <c r="D387" s="212"/>
      <c r="E387" s="221"/>
      <c r="F387" s="222"/>
      <c r="G387" s="223"/>
      <c r="H387" s="164"/>
      <c r="I387" s="164"/>
      <c r="J387" s="164"/>
      <c r="K387" s="164"/>
      <c r="L387" s="174"/>
      <c r="M387" s="164"/>
      <c r="N387" s="174"/>
      <c r="O387" s="157"/>
      <c r="P387" s="178"/>
      <c r="Q387" s="157"/>
      <c r="R387" s="157"/>
      <c r="S387" s="178"/>
      <c r="T387" s="157"/>
      <c r="U387" s="178"/>
      <c r="V387" s="191"/>
      <c r="W387" s="191"/>
      <c r="X387" s="191"/>
      <c r="Y387" s="191"/>
      <c r="Z387" s="191"/>
      <c r="AA387" s="191"/>
      <c r="AB387" s="191"/>
    </row>
    <row r="388" ht="15.75" customHeight="1">
      <c r="A388" s="288"/>
      <c r="B388" s="224"/>
      <c r="C388" s="224"/>
      <c r="D388" s="212"/>
      <c r="E388" s="221"/>
      <c r="F388" s="222"/>
      <c r="G388" s="223"/>
      <c r="H388" s="164"/>
      <c r="I388" s="164"/>
      <c r="J388" s="164"/>
      <c r="K388" s="164"/>
      <c r="L388" s="174"/>
      <c r="M388" s="164"/>
      <c r="N388" s="174"/>
      <c r="O388" s="157"/>
      <c r="P388" s="178"/>
      <c r="Q388" s="157"/>
      <c r="R388" s="157"/>
      <c r="S388" s="178"/>
      <c r="T388" s="157"/>
      <c r="U388" s="178"/>
      <c r="V388" s="191"/>
      <c r="W388" s="191"/>
      <c r="X388" s="191"/>
      <c r="Y388" s="191"/>
      <c r="Z388" s="191"/>
      <c r="AA388" s="191"/>
      <c r="AB388" s="191"/>
    </row>
    <row r="389" ht="15.75" customHeight="1">
      <c r="A389" s="288"/>
      <c r="B389" s="224"/>
      <c r="C389" s="224"/>
      <c r="D389" s="212"/>
      <c r="E389" s="221"/>
      <c r="F389" s="222"/>
      <c r="G389" s="223"/>
      <c r="H389" s="164"/>
      <c r="I389" s="164"/>
      <c r="J389" s="164"/>
      <c r="K389" s="164"/>
      <c r="L389" s="174"/>
      <c r="M389" s="164"/>
      <c r="N389" s="174"/>
      <c r="O389" s="157"/>
      <c r="P389" s="178"/>
      <c r="Q389" s="157"/>
      <c r="R389" s="157"/>
      <c r="S389" s="178"/>
      <c r="T389" s="157"/>
      <c r="U389" s="178"/>
      <c r="V389" s="191"/>
      <c r="W389" s="191"/>
      <c r="X389" s="191"/>
      <c r="Y389" s="191"/>
      <c r="Z389" s="191"/>
      <c r="AA389" s="191"/>
      <c r="AB389" s="191"/>
    </row>
    <row r="390" ht="15.75" customHeight="1">
      <c r="A390" s="288"/>
      <c r="B390" s="224"/>
      <c r="C390" s="224"/>
      <c r="D390" s="212"/>
      <c r="E390" s="221"/>
      <c r="F390" s="222"/>
      <c r="G390" s="223"/>
      <c r="H390" s="164"/>
      <c r="I390" s="164"/>
      <c r="J390" s="164"/>
      <c r="K390" s="164"/>
      <c r="L390" s="174"/>
      <c r="M390" s="164"/>
      <c r="N390" s="174"/>
      <c r="O390" s="157"/>
      <c r="P390" s="178"/>
      <c r="Q390" s="157"/>
      <c r="R390" s="157"/>
      <c r="S390" s="178"/>
      <c r="T390" s="157"/>
      <c r="U390" s="178"/>
      <c r="V390" s="191"/>
      <c r="W390" s="191"/>
      <c r="X390" s="191"/>
      <c r="Y390" s="191"/>
      <c r="Z390" s="191"/>
      <c r="AA390" s="191"/>
      <c r="AB390" s="191"/>
    </row>
    <row r="391" ht="15.75" customHeight="1">
      <c r="A391" s="288"/>
      <c r="B391" s="224"/>
      <c r="C391" s="224"/>
      <c r="D391" s="212"/>
      <c r="E391" s="221"/>
      <c r="F391" s="222"/>
      <c r="G391" s="223"/>
      <c r="H391" s="164"/>
      <c r="I391" s="164"/>
      <c r="J391" s="164"/>
      <c r="K391" s="164"/>
      <c r="L391" s="174"/>
      <c r="M391" s="164"/>
      <c r="N391" s="174"/>
      <c r="O391" s="157"/>
      <c r="P391" s="178"/>
      <c r="Q391" s="157"/>
      <c r="R391" s="157"/>
      <c r="S391" s="178"/>
      <c r="T391" s="157"/>
      <c r="U391" s="178"/>
      <c r="V391" s="191"/>
      <c r="W391" s="191"/>
      <c r="X391" s="191"/>
      <c r="Y391" s="191"/>
      <c r="Z391" s="191"/>
      <c r="AA391" s="191"/>
      <c r="AB391" s="191"/>
    </row>
    <row r="392" ht="15.75" customHeight="1">
      <c r="A392" s="288"/>
      <c r="B392" s="224"/>
      <c r="C392" s="224"/>
      <c r="D392" s="212"/>
      <c r="E392" s="221"/>
      <c r="F392" s="222"/>
      <c r="G392" s="223"/>
      <c r="H392" s="164"/>
      <c r="I392" s="164"/>
      <c r="J392" s="164"/>
      <c r="K392" s="164"/>
      <c r="L392" s="174"/>
      <c r="M392" s="164"/>
      <c r="N392" s="174"/>
      <c r="O392" s="157"/>
      <c r="P392" s="178"/>
      <c r="Q392" s="157"/>
      <c r="R392" s="157"/>
      <c r="S392" s="178"/>
      <c r="T392" s="157"/>
      <c r="U392" s="178"/>
      <c r="V392" s="191"/>
      <c r="W392" s="191"/>
      <c r="X392" s="191"/>
      <c r="Y392" s="191"/>
      <c r="Z392" s="191"/>
      <c r="AA392" s="191"/>
      <c r="AB392" s="191"/>
    </row>
    <row r="393" ht="15.75" customHeight="1">
      <c r="A393" s="288"/>
      <c r="B393" s="224"/>
      <c r="C393" s="224"/>
      <c r="D393" s="212"/>
      <c r="E393" s="221"/>
      <c r="F393" s="222"/>
      <c r="G393" s="223"/>
      <c r="H393" s="164"/>
      <c r="I393" s="164"/>
      <c r="J393" s="164"/>
      <c r="K393" s="164"/>
      <c r="L393" s="174"/>
      <c r="M393" s="164"/>
      <c r="N393" s="174"/>
      <c r="O393" s="157"/>
      <c r="P393" s="178"/>
      <c r="Q393" s="157"/>
      <c r="R393" s="157"/>
      <c r="S393" s="178"/>
      <c r="T393" s="157"/>
      <c r="U393" s="178"/>
      <c r="V393" s="191"/>
      <c r="W393" s="191"/>
      <c r="X393" s="191"/>
      <c r="Y393" s="191"/>
      <c r="Z393" s="191"/>
      <c r="AA393" s="191"/>
      <c r="AB393" s="191"/>
    </row>
    <row r="394" ht="15.75" customHeight="1">
      <c r="A394" s="288"/>
      <c r="B394" s="224"/>
      <c r="C394" s="224"/>
      <c r="D394" s="212"/>
      <c r="E394" s="221"/>
      <c r="F394" s="222"/>
      <c r="G394" s="223"/>
      <c r="H394" s="164"/>
      <c r="I394" s="164"/>
      <c r="J394" s="164"/>
      <c r="K394" s="164"/>
      <c r="L394" s="174"/>
      <c r="M394" s="164"/>
      <c r="N394" s="174"/>
      <c r="O394" s="157"/>
      <c r="P394" s="178"/>
      <c r="Q394" s="157"/>
      <c r="R394" s="157"/>
      <c r="S394" s="178"/>
      <c r="T394" s="157"/>
      <c r="U394" s="178"/>
      <c r="V394" s="191"/>
      <c r="W394" s="191"/>
      <c r="X394" s="191"/>
      <c r="Y394" s="191"/>
      <c r="Z394" s="191"/>
      <c r="AA394" s="191"/>
      <c r="AB394" s="191"/>
    </row>
    <row r="395" ht="15.75" customHeight="1">
      <c r="A395" s="288"/>
      <c r="B395" s="224"/>
      <c r="C395" s="224"/>
      <c r="D395" s="212"/>
      <c r="E395" s="221"/>
      <c r="F395" s="222"/>
      <c r="G395" s="223"/>
      <c r="H395" s="164"/>
      <c r="I395" s="164"/>
      <c r="J395" s="164"/>
      <c r="K395" s="164"/>
      <c r="L395" s="174"/>
      <c r="M395" s="164"/>
      <c r="N395" s="174"/>
      <c r="O395" s="157"/>
      <c r="P395" s="178"/>
      <c r="Q395" s="157"/>
      <c r="R395" s="157"/>
      <c r="S395" s="178"/>
      <c r="T395" s="157"/>
      <c r="U395" s="178"/>
      <c r="V395" s="191"/>
      <c r="W395" s="191"/>
      <c r="X395" s="191"/>
      <c r="Y395" s="191"/>
      <c r="Z395" s="191"/>
      <c r="AA395" s="191"/>
      <c r="AB395" s="191"/>
    </row>
    <row r="396" ht="15.75" customHeight="1">
      <c r="A396" s="288"/>
      <c r="B396" s="224"/>
      <c r="C396" s="224"/>
      <c r="D396" s="212"/>
      <c r="E396" s="221"/>
      <c r="F396" s="222"/>
      <c r="G396" s="223"/>
      <c r="H396" s="164"/>
      <c r="I396" s="164"/>
      <c r="J396" s="164"/>
      <c r="K396" s="164"/>
      <c r="L396" s="174"/>
      <c r="M396" s="164"/>
      <c r="N396" s="174"/>
      <c r="O396" s="157"/>
      <c r="P396" s="178"/>
      <c r="Q396" s="157"/>
      <c r="R396" s="157"/>
      <c r="S396" s="178"/>
      <c r="T396" s="157"/>
      <c r="U396" s="178"/>
      <c r="V396" s="191"/>
      <c r="W396" s="191"/>
      <c r="X396" s="191"/>
      <c r="Y396" s="191"/>
      <c r="Z396" s="191"/>
      <c r="AA396" s="191"/>
      <c r="AB396" s="191"/>
    </row>
    <row r="397" ht="15.75" customHeight="1">
      <c r="A397" s="288"/>
      <c r="B397" s="224"/>
      <c r="C397" s="224"/>
      <c r="D397" s="212"/>
      <c r="E397" s="221"/>
      <c r="F397" s="222"/>
      <c r="G397" s="223"/>
      <c r="H397" s="164"/>
      <c r="I397" s="164"/>
      <c r="J397" s="164"/>
      <c r="K397" s="164"/>
      <c r="L397" s="174"/>
      <c r="M397" s="164"/>
      <c r="N397" s="174"/>
      <c r="O397" s="157"/>
      <c r="P397" s="178"/>
      <c r="Q397" s="157"/>
      <c r="R397" s="157"/>
      <c r="S397" s="178"/>
      <c r="T397" s="157"/>
      <c r="U397" s="178"/>
      <c r="V397" s="191"/>
      <c r="W397" s="191"/>
      <c r="X397" s="191"/>
      <c r="Y397" s="191"/>
      <c r="Z397" s="191"/>
      <c r="AA397" s="191"/>
      <c r="AB397" s="191"/>
    </row>
    <row r="398" ht="15.75" customHeight="1">
      <c r="A398" s="288"/>
      <c r="B398" s="224"/>
      <c r="C398" s="224"/>
      <c r="D398" s="212"/>
      <c r="E398" s="221"/>
      <c r="F398" s="222"/>
      <c r="G398" s="223"/>
      <c r="H398" s="164"/>
      <c r="I398" s="164"/>
      <c r="J398" s="164"/>
      <c r="K398" s="164"/>
      <c r="L398" s="174"/>
      <c r="M398" s="164"/>
      <c r="N398" s="174"/>
      <c r="O398" s="157"/>
      <c r="P398" s="178"/>
      <c r="Q398" s="157"/>
      <c r="R398" s="157"/>
      <c r="S398" s="178"/>
      <c r="T398" s="157"/>
      <c r="U398" s="178"/>
      <c r="V398" s="191"/>
      <c r="W398" s="191"/>
      <c r="X398" s="191"/>
      <c r="Y398" s="191"/>
      <c r="Z398" s="191"/>
      <c r="AA398" s="191"/>
      <c r="AB398" s="191"/>
    </row>
    <row r="399" ht="15.75" customHeight="1">
      <c r="A399" s="288"/>
      <c r="B399" s="224"/>
      <c r="C399" s="224"/>
      <c r="D399" s="212"/>
      <c r="E399" s="221"/>
      <c r="F399" s="222"/>
      <c r="G399" s="223"/>
      <c r="H399" s="164"/>
      <c r="I399" s="164"/>
      <c r="J399" s="164"/>
      <c r="K399" s="164"/>
      <c r="L399" s="174"/>
      <c r="M399" s="164"/>
      <c r="N399" s="174"/>
      <c r="O399" s="157"/>
      <c r="P399" s="178"/>
      <c r="Q399" s="157"/>
      <c r="R399" s="157"/>
      <c r="S399" s="178"/>
      <c r="T399" s="157"/>
      <c r="U399" s="178"/>
      <c r="V399" s="191"/>
      <c r="W399" s="191"/>
      <c r="X399" s="191"/>
      <c r="Y399" s="191"/>
      <c r="Z399" s="191"/>
      <c r="AA399" s="191"/>
      <c r="AB399" s="191"/>
    </row>
    <row r="400" ht="15.75" customHeight="1">
      <c r="A400" s="288"/>
      <c r="B400" s="224"/>
      <c r="C400" s="224"/>
      <c r="D400" s="212"/>
      <c r="E400" s="221"/>
      <c r="F400" s="222"/>
      <c r="G400" s="223"/>
      <c r="H400" s="164"/>
      <c r="I400" s="164"/>
      <c r="J400" s="164"/>
      <c r="K400" s="164"/>
      <c r="L400" s="174"/>
      <c r="M400" s="164"/>
      <c r="N400" s="174"/>
      <c r="O400" s="157"/>
      <c r="P400" s="178"/>
      <c r="Q400" s="157"/>
      <c r="R400" s="157"/>
      <c r="S400" s="178"/>
      <c r="T400" s="157"/>
      <c r="U400" s="178"/>
      <c r="V400" s="191"/>
      <c r="W400" s="191"/>
      <c r="X400" s="191"/>
      <c r="Y400" s="191"/>
      <c r="Z400" s="191"/>
      <c r="AA400" s="191"/>
      <c r="AB400" s="191"/>
    </row>
    <row r="401" ht="15.75" customHeight="1">
      <c r="A401" s="288"/>
      <c r="B401" s="224"/>
      <c r="C401" s="224"/>
      <c r="D401" s="212"/>
      <c r="E401" s="221"/>
      <c r="F401" s="222"/>
      <c r="G401" s="223"/>
      <c r="H401" s="164"/>
      <c r="I401" s="164"/>
      <c r="J401" s="164"/>
      <c r="K401" s="164"/>
      <c r="L401" s="174"/>
      <c r="M401" s="164"/>
      <c r="N401" s="174"/>
      <c r="O401" s="157"/>
      <c r="P401" s="178"/>
      <c r="Q401" s="157"/>
      <c r="R401" s="157"/>
      <c r="S401" s="178"/>
      <c r="T401" s="157"/>
      <c r="U401" s="178"/>
      <c r="V401" s="191"/>
      <c r="W401" s="191"/>
      <c r="X401" s="191"/>
      <c r="Y401" s="191"/>
      <c r="Z401" s="191"/>
      <c r="AA401" s="191"/>
      <c r="AB401" s="191"/>
    </row>
    <row r="402" ht="15.75" customHeight="1">
      <c r="A402" s="288"/>
      <c r="B402" s="224"/>
      <c r="C402" s="224"/>
      <c r="D402" s="212"/>
      <c r="E402" s="221"/>
      <c r="F402" s="222"/>
      <c r="G402" s="223"/>
      <c r="H402" s="164"/>
      <c r="I402" s="164"/>
      <c r="J402" s="164"/>
      <c r="K402" s="164"/>
      <c r="L402" s="174"/>
      <c r="M402" s="164"/>
      <c r="N402" s="174"/>
      <c r="O402" s="157"/>
      <c r="P402" s="178"/>
      <c r="Q402" s="157"/>
      <c r="R402" s="157"/>
      <c r="S402" s="178"/>
      <c r="T402" s="157"/>
      <c r="U402" s="178"/>
      <c r="V402" s="191"/>
      <c r="W402" s="191"/>
      <c r="X402" s="191"/>
      <c r="Y402" s="191"/>
      <c r="Z402" s="191"/>
      <c r="AA402" s="191"/>
      <c r="AB402" s="191"/>
    </row>
    <row r="403" ht="15.75" customHeight="1">
      <c r="A403" s="288"/>
      <c r="B403" s="224"/>
      <c r="C403" s="224"/>
      <c r="D403" s="212"/>
      <c r="E403" s="221"/>
      <c r="F403" s="222"/>
      <c r="G403" s="223"/>
      <c r="H403" s="164"/>
      <c r="I403" s="164"/>
      <c r="J403" s="164"/>
      <c r="K403" s="164"/>
      <c r="L403" s="174"/>
      <c r="M403" s="164"/>
      <c r="N403" s="174"/>
      <c r="O403" s="157"/>
      <c r="P403" s="178"/>
      <c r="Q403" s="157"/>
      <c r="R403" s="157"/>
      <c r="S403" s="178"/>
      <c r="T403" s="157"/>
      <c r="U403" s="178"/>
      <c r="V403" s="191"/>
      <c r="W403" s="191"/>
      <c r="X403" s="191"/>
      <c r="Y403" s="191"/>
      <c r="Z403" s="191"/>
      <c r="AA403" s="191"/>
      <c r="AB403" s="191"/>
    </row>
    <row r="404" ht="15.75" customHeight="1">
      <c r="A404" s="288"/>
      <c r="B404" s="224"/>
      <c r="C404" s="224"/>
      <c r="D404" s="212"/>
      <c r="E404" s="221"/>
      <c r="F404" s="222"/>
      <c r="G404" s="223"/>
      <c r="H404" s="164"/>
      <c r="I404" s="164"/>
      <c r="J404" s="164"/>
      <c r="K404" s="164"/>
      <c r="L404" s="174"/>
      <c r="M404" s="164"/>
      <c r="N404" s="174"/>
      <c r="O404" s="157"/>
      <c r="P404" s="178"/>
      <c r="Q404" s="157"/>
      <c r="R404" s="157"/>
      <c r="S404" s="178"/>
      <c r="T404" s="157"/>
      <c r="U404" s="178"/>
      <c r="V404" s="191"/>
      <c r="W404" s="191"/>
      <c r="X404" s="191"/>
      <c r="Y404" s="191"/>
      <c r="Z404" s="191"/>
      <c r="AA404" s="191"/>
      <c r="AB404" s="191"/>
    </row>
    <row r="405" ht="15.75" customHeight="1">
      <c r="A405" s="288"/>
      <c r="B405" s="224"/>
      <c r="C405" s="224"/>
      <c r="D405" s="212"/>
      <c r="E405" s="221"/>
      <c r="F405" s="222"/>
      <c r="G405" s="223"/>
      <c r="H405" s="164"/>
      <c r="I405" s="164"/>
      <c r="J405" s="164"/>
      <c r="K405" s="164"/>
      <c r="L405" s="174"/>
      <c r="M405" s="164"/>
      <c r="N405" s="174"/>
      <c r="O405" s="157"/>
      <c r="P405" s="178"/>
      <c r="Q405" s="157"/>
      <c r="R405" s="157"/>
      <c r="S405" s="178"/>
      <c r="T405" s="157"/>
      <c r="U405" s="178"/>
      <c r="V405" s="191"/>
      <c r="W405" s="191"/>
      <c r="X405" s="191"/>
      <c r="Y405" s="191"/>
      <c r="Z405" s="191"/>
      <c r="AA405" s="191"/>
      <c r="AB405" s="191"/>
    </row>
    <row r="406" ht="15.75" customHeight="1">
      <c r="A406" s="288"/>
      <c r="B406" s="224"/>
      <c r="C406" s="224"/>
      <c r="D406" s="212"/>
      <c r="E406" s="221"/>
      <c r="F406" s="222"/>
      <c r="G406" s="223"/>
      <c r="H406" s="164"/>
      <c r="I406" s="164"/>
      <c r="J406" s="164"/>
      <c r="K406" s="164"/>
      <c r="L406" s="174"/>
      <c r="M406" s="164"/>
      <c r="N406" s="174"/>
      <c r="O406" s="157"/>
      <c r="P406" s="178"/>
      <c r="Q406" s="157"/>
      <c r="R406" s="157"/>
      <c r="S406" s="178"/>
      <c r="T406" s="157"/>
      <c r="U406" s="178"/>
      <c r="V406" s="191"/>
      <c r="W406" s="191"/>
      <c r="X406" s="191"/>
      <c r="Y406" s="191"/>
      <c r="Z406" s="191"/>
      <c r="AA406" s="191"/>
      <c r="AB406" s="191"/>
    </row>
    <row r="407" ht="15.75" customHeight="1">
      <c r="A407" s="288"/>
      <c r="B407" s="224"/>
      <c r="C407" s="224"/>
      <c r="D407" s="212"/>
      <c r="E407" s="221"/>
      <c r="F407" s="222"/>
      <c r="G407" s="223"/>
      <c r="H407" s="164"/>
      <c r="I407" s="164"/>
      <c r="J407" s="164"/>
      <c r="K407" s="164"/>
      <c r="L407" s="174"/>
      <c r="M407" s="164"/>
      <c r="N407" s="174"/>
      <c r="O407" s="157"/>
      <c r="P407" s="178"/>
      <c r="Q407" s="157"/>
      <c r="R407" s="157"/>
      <c r="S407" s="178"/>
      <c r="T407" s="157"/>
      <c r="U407" s="178"/>
      <c r="V407" s="191"/>
      <c r="W407" s="191"/>
      <c r="X407" s="191"/>
      <c r="Y407" s="191"/>
      <c r="Z407" s="191"/>
      <c r="AA407" s="191"/>
      <c r="AB407" s="191"/>
    </row>
    <row r="408" ht="15.75" customHeight="1">
      <c r="A408" s="288"/>
      <c r="B408" s="224"/>
      <c r="C408" s="224"/>
      <c r="D408" s="212"/>
      <c r="E408" s="221"/>
      <c r="F408" s="222"/>
      <c r="G408" s="223"/>
      <c r="H408" s="164"/>
      <c r="I408" s="164"/>
      <c r="J408" s="164"/>
      <c r="K408" s="164"/>
      <c r="L408" s="174"/>
      <c r="M408" s="164"/>
      <c r="N408" s="174"/>
      <c r="O408" s="157"/>
      <c r="P408" s="178"/>
      <c r="Q408" s="157"/>
      <c r="R408" s="157"/>
      <c r="S408" s="178"/>
      <c r="T408" s="157"/>
      <c r="U408" s="178"/>
      <c r="V408" s="191"/>
      <c r="W408" s="191"/>
      <c r="X408" s="191"/>
      <c r="Y408" s="191"/>
      <c r="Z408" s="191"/>
      <c r="AA408" s="191"/>
      <c r="AB408" s="191"/>
    </row>
    <row r="409" ht="15.75" customHeight="1">
      <c r="A409" s="288"/>
      <c r="B409" s="224"/>
      <c r="C409" s="224"/>
      <c r="D409" s="212"/>
      <c r="E409" s="221"/>
      <c r="F409" s="222"/>
      <c r="G409" s="223"/>
      <c r="H409" s="164"/>
      <c r="I409" s="164"/>
      <c r="J409" s="164"/>
      <c r="K409" s="164"/>
      <c r="L409" s="174"/>
      <c r="M409" s="164"/>
      <c r="N409" s="174"/>
      <c r="O409" s="157"/>
      <c r="P409" s="178"/>
      <c r="Q409" s="157"/>
      <c r="R409" s="157"/>
      <c r="S409" s="178"/>
      <c r="T409" s="157"/>
      <c r="U409" s="178"/>
      <c r="V409" s="191"/>
      <c r="W409" s="191"/>
      <c r="X409" s="191"/>
      <c r="Y409" s="191"/>
      <c r="Z409" s="191"/>
      <c r="AA409" s="191"/>
      <c r="AB409" s="191"/>
    </row>
    <row r="410" ht="15.75" customHeight="1">
      <c r="A410" s="288"/>
      <c r="B410" s="224"/>
      <c r="C410" s="224"/>
      <c r="D410" s="212"/>
      <c r="E410" s="221"/>
      <c r="F410" s="222"/>
      <c r="G410" s="223"/>
      <c r="H410" s="164"/>
      <c r="I410" s="164"/>
      <c r="J410" s="164"/>
      <c r="K410" s="164"/>
      <c r="L410" s="174"/>
      <c r="M410" s="164"/>
      <c r="N410" s="174"/>
      <c r="O410" s="157"/>
      <c r="P410" s="178"/>
      <c r="Q410" s="157"/>
      <c r="R410" s="157"/>
      <c r="S410" s="178"/>
      <c r="T410" s="157"/>
      <c r="U410" s="178"/>
      <c r="V410" s="191"/>
      <c r="W410" s="191"/>
      <c r="X410" s="191"/>
      <c r="Y410" s="191"/>
      <c r="Z410" s="191"/>
      <c r="AA410" s="191"/>
      <c r="AB410" s="191"/>
    </row>
    <row r="411" ht="15.75" customHeight="1">
      <c r="A411" s="288"/>
      <c r="B411" s="224"/>
      <c r="C411" s="224"/>
      <c r="D411" s="212"/>
      <c r="E411" s="221"/>
      <c r="F411" s="222"/>
      <c r="G411" s="223"/>
      <c r="H411" s="164"/>
      <c r="I411" s="164"/>
      <c r="J411" s="164"/>
      <c r="K411" s="164"/>
      <c r="L411" s="174"/>
      <c r="M411" s="164"/>
      <c r="N411" s="174"/>
      <c r="O411" s="157"/>
      <c r="P411" s="178"/>
      <c r="Q411" s="157"/>
      <c r="R411" s="157"/>
      <c r="S411" s="178"/>
      <c r="T411" s="157"/>
      <c r="U411" s="178"/>
      <c r="V411" s="191"/>
      <c r="W411" s="191"/>
      <c r="X411" s="191"/>
      <c r="Y411" s="191"/>
      <c r="Z411" s="191"/>
      <c r="AA411" s="191"/>
      <c r="AB411" s="191"/>
    </row>
    <row r="412" ht="15.75" customHeight="1">
      <c r="A412" s="288"/>
      <c r="B412" s="224"/>
      <c r="C412" s="224"/>
      <c r="D412" s="212"/>
      <c r="E412" s="221"/>
      <c r="F412" s="222"/>
      <c r="G412" s="223"/>
      <c r="H412" s="164"/>
      <c r="I412" s="164"/>
      <c r="J412" s="164"/>
      <c r="K412" s="164"/>
      <c r="L412" s="174"/>
      <c r="M412" s="164"/>
      <c r="N412" s="174"/>
      <c r="O412" s="157"/>
      <c r="P412" s="178"/>
      <c r="Q412" s="157"/>
      <c r="R412" s="157"/>
      <c r="S412" s="178"/>
      <c r="T412" s="157"/>
      <c r="U412" s="178"/>
      <c r="V412" s="191"/>
      <c r="W412" s="191"/>
      <c r="X412" s="191"/>
      <c r="Y412" s="191"/>
      <c r="Z412" s="191"/>
      <c r="AA412" s="191"/>
      <c r="AB412" s="191"/>
    </row>
    <row r="413" ht="15.75" customHeight="1">
      <c r="A413" s="288"/>
      <c r="B413" s="224"/>
      <c r="C413" s="224"/>
      <c r="D413" s="212"/>
      <c r="E413" s="221"/>
      <c r="F413" s="222"/>
      <c r="G413" s="223"/>
      <c r="H413" s="164"/>
      <c r="I413" s="164"/>
      <c r="J413" s="164"/>
      <c r="K413" s="164"/>
      <c r="L413" s="174"/>
      <c r="M413" s="164"/>
      <c r="N413" s="174"/>
      <c r="O413" s="157"/>
      <c r="P413" s="178"/>
      <c r="Q413" s="157"/>
      <c r="R413" s="157"/>
      <c r="S413" s="178"/>
      <c r="T413" s="157"/>
      <c r="U413" s="178"/>
      <c r="V413" s="191"/>
      <c r="W413" s="191"/>
      <c r="X413" s="191"/>
      <c r="Y413" s="191"/>
      <c r="Z413" s="191"/>
      <c r="AA413" s="191"/>
      <c r="AB413" s="191"/>
    </row>
    <row r="414" ht="15.75" customHeight="1">
      <c r="A414" s="288"/>
      <c r="B414" s="224"/>
      <c r="C414" s="224"/>
      <c r="D414" s="212"/>
      <c r="E414" s="221"/>
      <c r="F414" s="222"/>
      <c r="G414" s="223"/>
      <c r="H414" s="164"/>
      <c r="I414" s="164"/>
      <c r="J414" s="164"/>
      <c r="K414" s="164"/>
      <c r="L414" s="174"/>
      <c r="M414" s="164"/>
      <c r="N414" s="174"/>
      <c r="O414" s="157"/>
      <c r="P414" s="178"/>
      <c r="Q414" s="157"/>
      <c r="R414" s="157"/>
      <c r="S414" s="178"/>
      <c r="T414" s="157"/>
      <c r="U414" s="178"/>
      <c r="V414" s="191"/>
      <c r="W414" s="191"/>
      <c r="X414" s="191"/>
      <c r="Y414" s="191"/>
      <c r="Z414" s="191"/>
      <c r="AA414" s="191"/>
      <c r="AB414" s="191"/>
    </row>
    <row r="415" ht="15.75" customHeight="1">
      <c r="A415" s="288"/>
      <c r="B415" s="224"/>
      <c r="C415" s="224"/>
      <c r="D415" s="212"/>
      <c r="E415" s="221"/>
      <c r="F415" s="222"/>
      <c r="G415" s="223"/>
      <c r="H415" s="164"/>
      <c r="I415" s="164"/>
      <c r="J415" s="164"/>
      <c r="K415" s="164"/>
      <c r="L415" s="174"/>
      <c r="M415" s="164"/>
      <c r="N415" s="174"/>
      <c r="O415" s="157"/>
      <c r="P415" s="178"/>
      <c r="Q415" s="157"/>
      <c r="R415" s="157"/>
      <c r="S415" s="178"/>
      <c r="T415" s="157"/>
      <c r="U415" s="178"/>
      <c r="V415" s="191"/>
      <c r="W415" s="191"/>
      <c r="X415" s="191"/>
      <c r="Y415" s="191"/>
      <c r="Z415" s="191"/>
      <c r="AA415" s="191"/>
      <c r="AB415" s="191"/>
    </row>
    <row r="416" ht="15.75" customHeight="1">
      <c r="A416" s="288"/>
      <c r="B416" s="224"/>
      <c r="C416" s="224"/>
      <c r="D416" s="212"/>
      <c r="E416" s="221"/>
      <c r="F416" s="222"/>
      <c r="G416" s="223"/>
      <c r="H416" s="164"/>
      <c r="I416" s="164"/>
      <c r="J416" s="164"/>
      <c r="K416" s="164"/>
      <c r="L416" s="174"/>
      <c r="M416" s="164"/>
      <c r="N416" s="174"/>
      <c r="O416" s="157"/>
      <c r="P416" s="178"/>
      <c r="Q416" s="157"/>
      <c r="R416" s="157"/>
      <c r="S416" s="178"/>
      <c r="T416" s="157"/>
      <c r="U416" s="178"/>
      <c r="V416" s="191"/>
      <c r="W416" s="191"/>
      <c r="X416" s="191"/>
      <c r="Y416" s="191"/>
      <c r="Z416" s="191"/>
      <c r="AA416" s="191"/>
      <c r="AB416" s="191"/>
    </row>
    <row r="417" ht="15.75" customHeight="1">
      <c r="A417" s="288"/>
      <c r="B417" s="224"/>
      <c r="C417" s="224"/>
      <c r="D417" s="212"/>
      <c r="E417" s="221"/>
      <c r="F417" s="222"/>
      <c r="G417" s="223"/>
      <c r="H417" s="164"/>
      <c r="I417" s="164"/>
      <c r="J417" s="164"/>
      <c r="K417" s="164"/>
      <c r="L417" s="174"/>
      <c r="M417" s="164"/>
      <c r="N417" s="174"/>
      <c r="O417" s="157"/>
      <c r="P417" s="178"/>
      <c r="Q417" s="157"/>
      <c r="R417" s="157"/>
      <c r="S417" s="178"/>
      <c r="T417" s="157"/>
      <c r="U417" s="178"/>
      <c r="V417" s="191"/>
      <c r="W417" s="191"/>
      <c r="X417" s="191"/>
      <c r="Y417" s="191"/>
      <c r="Z417" s="191"/>
      <c r="AA417" s="191"/>
      <c r="AB417" s="191"/>
    </row>
    <row r="418" ht="15.75" customHeight="1">
      <c r="A418" s="288"/>
      <c r="B418" s="224"/>
      <c r="C418" s="224"/>
      <c r="D418" s="212"/>
      <c r="E418" s="221"/>
      <c r="F418" s="222"/>
      <c r="G418" s="223"/>
      <c r="H418" s="164"/>
      <c r="I418" s="164"/>
      <c r="J418" s="164"/>
      <c r="K418" s="164"/>
      <c r="L418" s="174"/>
      <c r="M418" s="164"/>
      <c r="N418" s="174"/>
      <c r="O418" s="157"/>
      <c r="P418" s="178"/>
      <c r="Q418" s="157"/>
      <c r="R418" s="157"/>
      <c r="S418" s="178"/>
      <c r="T418" s="157"/>
      <c r="U418" s="178"/>
      <c r="V418" s="191"/>
      <c r="W418" s="191"/>
      <c r="X418" s="191"/>
      <c r="Y418" s="191"/>
      <c r="Z418" s="191"/>
      <c r="AA418" s="191"/>
      <c r="AB418" s="191"/>
    </row>
    <row r="419" ht="15.75" customHeight="1">
      <c r="A419" s="288"/>
      <c r="B419" s="224"/>
      <c r="C419" s="224"/>
      <c r="D419" s="212"/>
      <c r="E419" s="221"/>
      <c r="F419" s="222"/>
      <c r="G419" s="223"/>
      <c r="H419" s="164"/>
      <c r="I419" s="164"/>
      <c r="J419" s="164"/>
      <c r="K419" s="164"/>
      <c r="L419" s="174"/>
      <c r="M419" s="164"/>
      <c r="N419" s="174"/>
      <c r="O419" s="157"/>
      <c r="P419" s="178"/>
      <c r="Q419" s="157"/>
      <c r="R419" s="157"/>
      <c r="S419" s="178"/>
      <c r="T419" s="157"/>
      <c r="U419" s="178"/>
      <c r="V419" s="191"/>
      <c r="W419" s="191"/>
      <c r="X419" s="191"/>
      <c r="Y419" s="191"/>
      <c r="Z419" s="191"/>
      <c r="AA419" s="191"/>
      <c r="AB419" s="191"/>
    </row>
    <row r="420" ht="15.75" customHeight="1">
      <c r="A420" s="288"/>
      <c r="B420" s="224"/>
      <c r="C420" s="224"/>
      <c r="D420" s="212"/>
      <c r="E420" s="221"/>
      <c r="F420" s="222"/>
      <c r="G420" s="223"/>
      <c r="H420" s="164"/>
      <c r="I420" s="164"/>
      <c r="J420" s="164"/>
      <c r="K420" s="164"/>
      <c r="L420" s="174"/>
      <c r="M420" s="164"/>
      <c r="N420" s="174"/>
      <c r="O420" s="157"/>
      <c r="P420" s="178"/>
      <c r="Q420" s="157"/>
      <c r="R420" s="157"/>
      <c r="S420" s="178"/>
      <c r="T420" s="157"/>
      <c r="U420" s="178"/>
      <c r="V420" s="191"/>
      <c r="W420" s="191"/>
      <c r="X420" s="191"/>
      <c r="Y420" s="191"/>
      <c r="Z420" s="191"/>
      <c r="AA420" s="191"/>
      <c r="AB420" s="191"/>
    </row>
    <row r="421" ht="15.75" customHeight="1">
      <c r="A421" s="288"/>
      <c r="B421" s="224"/>
      <c r="C421" s="224"/>
      <c r="D421" s="212"/>
      <c r="E421" s="221"/>
      <c r="F421" s="222"/>
      <c r="G421" s="223"/>
      <c r="H421" s="164"/>
      <c r="I421" s="164"/>
      <c r="J421" s="164"/>
      <c r="K421" s="164"/>
      <c r="L421" s="174"/>
      <c r="M421" s="164"/>
      <c r="N421" s="174"/>
      <c r="O421" s="157"/>
      <c r="P421" s="178"/>
      <c r="Q421" s="157"/>
      <c r="R421" s="157"/>
      <c r="S421" s="178"/>
      <c r="T421" s="157"/>
      <c r="U421" s="178"/>
      <c r="V421" s="191"/>
      <c r="W421" s="191"/>
      <c r="X421" s="191"/>
      <c r="Y421" s="191"/>
      <c r="Z421" s="191"/>
      <c r="AA421" s="191"/>
      <c r="AB421" s="191"/>
    </row>
    <row r="422" ht="15.75" customHeight="1">
      <c r="A422" s="288"/>
      <c r="B422" s="224"/>
      <c r="C422" s="224"/>
      <c r="D422" s="212"/>
      <c r="E422" s="221"/>
      <c r="F422" s="222"/>
      <c r="G422" s="223"/>
      <c r="H422" s="164"/>
      <c r="I422" s="164"/>
      <c r="J422" s="164"/>
      <c r="K422" s="164"/>
      <c r="L422" s="174"/>
      <c r="M422" s="164"/>
      <c r="N422" s="174"/>
      <c r="O422" s="157"/>
      <c r="P422" s="178"/>
      <c r="Q422" s="157"/>
      <c r="R422" s="157"/>
      <c r="S422" s="178"/>
      <c r="T422" s="157"/>
      <c r="U422" s="178"/>
      <c r="V422" s="191"/>
      <c r="W422" s="191"/>
      <c r="X422" s="191"/>
      <c r="Y422" s="191"/>
      <c r="Z422" s="191"/>
      <c r="AA422" s="191"/>
      <c r="AB422" s="191"/>
    </row>
    <row r="423" ht="15.75" customHeight="1">
      <c r="A423" s="288"/>
      <c r="B423" s="224"/>
      <c r="C423" s="224"/>
      <c r="D423" s="212"/>
      <c r="E423" s="221"/>
      <c r="F423" s="222"/>
      <c r="G423" s="223"/>
      <c r="H423" s="164"/>
      <c r="I423" s="164"/>
      <c r="J423" s="164"/>
      <c r="K423" s="164"/>
      <c r="L423" s="174"/>
      <c r="M423" s="164"/>
      <c r="N423" s="174"/>
      <c r="O423" s="157"/>
      <c r="P423" s="178"/>
      <c r="Q423" s="157"/>
      <c r="R423" s="157"/>
      <c r="S423" s="178"/>
      <c r="T423" s="157"/>
      <c r="U423" s="178"/>
      <c r="V423" s="191"/>
      <c r="W423" s="191"/>
      <c r="X423" s="191"/>
      <c r="Y423" s="191"/>
      <c r="Z423" s="191"/>
      <c r="AA423" s="191"/>
      <c r="AB423" s="191"/>
    </row>
    <row r="424" ht="15.75" customHeight="1">
      <c r="A424" s="288"/>
      <c r="B424" s="224"/>
      <c r="C424" s="224"/>
      <c r="D424" s="212"/>
      <c r="E424" s="221"/>
      <c r="F424" s="222"/>
      <c r="G424" s="223"/>
      <c r="H424" s="164"/>
      <c r="I424" s="164"/>
      <c r="J424" s="164"/>
      <c r="K424" s="164"/>
      <c r="L424" s="174"/>
      <c r="M424" s="164"/>
      <c r="N424" s="174"/>
      <c r="O424" s="157"/>
      <c r="P424" s="178"/>
      <c r="Q424" s="157"/>
      <c r="R424" s="157"/>
      <c r="S424" s="178"/>
      <c r="T424" s="157"/>
      <c r="U424" s="178"/>
      <c r="V424" s="191"/>
      <c r="W424" s="191"/>
      <c r="X424" s="191"/>
      <c r="Y424" s="191"/>
      <c r="Z424" s="191"/>
      <c r="AA424" s="191"/>
      <c r="AB424" s="191"/>
    </row>
    <row r="425" ht="15.75" customHeight="1">
      <c r="A425" s="288"/>
      <c r="B425" s="224"/>
      <c r="C425" s="224"/>
      <c r="D425" s="212"/>
      <c r="E425" s="221"/>
      <c r="F425" s="222"/>
      <c r="G425" s="223"/>
      <c r="H425" s="164"/>
      <c r="I425" s="164"/>
      <c r="J425" s="164"/>
      <c r="K425" s="164"/>
      <c r="L425" s="174"/>
      <c r="M425" s="164"/>
      <c r="N425" s="174"/>
      <c r="O425" s="157"/>
      <c r="P425" s="178"/>
      <c r="Q425" s="157"/>
      <c r="R425" s="157"/>
      <c r="S425" s="178"/>
      <c r="T425" s="157"/>
      <c r="U425" s="178"/>
      <c r="V425" s="191"/>
      <c r="W425" s="191"/>
      <c r="X425" s="191"/>
      <c r="Y425" s="191"/>
      <c r="Z425" s="191"/>
      <c r="AA425" s="191"/>
      <c r="AB425" s="191"/>
    </row>
    <row r="426" ht="15.75" customHeight="1">
      <c r="A426" s="288"/>
      <c r="B426" s="224"/>
      <c r="C426" s="224"/>
      <c r="D426" s="212"/>
      <c r="E426" s="221"/>
      <c r="F426" s="222"/>
      <c r="G426" s="223"/>
      <c r="H426" s="164"/>
      <c r="I426" s="164"/>
      <c r="J426" s="164"/>
      <c r="K426" s="164"/>
      <c r="L426" s="174"/>
      <c r="M426" s="164"/>
      <c r="N426" s="174"/>
      <c r="O426" s="157"/>
      <c r="P426" s="178"/>
      <c r="Q426" s="157"/>
      <c r="R426" s="157"/>
      <c r="S426" s="178"/>
      <c r="T426" s="157"/>
      <c r="U426" s="178"/>
      <c r="V426" s="191"/>
      <c r="W426" s="191"/>
      <c r="X426" s="191"/>
      <c r="Y426" s="191"/>
      <c r="Z426" s="191"/>
      <c r="AA426" s="191"/>
      <c r="AB426" s="191"/>
    </row>
    <row r="427" ht="15.75" customHeight="1">
      <c r="A427" s="288"/>
      <c r="B427" s="224"/>
      <c r="C427" s="224"/>
      <c r="D427" s="212"/>
      <c r="E427" s="221"/>
      <c r="F427" s="222"/>
      <c r="G427" s="223"/>
      <c r="H427" s="164"/>
      <c r="I427" s="164"/>
      <c r="J427" s="164"/>
      <c r="K427" s="164"/>
      <c r="L427" s="174"/>
      <c r="M427" s="164"/>
      <c r="N427" s="174"/>
      <c r="O427" s="157"/>
      <c r="P427" s="178"/>
      <c r="Q427" s="157"/>
      <c r="R427" s="157"/>
      <c r="S427" s="178"/>
      <c r="T427" s="157"/>
      <c r="U427" s="178"/>
      <c r="V427" s="191"/>
      <c r="W427" s="191"/>
      <c r="X427" s="191"/>
      <c r="Y427" s="191"/>
      <c r="Z427" s="191"/>
      <c r="AA427" s="191"/>
      <c r="AB427" s="191"/>
    </row>
    <row r="428" ht="15.75" customHeight="1">
      <c r="A428" s="288"/>
      <c r="B428" s="224"/>
      <c r="C428" s="224"/>
      <c r="D428" s="212"/>
      <c r="E428" s="221"/>
      <c r="F428" s="222"/>
      <c r="G428" s="223"/>
      <c r="H428" s="164"/>
      <c r="I428" s="164"/>
      <c r="J428" s="164"/>
      <c r="K428" s="164"/>
      <c r="L428" s="174"/>
      <c r="M428" s="164"/>
      <c r="N428" s="174"/>
      <c r="O428" s="157"/>
      <c r="P428" s="178"/>
      <c r="Q428" s="157"/>
      <c r="R428" s="157"/>
      <c r="S428" s="178"/>
      <c r="T428" s="157"/>
      <c r="U428" s="178"/>
      <c r="V428" s="191"/>
      <c r="W428" s="191"/>
      <c r="X428" s="191"/>
      <c r="Y428" s="191"/>
      <c r="Z428" s="191"/>
      <c r="AA428" s="191"/>
      <c r="AB428" s="191"/>
    </row>
    <row r="429" ht="15.75" customHeight="1">
      <c r="A429" s="288"/>
      <c r="B429" s="224"/>
      <c r="C429" s="224"/>
      <c r="D429" s="212"/>
      <c r="E429" s="221"/>
      <c r="F429" s="222"/>
      <c r="G429" s="223"/>
      <c r="H429" s="164"/>
      <c r="I429" s="164"/>
      <c r="J429" s="164"/>
      <c r="K429" s="164"/>
      <c r="L429" s="174"/>
      <c r="M429" s="164"/>
      <c r="N429" s="174"/>
      <c r="O429" s="157"/>
      <c r="P429" s="178"/>
      <c r="Q429" s="157"/>
      <c r="R429" s="157"/>
      <c r="S429" s="178"/>
      <c r="T429" s="157"/>
      <c r="U429" s="178"/>
      <c r="V429" s="191"/>
      <c r="W429" s="191"/>
      <c r="X429" s="191"/>
      <c r="Y429" s="191"/>
      <c r="Z429" s="191"/>
      <c r="AA429" s="191"/>
      <c r="AB429" s="191"/>
    </row>
    <row r="430" ht="15.75" customHeight="1">
      <c r="A430" s="288"/>
      <c r="B430" s="224"/>
      <c r="C430" s="224"/>
      <c r="D430" s="212"/>
      <c r="E430" s="221"/>
      <c r="F430" s="222"/>
      <c r="G430" s="223"/>
      <c r="H430" s="164"/>
      <c r="I430" s="164"/>
      <c r="J430" s="164"/>
      <c r="K430" s="164"/>
      <c r="L430" s="174"/>
      <c r="M430" s="164"/>
      <c r="N430" s="174"/>
      <c r="O430" s="157"/>
      <c r="P430" s="178"/>
      <c r="Q430" s="157"/>
      <c r="R430" s="157"/>
      <c r="S430" s="178"/>
      <c r="T430" s="157"/>
      <c r="U430" s="178"/>
      <c r="V430" s="191"/>
      <c r="W430" s="191"/>
      <c r="X430" s="191"/>
      <c r="Y430" s="191"/>
      <c r="Z430" s="191"/>
      <c r="AA430" s="191"/>
      <c r="AB430" s="191"/>
    </row>
    <row r="431" ht="15.75" customHeight="1">
      <c r="A431" s="288"/>
      <c r="B431" s="224"/>
      <c r="C431" s="224"/>
      <c r="D431" s="212"/>
      <c r="E431" s="221"/>
      <c r="F431" s="222"/>
      <c r="G431" s="223"/>
      <c r="H431" s="164"/>
      <c r="I431" s="164"/>
      <c r="J431" s="164"/>
      <c r="K431" s="164"/>
      <c r="L431" s="174"/>
      <c r="M431" s="164"/>
      <c r="N431" s="174"/>
      <c r="O431" s="157"/>
      <c r="P431" s="178"/>
      <c r="Q431" s="157"/>
      <c r="R431" s="157"/>
      <c r="S431" s="178"/>
      <c r="T431" s="157"/>
      <c r="U431" s="178"/>
      <c r="V431" s="191"/>
      <c r="W431" s="191"/>
      <c r="X431" s="191"/>
      <c r="Y431" s="191"/>
      <c r="Z431" s="191"/>
      <c r="AA431" s="191"/>
      <c r="AB431" s="191"/>
    </row>
    <row r="432" ht="15.75" customHeight="1">
      <c r="A432" s="288"/>
      <c r="B432" s="224"/>
      <c r="C432" s="224"/>
      <c r="D432" s="212"/>
      <c r="E432" s="221"/>
      <c r="F432" s="222"/>
      <c r="G432" s="223"/>
      <c r="H432" s="164"/>
      <c r="I432" s="164"/>
      <c r="J432" s="164"/>
      <c r="K432" s="164"/>
      <c r="L432" s="174"/>
      <c r="M432" s="164"/>
      <c r="N432" s="174"/>
      <c r="O432" s="157"/>
      <c r="P432" s="178"/>
      <c r="Q432" s="157"/>
      <c r="R432" s="157"/>
      <c r="S432" s="178"/>
      <c r="T432" s="157"/>
      <c r="U432" s="178"/>
      <c r="V432" s="191"/>
      <c r="W432" s="191"/>
      <c r="X432" s="191"/>
      <c r="Y432" s="191"/>
      <c r="Z432" s="191"/>
      <c r="AA432" s="191"/>
      <c r="AB432" s="191"/>
    </row>
    <row r="433" ht="15.75" customHeight="1">
      <c r="A433" s="288"/>
      <c r="B433" s="224"/>
      <c r="C433" s="224"/>
      <c r="D433" s="212"/>
      <c r="E433" s="221"/>
      <c r="F433" s="222"/>
      <c r="G433" s="223"/>
      <c r="H433" s="164"/>
      <c r="I433" s="164"/>
      <c r="J433" s="164"/>
      <c r="K433" s="164"/>
      <c r="L433" s="174"/>
      <c r="M433" s="164"/>
      <c r="N433" s="174"/>
      <c r="O433" s="157"/>
      <c r="P433" s="178"/>
      <c r="Q433" s="157"/>
      <c r="R433" s="157"/>
      <c r="S433" s="178"/>
      <c r="T433" s="157"/>
      <c r="U433" s="178"/>
      <c r="V433" s="191"/>
      <c r="W433" s="191"/>
      <c r="X433" s="191"/>
      <c r="Y433" s="191"/>
      <c r="Z433" s="191"/>
      <c r="AA433" s="191"/>
      <c r="AB433" s="191"/>
    </row>
    <row r="434" ht="15.75" customHeight="1">
      <c r="A434" s="288"/>
      <c r="B434" s="224"/>
      <c r="C434" s="224"/>
      <c r="D434" s="212"/>
      <c r="E434" s="221"/>
      <c r="F434" s="222"/>
      <c r="G434" s="223"/>
      <c r="H434" s="164"/>
      <c r="I434" s="164"/>
      <c r="J434" s="164"/>
      <c r="K434" s="164"/>
      <c r="L434" s="174"/>
      <c r="M434" s="164"/>
      <c r="N434" s="174"/>
      <c r="O434" s="157"/>
      <c r="P434" s="178"/>
      <c r="Q434" s="157"/>
      <c r="R434" s="157"/>
      <c r="S434" s="178"/>
      <c r="T434" s="157"/>
      <c r="U434" s="178"/>
      <c r="V434" s="191"/>
      <c r="W434" s="191"/>
      <c r="X434" s="191"/>
      <c r="Y434" s="191"/>
      <c r="Z434" s="191"/>
      <c r="AA434" s="191"/>
      <c r="AB434" s="191"/>
    </row>
    <row r="435" ht="15.75" customHeight="1">
      <c r="A435" s="288"/>
      <c r="B435" s="224"/>
      <c r="C435" s="224"/>
      <c r="D435" s="212"/>
      <c r="E435" s="221"/>
      <c r="F435" s="222"/>
      <c r="G435" s="223"/>
      <c r="H435" s="164"/>
      <c r="I435" s="164"/>
      <c r="J435" s="164"/>
      <c r="K435" s="164"/>
      <c r="L435" s="174"/>
      <c r="M435" s="164"/>
      <c r="N435" s="174"/>
      <c r="O435" s="157"/>
      <c r="P435" s="178"/>
      <c r="Q435" s="157"/>
      <c r="R435" s="157"/>
      <c r="S435" s="178"/>
      <c r="T435" s="157"/>
      <c r="U435" s="178"/>
      <c r="V435" s="191"/>
      <c r="W435" s="191"/>
      <c r="X435" s="191"/>
      <c r="Y435" s="191"/>
      <c r="Z435" s="191"/>
      <c r="AA435" s="191"/>
      <c r="AB435" s="191"/>
    </row>
    <row r="436" ht="15.75" customHeight="1">
      <c r="A436" s="288"/>
      <c r="B436" s="224"/>
      <c r="C436" s="224"/>
      <c r="D436" s="212"/>
      <c r="E436" s="221"/>
      <c r="F436" s="222"/>
      <c r="G436" s="223"/>
      <c r="H436" s="164"/>
      <c r="I436" s="164"/>
      <c r="J436" s="164"/>
      <c r="K436" s="164"/>
      <c r="L436" s="174"/>
      <c r="M436" s="164"/>
      <c r="N436" s="174"/>
      <c r="O436" s="157"/>
      <c r="P436" s="178"/>
      <c r="Q436" s="157"/>
      <c r="R436" s="157"/>
      <c r="S436" s="178"/>
      <c r="T436" s="157"/>
      <c r="U436" s="178"/>
      <c r="V436" s="191"/>
      <c r="W436" s="191"/>
      <c r="X436" s="191"/>
      <c r="Y436" s="191"/>
      <c r="Z436" s="191"/>
      <c r="AA436" s="191"/>
      <c r="AB436" s="191"/>
    </row>
    <row r="437" ht="15.75" customHeight="1">
      <c r="A437" s="288"/>
      <c r="B437" s="224"/>
      <c r="C437" s="224"/>
      <c r="D437" s="212"/>
      <c r="E437" s="221"/>
      <c r="F437" s="222"/>
      <c r="G437" s="223"/>
      <c r="H437" s="164"/>
      <c r="I437" s="164"/>
      <c r="J437" s="164"/>
      <c r="K437" s="164"/>
      <c r="L437" s="174"/>
      <c r="M437" s="164"/>
      <c r="N437" s="174"/>
      <c r="O437" s="157"/>
      <c r="P437" s="178"/>
      <c r="Q437" s="157"/>
      <c r="R437" s="157"/>
      <c r="S437" s="178"/>
      <c r="T437" s="157"/>
      <c r="U437" s="178"/>
      <c r="V437" s="191"/>
      <c r="W437" s="191"/>
      <c r="X437" s="191"/>
      <c r="Y437" s="191"/>
      <c r="Z437" s="191"/>
      <c r="AA437" s="191"/>
      <c r="AB437" s="191"/>
    </row>
    <row r="438" ht="15.75" customHeight="1">
      <c r="A438" s="288"/>
      <c r="B438" s="224"/>
      <c r="C438" s="224"/>
      <c r="D438" s="212"/>
      <c r="E438" s="221"/>
      <c r="F438" s="222"/>
      <c r="G438" s="223"/>
      <c r="H438" s="164"/>
      <c r="I438" s="164"/>
      <c r="J438" s="164"/>
      <c r="K438" s="164"/>
      <c r="L438" s="174"/>
      <c r="M438" s="164"/>
      <c r="N438" s="174"/>
      <c r="O438" s="157"/>
      <c r="P438" s="178"/>
      <c r="Q438" s="157"/>
      <c r="R438" s="157"/>
      <c r="S438" s="178"/>
      <c r="T438" s="157"/>
      <c r="U438" s="178"/>
      <c r="V438" s="191"/>
      <c r="W438" s="191"/>
      <c r="X438" s="191"/>
      <c r="Y438" s="191"/>
      <c r="Z438" s="191"/>
      <c r="AA438" s="191"/>
      <c r="AB438" s="191"/>
    </row>
    <row r="439" ht="15.75" customHeight="1">
      <c r="A439" s="288"/>
      <c r="B439" s="224"/>
      <c r="C439" s="224"/>
      <c r="D439" s="212"/>
      <c r="E439" s="221"/>
      <c r="F439" s="222"/>
      <c r="G439" s="223"/>
      <c r="H439" s="164"/>
      <c r="I439" s="164"/>
      <c r="J439" s="164"/>
      <c r="K439" s="164"/>
      <c r="L439" s="174"/>
      <c r="M439" s="164"/>
      <c r="N439" s="174"/>
      <c r="O439" s="157"/>
      <c r="P439" s="178"/>
      <c r="Q439" s="157"/>
      <c r="R439" s="157"/>
      <c r="S439" s="178"/>
      <c r="T439" s="157"/>
      <c r="U439" s="178"/>
      <c r="V439" s="191"/>
      <c r="W439" s="191"/>
      <c r="X439" s="191"/>
      <c r="Y439" s="191"/>
      <c r="Z439" s="191"/>
      <c r="AA439" s="191"/>
      <c r="AB439" s="191"/>
    </row>
    <row r="440" ht="15.75" customHeight="1">
      <c r="A440" s="288"/>
      <c r="B440" s="224"/>
      <c r="C440" s="224"/>
      <c r="D440" s="212"/>
      <c r="E440" s="221"/>
      <c r="F440" s="222"/>
      <c r="G440" s="223"/>
      <c r="H440" s="164"/>
      <c r="I440" s="164"/>
      <c r="J440" s="164"/>
      <c r="K440" s="164"/>
      <c r="L440" s="174"/>
      <c r="M440" s="164"/>
      <c r="N440" s="174"/>
      <c r="O440" s="157"/>
      <c r="P440" s="178"/>
      <c r="Q440" s="157"/>
      <c r="R440" s="157"/>
      <c r="S440" s="178"/>
      <c r="T440" s="157"/>
      <c r="U440" s="178"/>
      <c r="V440" s="191"/>
      <c r="W440" s="191"/>
      <c r="X440" s="191"/>
      <c r="Y440" s="191"/>
      <c r="Z440" s="191"/>
      <c r="AA440" s="191"/>
      <c r="AB440" s="191"/>
    </row>
    <row r="441" ht="15.75" customHeight="1">
      <c r="A441" s="288"/>
      <c r="B441" s="224"/>
      <c r="C441" s="224"/>
      <c r="D441" s="212"/>
      <c r="E441" s="221"/>
      <c r="F441" s="222"/>
      <c r="G441" s="223"/>
      <c r="H441" s="164"/>
      <c r="I441" s="164"/>
      <c r="J441" s="164"/>
      <c r="K441" s="164"/>
      <c r="L441" s="174"/>
      <c r="M441" s="164"/>
      <c r="N441" s="174"/>
      <c r="O441" s="157"/>
      <c r="P441" s="178"/>
      <c r="Q441" s="157"/>
      <c r="R441" s="157"/>
      <c r="S441" s="178"/>
      <c r="T441" s="157"/>
      <c r="U441" s="178"/>
      <c r="V441" s="191"/>
      <c r="W441" s="191"/>
      <c r="X441" s="191"/>
      <c r="Y441" s="191"/>
      <c r="Z441" s="191"/>
      <c r="AA441" s="191"/>
      <c r="AB441" s="191"/>
    </row>
    <row r="442" ht="15.75" customHeight="1">
      <c r="A442" s="288"/>
      <c r="B442" s="224"/>
      <c r="C442" s="224"/>
      <c r="D442" s="212"/>
      <c r="E442" s="221"/>
      <c r="F442" s="222"/>
      <c r="G442" s="223"/>
      <c r="H442" s="164"/>
      <c r="I442" s="164"/>
      <c r="J442" s="164"/>
      <c r="K442" s="164"/>
      <c r="L442" s="174"/>
      <c r="M442" s="164"/>
      <c r="N442" s="174"/>
      <c r="O442" s="157"/>
      <c r="P442" s="178"/>
      <c r="Q442" s="157"/>
      <c r="R442" s="157"/>
      <c r="S442" s="178"/>
      <c r="T442" s="157"/>
      <c r="U442" s="178"/>
      <c r="V442" s="191"/>
      <c r="W442" s="191"/>
      <c r="X442" s="191"/>
      <c r="Y442" s="191"/>
      <c r="Z442" s="191"/>
      <c r="AA442" s="191"/>
      <c r="AB442" s="191"/>
    </row>
    <row r="443" ht="15.75" customHeight="1">
      <c r="A443" s="288"/>
      <c r="B443" s="224"/>
      <c r="C443" s="224"/>
      <c r="D443" s="212"/>
      <c r="E443" s="221"/>
      <c r="F443" s="222"/>
      <c r="G443" s="223"/>
      <c r="H443" s="164"/>
      <c r="I443" s="164"/>
      <c r="J443" s="164"/>
      <c r="K443" s="164"/>
      <c r="L443" s="174"/>
      <c r="M443" s="164"/>
      <c r="N443" s="174"/>
      <c r="O443" s="157"/>
      <c r="P443" s="178"/>
      <c r="Q443" s="157"/>
      <c r="R443" s="157"/>
      <c r="S443" s="178"/>
      <c r="T443" s="157"/>
      <c r="U443" s="178"/>
      <c r="V443" s="191"/>
      <c r="W443" s="191"/>
      <c r="X443" s="191"/>
      <c r="Y443" s="191"/>
      <c r="Z443" s="191"/>
      <c r="AA443" s="191"/>
      <c r="AB443" s="191"/>
    </row>
    <row r="444" ht="15.75" customHeight="1">
      <c r="A444" s="288"/>
      <c r="B444" s="224"/>
      <c r="C444" s="224"/>
      <c r="D444" s="212"/>
      <c r="E444" s="221"/>
      <c r="F444" s="222"/>
      <c r="G444" s="223"/>
      <c r="H444" s="164"/>
      <c r="I444" s="164"/>
      <c r="J444" s="164"/>
      <c r="K444" s="164"/>
      <c r="L444" s="174"/>
      <c r="M444" s="164"/>
      <c r="N444" s="174"/>
      <c r="O444" s="157"/>
      <c r="P444" s="178"/>
      <c r="Q444" s="157"/>
      <c r="R444" s="157"/>
      <c r="S444" s="178"/>
      <c r="T444" s="157"/>
      <c r="U444" s="178"/>
      <c r="V444" s="191"/>
      <c r="W444" s="191"/>
      <c r="X444" s="191"/>
      <c r="Y444" s="191"/>
      <c r="Z444" s="191"/>
      <c r="AA444" s="191"/>
      <c r="AB444" s="191"/>
    </row>
    <row r="445" ht="15.75" customHeight="1">
      <c r="A445" s="288"/>
      <c r="B445" s="224"/>
      <c r="C445" s="224"/>
      <c r="D445" s="212"/>
      <c r="E445" s="221"/>
      <c r="F445" s="222"/>
      <c r="G445" s="223"/>
      <c r="H445" s="164"/>
      <c r="I445" s="164"/>
      <c r="J445" s="164"/>
      <c r="K445" s="164"/>
      <c r="L445" s="174"/>
      <c r="M445" s="164"/>
      <c r="N445" s="174"/>
      <c r="O445" s="157"/>
      <c r="P445" s="178"/>
      <c r="Q445" s="157"/>
      <c r="R445" s="157"/>
      <c r="S445" s="178"/>
      <c r="T445" s="157"/>
      <c r="U445" s="178"/>
      <c r="V445" s="191"/>
      <c r="W445" s="191"/>
      <c r="X445" s="191"/>
      <c r="Y445" s="191"/>
      <c r="Z445" s="191"/>
      <c r="AA445" s="191"/>
      <c r="AB445" s="191"/>
    </row>
    <row r="446" ht="15.75" customHeight="1">
      <c r="A446" s="288"/>
      <c r="B446" s="224"/>
      <c r="C446" s="224"/>
      <c r="D446" s="212"/>
      <c r="E446" s="221"/>
      <c r="F446" s="222"/>
      <c r="G446" s="223"/>
      <c r="H446" s="164"/>
      <c r="I446" s="164"/>
      <c r="J446" s="164"/>
      <c r="K446" s="164"/>
      <c r="L446" s="174"/>
      <c r="M446" s="164"/>
      <c r="N446" s="174"/>
      <c r="O446" s="157"/>
      <c r="P446" s="178"/>
      <c r="Q446" s="157"/>
      <c r="R446" s="157"/>
      <c r="S446" s="178"/>
      <c r="T446" s="157"/>
      <c r="U446" s="178"/>
      <c r="V446" s="191"/>
      <c r="W446" s="191"/>
      <c r="X446" s="191"/>
      <c r="Y446" s="191"/>
      <c r="Z446" s="191"/>
      <c r="AA446" s="191"/>
      <c r="AB446" s="191"/>
    </row>
    <row r="447" ht="15.75" customHeight="1">
      <c r="A447" s="288"/>
      <c r="B447" s="224"/>
      <c r="C447" s="224"/>
      <c r="D447" s="212"/>
      <c r="E447" s="221"/>
      <c r="F447" s="222"/>
      <c r="G447" s="223"/>
      <c r="H447" s="164"/>
      <c r="I447" s="164"/>
      <c r="J447" s="164"/>
      <c r="K447" s="164"/>
      <c r="L447" s="174"/>
      <c r="M447" s="164"/>
      <c r="N447" s="174"/>
      <c r="O447" s="157"/>
      <c r="P447" s="178"/>
      <c r="Q447" s="157"/>
      <c r="R447" s="157"/>
      <c r="S447" s="178"/>
      <c r="T447" s="157"/>
      <c r="U447" s="178"/>
      <c r="V447" s="191"/>
      <c r="W447" s="191"/>
      <c r="X447" s="191"/>
      <c r="Y447" s="191"/>
      <c r="Z447" s="191"/>
      <c r="AA447" s="191"/>
      <c r="AB447" s="191"/>
    </row>
    <row r="448" ht="15.75" customHeight="1">
      <c r="A448" s="288"/>
      <c r="B448" s="224"/>
      <c r="C448" s="224"/>
      <c r="D448" s="212"/>
      <c r="E448" s="221"/>
      <c r="F448" s="222"/>
      <c r="G448" s="223"/>
      <c r="H448" s="164"/>
      <c r="I448" s="164"/>
      <c r="J448" s="164"/>
      <c r="K448" s="164"/>
      <c r="L448" s="174"/>
      <c r="M448" s="164"/>
      <c r="N448" s="174"/>
      <c r="O448" s="157"/>
      <c r="P448" s="178"/>
      <c r="Q448" s="157"/>
      <c r="R448" s="157"/>
      <c r="S448" s="178"/>
      <c r="T448" s="157"/>
      <c r="U448" s="178"/>
      <c r="V448" s="191"/>
      <c r="W448" s="191"/>
      <c r="X448" s="191"/>
      <c r="Y448" s="191"/>
      <c r="Z448" s="191"/>
      <c r="AA448" s="191"/>
      <c r="AB448" s="191"/>
    </row>
    <row r="449" ht="15.75" customHeight="1">
      <c r="A449" s="288"/>
      <c r="B449" s="224"/>
      <c r="C449" s="224"/>
      <c r="D449" s="212"/>
      <c r="E449" s="221"/>
      <c r="F449" s="222"/>
      <c r="G449" s="223"/>
      <c r="H449" s="164"/>
      <c r="I449" s="164"/>
      <c r="J449" s="164"/>
      <c r="K449" s="164"/>
      <c r="L449" s="174"/>
      <c r="M449" s="164"/>
      <c r="N449" s="174"/>
      <c r="O449" s="157"/>
      <c r="P449" s="178"/>
      <c r="Q449" s="157"/>
      <c r="R449" s="157"/>
      <c r="S449" s="178"/>
      <c r="T449" s="157"/>
      <c r="U449" s="178"/>
      <c r="V449" s="191"/>
      <c r="W449" s="191"/>
      <c r="X449" s="191"/>
      <c r="Y449" s="191"/>
      <c r="Z449" s="191"/>
      <c r="AA449" s="191"/>
      <c r="AB449" s="191"/>
    </row>
    <row r="450" ht="15.75" customHeight="1">
      <c r="A450" s="288"/>
      <c r="B450" s="224"/>
      <c r="C450" s="224"/>
      <c r="D450" s="212"/>
      <c r="E450" s="221"/>
      <c r="F450" s="222"/>
      <c r="G450" s="223"/>
      <c r="H450" s="164"/>
      <c r="I450" s="164"/>
      <c r="J450" s="164"/>
      <c r="K450" s="164"/>
      <c r="L450" s="174"/>
      <c r="M450" s="164"/>
      <c r="N450" s="174"/>
      <c r="O450" s="157"/>
      <c r="P450" s="178"/>
      <c r="Q450" s="157"/>
      <c r="R450" s="157"/>
      <c r="S450" s="178"/>
      <c r="T450" s="157"/>
      <c r="U450" s="178"/>
      <c r="V450" s="191"/>
      <c r="W450" s="191"/>
      <c r="X450" s="191"/>
      <c r="Y450" s="191"/>
      <c r="Z450" s="191"/>
      <c r="AA450" s="191"/>
      <c r="AB450" s="191"/>
    </row>
    <row r="451" ht="15.75" customHeight="1">
      <c r="A451" s="288"/>
      <c r="B451" s="224"/>
      <c r="C451" s="224"/>
      <c r="D451" s="212"/>
      <c r="E451" s="221"/>
      <c r="F451" s="222"/>
      <c r="G451" s="223"/>
      <c r="H451" s="164"/>
      <c r="I451" s="164"/>
      <c r="J451" s="164"/>
      <c r="K451" s="164"/>
      <c r="L451" s="174"/>
      <c r="M451" s="164"/>
      <c r="N451" s="174"/>
      <c r="O451" s="157"/>
      <c r="P451" s="178"/>
      <c r="Q451" s="157"/>
      <c r="R451" s="157"/>
      <c r="S451" s="178"/>
      <c r="T451" s="157"/>
      <c r="U451" s="178"/>
      <c r="V451" s="191"/>
      <c r="W451" s="191"/>
      <c r="X451" s="191"/>
      <c r="Y451" s="191"/>
      <c r="Z451" s="191"/>
      <c r="AA451" s="191"/>
      <c r="AB451" s="191"/>
    </row>
    <row r="452" ht="15.75" customHeight="1">
      <c r="A452" s="288"/>
      <c r="B452" s="224"/>
      <c r="C452" s="224"/>
      <c r="D452" s="212"/>
      <c r="E452" s="221"/>
      <c r="F452" s="222"/>
      <c r="G452" s="223"/>
      <c r="H452" s="164"/>
      <c r="I452" s="164"/>
      <c r="J452" s="164"/>
      <c r="K452" s="164"/>
      <c r="L452" s="174"/>
      <c r="M452" s="164"/>
      <c r="N452" s="174"/>
      <c r="O452" s="157"/>
      <c r="P452" s="178"/>
      <c r="Q452" s="157"/>
      <c r="R452" s="157"/>
      <c r="S452" s="178"/>
      <c r="T452" s="157"/>
      <c r="U452" s="178"/>
      <c r="V452" s="191"/>
      <c r="W452" s="191"/>
      <c r="X452" s="191"/>
      <c r="Y452" s="191"/>
      <c r="Z452" s="191"/>
      <c r="AA452" s="191"/>
      <c r="AB452" s="191"/>
    </row>
    <row r="453" ht="15.75" customHeight="1">
      <c r="A453" s="288"/>
      <c r="B453" s="224"/>
      <c r="C453" s="224"/>
      <c r="D453" s="212"/>
      <c r="E453" s="221"/>
      <c r="F453" s="222"/>
      <c r="G453" s="223"/>
      <c r="H453" s="164"/>
      <c r="I453" s="164"/>
      <c r="J453" s="164"/>
      <c r="K453" s="164"/>
      <c r="L453" s="174"/>
      <c r="M453" s="164"/>
      <c r="N453" s="174"/>
      <c r="O453" s="157"/>
      <c r="P453" s="178"/>
      <c r="Q453" s="157"/>
      <c r="R453" s="157"/>
      <c r="S453" s="178"/>
      <c r="T453" s="157"/>
      <c r="U453" s="178"/>
      <c r="V453" s="191"/>
      <c r="W453" s="191"/>
      <c r="X453" s="191"/>
      <c r="Y453" s="191"/>
      <c r="Z453" s="191"/>
      <c r="AA453" s="191"/>
      <c r="AB453" s="191"/>
    </row>
    <row r="454" ht="15.75" customHeight="1">
      <c r="A454" s="288"/>
      <c r="B454" s="224"/>
      <c r="C454" s="224"/>
      <c r="D454" s="212"/>
      <c r="E454" s="221"/>
      <c r="F454" s="222"/>
      <c r="G454" s="223"/>
      <c r="H454" s="164"/>
      <c r="I454" s="164"/>
      <c r="J454" s="164"/>
      <c r="K454" s="164"/>
      <c r="L454" s="174"/>
      <c r="M454" s="164"/>
      <c r="N454" s="174"/>
      <c r="O454" s="157"/>
      <c r="P454" s="178"/>
      <c r="Q454" s="157"/>
      <c r="R454" s="157"/>
      <c r="S454" s="178"/>
      <c r="T454" s="157"/>
      <c r="U454" s="178"/>
      <c r="V454" s="191"/>
      <c r="W454" s="191"/>
      <c r="X454" s="191"/>
      <c r="Y454" s="191"/>
      <c r="Z454" s="191"/>
      <c r="AA454" s="191"/>
      <c r="AB454" s="191"/>
    </row>
    <row r="455" ht="15.75" customHeight="1">
      <c r="A455" s="288"/>
      <c r="B455" s="224"/>
      <c r="C455" s="224"/>
      <c r="D455" s="212"/>
      <c r="E455" s="221"/>
      <c r="F455" s="222"/>
      <c r="G455" s="223"/>
      <c r="H455" s="164"/>
      <c r="I455" s="164"/>
      <c r="J455" s="164"/>
      <c r="K455" s="164"/>
      <c r="L455" s="174"/>
      <c r="M455" s="164"/>
      <c r="N455" s="174"/>
      <c r="O455" s="157"/>
      <c r="P455" s="178"/>
      <c r="Q455" s="157"/>
      <c r="R455" s="157"/>
      <c r="S455" s="178"/>
      <c r="T455" s="157"/>
      <c r="U455" s="178"/>
      <c r="V455" s="191"/>
      <c r="W455" s="191"/>
      <c r="X455" s="191"/>
      <c r="Y455" s="191"/>
      <c r="Z455" s="191"/>
      <c r="AA455" s="191"/>
      <c r="AB455" s="191"/>
    </row>
    <row r="456" ht="15.75" customHeight="1">
      <c r="A456" s="288"/>
      <c r="B456" s="224"/>
      <c r="C456" s="224"/>
      <c r="D456" s="212"/>
      <c r="E456" s="221"/>
      <c r="F456" s="222"/>
      <c r="G456" s="223"/>
      <c r="H456" s="164"/>
      <c r="I456" s="164"/>
      <c r="J456" s="164"/>
      <c r="K456" s="164"/>
      <c r="L456" s="174"/>
      <c r="M456" s="164"/>
      <c r="N456" s="174"/>
      <c r="O456" s="157"/>
      <c r="P456" s="178"/>
      <c r="Q456" s="157"/>
      <c r="R456" s="157"/>
      <c r="S456" s="178"/>
      <c r="T456" s="157"/>
      <c r="U456" s="178"/>
      <c r="V456" s="191"/>
      <c r="W456" s="191"/>
      <c r="X456" s="191"/>
      <c r="Y456" s="191"/>
      <c r="Z456" s="191"/>
      <c r="AA456" s="191"/>
      <c r="AB456" s="191"/>
    </row>
    <row r="457" ht="15.75" customHeight="1">
      <c r="A457" s="288"/>
      <c r="B457" s="224"/>
      <c r="C457" s="224"/>
      <c r="D457" s="212"/>
      <c r="E457" s="221"/>
      <c r="F457" s="222"/>
      <c r="G457" s="223"/>
      <c r="H457" s="164"/>
      <c r="I457" s="164"/>
      <c r="J457" s="164"/>
      <c r="K457" s="164"/>
      <c r="L457" s="174"/>
      <c r="M457" s="164"/>
      <c r="N457" s="174"/>
      <c r="O457" s="157"/>
      <c r="P457" s="178"/>
      <c r="Q457" s="157"/>
      <c r="R457" s="157"/>
      <c r="S457" s="178"/>
      <c r="T457" s="157"/>
      <c r="U457" s="178"/>
      <c r="V457" s="191"/>
      <c r="W457" s="191"/>
      <c r="X457" s="191"/>
      <c r="Y457" s="191"/>
      <c r="Z457" s="191"/>
      <c r="AA457" s="191"/>
      <c r="AB457" s="191"/>
    </row>
    <row r="458" ht="15.75" customHeight="1">
      <c r="A458" s="288"/>
      <c r="B458" s="224"/>
      <c r="C458" s="224"/>
      <c r="D458" s="212"/>
      <c r="E458" s="221"/>
      <c r="F458" s="222"/>
      <c r="G458" s="223"/>
      <c r="H458" s="164"/>
      <c r="I458" s="164"/>
      <c r="J458" s="164"/>
      <c r="K458" s="164"/>
      <c r="L458" s="174"/>
      <c r="M458" s="164"/>
      <c r="N458" s="174"/>
      <c r="O458" s="157"/>
      <c r="P458" s="178"/>
      <c r="Q458" s="157"/>
      <c r="R458" s="157"/>
      <c r="S458" s="178"/>
      <c r="T458" s="157"/>
      <c r="U458" s="178"/>
      <c r="V458" s="191"/>
      <c r="W458" s="191"/>
      <c r="X458" s="191"/>
      <c r="Y458" s="191"/>
      <c r="Z458" s="191"/>
      <c r="AA458" s="191"/>
      <c r="AB458" s="191"/>
    </row>
    <row r="459" ht="15.75" customHeight="1">
      <c r="A459" s="288"/>
      <c r="B459" s="224"/>
      <c r="C459" s="224"/>
      <c r="D459" s="212"/>
      <c r="E459" s="221"/>
      <c r="F459" s="222"/>
      <c r="G459" s="223"/>
      <c r="H459" s="164"/>
      <c r="I459" s="164"/>
      <c r="J459" s="164"/>
      <c r="K459" s="164"/>
      <c r="L459" s="174"/>
      <c r="M459" s="164"/>
      <c r="N459" s="174"/>
      <c r="O459" s="157"/>
      <c r="P459" s="178"/>
      <c r="Q459" s="157"/>
      <c r="R459" s="157"/>
      <c r="S459" s="178"/>
      <c r="T459" s="157"/>
      <c r="U459" s="178"/>
      <c r="V459" s="191"/>
      <c r="W459" s="191"/>
      <c r="X459" s="191"/>
      <c r="Y459" s="191"/>
      <c r="Z459" s="191"/>
      <c r="AA459" s="191"/>
      <c r="AB459" s="191"/>
    </row>
    <row r="460" ht="15.75" customHeight="1">
      <c r="A460" s="288"/>
      <c r="B460" s="224"/>
      <c r="C460" s="224"/>
      <c r="D460" s="212"/>
      <c r="E460" s="221"/>
      <c r="F460" s="222"/>
      <c r="G460" s="223"/>
      <c r="H460" s="164"/>
      <c r="I460" s="164"/>
      <c r="J460" s="164"/>
      <c r="K460" s="164"/>
      <c r="L460" s="174"/>
      <c r="M460" s="164"/>
      <c r="N460" s="174"/>
      <c r="O460" s="157"/>
      <c r="P460" s="178"/>
      <c r="Q460" s="157"/>
      <c r="R460" s="157"/>
      <c r="S460" s="178"/>
      <c r="T460" s="157"/>
      <c r="U460" s="178"/>
      <c r="V460" s="191"/>
      <c r="W460" s="191"/>
      <c r="X460" s="191"/>
      <c r="Y460" s="191"/>
      <c r="Z460" s="191"/>
      <c r="AA460" s="191"/>
      <c r="AB460" s="191"/>
    </row>
    <row r="461" ht="15.75" customHeight="1">
      <c r="A461" s="288"/>
      <c r="B461" s="224"/>
      <c r="C461" s="224"/>
      <c r="D461" s="212"/>
      <c r="E461" s="221"/>
      <c r="F461" s="222"/>
      <c r="G461" s="223"/>
      <c r="H461" s="164"/>
      <c r="I461" s="164"/>
      <c r="J461" s="164"/>
      <c r="K461" s="164"/>
      <c r="L461" s="174"/>
      <c r="M461" s="164"/>
      <c r="N461" s="174"/>
      <c r="O461" s="157"/>
      <c r="P461" s="178"/>
      <c r="Q461" s="157"/>
      <c r="R461" s="157"/>
      <c r="S461" s="178"/>
      <c r="T461" s="157"/>
      <c r="U461" s="178"/>
      <c r="V461" s="191"/>
      <c r="W461" s="191"/>
      <c r="X461" s="191"/>
      <c r="Y461" s="191"/>
      <c r="Z461" s="191"/>
      <c r="AA461" s="191"/>
      <c r="AB461" s="191"/>
    </row>
    <row r="462" ht="15.75" customHeight="1">
      <c r="A462" s="288"/>
      <c r="B462" s="224"/>
      <c r="C462" s="224"/>
      <c r="D462" s="212"/>
      <c r="E462" s="221"/>
      <c r="F462" s="222"/>
      <c r="G462" s="223"/>
      <c r="H462" s="164"/>
      <c r="I462" s="164"/>
      <c r="J462" s="164"/>
      <c r="K462" s="164"/>
      <c r="L462" s="174"/>
      <c r="M462" s="164"/>
      <c r="N462" s="174"/>
      <c r="O462" s="157"/>
      <c r="P462" s="178"/>
      <c r="Q462" s="157"/>
      <c r="R462" s="157"/>
      <c r="S462" s="178"/>
      <c r="T462" s="157"/>
      <c r="U462" s="178"/>
      <c r="V462" s="191"/>
      <c r="W462" s="191"/>
      <c r="X462" s="191"/>
      <c r="Y462" s="191"/>
      <c r="Z462" s="191"/>
      <c r="AA462" s="191"/>
      <c r="AB462" s="191"/>
    </row>
    <row r="463" ht="15.75" customHeight="1">
      <c r="A463" s="288"/>
      <c r="B463" s="224"/>
      <c r="C463" s="224"/>
      <c r="D463" s="212"/>
      <c r="E463" s="221"/>
      <c r="F463" s="222"/>
      <c r="G463" s="223"/>
      <c r="H463" s="164"/>
      <c r="I463" s="164"/>
      <c r="J463" s="164"/>
      <c r="K463" s="164"/>
      <c r="L463" s="174"/>
      <c r="M463" s="164"/>
      <c r="N463" s="174"/>
      <c r="O463" s="157"/>
      <c r="P463" s="178"/>
      <c r="Q463" s="157"/>
      <c r="R463" s="157"/>
      <c r="S463" s="178"/>
      <c r="T463" s="157"/>
      <c r="U463" s="178"/>
      <c r="V463" s="191"/>
      <c r="W463" s="191"/>
      <c r="X463" s="191"/>
      <c r="Y463" s="191"/>
      <c r="Z463" s="191"/>
      <c r="AA463" s="191"/>
      <c r="AB463" s="191"/>
    </row>
    <row r="464" ht="15.75" customHeight="1">
      <c r="A464" s="288"/>
      <c r="B464" s="224"/>
      <c r="C464" s="224"/>
      <c r="D464" s="212"/>
      <c r="E464" s="221"/>
      <c r="F464" s="222"/>
      <c r="G464" s="223"/>
      <c r="H464" s="164"/>
      <c r="I464" s="164"/>
      <c r="J464" s="164"/>
      <c r="K464" s="164"/>
      <c r="L464" s="174"/>
      <c r="M464" s="164"/>
      <c r="N464" s="174"/>
      <c r="O464" s="157"/>
      <c r="P464" s="178"/>
      <c r="Q464" s="157"/>
      <c r="R464" s="157"/>
      <c r="S464" s="178"/>
      <c r="T464" s="157"/>
      <c r="U464" s="178"/>
      <c r="V464" s="191"/>
      <c r="W464" s="191"/>
      <c r="X464" s="191"/>
      <c r="Y464" s="191"/>
      <c r="Z464" s="191"/>
      <c r="AA464" s="191"/>
      <c r="AB464" s="191"/>
    </row>
    <row r="465" ht="15.75" customHeight="1">
      <c r="A465" s="288"/>
      <c r="B465" s="224"/>
      <c r="C465" s="224"/>
      <c r="D465" s="212"/>
      <c r="E465" s="221"/>
      <c r="F465" s="222"/>
      <c r="G465" s="223"/>
      <c r="H465" s="164"/>
      <c r="I465" s="164"/>
      <c r="J465" s="164"/>
      <c r="K465" s="164"/>
      <c r="L465" s="174"/>
      <c r="M465" s="164"/>
      <c r="N465" s="174"/>
      <c r="O465" s="157"/>
      <c r="P465" s="178"/>
      <c r="Q465" s="157"/>
      <c r="R465" s="157"/>
      <c r="S465" s="178"/>
      <c r="T465" s="157"/>
      <c r="U465" s="178"/>
      <c r="V465" s="191"/>
      <c r="W465" s="191"/>
      <c r="X465" s="191"/>
      <c r="Y465" s="191"/>
      <c r="Z465" s="191"/>
      <c r="AA465" s="191"/>
      <c r="AB465" s="191"/>
    </row>
    <row r="466" ht="15.75" customHeight="1">
      <c r="A466" s="288"/>
      <c r="B466" s="224"/>
      <c r="C466" s="224"/>
      <c r="D466" s="212"/>
      <c r="E466" s="221"/>
      <c r="F466" s="222"/>
      <c r="G466" s="223"/>
      <c r="H466" s="164"/>
      <c r="I466" s="164"/>
      <c r="J466" s="164"/>
      <c r="K466" s="164"/>
      <c r="L466" s="174"/>
      <c r="M466" s="164"/>
      <c r="N466" s="174"/>
      <c r="O466" s="157"/>
      <c r="P466" s="178"/>
      <c r="Q466" s="157"/>
      <c r="R466" s="157"/>
      <c r="S466" s="178"/>
      <c r="T466" s="157"/>
      <c r="U466" s="178"/>
      <c r="V466" s="191"/>
      <c r="W466" s="191"/>
      <c r="X466" s="191"/>
      <c r="Y466" s="191"/>
      <c r="Z466" s="191"/>
      <c r="AA466" s="191"/>
      <c r="AB466" s="191"/>
    </row>
    <row r="467" ht="15.75" customHeight="1">
      <c r="A467" s="288"/>
      <c r="B467" s="224"/>
      <c r="C467" s="224"/>
      <c r="D467" s="212"/>
      <c r="E467" s="221"/>
      <c r="F467" s="222"/>
      <c r="G467" s="223"/>
      <c r="H467" s="164"/>
      <c r="I467" s="164"/>
      <c r="J467" s="164"/>
      <c r="K467" s="164"/>
      <c r="L467" s="174"/>
      <c r="M467" s="164"/>
      <c r="N467" s="174"/>
      <c r="O467" s="157"/>
      <c r="P467" s="178"/>
      <c r="Q467" s="157"/>
      <c r="R467" s="157"/>
      <c r="S467" s="178"/>
      <c r="T467" s="157"/>
      <c r="U467" s="178"/>
      <c r="V467" s="191"/>
      <c r="W467" s="191"/>
      <c r="X467" s="191"/>
      <c r="Y467" s="191"/>
      <c r="Z467" s="191"/>
      <c r="AA467" s="191"/>
      <c r="AB467" s="191"/>
    </row>
    <row r="468" ht="15.75" customHeight="1">
      <c r="A468" s="288"/>
      <c r="B468" s="224"/>
      <c r="C468" s="224"/>
      <c r="D468" s="212"/>
      <c r="E468" s="221"/>
      <c r="F468" s="222"/>
      <c r="G468" s="223"/>
      <c r="H468" s="164"/>
      <c r="I468" s="164"/>
      <c r="J468" s="164"/>
      <c r="K468" s="164"/>
      <c r="L468" s="174"/>
      <c r="M468" s="164"/>
      <c r="N468" s="174"/>
      <c r="O468" s="157"/>
      <c r="P468" s="178"/>
      <c r="Q468" s="157"/>
      <c r="R468" s="157"/>
      <c r="S468" s="178"/>
      <c r="T468" s="157"/>
      <c r="U468" s="178"/>
      <c r="V468" s="191"/>
      <c r="W468" s="191"/>
      <c r="X468" s="191"/>
      <c r="Y468" s="191"/>
      <c r="Z468" s="191"/>
      <c r="AA468" s="191"/>
      <c r="AB468" s="191"/>
    </row>
    <row r="469" ht="15.75" customHeight="1">
      <c r="A469" s="288"/>
      <c r="B469" s="224"/>
      <c r="C469" s="224"/>
      <c r="D469" s="212"/>
      <c r="E469" s="221"/>
      <c r="F469" s="222"/>
      <c r="G469" s="223"/>
      <c r="H469" s="164"/>
      <c r="I469" s="164"/>
      <c r="J469" s="164"/>
      <c r="K469" s="164"/>
      <c r="L469" s="174"/>
      <c r="M469" s="164"/>
      <c r="N469" s="174"/>
      <c r="O469" s="157"/>
      <c r="P469" s="178"/>
      <c r="Q469" s="157"/>
      <c r="R469" s="157"/>
      <c r="S469" s="178"/>
      <c r="T469" s="157"/>
      <c r="U469" s="178"/>
      <c r="V469" s="191"/>
      <c r="W469" s="191"/>
      <c r="X469" s="191"/>
      <c r="Y469" s="191"/>
      <c r="Z469" s="191"/>
      <c r="AA469" s="191"/>
      <c r="AB469" s="191"/>
    </row>
    <row r="470" ht="15.75" customHeight="1">
      <c r="A470" s="288"/>
      <c r="B470" s="224"/>
      <c r="C470" s="224"/>
      <c r="D470" s="212"/>
      <c r="E470" s="221"/>
      <c r="F470" s="222"/>
      <c r="G470" s="223"/>
      <c r="H470" s="164"/>
      <c r="I470" s="164"/>
      <c r="J470" s="164"/>
      <c r="K470" s="164"/>
      <c r="L470" s="174"/>
      <c r="M470" s="164"/>
      <c r="N470" s="174"/>
      <c r="O470" s="157"/>
      <c r="P470" s="178"/>
      <c r="Q470" s="157"/>
      <c r="R470" s="157"/>
      <c r="S470" s="178"/>
      <c r="T470" s="157"/>
      <c r="U470" s="178"/>
      <c r="V470" s="191"/>
      <c r="W470" s="191"/>
      <c r="X470" s="191"/>
      <c r="Y470" s="191"/>
      <c r="Z470" s="191"/>
      <c r="AA470" s="191"/>
      <c r="AB470" s="191"/>
    </row>
    <row r="471" ht="15.75" customHeight="1">
      <c r="A471" s="288"/>
      <c r="B471" s="224"/>
      <c r="C471" s="224"/>
      <c r="D471" s="212"/>
      <c r="E471" s="221"/>
      <c r="F471" s="222"/>
      <c r="G471" s="223"/>
      <c r="H471" s="164"/>
      <c r="I471" s="164"/>
      <c r="J471" s="164"/>
      <c r="K471" s="164"/>
      <c r="L471" s="174"/>
      <c r="M471" s="164"/>
      <c r="N471" s="174"/>
      <c r="O471" s="157"/>
      <c r="P471" s="178"/>
      <c r="Q471" s="157"/>
      <c r="R471" s="157"/>
      <c r="S471" s="178"/>
      <c r="T471" s="157"/>
      <c r="U471" s="178"/>
      <c r="V471" s="191"/>
      <c r="W471" s="191"/>
      <c r="X471" s="191"/>
      <c r="Y471" s="191"/>
      <c r="Z471" s="191"/>
      <c r="AA471" s="191"/>
      <c r="AB471" s="191"/>
    </row>
    <row r="472" ht="15.75" customHeight="1">
      <c r="A472" s="288"/>
      <c r="B472" s="224"/>
      <c r="C472" s="224"/>
      <c r="D472" s="212"/>
      <c r="E472" s="221"/>
      <c r="F472" s="222"/>
      <c r="G472" s="223"/>
      <c r="H472" s="164"/>
      <c r="I472" s="164"/>
      <c r="J472" s="164"/>
      <c r="K472" s="164"/>
      <c r="L472" s="174"/>
      <c r="M472" s="164"/>
      <c r="N472" s="174"/>
      <c r="O472" s="157"/>
      <c r="P472" s="178"/>
      <c r="Q472" s="157"/>
      <c r="R472" s="157"/>
      <c r="S472" s="178"/>
      <c r="T472" s="157"/>
      <c r="U472" s="178"/>
      <c r="V472" s="191"/>
      <c r="W472" s="191"/>
      <c r="X472" s="191"/>
      <c r="Y472" s="191"/>
      <c r="Z472" s="191"/>
      <c r="AA472" s="191"/>
      <c r="AB472" s="191"/>
    </row>
    <row r="473" ht="15.75" customHeight="1">
      <c r="A473" s="288"/>
      <c r="B473" s="224"/>
      <c r="C473" s="224"/>
      <c r="D473" s="212"/>
      <c r="E473" s="221"/>
      <c r="F473" s="222"/>
      <c r="G473" s="223"/>
      <c r="H473" s="164"/>
      <c r="I473" s="164"/>
      <c r="J473" s="164"/>
      <c r="K473" s="164"/>
      <c r="L473" s="174"/>
      <c r="M473" s="164"/>
      <c r="N473" s="174"/>
      <c r="O473" s="157"/>
      <c r="P473" s="178"/>
      <c r="Q473" s="157"/>
      <c r="R473" s="157"/>
      <c r="S473" s="178"/>
      <c r="T473" s="157"/>
      <c r="U473" s="178"/>
      <c r="V473" s="191"/>
      <c r="W473" s="191"/>
      <c r="X473" s="191"/>
      <c r="Y473" s="191"/>
      <c r="Z473" s="191"/>
      <c r="AA473" s="191"/>
      <c r="AB473" s="191"/>
    </row>
    <row r="474" ht="15.75" customHeight="1">
      <c r="A474" s="288"/>
      <c r="B474" s="224"/>
      <c r="C474" s="224"/>
      <c r="D474" s="212"/>
      <c r="E474" s="221"/>
      <c r="F474" s="222"/>
      <c r="G474" s="223"/>
      <c r="H474" s="164"/>
      <c r="I474" s="164"/>
      <c r="J474" s="164"/>
      <c r="K474" s="164"/>
      <c r="L474" s="174"/>
      <c r="M474" s="164"/>
      <c r="N474" s="174"/>
      <c r="O474" s="157"/>
      <c r="P474" s="178"/>
      <c r="Q474" s="157"/>
      <c r="R474" s="157"/>
      <c r="S474" s="178"/>
      <c r="T474" s="157"/>
      <c r="U474" s="178"/>
      <c r="V474" s="191"/>
      <c r="W474" s="191"/>
      <c r="X474" s="191"/>
      <c r="Y474" s="191"/>
      <c r="Z474" s="191"/>
      <c r="AA474" s="191"/>
      <c r="AB474" s="191"/>
    </row>
    <row r="475" ht="15.75" customHeight="1">
      <c r="A475" s="288"/>
      <c r="B475" s="224"/>
      <c r="C475" s="224"/>
      <c r="D475" s="212"/>
      <c r="E475" s="221"/>
      <c r="F475" s="222"/>
      <c r="G475" s="223"/>
      <c r="H475" s="164"/>
      <c r="I475" s="164"/>
      <c r="J475" s="164"/>
      <c r="K475" s="164"/>
      <c r="L475" s="174"/>
      <c r="M475" s="164"/>
      <c r="N475" s="174"/>
      <c r="O475" s="157"/>
      <c r="P475" s="178"/>
      <c r="Q475" s="157"/>
      <c r="R475" s="157"/>
      <c r="S475" s="178"/>
      <c r="T475" s="157"/>
      <c r="U475" s="178"/>
      <c r="V475" s="191"/>
      <c r="W475" s="191"/>
      <c r="X475" s="191"/>
      <c r="Y475" s="191"/>
      <c r="Z475" s="191"/>
      <c r="AA475" s="191"/>
      <c r="AB475" s="191"/>
    </row>
    <row r="476" ht="15.75" customHeight="1">
      <c r="A476" s="288"/>
      <c r="B476" s="224"/>
      <c r="C476" s="224"/>
      <c r="D476" s="212"/>
      <c r="E476" s="221"/>
      <c r="F476" s="222"/>
      <c r="G476" s="223"/>
      <c r="H476" s="164"/>
      <c r="I476" s="164"/>
      <c r="J476" s="164"/>
      <c r="K476" s="164"/>
      <c r="L476" s="174"/>
      <c r="M476" s="164"/>
      <c r="N476" s="174"/>
      <c r="O476" s="157"/>
      <c r="P476" s="178"/>
      <c r="Q476" s="157"/>
      <c r="R476" s="157"/>
      <c r="S476" s="178"/>
      <c r="T476" s="157"/>
      <c r="U476" s="178"/>
      <c r="V476" s="191"/>
      <c r="W476" s="191"/>
      <c r="X476" s="191"/>
      <c r="Y476" s="191"/>
      <c r="Z476" s="191"/>
      <c r="AA476" s="191"/>
      <c r="AB476" s="191"/>
    </row>
    <row r="477" ht="15.75" customHeight="1">
      <c r="A477" s="288"/>
      <c r="B477" s="224"/>
      <c r="C477" s="224"/>
      <c r="D477" s="212"/>
      <c r="E477" s="221"/>
      <c r="F477" s="222"/>
      <c r="G477" s="223"/>
      <c r="H477" s="164"/>
      <c r="I477" s="164"/>
      <c r="J477" s="164"/>
      <c r="K477" s="164"/>
      <c r="L477" s="174"/>
      <c r="M477" s="164"/>
      <c r="N477" s="174"/>
      <c r="O477" s="157"/>
      <c r="P477" s="178"/>
      <c r="Q477" s="157"/>
      <c r="R477" s="157"/>
      <c r="S477" s="178"/>
      <c r="T477" s="157"/>
      <c r="U477" s="178"/>
      <c r="V477" s="191"/>
      <c r="W477" s="191"/>
      <c r="X477" s="191"/>
      <c r="Y477" s="191"/>
      <c r="Z477" s="191"/>
      <c r="AA477" s="191"/>
      <c r="AB477" s="191"/>
    </row>
    <row r="478" ht="15.75" customHeight="1">
      <c r="A478" s="288"/>
      <c r="B478" s="224"/>
      <c r="C478" s="224"/>
      <c r="D478" s="212"/>
      <c r="E478" s="221"/>
      <c r="F478" s="222"/>
      <c r="G478" s="223"/>
      <c r="H478" s="164"/>
      <c r="I478" s="164"/>
      <c r="J478" s="164"/>
      <c r="K478" s="164"/>
      <c r="L478" s="174"/>
      <c r="M478" s="164"/>
      <c r="N478" s="174"/>
      <c r="O478" s="157"/>
      <c r="P478" s="178"/>
      <c r="Q478" s="157"/>
      <c r="R478" s="157"/>
      <c r="S478" s="178"/>
      <c r="T478" s="157"/>
      <c r="U478" s="178"/>
      <c r="V478" s="191"/>
      <c r="W478" s="191"/>
      <c r="X478" s="191"/>
      <c r="Y478" s="191"/>
      <c r="Z478" s="191"/>
      <c r="AA478" s="191"/>
      <c r="AB478" s="191"/>
    </row>
    <row r="479" ht="15.75" customHeight="1">
      <c r="A479" s="288"/>
      <c r="B479" s="224"/>
      <c r="C479" s="224"/>
      <c r="D479" s="212"/>
      <c r="E479" s="221"/>
      <c r="F479" s="222"/>
      <c r="G479" s="223"/>
      <c r="H479" s="164"/>
      <c r="I479" s="164"/>
      <c r="J479" s="164"/>
      <c r="K479" s="164"/>
      <c r="L479" s="174"/>
      <c r="M479" s="164"/>
      <c r="N479" s="174"/>
      <c r="O479" s="157"/>
      <c r="P479" s="178"/>
      <c r="Q479" s="157"/>
      <c r="R479" s="157"/>
      <c r="S479" s="178"/>
      <c r="T479" s="157"/>
      <c r="U479" s="178"/>
      <c r="V479" s="191"/>
      <c r="W479" s="191"/>
      <c r="X479" s="191"/>
      <c r="Y479" s="191"/>
      <c r="Z479" s="191"/>
      <c r="AA479" s="191"/>
      <c r="AB479" s="191"/>
    </row>
    <row r="480" ht="15.75" customHeight="1">
      <c r="A480" s="288"/>
      <c r="B480" s="224"/>
      <c r="C480" s="224"/>
      <c r="D480" s="212"/>
      <c r="E480" s="221"/>
      <c r="F480" s="222"/>
      <c r="G480" s="223"/>
      <c r="H480" s="164"/>
      <c r="I480" s="164"/>
      <c r="J480" s="164"/>
      <c r="K480" s="164"/>
      <c r="L480" s="174"/>
      <c r="M480" s="164"/>
      <c r="N480" s="174"/>
      <c r="O480" s="157"/>
      <c r="P480" s="178"/>
      <c r="Q480" s="157"/>
      <c r="R480" s="157"/>
      <c r="S480" s="178"/>
      <c r="T480" s="157"/>
      <c r="U480" s="178"/>
      <c r="V480" s="191"/>
      <c r="W480" s="191"/>
      <c r="X480" s="191"/>
      <c r="Y480" s="191"/>
      <c r="Z480" s="191"/>
      <c r="AA480" s="191"/>
      <c r="AB480" s="191"/>
    </row>
    <row r="481" ht="15.75" customHeight="1">
      <c r="A481" s="288"/>
      <c r="B481" s="224"/>
      <c r="C481" s="224"/>
      <c r="D481" s="212"/>
      <c r="E481" s="221"/>
      <c r="F481" s="222"/>
      <c r="G481" s="223"/>
      <c r="H481" s="164"/>
      <c r="I481" s="164"/>
      <c r="J481" s="164"/>
      <c r="K481" s="164"/>
      <c r="L481" s="174"/>
      <c r="M481" s="164"/>
      <c r="N481" s="174"/>
      <c r="O481" s="157"/>
      <c r="P481" s="178"/>
      <c r="Q481" s="157"/>
      <c r="R481" s="157"/>
      <c r="S481" s="178"/>
      <c r="T481" s="157"/>
      <c r="U481" s="178"/>
      <c r="V481" s="191"/>
      <c r="W481" s="191"/>
      <c r="X481" s="191"/>
      <c r="Y481" s="191"/>
      <c r="Z481" s="191"/>
      <c r="AA481" s="191"/>
      <c r="AB481" s="191"/>
    </row>
    <row r="482" ht="15.75" customHeight="1">
      <c r="A482" s="288"/>
      <c r="B482" s="224"/>
      <c r="C482" s="224"/>
      <c r="D482" s="212"/>
      <c r="E482" s="221"/>
      <c r="F482" s="222"/>
      <c r="G482" s="223"/>
      <c r="H482" s="164"/>
      <c r="I482" s="164"/>
      <c r="J482" s="164"/>
      <c r="K482" s="164"/>
      <c r="L482" s="174"/>
      <c r="M482" s="164"/>
      <c r="N482" s="174"/>
      <c r="O482" s="157"/>
      <c r="P482" s="178"/>
      <c r="Q482" s="157"/>
      <c r="R482" s="157"/>
      <c r="S482" s="178"/>
      <c r="T482" s="157"/>
      <c r="U482" s="178"/>
      <c r="V482" s="191"/>
      <c r="W482" s="191"/>
      <c r="X482" s="191"/>
      <c r="Y482" s="191"/>
      <c r="Z482" s="191"/>
      <c r="AA482" s="191"/>
      <c r="AB482" s="191"/>
    </row>
    <row r="483" ht="15.75" customHeight="1">
      <c r="A483" s="288"/>
      <c r="B483" s="224"/>
      <c r="C483" s="224"/>
      <c r="D483" s="212"/>
      <c r="E483" s="221"/>
      <c r="F483" s="222"/>
      <c r="G483" s="223"/>
      <c r="H483" s="164"/>
      <c r="I483" s="164"/>
      <c r="J483" s="164"/>
      <c r="K483" s="164"/>
      <c r="L483" s="174"/>
      <c r="M483" s="164"/>
      <c r="N483" s="174"/>
      <c r="O483" s="157"/>
      <c r="P483" s="178"/>
      <c r="Q483" s="157"/>
      <c r="R483" s="157"/>
      <c r="S483" s="178"/>
      <c r="T483" s="157"/>
      <c r="U483" s="178"/>
      <c r="V483" s="191"/>
      <c r="W483" s="191"/>
      <c r="X483" s="191"/>
      <c r="Y483" s="191"/>
      <c r="Z483" s="191"/>
      <c r="AA483" s="191"/>
      <c r="AB483" s="191"/>
    </row>
    <row r="484" ht="15.75" customHeight="1">
      <c r="A484" s="288"/>
      <c r="B484" s="224"/>
      <c r="C484" s="224"/>
      <c r="D484" s="212"/>
      <c r="E484" s="221"/>
      <c r="F484" s="222"/>
      <c r="G484" s="223"/>
      <c r="H484" s="164"/>
      <c r="I484" s="164"/>
      <c r="J484" s="164"/>
      <c r="K484" s="164"/>
      <c r="L484" s="174"/>
      <c r="M484" s="164"/>
      <c r="N484" s="174"/>
      <c r="O484" s="157"/>
      <c r="P484" s="178"/>
      <c r="Q484" s="157"/>
      <c r="R484" s="157"/>
      <c r="S484" s="178"/>
      <c r="T484" s="157"/>
      <c r="U484" s="178"/>
      <c r="V484" s="191"/>
      <c r="W484" s="191"/>
      <c r="X484" s="191"/>
      <c r="Y484" s="191"/>
      <c r="Z484" s="191"/>
      <c r="AA484" s="191"/>
      <c r="AB484" s="191"/>
    </row>
    <row r="485" ht="15.75" customHeight="1">
      <c r="A485" s="288"/>
      <c r="B485" s="224"/>
      <c r="C485" s="224"/>
      <c r="D485" s="212"/>
      <c r="E485" s="221"/>
      <c r="F485" s="222"/>
      <c r="G485" s="223"/>
      <c r="H485" s="164"/>
      <c r="I485" s="164"/>
      <c r="J485" s="164"/>
      <c r="K485" s="164"/>
      <c r="L485" s="174"/>
      <c r="M485" s="164"/>
      <c r="N485" s="174"/>
      <c r="O485" s="157"/>
      <c r="P485" s="178"/>
      <c r="Q485" s="157"/>
      <c r="R485" s="157"/>
      <c r="S485" s="178"/>
      <c r="T485" s="157"/>
      <c r="U485" s="178"/>
      <c r="V485" s="191"/>
      <c r="W485" s="191"/>
      <c r="X485" s="191"/>
      <c r="Y485" s="191"/>
      <c r="Z485" s="191"/>
      <c r="AA485" s="191"/>
      <c r="AB485" s="191"/>
    </row>
    <row r="486" ht="15.75" customHeight="1">
      <c r="A486" s="288"/>
      <c r="B486" s="224"/>
      <c r="C486" s="224"/>
      <c r="D486" s="212"/>
      <c r="E486" s="221"/>
      <c r="F486" s="222"/>
      <c r="G486" s="223"/>
      <c r="H486" s="164"/>
      <c r="I486" s="164"/>
      <c r="J486" s="164"/>
      <c r="K486" s="164"/>
      <c r="L486" s="174"/>
      <c r="M486" s="164"/>
      <c r="N486" s="174"/>
      <c r="O486" s="157"/>
      <c r="P486" s="178"/>
      <c r="Q486" s="157"/>
      <c r="R486" s="157"/>
      <c r="S486" s="178"/>
      <c r="T486" s="157"/>
      <c r="U486" s="178"/>
      <c r="V486" s="191"/>
      <c r="W486" s="191"/>
      <c r="X486" s="191"/>
      <c r="Y486" s="191"/>
      <c r="Z486" s="191"/>
      <c r="AA486" s="191"/>
      <c r="AB486" s="191"/>
    </row>
    <row r="487" ht="15.75" customHeight="1">
      <c r="A487" s="288"/>
      <c r="B487" s="224"/>
      <c r="C487" s="224"/>
      <c r="D487" s="212"/>
      <c r="E487" s="221"/>
      <c r="F487" s="222"/>
      <c r="G487" s="223"/>
      <c r="H487" s="164"/>
      <c r="I487" s="164"/>
      <c r="J487" s="164"/>
      <c r="K487" s="164"/>
      <c r="L487" s="174"/>
      <c r="M487" s="164"/>
      <c r="N487" s="174"/>
      <c r="O487" s="157"/>
      <c r="P487" s="178"/>
      <c r="Q487" s="157"/>
      <c r="R487" s="157"/>
      <c r="S487" s="178"/>
      <c r="T487" s="157"/>
      <c r="U487" s="178"/>
      <c r="V487" s="191"/>
      <c r="W487" s="191"/>
      <c r="X487" s="191"/>
      <c r="Y487" s="191"/>
      <c r="Z487" s="191"/>
      <c r="AA487" s="191"/>
      <c r="AB487" s="191"/>
    </row>
    <row r="488" ht="15.75" customHeight="1">
      <c r="A488" s="288"/>
      <c r="B488" s="224"/>
      <c r="C488" s="224"/>
      <c r="D488" s="212"/>
      <c r="E488" s="221"/>
      <c r="F488" s="222"/>
      <c r="G488" s="223"/>
      <c r="H488" s="164"/>
      <c r="I488" s="164"/>
      <c r="J488" s="164"/>
      <c r="K488" s="164"/>
      <c r="L488" s="174"/>
      <c r="M488" s="164"/>
      <c r="N488" s="174"/>
      <c r="O488" s="157"/>
      <c r="P488" s="178"/>
      <c r="Q488" s="157"/>
      <c r="R488" s="157"/>
      <c r="S488" s="178"/>
      <c r="T488" s="157"/>
      <c r="U488" s="178"/>
      <c r="V488" s="191"/>
      <c r="W488" s="191"/>
      <c r="X488" s="191"/>
      <c r="Y488" s="191"/>
      <c r="Z488" s="191"/>
      <c r="AA488" s="191"/>
      <c r="AB488" s="191"/>
    </row>
    <row r="489" ht="15.75" customHeight="1">
      <c r="A489" s="288"/>
      <c r="B489" s="224"/>
      <c r="C489" s="224"/>
      <c r="D489" s="212"/>
      <c r="E489" s="221"/>
      <c r="F489" s="222"/>
      <c r="G489" s="223"/>
      <c r="H489" s="164"/>
      <c r="I489" s="164"/>
      <c r="J489" s="164"/>
      <c r="K489" s="164"/>
      <c r="L489" s="174"/>
      <c r="M489" s="164"/>
      <c r="N489" s="174"/>
      <c r="O489" s="157"/>
      <c r="P489" s="178"/>
      <c r="Q489" s="157"/>
      <c r="R489" s="157"/>
      <c r="S489" s="178"/>
      <c r="T489" s="157"/>
      <c r="U489" s="178"/>
      <c r="V489" s="191"/>
      <c r="W489" s="191"/>
      <c r="X489" s="191"/>
      <c r="Y489" s="191"/>
      <c r="Z489" s="191"/>
      <c r="AA489" s="191"/>
      <c r="AB489" s="191"/>
    </row>
    <row r="490" ht="15.75" customHeight="1">
      <c r="A490" s="288"/>
      <c r="B490" s="224"/>
      <c r="C490" s="224"/>
      <c r="D490" s="212"/>
      <c r="E490" s="221"/>
      <c r="F490" s="222"/>
      <c r="G490" s="223"/>
      <c r="H490" s="164"/>
      <c r="I490" s="164"/>
      <c r="J490" s="164"/>
      <c r="K490" s="164"/>
      <c r="L490" s="174"/>
      <c r="M490" s="164"/>
      <c r="N490" s="174"/>
      <c r="O490" s="157"/>
      <c r="P490" s="178"/>
      <c r="Q490" s="157"/>
      <c r="R490" s="157"/>
      <c r="S490" s="178"/>
      <c r="T490" s="157"/>
      <c r="U490" s="178"/>
      <c r="V490" s="191"/>
      <c r="W490" s="191"/>
      <c r="X490" s="191"/>
      <c r="Y490" s="191"/>
      <c r="Z490" s="191"/>
      <c r="AA490" s="191"/>
      <c r="AB490" s="191"/>
    </row>
    <row r="491" ht="15.75" customHeight="1">
      <c r="A491" s="288"/>
      <c r="B491" s="224"/>
      <c r="C491" s="224"/>
      <c r="D491" s="212"/>
      <c r="E491" s="221"/>
      <c r="F491" s="222"/>
      <c r="G491" s="223"/>
      <c r="H491" s="164"/>
      <c r="I491" s="164"/>
      <c r="J491" s="164"/>
      <c r="K491" s="164"/>
      <c r="L491" s="174"/>
      <c r="M491" s="164"/>
      <c r="N491" s="174"/>
      <c r="O491" s="157"/>
      <c r="P491" s="178"/>
      <c r="Q491" s="157"/>
      <c r="R491" s="157"/>
      <c r="S491" s="178"/>
      <c r="T491" s="157"/>
      <c r="U491" s="178"/>
      <c r="V491" s="191"/>
      <c r="W491" s="191"/>
      <c r="X491" s="191"/>
      <c r="Y491" s="191"/>
      <c r="Z491" s="191"/>
      <c r="AA491" s="191"/>
      <c r="AB491" s="191"/>
    </row>
    <row r="492" ht="15.75" customHeight="1">
      <c r="A492" s="288"/>
      <c r="B492" s="224"/>
      <c r="C492" s="224"/>
      <c r="D492" s="212"/>
      <c r="E492" s="221"/>
      <c r="F492" s="222"/>
      <c r="G492" s="223"/>
      <c r="H492" s="164"/>
      <c r="I492" s="164"/>
      <c r="J492" s="164"/>
      <c r="K492" s="164"/>
      <c r="L492" s="174"/>
      <c r="M492" s="164"/>
      <c r="N492" s="174"/>
      <c r="O492" s="157"/>
      <c r="P492" s="178"/>
      <c r="Q492" s="157"/>
      <c r="R492" s="157"/>
      <c r="S492" s="178"/>
      <c r="T492" s="157"/>
      <c r="U492" s="178"/>
      <c r="V492" s="191"/>
      <c r="W492" s="191"/>
      <c r="X492" s="191"/>
      <c r="Y492" s="191"/>
      <c r="Z492" s="191"/>
      <c r="AA492" s="191"/>
      <c r="AB492" s="191"/>
    </row>
    <row r="493" ht="15.75" customHeight="1">
      <c r="A493" s="288"/>
      <c r="B493" s="224"/>
      <c r="C493" s="224"/>
      <c r="D493" s="212"/>
      <c r="E493" s="221"/>
      <c r="F493" s="222"/>
      <c r="G493" s="223"/>
      <c r="H493" s="164"/>
      <c r="I493" s="164"/>
      <c r="J493" s="164"/>
      <c r="K493" s="164"/>
      <c r="L493" s="174"/>
      <c r="M493" s="164"/>
      <c r="N493" s="174"/>
      <c r="O493" s="157"/>
      <c r="P493" s="178"/>
      <c r="Q493" s="157"/>
      <c r="R493" s="157"/>
      <c r="S493" s="178"/>
      <c r="T493" s="157"/>
      <c r="U493" s="178"/>
      <c r="V493" s="191"/>
      <c r="W493" s="191"/>
      <c r="X493" s="191"/>
      <c r="Y493" s="191"/>
      <c r="Z493" s="191"/>
      <c r="AA493" s="191"/>
      <c r="AB493" s="191"/>
    </row>
    <row r="494" ht="15.75" customHeight="1">
      <c r="A494" s="288"/>
      <c r="B494" s="224"/>
      <c r="C494" s="224"/>
      <c r="D494" s="212"/>
      <c r="E494" s="221"/>
      <c r="F494" s="222"/>
      <c r="G494" s="223"/>
      <c r="H494" s="164"/>
      <c r="I494" s="164"/>
      <c r="J494" s="164"/>
      <c r="K494" s="164"/>
      <c r="L494" s="174"/>
      <c r="M494" s="164"/>
      <c r="N494" s="174"/>
      <c r="O494" s="157"/>
      <c r="P494" s="178"/>
      <c r="Q494" s="157"/>
      <c r="R494" s="157"/>
      <c r="S494" s="178"/>
      <c r="T494" s="157"/>
      <c r="U494" s="178"/>
      <c r="V494" s="191"/>
      <c r="W494" s="191"/>
      <c r="X494" s="191"/>
      <c r="Y494" s="191"/>
      <c r="Z494" s="191"/>
      <c r="AA494" s="191"/>
      <c r="AB494" s="191"/>
    </row>
    <row r="495" ht="15.75" customHeight="1">
      <c r="A495" s="288"/>
      <c r="B495" s="224"/>
      <c r="C495" s="224"/>
      <c r="D495" s="212"/>
      <c r="E495" s="221"/>
      <c r="F495" s="222"/>
      <c r="G495" s="223"/>
      <c r="H495" s="164"/>
      <c r="I495" s="164"/>
      <c r="J495" s="164"/>
      <c r="K495" s="164"/>
      <c r="L495" s="174"/>
      <c r="M495" s="164"/>
      <c r="N495" s="174"/>
      <c r="O495" s="157"/>
      <c r="P495" s="178"/>
      <c r="Q495" s="157"/>
      <c r="R495" s="157"/>
      <c r="S495" s="178"/>
      <c r="T495" s="157"/>
      <c r="U495" s="178"/>
      <c r="V495" s="191"/>
      <c r="W495" s="191"/>
      <c r="X495" s="191"/>
      <c r="Y495" s="191"/>
      <c r="Z495" s="191"/>
      <c r="AA495" s="191"/>
      <c r="AB495" s="191"/>
    </row>
    <row r="496" ht="15.75" customHeight="1">
      <c r="A496" s="288"/>
      <c r="B496" s="224"/>
      <c r="C496" s="224"/>
      <c r="D496" s="212"/>
      <c r="E496" s="221"/>
      <c r="F496" s="222"/>
      <c r="G496" s="223"/>
      <c r="H496" s="164"/>
      <c r="I496" s="164"/>
      <c r="J496" s="164"/>
      <c r="K496" s="164"/>
      <c r="L496" s="174"/>
      <c r="M496" s="164"/>
      <c r="N496" s="174"/>
      <c r="O496" s="157"/>
      <c r="P496" s="178"/>
      <c r="Q496" s="157"/>
      <c r="R496" s="157"/>
      <c r="S496" s="178"/>
      <c r="T496" s="157"/>
      <c r="U496" s="178"/>
      <c r="V496" s="191"/>
      <c r="W496" s="191"/>
      <c r="X496" s="191"/>
      <c r="Y496" s="191"/>
      <c r="Z496" s="191"/>
      <c r="AA496" s="191"/>
      <c r="AB496" s="191"/>
    </row>
    <row r="497" ht="15.75" customHeight="1">
      <c r="A497" s="288"/>
      <c r="B497" s="224"/>
      <c r="C497" s="224"/>
      <c r="D497" s="212"/>
      <c r="E497" s="221"/>
      <c r="F497" s="222"/>
      <c r="G497" s="223"/>
      <c r="H497" s="164"/>
      <c r="I497" s="164"/>
      <c r="J497" s="164"/>
      <c r="K497" s="164"/>
      <c r="L497" s="174"/>
      <c r="M497" s="164"/>
      <c r="N497" s="174"/>
      <c r="O497" s="157"/>
      <c r="P497" s="178"/>
      <c r="Q497" s="157"/>
      <c r="R497" s="157"/>
      <c r="S497" s="178"/>
      <c r="T497" s="157"/>
      <c r="U497" s="178"/>
      <c r="V497" s="191"/>
      <c r="W497" s="191"/>
      <c r="X497" s="191"/>
      <c r="Y497" s="191"/>
      <c r="Z497" s="191"/>
      <c r="AA497" s="191"/>
      <c r="AB497" s="191"/>
    </row>
    <row r="498" ht="15.75" customHeight="1">
      <c r="A498" s="288"/>
      <c r="B498" s="224"/>
      <c r="C498" s="224"/>
      <c r="D498" s="212"/>
      <c r="E498" s="221"/>
      <c r="F498" s="222"/>
      <c r="G498" s="223"/>
      <c r="H498" s="164"/>
      <c r="I498" s="164"/>
      <c r="J498" s="164"/>
      <c r="K498" s="164"/>
      <c r="L498" s="174"/>
      <c r="M498" s="164"/>
      <c r="N498" s="174"/>
      <c r="O498" s="157"/>
      <c r="P498" s="178"/>
      <c r="Q498" s="157"/>
      <c r="R498" s="157"/>
      <c r="S498" s="178"/>
      <c r="T498" s="157"/>
      <c r="U498" s="178"/>
      <c r="V498" s="191"/>
      <c r="W498" s="191"/>
      <c r="X498" s="191"/>
      <c r="Y498" s="191"/>
      <c r="Z498" s="191"/>
      <c r="AA498" s="191"/>
      <c r="AB498" s="191"/>
    </row>
    <row r="499" ht="15.75" customHeight="1">
      <c r="A499" s="288"/>
      <c r="B499" s="224"/>
      <c r="C499" s="224"/>
      <c r="D499" s="212"/>
      <c r="E499" s="221"/>
      <c r="F499" s="222"/>
      <c r="G499" s="223"/>
      <c r="H499" s="164"/>
      <c r="I499" s="164"/>
      <c r="J499" s="164"/>
      <c r="K499" s="164"/>
      <c r="L499" s="174"/>
      <c r="M499" s="164"/>
      <c r="N499" s="174"/>
      <c r="O499" s="157"/>
      <c r="P499" s="178"/>
      <c r="Q499" s="157"/>
      <c r="R499" s="157"/>
      <c r="S499" s="178"/>
      <c r="T499" s="157"/>
      <c r="U499" s="178"/>
      <c r="V499" s="191"/>
      <c r="W499" s="191"/>
      <c r="X499" s="191"/>
      <c r="Y499" s="191"/>
      <c r="Z499" s="191"/>
      <c r="AA499" s="191"/>
      <c r="AB499" s="191"/>
    </row>
    <row r="500" ht="15.75" customHeight="1">
      <c r="A500" s="288"/>
      <c r="B500" s="224"/>
      <c r="C500" s="224"/>
      <c r="D500" s="212"/>
      <c r="E500" s="221"/>
      <c r="F500" s="222"/>
      <c r="G500" s="223"/>
      <c r="H500" s="164"/>
      <c r="I500" s="164"/>
      <c r="J500" s="164"/>
      <c r="K500" s="164"/>
      <c r="L500" s="174"/>
      <c r="M500" s="164"/>
      <c r="N500" s="174"/>
      <c r="O500" s="157"/>
      <c r="P500" s="178"/>
      <c r="Q500" s="157"/>
      <c r="R500" s="157"/>
      <c r="S500" s="178"/>
      <c r="T500" s="157"/>
      <c r="U500" s="178"/>
      <c r="V500" s="191"/>
      <c r="W500" s="191"/>
      <c r="X500" s="191"/>
      <c r="Y500" s="191"/>
      <c r="Z500" s="191"/>
      <c r="AA500" s="191"/>
      <c r="AB500" s="191"/>
    </row>
    <row r="501" ht="15.75" customHeight="1">
      <c r="A501" s="288"/>
      <c r="B501" s="224"/>
      <c r="C501" s="224"/>
      <c r="D501" s="212"/>
      <c r="E501" s="221"/>
      <c r="F501" s="222"/>
      <c r="G501" s="223"/>
      <c r="H501" s="164"/>
      <c r="I501" s="164"/>
      <c r="J501" s="164"/>
      <c r="K501" s="164"/>
      <c r="L501" s="174"/>
      <c r="M501" s="164"/>
      <c r="N501" s="174"/>
      <c r="O501" s="157"/>
      <c r="P501" s="178"/>
      <c r="Q501" s="157"/>
      <c r="R501" s="157"/>
      <c r="S501" s="178"/>
      <c r="T501" s="157"/>
      <c r="U501" s="178"/>
      <c r="V501" s="191"/>
      <c r="W501" s="191"/>
      <c r="X501" s="191"/>
      <c r="Y501" s="191"/>
      <c r="Z501" s="191"/>
      <c r="AA501" s="191"/>
      <c r="AB501" s="191"/>
    </row>
    <row r="502" ht="15.75" customHeight="1">
      <c r="A502" s="288"/>
      <c r="B502" s="224"/>
      <c r="C502" s="224"/>
      <c r="D502" s="212"/>
      <c r="E502" s="221"/>
      <c r="F502" s="222"/>
      <c r="G502" s="223"/>
      <c r="H502" s="164"/>
      <c r="I502" s="164"/>
      <c r="J502" s="164"/>
      <c r="K502" s="164"/>
      <c r="L502" s="174"/>
      <c r="M502" s="164"/>
      <c r="N502" s="174"/>
      <c r="O502" s="157"/>
      <c r="P502" s="178"/>
      <c r="Q502" s="157"/>
      <c r="R502" s="157"/>
      <c r="S502" s="178"/>
      <c r="T502" s="157"/>
      <c r="U502" s="178"/>
      <c r="V502" s="191"/>
      <c r="W502" s="191"/>
      <c r="X502" s="191"/>
      <c r="Y502" s="191"/>
      <c r="Z502" s="191"/>
      <c r="AA502" s="191"/>
      <c r="AB502" s="191"/>
    </row>
    <row r="503" ht="15.75" customHeight="1">
      <c r="A503" s="288"/>
      <c r="B503" s="224"/>
      <c r="C503" s="224"/>
      <c r="D503" s="212"/>
      <c r="E503" s="221"/>
      <c r="F503" s="222"/>
      <c r="G503" s="223"/>
      <c r="H503" s="164"/>
      <c r="I503" s="164"/>
      <c r="J503" s="164"/>
      <c r="K503" s="164"/>
      <c r="L503" s="174"/>
      <c r="M503" s="164"/>
      <c r="N503" s="174"/>
      <c r="O503" s="157"/>
      <c r="P503" s="178"/>
      <c r="Q503" s="157"/>
      <c r="R503" s="157"/>
      <c r="S503" s="178"/>
      <c r="T503" s="157"/>
      <c r="U503" s="178"/>
      <c r="V503" s="191"/>
      <c r="W503" s="191"/>
      <c r="X503" s="191"/>
      <c r="Y503" s="191"/>
      <c r="Z503" s="191"/>
      <c r="AA503" s="191"/>
      <c r="AB503" s="191"/>
    </row>
    <row r="504" ht="15.75" customHeight="1">
      <c r="A504" s="288"/>
      <c r="B504" s="224"/>
      <c r="C504" s="224"/>
      <c r="D504" s="212"/>
      <c r="E504" s="221"/>
      <c r="F504" s="222"/>
      <c r="G504" s="223"/>
      <c r="H504" s="164"/>
      <c r="I504" s="164"/>
      <c r="J504" s="164"/>
      <c r="K504" s="164"/>
      <c r="L504" s="174"/>
      <c r="M504" s="164"/>
      <c r="N504" s="174"/>
      <c r="O504" s="157"/>
      <c r="P504" s="178"/>
      <c r="Q504" s="157"/>
      <c r="R504" s="157"/>
      <c r="S504" s="178"/>
      <c r="T504" s="157"/>
      <c r="U504" s="178"/>
      <c r="V504" s="191"/>
      <c r="W504" s="191"/>
      <c r="X504" s="191"/>
      <c r="Y504" s="191"/>
      <c r="Z504" s="191"/>
      <c r="AA504" s="191"/>
      <c r="AB504" s="191"/>
    </row>
    <row r="505" ht="15.75" customHeight="1">
      <c r="A505" s="288"/>
      <c r="B505" s="224"/>
      <c r="C505" s="224"/>
      <c r="D505" s="212"/>
      <c r="E505" s="221"/>
      <c r="F505" s="222"/>
      <c r="G505" s="223"/>
      <c r="H505" s="164"/>
      <c r="I505" s="164"/>
      <c r="J505" s="164"/>
      <c r="K505" s="164"/>
      <c r="L505" s="174"/>
      <c r="M505" s="164"/>
      <c r="N505" s="174"/>
      <c r="O505" s="157"/>
      <c r="P505" s="178"/>
      <c r="Q505" s="157"/>
      <c r="R505" s="157"/>
      <c r="S505" s="178"/>
      <c r="T505" s="157"/>
      <c r="U505" s="178"/>
      <c r="V505" s="191"/>
      <c r="W505" s="191"/>
      <c r="X505" s="191"/>
      <c r="Y505" s="191"/>
      <c r="Z505" s="191"/>
      <c r="AA505" s="191"/>
      <c r="AB505" s="191"/>
    </row>
    <row r="506" ht="15.75" customHeight="1">
      <c r="A506" s="288"/>
      <c r="B506" s="224"/>
      <c r="C506" s="224"/>
      <c r="D506" s="212"/>
      <c r="E506" s="221"/>
      <c r="F506" s="222"/>
      <c r="G506" s="223"/>
      <c r="H506" s="164"/>
      <c r="I506" s="164"/>
      <c r="J506" s="164"/>
      <c r="K506" s="164"/>
      <c r="L506" s="174"/>
      <c r="M506" s="164"/>
      <c r="N506" s="174"/>
      <c r="O506" s="157"/>
      <c r="P506" s="178"/>
      <c r="Q506" s="157"/>
      <c r="R506" s="157"/>
      <c r="S506" s="178"/>
      <c r="T506" s="157"/>
      <c r="U506" s="178"/>
      <c r="V506" s="191"/>
      <c r="W506" s="191"/>
      <c r="X506" s="191"/>
      <c r="Y506" s="191"/>
      <c r="Z506" s="191"/>
      <c r="AA506" s="191"/>
      <c r="AB506" s="191"/>
    </row>
    <row r="507" ht="15.75" customHeight="1">
      <c r="A507" s="288"/>
      <c r="B507" s="224"/>
      <c r="C507" s="224"/>
      <c r="D507" s="212"/>
      <c r="E507" s="221"/>
      <c r="F507" s="222"/>
      <c r="G507" s="223"/>
      <c r="H507" s="164"/>
      <c r="I507" s="164"/>
      <c r="J507" s="164"/>
      <c r="K507" s="164"/>
      <c r="L507" s="174"/>
      <c r="M507" s="164"/>
      <c r="N507" s="174"/>
      <c r="O507" s="157"/>
      <c r="P507" s="178"/>
      <c r="Q507" s="157"/>
      <c r="R507" s="157"/>
      <c r="S507" s="178"/>
      <c r="T507" s="157"/>
      <c r="U507" s="178"/>
      <c r="V507" s="191"/>
      <c r="W507" s="191"/>
      <c r="X507" s="191"/>
      <c r="Y507" s="191"/>
      <c r="Z507" s="191"/>
      <c r="AA507" s="191"/>
      <c r="AB507" s="191"/>
    </row>
    <row r="508" ht="15.75" customHeight="1">
      <c r="A508" s="288"/>
      <c r="B508" s="224"/>
      <c r="C508" s="224"/>
      <c r="D508" s="212"/>
      <c r="E508" s="221"/>
      <c r="F508" s="222"/>
      <c r="G508" s="223"/>
      <c r="H508" s="164"/>
      <c r="I508" s="164"/>
      <c r="J508" s="164"/>
      <c r="K508" s="164"/>
      <c r="L508" s="174"/>
      <c r="M508" s="164"/>
      <c r="N508" s="174"/>
      <c r="O508" s="157"/>
      <c r="P508" s="178"/>
      <c r="Q508" s="157"/>
      <c r="R508" s="157"/>
      <c r="S508" s="178"/>
      <c r="T508" s="157"/>
      <c r="U508" s="178"/>
      <c r="V508" s="191"/>
      <c r="W508" s="191"/>
      <c r="X508" s="191"/>
      <c r="Y508" s="191"/>
      <c r="Z508" s="191"/>
      <c r="AA508" s="191"/>
      <c r="AB508" s="191"/>
    </row>
    <row r="509" ht="15.75" customHeight="1">
      <c r="A509" s="288"/>
      <c r="B509" s="224"/>
      <c r="C509" s="224"/>
      <c r="D509" s="212"/>
      <c r="E509" s="221"/>
      <c r="F509" s="222"/>
      <c r="G509" s="223"/>
      <c r="H509" s="164"/>
      <c r="I509" s="164"/>
      <c r="J509" s="164"/>
      <c r="K509" s="164"/>
      <c r="L509" s="174"/>
      <c r="M509" s="164"/>
      <c r="N509" s="174"/>
      <c r="O509" s="157"/>
      <c r="P509" s="178"/>
      <c r="Q509" s="157"/>
      <c r="R509" s="157"/>
      <c r="S509" s="178"/>
      <c r="T509" s="157"/>
      <c r="U509" s="178"/>
      <c r="V509" s="191"/>
      <c r="W509" s="191"/>
      <c r="X509" s="191"/>
      <c r="Y509" s="191"/>
      <c r="Z509" s="191"/>
      <c r="AA509" s="191"/>
      <c r="AB509" s="191"/>
    </row>
    <row r="510" ht="15.75" customHeight="1">
      <c r="A510" s="288"/>
      <c r="B510" s="224"/>
      <c r="C510" s="224"/>
      <c r="D510" s="212"/>
      <c r="E510" s="221"/>
      <c r="F510" s="222"/>
      <c r="G510" s="223"/>
      <c r="H510" s="164"/>
      <c r="I510" s="164"/>
      <c r="J510" s="164"/>
      <c r="K510" s="164"/>
      <c r="L510" s="174"/>
      <c r="M510" s="164"/>
      <c r="N510" s="174"/>
      <c r="O510" s="157"/>
      <c r="P510" s="178"/>
      <c r="Q510" s="157"/>
      <c r="R510" s="157"/>
      <c r="S510" s="178"/>
      <c r="T510" s="157"/>
      <c r="U510" s="178"/>
      <c r="V510" s="191"/>
      <c r="W510" s="191"/>
      <c r="X510" s="191"/>
      <c r="Y510" s="191"/>
      <c r="Z510" s="191"/>
      <c r="AA510" s="191"/>
      <c r="AB510" s="191"/>
    </row>
    <row r="511" ht="15.75" customHeight="1">
      <c r="A511" s="288"/>
      <c r="B511" s="224"/>
      <c r="C511" s="224"/>
      <c r="D511" s="212"/>
      <c r="E511" s="221"/>
      <c r="F511" s="222"/>
      <c r="G511" s="223"/>
      <c r="H511" s="164"/>
      <c r="I511" s="164"/>
      <c r="J511" s="164"/>
      <c r="K511" s="164"/>
      <c r="L511" s="174"/>
      <c r="M511" s="164"/>
      <c r="N511" s="174"/>
      <c r="O511" s="157"/>
      <c r="P511" s="178"/>
      <c r="Q511" s="157"/>
      <c r="R511" s="157"/>
      <c r="S511" s="178"/>
      <c r="T511" s="157"/>
      <c r="U511" s="178"/>
      <c r="V511" s="191"/>
      <c r="W511" s="191"/>
      <c r="X511" s="191"/>
      <c r="Y511" s="191"/>
      <c r="Z511" s="191"/>
      <c r="AA511" s="191"/>
      <c r="AB511" s="191"/>
    </row>
    <row r="512" ht="15.75" customHeight="1">
      <c r="A512" s="288"/>
      <c r="B512" s="224"/>
      <c r="C512" s="224"/>
      <c r="D512" s="212"/>
      <c r="E512" s="221"/>
      <c r="F512" s="222"/>
      <c r="G512" s="223"/>
      <c r="H512" s="164"/>
      <c r="I512" s="164"/>
      <c r="J512" s="164"/>
      <c r="K512" s="164"/>
      <c r="L512" s="174"/>
      <c r="M512" s="164"/>
      <c r="N512" s="174"/>
      <c r="O512" s="157"/>
      <c r="P512" s="178"/>
      <c r="Q512" s="157"/>
      <c r="R512" s="157"/>
      <c r="S512" s="178"/>
      <c r="T512" s="157"/>
      <c r="U512" s="178"/>
      <c r="V512" s="191"/>
      <c r="W512" s="191"/>
      <c r="X512" s="191"/>
      <c r="Y512" s="191"/>
      <c r="Z512" s="191"/>
      <c r="AA512" s="191"/>
      <c r="AB512" s="191"/>
    </row>
    <row r="513" ht="15.75" customHeight="1">
      <c r="A513" s="288"/>
      <c r="B513" s="224"/>
      <c r="C513" s="224"/>
      <c r="D513" s="212"/>
      <c r="E513" s="221"/>
      <c r="F513" s="222"/>
      <c r="G513" s="223"/>
      <c r="H513" s="164"/>
      <c r="I513" s="164"/>
      <c r="J513" s="164"/>
      <c r="K513" s="164"/>
      <c r="L513" s="174"/>
      <c r="M513" s="164"/>
      <c r="N513" s="174"/>
      <c r="O513" s="157"/>
      <c r="P513" s="178"/>
      <c r="Q513" s="157"/>
      <c r="R513" s="157"/>
      <c r="S513" s="178"/>
      <c r="T513" s="157"/>
      <c r="U513" s="178"/>
      <c r="V513" s="191"/>
      <c r="W513" s="191"/>
      <c r="X513" s="191"/>
      <c r="Y513" s="191"/>
      <c r="Z513" s="191"/>
      <c r="AA513" s="191"/>
      <c r="AB513" s="191"/>
    </row>
    <row r="514" ht="15.75" customHeight="1">
      <c r="A514" s="288"/>
      <c r="B514" s="224"/>
      <c r="C514" s="224"/>
      <c r="D514" s="212"/>
      <c r="E514" s="221"/>
      <c r="F514" s="222"/>
      <c r="G514" s="223"/>
      <c r="H514" s="164"/>
      <c r="I514" s="164"/>
      <c r="J514" s="164"/>
      <c r="K514" s="164"/>
      <c r="L514" s="174"/>
      <c r="M514" s="164"/>
      <c r="N514" s="174"/>
      <c r="O514" s="157"/>
      <c r="P514" s="178"/>
      <c r="Q514" s="157"/>
      <c r="R514" s="157"/>
      <c r="S514" s="178"/>
      <c r="T514" s="157"/>
      <c r="U514" s="178"/>
      <c r="V514" s="191"/>
      <c r="W514" s="191"/>
      <c r="X514" s="191"/>
      <c r="Y514" s="191"/>
      <c r="Z514" s="191"/>
      <c r="AA514" s="191"/>
      <c r="AB514" s="191"/>
    </row>
    <row r="515" ht="15.75" customHeight="1">
      <c r="A515" s="288"/>
      <c r="B515" s="224"/>
      <c r="C515" s="224"/>
      <c r="D515" s="212"/>
      <c r="E515" s="221"/>
      <c r="F515" s="222"/>
      <c r="G515" s="223"/>
      <c r="H515" s="164"/>
      <c r="I515" s="164"/>
      <c r="J515" s="164"/>
      <c r="K515" s="164"/>
      <c r="L515" s="174"/>
      <c r="M515" s="164"/>
      <c r="N515" s="174"/>
      <c r="O515" s="157"/>
      <c r="P515" s="178"/>
      <c r="Q515" s="157"/>
      <c r="R515" s="157"/>
      <c r="S515" s="178"/>
      <c r="T515" s="157"/>
      <c r="U515" s="178"/>
      <c r="V515" s="191"/>
      <c r="W515" s="191"/>
      <c r="X515" s="191"/>
      <c r="Y515" s="191"/>
      <c r="Z515" s="191"/>
      <c r="AA515" s="191"/>
      <c r="AB515" s="191"/>
    </row>
    <row r="516" ht="15.75" customHeight="1">
      <c r="A516" s="288"/>
      <c r="B516" s="224"/>
      <c r="C516" s="224"/>
      <c r="D516" s="212"/>
      <c r="E516" s="221"/>
      <c r="F516" s="222"/>
      <c r="G516" s="223"/>
      <c r="H516" s="164"/>
      <c r="I516" s="164"/>
      <c r="J516" s="164"/>
      <c r="K516" s="164"/>
      <c r="L516" s="174"/>
      <c r="M516" s="164"/>
      <c r="N516" s="174"/>
      <c r="O516" s="157"/>
      <c r="P516" s="178"/>
      <c r="Q516" s="157"/>
      <c r="R516" s="157"/>
      <c r="S516" s="178"/>
      <c r="T516" s="157"/>
      <c r="U516" s="178"/>
      <c r="V516" s="191"/>
      <c r="W516" s="191"/>
      <c r="X516" s="191"/>
      <c r="Y516" s="191"/>
      <c r="Z516" s="191"/>
      <c r="AA516" s="191"/>
      <c r="AB516" s="191"/>
    </row>
    <row r="517" ht="15.75" customHeight="1">
      <c r="A517" s="288"/>
      <c r="B517" s="224"/>
      <c r="C517" s="224"/>
      <c r="D517" s="212"/>
      <c r="E517" s="221"/>
      <c r="F517" s="222"/>
      <c r="G517" s="223"/>
      <c r="H517" s="164"/>
      <c r="I517" s="164"/>
      <c r="J517" s="164"/>
      <c r="K517" s="164"/>
      <c r="L517" s="174"/>
      <c r="M517" s="164"/>
      <c r="N517" s="174"/>
      <c r="O517" s="157"/>
      <c r="P517" s="178"/>
      <c r="Q517" s="157"/>
      <c r="R517" s="157"/>
      <c r="S517" s="178"/>
      <c r="T517" s="157"/>
      <c r="U517" s="178"/>
      <c r="V517" s="191"/>
      <c r="W517" s="191"/>
      <c r="X517" s="191"/>
      <c r="Y517" s="191"/>
      <c r="Z517" s="191"/>
      <c r="AA517" s="191"/>
      <c r="AB517" s="191"/>
    </row>
    <row r="518" ht="15.75" customHeight="1">
      <c r="A518" s="288"/>
      <c r="B518" s="224"/>
      <c r="C518" s="224"/>
      <c r="D518" s="212"/>
      <c r="E518" s="221"/>
      <c r="F518" s="222"/>
      <c r="G518" s="223"/>
      <c r="H518" s="164"/>
      <c r="I518" s="164"/>
      <c r="J518" s="164"/>
      <c r="K518" s="164"/>
      <c r="L518" s="174"/>
      <c r="M518" s="164"/>
      <c r="N518" s="174"/>
      <c r="O518" s="157"/>
      <c r="P518" s="178"/>
      <c r="Q518" s="157"/>
      <c r="R518" s="157"/>
      <c r="S518" s="178"/>
      <c r="T518" s="157"/>
      <c r="U518" s="178"/>
      <c r="V518" s="191"/>
      <c r="W518" s="191"/>
      <c r="X518" s="191"/>
      <c r="Y518" s="191"/>
      <c r="Z518" s="191"/>
      <c r="AA518" s="191"/>
      <c r="AB518" s="191"/>
    </row>
    <row r="519" ht="15.75" customHeight="1">
      <c r="A519" s="288"/>
      <c r="B519" s="224"/>
      <c r="C519" s="224"/>
      <c r="D519" s="212"/>
      <c r="E519" s="221"/>
      <c r="F519" s="222"/>
      <c r="G519" s="223"/>
      <c r="H519" s="164"/>
      <c r="I519" s="164"/>
      <c r="J519" s="164"/>
      <c r="K519" s="164"/>
      <c r="L519" s="174"/>
      <c r="M519" s="164"/>
      <c r="N519" s="174"/>
      <c r="O519" s="157"/>
      <c r="P519" s="178"/>
      <c r="Q519" s="157"/>
      <c r="R519" s="157"/>
      <c r="S519" s="178"/>
      <c r="T519" s="157"/>
      <c r="U519" s="178"/>
      <c r="V519" s="191"/>
      <c r="W519" s="191"/>
      <c r="X519" s="191"/>
      <c r="Y519" s="191"/>
      <c r="Z519" s="191"/>
      <c r="AA519" s="191"/>
      <c r="AB519" s="191"/>
    </row>
    <row r="520" ht="15.75" customHeight="1">
      <c r="A520" s="288"/>
      <c r="B520" s="224"/>
      <c r="C520" s="224"/>
      <c r="D520" s="212"/>
      <c r="E520" s="221"/>
      <c r="F520" s="222"/>
      <c r="G520" s="223"/>
      <c r="H520" s="164"/>
      <c r="I520" s="164"/>
      <c r="J520" s="164"/>
      <c r="K520" s="164"/>
      <c r="L520" s="174"/>
      <c r="M520" s="164"/>
      <c r="N520" s="174"/>
      <c r="O520" s="157"/>
      <c r="P520" s="178"/>
      <c r="Q520" s="157"/>
      <c r="R520" s="157"/>
      <c r="S520" s="178"/>
      <c r="T520" s="157"/>
      <c r="U520" s="178"/>
      <c r="V520" s="191"/>
      <c r="W520" s="191"/>
      <c r="X520" s="191"/>
      <c r="Y520" s="191"/>
      <c r="Z520" s="191"/>
      <c r="AA520" s="191"/>
      <c r="AB520" s="191"/>
    </row>
    <row r="521" ht="15.75" customHeight="1">
      <c r="A521" s="288"/>
      <c r="B521" s="224"/>
      <c r="C521" s="224"/>
      <c r="D521" s="212"/>
      <c r="E521" s="221"/>
      <c r="F521" s="222"/>
      <c r="G521" s="223"/>
      <c r="H521" s="164"/>
      <c r="I521" s="164"/>
      <c r="J521" s="164"/>
      <c r="K521" s="164"/>
      <c r="L521" s="174"/>
      <c r="M521" s="164"/>
      <c r="N521" s="174"/>
      <c r="O521" s="157"/>
      <c r="P521" s="178"/>
      <c r="Q521" s="157"/>
      <c r="R521" s="157"/>
      <c r="S521" s="178"/>
      <c r="T521" s="157"/>
      <c r="U521" s="178"/>
      <c r="V521" s="191"/>
      <c r="W521" s="191"/>
      <c r="X521" s="191"/>
      <c r="Y521" s="191"/>
      <c r="Z521" s="191"/>
      <c r="AA521" s="191"/>
      <c r="AB521" s="191"/>
    </row>
    <row r="522" ht="15.75" customHeight="1">
      <c r="A522" s="288"/>
      <c r="B522" s="224"/>
      <c r="C522" s="224"/>
      <c r="D522" s="212"/>
      <c r="E522" s="221"/>
      <c r="F522" s="222"/>
      <c r="G522" s="223"/>
      <c r="H522" s="164"/>
      <c r="I522" s="164"/>
      <c r="J522" s="164"/>
      <c r="K522" s="164"/>
      <c r="L522" s="174"/>
      <c r="M522" s="164"/>
      <c r="N522" s="174"/>
      <c r="O522" s="157"/>
      <c r="P522" s="178"/>
      <c r="Q522" s="157"/>
      <c r="R522" s="157"/>
      <c r="S522" s="178"/>
      <c r="T522" s="157"/>
      <c r="U522" s="178"/>
      <c r="V522" s="191"/>
      <c r="W522" s="191"/>
      <c r="X522" s="191"/>
      <c r="Y522" s="191"/>
      <c r="Z522" s="191"/>
      <c r="AA522" s="191"/>
      <c r="AB522" s="191"/>
    </row>
    <row r="523" ht="15.75" customHeight="1">
      <c r="A523" s="288"/>
      <c r="B523" s="224"/>
      <c r="C523" s="224"/>
      <c r="D523" s="212"/>
      <c r="E523" s="221"/>
      <c r="F523" s="222"/>
      <c r="G523" s="223"/>
      <c r="H523" s="164"/>
      <c r="I523" s="164"/>
      <c r="J523" s="164"/>
      <c r="K523" s="164"/>
      <c r="L523" s="174"/>
      <c r="M523" s="164"/>
      <c r="N523" s="174"/>
      <c r="O523" s="157"/>
      <c r="P523" s="178"/>
      <c r="Q523" s="157"/>
      <c r="R523" s="157"/>
      <c r="S523" s="178"/>
      <c r="T523" s="157"/>
      <c r="U523" s="178"/>
      <c r="V523" s="191"/>
      <c r="W523" s="191"/>
      <c r="X523" s="191"/>
      <c r="Y523" s="191"/>
      <c r="Z523" s="191"/>
      <c r="AA523" s="191"/>
      <c r="AB523" s="191"/>
    </row>
    <row r="524" ht="15.75" customHeight="1">
      <c r="A524" s="288"/>
      <c r="B524" s="224"/>
      <c r="C524" s="224"/>
      <c r="D524" s="212"/>
      <c r="E524" s="221"/>
      <c r="F524" s="222"/>
      <c r="G524" s="223"/>
      <c r="H524" s="164"/>
      <c r="I524" s="164"/>
      <c r="J524" s="164"/>
      <c r="K524" s="164"/>
      <c r="L524" s="174"/>
      <c r="M524" s="164"/>
      <c r="N524" s="174"/>
      <c r="O524" s="157"/>
      <c r="P524" s="178"/>
      <c r="Q524" s="157"/>
      <c r="R524" s="157"/>
      <c r="S524" s="178"/>
      <c r="T524" s="157"/>
      <c r="U524" s="178"/>
      <c r="V524" s="191"/>
      <c r="W524" s="191"/>
      <c r="X524" s="191"/>
      <c r="Y524" s="191"/>
      <c r="Z524" s="191"/>
      <c r="AA524" s="191"/>
      <c r="AB524" s="191"/>
    </row>
    <row r="525" ht="15.75" customHeight="1">
      <c r="A525" s="288"/>
      <c r="B525" s="224"/>
      <c r="C525" s="224"/>
      <c r="D525" s="212"/>
      <c r="E525" s="221"/>
      <c r="F525" s="222"/>
      <c r="G525" s="223"/>
      <c r="H525" s="164"/>
      <c r="I525" s="164"/>
      <c r="J525" s="164"/>
      <c r="K525" s="164"/>
      <c r="L525" s="174"/>
      <c r="M525" s="164"/>
      <c r="N525" s="174"/>
      <c r="O525" s="157"/>
      <c r="P525" s="178"/>
      <c r="Q525" s="157"/>
      <c r="R525" s="157"/>
      <c r="S525" s="178"/>
      <c r="T525" s="157"/>
      <c r="U525" s="178"/>
      <c r="V525" s="191"/>
      <c r="W525" s="191"/>
      <c r="X525" s="191"/>
      <c r="Y525" s="191"/>
      <c r="Z525" s="191"/>
      <c r="AA525" s="191"/>
      <c r="AB525" s="191"/>
    </row>
    <row r="526" ht="15.75" customHeight="1">
      <c r="A526" s="288"/>
      <c r="B526" s="224"/>
      <c r="C526" s="224"/>
      <c r="D526" s="212"/>
      <c r="E526" s="221"/>
      <c r="F526" s="222"/>
      <c r="G526" s="223"/>
      <c r="H526" s="164"/>
      <c r="I526" s="164"/>
      <c r="J526" s="164"/>
      <c r="K526" s="164"/>
      <c r="L526" s="174"/>
      <c r="M526" s="164"/>
      <c r="N526" s="174"/>
      <c r="O526" s="157"/>
      <c r="P526" s="178"/>
      <c r="Q526" s="157"/>
      <c r="R526" s="157"/>
      <c r="S526" s="178"/>
      <c r="T526" s="157"/>
      <c r="U526" s="178"/>
      <c r="V526" s="191"/>
      <c r="W526" s="191"/>
      <c r="X526" s="191"/>
      <c r="Y526" s="191"/>
      <c r="Z526" s="191"/>
      <c r="AA526" s="191"/>
      <c r="AB526" s="191"/>
    </row>
    <row r="527" ht="15.75" customHeight="1">
      <c r="A527" s="288"/>
      <c r="B527" s="224"/>
      <c r="C527" s="224"/>
      <c r="D527" s="212"/>
      <c r="E527" s="221"/>
      <c r="F527" s="222"/>
      <c r="G527" s="223"/>
      <c r="H527" s="164"/>
      <c r="I527" s="164"/>
      <c r="J527" s="164"/>
      <c r="K527" s="164"/>
      <c r="L527" s="174"/>
      <c r="M527" s="164"/>
      <c r="N527" s="174"/>
      <c r="O527" s="157"/>
      <c r="P527" s="178"/>
      <c r="Q527" s="157"/>
      <c r="R527" s="157"/>
      <c r="S527" s="178"/>
      <c r="T527" s="157"/>
      <c r="U527" s="178"/>
      <c r="V527" s="191"/>
      <c r="W527" s="191"/>
      <c r="X527" s="191"/>
      <c r="Y527" s="191"/>
      <c r="Z527" s="191"/>
      <c r="AA527" s="191"/>
      <c r="AB527" s="191"/>
    </row>
    <row r="528" ht="15.75" customHeight="1">
      <c r="A528" s="288"/>
      <c r="B528" s="224"/>
      <c r="C528" s="224"/>
      <c r="D528" s="212"/>
      <c r="E528" s="221"/>
      <c r="F528" s="222"/>
      <c r="G528" s="223"/>
      <c r="H528" s="164"/>
      <c r="I528" s="164"/>
      <c r="J528" s="164"/>
      <c r="K528" s="164"/>
      <c r="L528" s="174"/>
      <c r="M528" s="164"/>
      <c r="N528" s="174"/>
      <c r="O528" s="157"/>
      <c r="P528" s="178"/>
      <c r="Q528" s="157"/>
      <c r="R528" s="157"/>
      <c r="S528" s="178"/>
      <c r="T528" s="157"/>
      <c r="U528" s="178"/>
      <c r="V528" s="191"/>
      <c r="W528" s="191"/>
      <c r="X528" s="191"/>
      <c r="Y528" s="191"/>
      <c r="Z528" s="191"/>
      <c r="AA528" s="191"/>
      <c r="AB528" s="191"/>
    </row>
    <row r="529" ht="15.75" customHeight="1">
      <c r="A529" s="288"/>
      <c r="B529" s="224"/>
      <c r="C529" s="224"/>
      <c r="D529" s="212"/>
      <c r="E529" s="221"/>
      <c r="F529" s="222"/>
      <c r="G529" s="223"/>
      <c r="H529" s="164"/>
      <c r="I529" s="164"/>
      <c r="J529" s="164"/>
      <c r="K529" s="164"/>
      <c r="L529" s="174"/>
      <c r="M529" s="164"/>
      <c r="N529" s="174"/>
      <c r="O529" s="157"/>
      <c r="P529" s="178"/>
      <c r="Q529" s="157"/>
      <c r="R529" s="157"/>
      <c r="S529" s="178"/>
      <c r="T529" s="157"/>
      <c r="U529" s="178"/>
      <c r="V529" s="191"/>
      <c r="W529" s="191"/>
      <c r="X529" s="191"/>
      <c r="Y529" s="191"/>
      <c r="Z529" s="191"/>
      <c r="AA529" s="191"/>
      <c r="AB529" s="191"/>
    </row>
    <row r="530" ht="15.75" customHeight="1">
      <c r="A530" s="288"/>
      <c r="B530" s="224"/>
      <c r="C530" s="224"/>
      <c r="D530" s="212"/>
      <c r="E530" s="221"/>
      <c r="F530" s="222"/>
      <c r="G530" s="223"/>
      <c r="H530" s="164"/>
      <c r="I530" s="164"/>
      <c r="J530" s="164"/>
      <c r="K530" s="164"/>
      <c r="L530" s="174"/>
      <c r="M530" s="164"/>
      <c r="N530" s="174"/>
      <c r="O530" s="157"/>
      <c r="P530" s="178"/>
      <c r="Q530" s="157"/>
      <c r="R530" s="157"/>
      <c r="S530" s="178"/>
      <c r="T530" s="157"/>
      <c r="U530" s="178"/>
      <c r="V530" s="191"/>
      <c r="W530" s="191"/>
      <c r="X530" s="191"/>
      <c r="Y530" s="191"/>
      <c r="Z530" s="191"/>
      <c r="AA530" s="191"/>
      <c r="AB530" s="191"/>
    </row>
    <row r="531" ht="15.75" customHeight="1">
      <c r="A531" s="288"/>
      <c r="B531" s="224"/>
      <c r="C531" s="224"/>
      <c r="D531" s="212"/>
      <c r="E531" s="221"/>
      <c r="F531" s="222"/>
      <c r="G531" s="223"/>
      <c r="H531" s="164"/>
      <c r="I531" s="164"/>
      <c r="J531" s="164"/>
      <c r="K531" s="164"/>
      <c r="L531" s="174"/>
      <c r="M531" s="164"/>
      <c r="N531" s="174"/>
      <c r="O531" s="157"/>
      <c r="P531" s="178"/>
      <c r="Q531" s="157"/>
      <c r="R531" s="157"/>
      <c r="S531" s="178"/>
      <c r="T531" s="157"/>
      <c r="U531" s="178"/>
      <c r="V531" s="191"/>
      <c r="W531" s="191"/>
      <c r="X531" s="191"/>
      <c r="Y531" s="191"/>
      <c r="Z531" s="191"/>
      <c r="AA531" s="191"/>
      <c r="AB531" s="191"/>
    </row>
    <row r="532" ht="15.75" customHeight="1">
      <c r="A532" s="288"/>
      <c r="B532" s="224"/>
      <c r="C532" s="224"/>
      <c r="D532" s="212"/>
      <c r="E532" s="221"/>
      <c r="F532" s="222"/>
      <c r="G532" s="223"/>
      <c r="H532" s="164"/>
      <c r="I532" s="164"/>
      <c r="J532" s="164"/>
      <c r="K532" s="164"/>
      <c r="L532" s="174"/>
      <c r="M532" s="164"/>
      <c r="N532" s="174"/>
      <c r="O532" s="157"/>
      <c r="P532" s="178"/>
      <c r="Q532" s="157"/>
      <c r="R532" s="157"/>
      <c r="S532" s="178"/>
      <c r="T532" s="157"/>
      <c r="U532" s="178"/>
      <c r="V532" s="191"/>
      <c r="W532" s="191"/>
      <c r="X532" s="191"/>
      <c r="Y532" s="191"/>
      <c r="Z532" s="191"/>
      <c r="AA532" s="191"/>
      <c r="AB532" s="191"/>
    </row>
    <row r="533" ht="15.75" customHeight="1">
      <c r="A533" s="288"/>
      <c r="B533" s="224"/>
      <c r="C533" s="224"/>
      <c r="D533" s="212"/>
      <c r="E533" s="221"/>
      <c r="F533" s="222"/>
      <c r="G533" s="223"/>
      <c r="H533" s="164"/>
      <c r="I533" s="164"/>
      <c r="J533" s="164"/>
      <c r="K533" s="164"/>
      <c r="L533" s="174"/>
      <c r="M533" s="164"/>
      <c r="N533" s="174"/>
      <c r="O533" s="157"/>
      <c r="P533" s="178"/>
      <c r="Q533" s="157"/>
      <c r="R533" s="157"/>
      <c r="S533" s="178"/>
      <c r="T533" s="157"/>
      <c r="U533" s="178"/>
      <c r="V533" s="191"/>
      <c r="W533" s="191"/>
      <c r="X533" s="191"/>
      <c r="Y533" s="191"/>
      <c r="Z533" s="191"/>
      <c r="AA533" s="191"/>
      <c r="AB533" s="191"/>
    </row>
    <row r="534" ht="15.75" customHeight="1">
      <c r="A534" s="288"/>
      <c r="B534" s="224"/>
      <c r="C534" s="224"/>
      <c r="D534" s="212"/>
      <c r="E534" s="221"/>
      <c r="F534" s="222"/>
      <c r="G534" s="223"/>
      <c r="H534" s="164"/>
      <c r="I534" s="164"/>
      <c r="J534" s="164"/>
      <c r="K534" s="164"/>
      <c r="L534" s="174"/>
      <c r="M534" s="164"/>
      <c r="N534" s="174"/>
      <c r="O534" s="157"/>
      <c r="P534" s="178"/>
      <c r="Q534" s="157"/>
      <c r="R534" s="157"/>
      <c r="S534" s="178"/>
      <c r="T534" s="157"/>
      <c r="U534" s="178"/>
      <c r="V534" s="191"/>
      <c r="W534" s="191"/>
      <c r="X534" s="191"/>
      <c r="Y534" s="191"/>
      <c r="Z534" s="191"/>
      <c r="AA534" s="191"/>
      <c r="AB534" s="191"/>
    </row>
    <row r="535" ht="15.75" customHeight="1">
      <c r="A535" s="288"/>
      <c r="B535" s="224"/>
      <c r="C535" s="224"/>
      <c r="D535" s="212"/>
      <c r="E535" s="221"/>
      <c r="F535" s="222"/>
      <c r="G535" s="223"/>
      <c r="H535" s="164"/>
      <c r="I535" s="164"/>
      <c r="J535" s="164"/>
      <c r="K535" s="164"/>
      <c r="L535" s="174"/>
      <c r="M535" s="164"/>
      <c r="N535" s="174"/>
      <c r="O535" s="157"/>
      <c r="P535" s="178"/>
      <c r="Q535" s="157"/>
      <c r="R535" s="157"/>
      <c r="S535" s="178"/>
      <c r="T535" s="157"/>
      <c r="U535" s="178"/>
      <c r="V535" s="191"/>
      <c r="W535" s="191"/>
      <c r="X535" s="191"/>
      <c r="Y535" s="191"/>
      <c r="Z535" s="191"/>
      <c r="AA535" s="191"/>
      <c r="AB535" s="191"/>
    </row>
    <row r="536" ht="15.75" customHeight="1">
      <c r="A536" s="288"/>
      <c r="B536" s="224"/>
      <c r="C536" s="224"/>
      <c r="D536" s="212"/>
      <c r="E536" s="221"/>
      <c r="F536" s="222"/>
      <c r="G536" s="223"/>
      <c r="H536" s="164"/>
      <c r="I536" s="164"/>
      <c r="J536" s="164"/>
      <c r="K536" s="164"/>
      <c r="L536" s="174"/>
      <c r="M536" s="164"/>
      <c r="N536" s="174"/>
      <c r="O536" s="157"/>
      <c r="P536" s="178"/>
      <c r="Q536" s="157"/>
      <c r="R536" s="157"/>
      <c r="S536" s="178"/>
      <c r="T536" s="157"/>
      <c r="U536" s="178"/>
      <c r="V536" s="191"/>
      <c r="W536" s="191"/>
      <c r="X536" s="191"/>
      <c r="Y536" s="191"/>
      <c r="Z536" s="191"/>
      <c r="AA536" s="191"/>
      <c r="AB536" s="191"/>
    </row>
    <row r="537" ht="15.75" customHeight="1">
      <c r="A537" s="288"/>
      <c r="B537" s="224"/>
      <c r="C537" s="224"/>
      <c r="D537" s="212"/>
      <c r="E537" s="221"/>
      <c r="F537" s="222"/>
      <c r="G537" s="223"/>
      <c r="H537" s="164"/>
      <c r="I537" s="164"/>
      <c r="J537" s="164"/>
      <c r="K537" s="164"/>
      <c r="L537" s="174"/>
      <c r="M537" s="164"/>
      <c r="N537" s="174"/>
      <c r="O537" s="157"/>
      <c r="P537" s="178"/>
      <c r="Q537" s="157"/>
      <c r="R537" s="157"/>
      <c r="S537" s="178"/>
      <c r="T537" s="157"/>
      <c r="U537" s="178"/>
      <c r="V537" s="191"/>
      <c r="W537" s="191"/>
      <c r="X537" s="191"/>
      <c r="Y537" s="191"/>
      <c r="Z537" s="191"/>
      <c r="AA537" s="191"/>
      <c r="AB537" s="191"/>
    </row>
    <row r="538" ht="15.75" customHeight="1">
      <c r="A538" s="288"/>
      <c r="B538" s="224"/>
      <c r="C538" s="224"/>
      <c r="D538" s="212"/>
      <c r="E538" s="221"/>
      <c r="F538" s="222"/>
      <c r="G538" s="223"/>
      <c r="H538" s="164"/>
      <c r="I538" s="164"/>
      <c r="J538" s="164"/>
      <c r="K538" s="164"/>
      <c r="L538" s="174"/>
      <c r="M538" s="164"/>
      <c r="N538" s="174"/>
      <c r="O538" s="157"/>
      <c r="P538" s="178"/>
      <c r="Q538" s="157"/>
      <c r="R538" s="157"/>
      <c r="S538" s="178"/>
      <c r="T538" s="157"/>
      <c r="U538" s="178"/>
      <c r="V538" s="191"/>
      <c r="W538" s="191"/>
      <c r="X538" s="191"/>
      <c r="Y538" s="191"/>
      <c r="Z538" s="191"/>
      <c r="AA538" s="191"/>
      <c r="AB538" s="191"/>
    </row>
    <row r="539" ht="15.75" customHeight="1">
      <c r="A539" s="288"/>
      <c r="B539" s="224"/>
      <c r="C539" s="224"/>
      <c r="D539" s="212"/>
      <c r="E539" s="221"/>
      <c r="F539" s="222"/>
      <c r="G539" s="223"/>
      <c r="H539" s="164"/>
      <c r="I539" s="164"/>
      <c r="J539" s="164"/>
      <c r="K539" s="164"/>
      <c r="L539" s="174"/>
      <c r="M539" s="164"/>
      <c r="N539" s="174"/>
      <c r="O539" s="157"/>
      <c r="P539" s="178"/>
      <c r="Q539" s="157"/>
      <c r="R539" s="157"/>
      <c r="S539" s="178"/>
      <c r="T539" s="157"/>
      <c r="U539" s="178"/>
      <c r="V539" s="191"/>
      <c r="W539" s="191"/>
      <c r="X539" s="191"/>
      <c r="Y539" s="191"/>
      <c r="Z539" s="191"/>
      <c r="AA539" s="191"/>
      <c r="AB539" s="191"/>
    </row>
    <row r="540" ht="15.75" customHeight="1">
      <c r="A540" s="288"/>
      <c r="B540" s="224"/>
      <c r="C540" s="224"/>
      <c r="D540" s="212"/>
      <c r="E540" s="221"/>
      <c r="F540" s="222"/>
      <c r="G540" s="223"/>
      <c r="H540" s="164"/>
      <c r="I540" s="164"/>
      <c r="J540" s="164"/>
      <c r="K540" s="164"/>
      <c r="L540" s="174"/>
      <c r="M540" s="164"/>
      <c r="N540" s="174"/>
      <c r="O540" s="157"/>
      <c r="P540" s="178"/>
      <c r="Q540" s="157"/>
      <c r="R540" s="157"/>
      <c r="S540" s="178"/>
      <c r="T540" s="157"/>
      <c r="U540" s="178"/>
      <c r="V540" s="191"/>
      <c r="W540" s="191"/>
      <c r="X540" s="191"/>
      <c r="Y540" s="191"/>
      <c r="Z540" s="191"/>
      <c r="AA540" s="191"/>
      <c r="AB540" s="191"/>
    </row>
    <row r="541" ht="15.75" customHeight="1">
      <c r="A541" s="288"/>
      <c r="B541" s="224"/>
      <c r="C541" s="224"/>
      <c r="D541" s="212"/>
      <c r="E541" s="221"/>
      <c r="F541" s="222"/>
      <c r="G541" s="223"/>
      <c r="H541" s="164"/>
      <c r="I541" s="164"/>
      <c r="J541" s="164"/>
      <c r="K541" s="164"/>
      <c r="L541" s="174"/>
      <c r="M541" s="164"/>
      <c r="N541" s="174"/>
      <c r="O541" s="157"/>
      <c r="P541" s="178"/>
      <c r="Q541" s="157"/>
      <c r="R541" s="157"/>
      <c r="S541" s="178"/>
      <c r="T541" s="157"/>
      <c r="U541" s="178"/>
      <c r="V541" s="191"/>
      <c r="W541" s="191"/>
      <c r="X541" s="191"/>
      <c r="Y541" s="191"/>
      <c r="Z541" s="191"/>
      <c r="AA541" s="191"/>
      <c r="AB541" s="191"/>
    </row>
    <row r="542" ht="15.75" customHeight="1">
      <c r="A542" s="288"/>
      <c r="B542" s="224"/>
      <c r="C542" s="224"/>
      <c r="D542" s="212"/>
      <c r="E542" s="221"/>
      <c r="F542" s="222"/>
      <c r="G542" s="223"/>
      <c r="H542" s="164"/>
      <c r="I542" s="164"/>
      <c r="J542" s="164"/>
      <c r="K542" s="164"/>
      <c r="L542" s="174"/>
      <c r="M542" s="164"/>
      <c r="N542" s="174"/>
      <c r="O542" s="157"/>
      <c r="P542" s="178"/>
      <c r="Q542" s="157"/>
      <c r="R542" s="157"/>
      <c r="S542" s="178"/>
      <c r="T542" s="157"/>
      <c r="U542" s="178"/>
      <c r="V542" s="191"/>
      <c r="W542" s="191"/>
      <c r="X542" s="191"/>
      <c r="Y542" s="191"/>
      <c r="Z542" s="191"/>
      <c r="AA542" s="191"/>
      <c r="AB542" s="191"/>
    </row>
    <row r="543" ht="15.75" customHeight="1">
      <c r="A543" s="288"/>
      <c r="B543" s="224"/>
      <c r="C543" s="224"/>
      <c r="D543" s="212"/>
      <c r="E543" s="221"/>
      <c r="F543" s="222"/>
      <c r="G543" s="223"/>
      <c r="H543" s="164"/>
      <c r="I543" s="164"/>
      <c r="J543" s="164"/>
      <c r="K543" s="164"/>
      <c r="L543" s="174"/>
      <c r="M543" s="164"/>
      <c r="N543" s="174"/>
      <c r="O543" s="157"/>
      <c r="P543" s="178"/>
      <c r="Q543" s="157"/>
      <c r="R543" s="157"/>
      <c r="S543" s="178"/>
      <c r="T543" s="157"/>
      <c r="U543" s="178"/>
      <c r="V543" s="191"/>
      <c r="W543" s="191"/>
      <c r="X543" s="191"/>
      <c r="Y543" s="191"/>
      <c r="Z543" s="191"/>
      <c r="AA543" s="191"/>
      <c r="AB543" s="191"/>
    </row>
    <row r="544" ht="15.75" customHeight="1">
      <c r="A544" s="288"/>
      <c r="B544" s="224"/>
      <c r="C544" s="224"/>
      <c r="D544" s="212"/>
      <c r="E544" s="221"/>
      <c r="F544" s="222"/>
      <c r="G544" s="223"/>
      <c r="H544" s="164"/>
      <c r="I544" s="164"/>
      <c r="J544" s="164"/>
      <c r="K544" s="164"/>
      <c r="L544" s="174"/>
      <c r="M544" s="164"/>
      <c r="N544" s="174"/>
      <c r="O544" s="157"/>
      <c r="P544" s="178"/>
      <c r="Q544" s="157"/>
      <c r="R544" s="157"/>
      <c r="S544" s="178"/>
      <c r="T544" s="157"/>
      <c r="U544" s="178"/>
      <c r="V544" s="191"/>
      <c r="W544" s="191"/>
      <c r="X544" s="191"/>
      <c r="Y544" s="191"/>
      <c r="Z544" s="191"/>
      <c r="AA544" s="191"/>
      <c r="AB544" s="191"/>
    </row>
    <row r="545" ht="15.75" customHeight="1">
      <c r="A545" s="288"/>
      <c r="B545" s="224"/>
      <c r="C545" s="224"/>
      <c r="D545" s="212"/>
      <c r="E545" s="221"/>
      <c r="F545" s="222"/>
      <c r="G545" s="223"/>
      <c r="H545" s="164"/>
      <c r="I545" s="164"/>
      <c r="J545" s="164"/>
      <c r="K545" s="164"/>
      <c r="L545" s="174"/>
      <c r="M545" s="164"/>
      <c r="N545" s="174"/>
      <c r="O545" s="157"/>
      <c r="P545" s="178"/>
      <c r="Q545" s="157"/>
      <c r="R545" s="157"/>
      <c r="S545" s="178"/>
      <c r="T545" s="157"/>
      <c r="U545" s="178"/>
      <c r="V545" s="191"/>
      <c r="W545" s="191"/>
      <c r="X545" s="191"/>
      <c r="Y545" s="191"/>
      <c r="Z545" s="191"/>
      <c r="AA545" s="191"/>
      <c r="AB545" s="191"/>
    </row>
    <row r="546" ht="15.75" customHeight="1">
      <c r="A546" s="288"/>
      <c r="B546" s="224"/>
      <c r="C546" s="224"/>
      <c r="D546" s="212"/>
      <c r="E546" s="221"/>
      <c r="F546" s="222"/>
      <c r="G546" s="223"/>
      <c r="H546" s="164"/>
      <c r="I546" s="164"/>
      <c r="J546" s="164"/>
      <c r="K546" s="164"/>
      <c r="L546" s="174"/>
      <c r="M546" s="164"/>
      <c r="N546" s="174"/>
      <c r="O546" s="157"/>
      <c r="P546" s="178"/>
      <c r="Q546" s="157"/>
      <c r="R546" s="157"/>
      <c r="S546" s="178"/>
      <c r="T546" s="157"/>
      <c r="U546" s="178"/>
      <c r="V546" s="191"/>
      <c r="W546" s="191"/>
      <c r="X546" s="191"/>
      <c r="Y546" s="191"/>
      <c r="Z546" s="191"/>
      <c r="AA546" s="191"/>
      <c r="AB546" s="191"/>
    </row>
    <row r="547" ht="15.75" customHeight="1">
      <c r="A547" s="288"/>
      <c r="B547" s="224"/>
      <c r="C547" s="224"/>
      <c r="D547" s="212"/>
      <c r="E547" s="221"/>
      <c r="F547" s="222"/>
      <c r="G547" s="223"/>
      <c r="H547" s="164"/>
      <c r="I547" s="164"/>
      <c r="J547" s="164"/>
      <c r="K547" s="164"/>
      <c r="L547" s="174"/>
      <c r="M547" s="164"/>
      <c r="N547" s="174"/>
      <c r="O547" s="157"/>
      <c r="P547" s="178"/>
      <c r="Q547" s="157"/>
      <c r="R547" s="157"/>
      <c r="S547" s="178"/>
      <c r="T547" s="157"/>
      <c r="U547" s="178"/>
      <c r="V547" s="191"/>
      <c r="W547" s="191"/>
      <c r="X547" s="191"/>
      <c r="Y547" s="191"/>
      <c r="Z547" s="191"/>
      <c r="AA547" s="191"/>
      <c r="AB547" s="191"/>
    </row>
    <row r="548" ht="15.75" customHeight="1">
      <c r="A548" s="288"/>
      <c r="B548" s="224"/>
      <c r="C548" s="224"/>
      <c r="D548" s="212"/>
      <c r="E548" s="221"/>
      <c r="F548" s="222"/>
      <c r="G548" s="223"/>
      <c r="H548" s="164"/>
      <c r="I548" s="164"/>
      <c r="J548" s="164"/>
      <c r="K548" s="164"/>
      <c r="L548" s="174"/>
      <c r="M548" s="164"/>
      <c r="N548" s="174"/>
      <c r="O548" s="157"/>
      <c r="P548" s="178"/>
      <c r="Q548" s="157"/>
      <c r="R548" s="157"/>
      <c r="S548" s="178"/>
      <c r="T548" s="157"/>
      <c r="U548" s="178"/>
      <c r="V548" s="191"/>
      <c r="W548" s="191"/>
      <c r="X548" s="191"/>
      <c r="Y548" s="191"/>
      <c r="Z548" s="191"/>
      <c r="AA548" s="191"/>
      <c r="AB548" s="191"/>
    </row>
    <row r="549" ht="15.75" customHeight="1">
      <c r="A549" s="288"/>
      <c r="B549" s="224"/>
      <c r="C549" s="224"/>
      <c r="D549" s="212"/>
      <c r="E549" s="221"/>
      <c r="F549" s="222"/>
      <c r="G549" s="223"/>
      <c r="H549" s="164"/>
      <c r="I549" s="164"/>
      <c r="J549" s="164"/>
      <c r="K549" s="164"/>
      <c r="L549" s="174"/>
      <c r="M549" s="164"/>
      <c r="N549" s="174"/>
      <c r="O549" s="157"/>
      <c r="P549" s="178"/>
      <c r="Q549" s="157"/>
      <c r="R549" s="157"/>
      <c r="S549" s="178"/>
      <c r="T549" s="157"/>
      <c r="U549" s="178"/>
      <c r="V549" s="191"/>
      <c r="W549" s="191"/>
      <c r="X549" s="191"/>
      <c r="Y549" s="191"/>
      <c r="Z549" s="191"/>
      <c r="AA549" s="191"/>
      <c r="AB549" s="191"/>
    </row>
    <row r="550" ht="15.75" customHeight="1">
      <c r="A550" s="288"/>
      <c r="B550" s="224"/>
      <c r="C550" s="224"/>
      <c r="D550" s="212"/>
      <c r="E550" s="221"/>
      <c r="F550" s="222"/>
      <c r="G550" s="223"/>
      <c r="H550" s="164"/>
      <c r="I550" s="164"/>
      <c r="J550" s="164"/>
      <c r="K550" s="164"/>
      <c r="L550" s="174"/>
      <c r="M550" s="164"/>
      <c r="N550" s="174"/>
      <c r="O550" s="157"/>
      <c r="P550" s="178"/>
      <c r="Q550" s="157"/>
      <c r="R550" s="157"/>
      <c r="S550" s="178"/>
      <c r="T550" s="157"/>
      <c r="U550" s="178"/>
      <c r="V550" s="191"/>
      <c r="W550" s="191"/>
      <c r="X550" s="191"/>
      <c r="Y550" s="191"/>
      <c r="Z550" s="191"/>
      <c r="AA550" s="191"/>
      <c r="AB550" s="191"/>
    </row>
    <row r="551" ht="15.75" customHeight="1">
      <c r="A551" s="288"/>
      <c r="B551" s="224"/>
      <c r="C551" s="224"/>
      <c r="D551" s="212"/>
      <c r="E551" s="221"/>
      <c r="F551" s="222"/>
      <c r="G551" s="223"/>
      <c r="H551" s="164"/>
      <c r="I551" s="164"/>
      <c r="J551" s="164"/>
      <c r="K551" s="164"/>
      <c r="L551" s="174"/>
      <c r="M551" s="164"/>
      <c r="N551" s="174"/>
      <c r="O551" s="157"/>
      <c r="P551" s="178"/>
      <c r="Q551" s="157"/>
      <c r="R551" s="157"/>
      <c r="S551" s="178"/>
      <c r="T551" s="157"/>
      <c r="U551" s="178"/>
      <c r="V551" s="191"/>
      <c r="W551" s="191"/>
      <c r="X551" s="191"/>
      <c r="Y551" s="191"/>
      <c r="Z551" s="191"/>
      <c r="AA551" s="191"/>
      <c r="AB551" s="191"/>
    </row>
    <row r="552" ht="15.75" customHeight="1">
      <c r="A552" s="288"/>
      <c r="B552" s="224"/>
      <c r="C552" s="224"/>
      <c r="D552" s="212"/>
      <c r="E552" s="221"/>
      <c r="F552" s="222"/>
      <c r="G552" s="223"/>
      <c r="H552" s="164"/>
      <c r="I552" s="164"/>
      <c r="J552" s="164"/>
      <c r="K552" s="164"/>
      <c r="L552" s="174"/>
      <c r="M552" s="164"/>
      <c r="N552" s="174"/>
      <c r="O552" s="157"/>
      <c r="P552" s="178"/>
      <c r="Q552" s="157"/>
      <c r="R552" s="157"/>
      <c r="S552" s="178"/>
      <c r="T552" s="157"/>
      <c r="U552" s="178"/>
      <c r="V552" s="191"/>
      <c r="W552" s="191"/>
      <c r="X552" s="191"/>
      <c r="Y552" s="191"/>
      <c r="Z552" s="191"/>
      <c r="AA552" s="191"/>
      <c r="AB552" s="191"/>
    </row>
    <row r="553" ht="15.75" customHeight="1">
      <c r="A553" s="288"/>
      <c r="B553" s="224"/>
      <c r="C553" s="224"/>
      <c r="D553" s="212"/>
      <c r="E553" s="221"/>
      <c r="F553" s="222"/>
      <c r="G553" s="223"/>
      <c r="H553" s="164"/>
      <c r="I553" s="164"/>
      <c r="J553" s="164"/>
      <c r="K553" s="164"/>
      <c r="L553" s="174"/>
      <c r="M553" s="164"/>
      <c r="N553" s="174"/>
      <c r="O553" s="157"/>
      <c r="P553" s="178"/>
      <c r="Q553" s="157"/>
      <c r="R553" s="157"/>
      <c r="S553" s="178"/>
      <c r="T553" s="157"/>
      <c r="U553" s="178"/>
      <c r="V553" s="191"/>
      <c r="W553" s="191"/>
      <c r="X553" s="191"/>
      <c r="Y553" s="191"/>
      <c r="Z553" s="191"/>
      <c r="AA553" s="191"/>
      <c r="AB553" s="191"/>
    </row>
    <row r="554" ht="15.75" customHeight="1">
      <c r="A554" s="288"/>
      <c r="B554" s="224"/>
      <c r="C554" s="224"/>
      <c r="D554" s="212"/>
      <c r="E554" s="221"/>
      <c r="F554" s="222"/>
      <c r="G554" s="223"/>
      <c r="H554" s="164"/>
      <c r="I554" s="164"/>
      <c r="J554" s="164"/>
      <c r="K554" s="164"/>
      <c r="L554" s="174"/>
      <c r="M554" s="164"/>
      <c r="N554" s="174"/>
      <c r="O554" s="157"/>
      <c r="P554" s="178"/>
      <c r="Q554" s="157"/>
      <c r="R554" s="157"/>
      <c r="S554" s="178"/>
      <c r="T554" s="157"/>
      <c r="U554" s="178"/>
      <c r="V554" s="191"/>
      <c r="W554" s="191"/>
      <c r="X554" s="191"/>
      <c r="Y554" s="191"/>
      <c r="Z554" s="191"/>
      <c r="AA554" s="191"/>
      <c r="AB554" s="191"/>
    </row>
    <row r="555" ht="15.75" customHeight="1">
      <c r="A555" s="288"/>
      <c r="B555" s="224"/>
      <c r="C555" s="224"/>
      <c r="D555" s="212"/>
      <c r="E555" s="221"/>
      <c r="F555" s="222"/>
      <c r="G555" s="223"/>
      <c r="H555" s="164"/>
      <c r="I555" s="164"/>
      <c r="J555" s="164"/>
      <c r="K555" s="164"/>
      <c r="L555" s="174"/>
      <c r="M555" s="164"/>
      <c r="N555" s="174"/>
      <c r="O555" s="157"/>
      <c r="P555" s="178"/>
      <c r="Q555" s="157"/>
      <c r="R555" s="157"/>
      <c r="S555" s="178"/>
      <c r="T555" s="157"/>
      <c r="U555" s="178"/>
      <c r="V555" s="191"/>
      <c r="W555" s="191"/>
      <c r="X555" s="191"/>
      <c r="Y555" s="191"/>
      <c r="Z555" s="191"/>
      <c r="AA555" s="191"/>
      <c r="AB555" s="191"/>
    </row>
    <row r="556" ht="15.75" customHeight="1">
      <c r="A556" s="288"/>
      <c r="B556" s="224"/>
      <c r="C556" s="224"/>
      <c r="D556" s="212"/>
      <c r="E556" s="221"/>
      <c r="F556" s="222"/>
      <c r="G556" s="223"/>
      <c r="H556" s="164"/>
      <c r="I556" s="164"/>
      <c r="J556" s="164"/>
      <c r="K556" s="164"/>
      <c r="L556" s="174"/>
      <c r="M556" s="164"/>
      <c r="N556" s="174"/>
      <c r="O556" s="157"/>
      <c r="P556" s="178"/>
      <c r="Q556" s="157"/>
      <c r="R556" s="157"/>
      <c r="S556" s="178"/>
      <c r="T556" s="157"/>
      <c r="U556" s="178"/>
      <c r="V556" s="191"/>
      <c r="W556" s="191"/>
      <c r="X556" s="191"/>
      <c r="Y556" s="191"/>
      <c r="Z556" s="191"/>
      <c r="AA556" s="191"/>
      <c r="AB556" s="191"/>
    </row>
    <row r="557" ht="15.75" customHeight="1">
      <c r="A557" s="288"/>
      <c r="B557" s="224"/>
      <c r="C557" s="224"/>
      <c r="D557" s="212"/>
      <c r="E557" s="221"/>
      <c r="F557" s="222"/>
      <c r="G557" s="223"/>
      <c r="H557" s="164"/>
      <c r="I557" s="164"/>
      <c r="J557" s="164"/>
      <c r="K557" s="164"/>
      <c r="L557" s="174"/>
      <c r="M557" s="164"/>
      <c r="N557" s="174"/>
      <c r="O557" s="157"/>
      <c r="P557" s="178"/>
      <c r="Q557" s="157"/>
      <c r="R557" s="157"/>
      <c r="S557" s="178"/>
      <c r="T557" s="157"/>
      <c r="U557" s="178"/>
      <c r="V557" s="191"/>
      <c r="W557" s="191"/>
      <c r="X557" s="191"/>
      <c r="Y557" s="191"/>
      <c r="Z557" s="191"/>
      <c r="AA557" s="191"/>
      <c r="AB557" s="191"/>
    </row>
    <row r="558" ht="15.75" customHeight="1">
      <c r="A558" s="288"/>
      <c r="B558" s="224"/>
      <c r="C558" s="224"/>
      <c r="D558" s="212"/>
      <c r="E558" s="221"/>
      <c r="F558" s="222"/>
      <c r="G558" s="223"/>
      <c r="H558" s="164"/>
      <c r="I558" s="164"/>
      <c r="J558" s="164"/>
      <c r="K558" s="164"/>
      <c r="L558" s="174"/>
      <c r="M558" s="164"/>
      <c r="N558" s="174"/>
      <c r="O558" s="157"/>
      <c r="P558" s="178"/>
      <c r="Q558" s="157"/>
      <c r="R558" s="157"/>
      <c r="S558" s="178"/>
      <c r="T558" s="157"/>
      <c r="U558" s="178"/>
      <c r="V558" s="191"/>
      <c r="W558" s="191"/>
      <c r="X558" s="191"/>
      <c r="Y558" s="191"/>
      <c r="Z558" s="191"/>
      <c r="AA558" s="191"/>
      <c r="AB558" s="191"/>
    </row>
    <row r="559" ht="15.75" customHeight="1">
      <c r="A559" s="288"/>
      <c r="B559" s="224"/>
      <c r="C559" s="224"/>
      <c r="D559" s="212"/>
      <c r="E559" s="221"/>
      <c r="F559" s="222"/>
      <c r="G559" s="223"/>
      <c r="H559" s="164"/>
      <c r="I559" s="164"/>
      <c r="J559" s="164"/>
      <c r="K559" s="164"/>
      <c r="L559" s="174"/>
      <c r="M559" s="164"/>
      <c r="N559" s="174"/>
      <c r="O559" s="157"/>
      <c r="P559" s="178"/>
      <c r="Q559" s="157"/>
      <c r="R559" s="157"/>
      <c r="S559" s="178"/>
      <c r="T559" s="157"/>
      <c r="U559" s="178"/>
      <c r="V559" s="191"/>
      <c r="W559" s="191"/>
      <c r="X559" s="191"/>
      <c r="Y559" s="191"/>
      <c r="Z559" s="191"/>
      <c r="AA559" s="191"/>
      <c r="AB559" s="191"/>
    </row>
    <row r="560" ht="15.75" customHeight="1">
      <c r="A560" s="288"/>
      <c r="B560" s="224"/>
      <c r="C560" s="224"/>
      <c r="D560" s="212"/>
      <c r="E560" s="221"/>
      <c r="F560" s="222"/>
      <c r="G560" s="223"/>
      <c r="H560" s="164"/>
      <c r="I560" s="164"/>
      <c r="J560" s="164"/>
      <c r="K560" s="164"/>
      <c r="L560" s="174"/>
      <c r="M560" s="164"/>
      <c r="N560" s="174"/>
      <c r="O560" s="157"/>
      <c r="P560" s="178"/>
      <c r="Q560" s="157"/>
      <c r="R560" s="157"/>
      <c r="S560" s="178"/>
      <c r="T560" s="157"/>
      <c r="U560" s="178"/>
      <c r="V560" s="191"/>
      <c r="W560" s="191"/>
      <c r="X560" s="191"/>
      <c r="Y560" s="191"/>
      <c r="Z560" s="191"/>
      <c r="AA560" s="191"/>
      <c r="AB560" s="191"/>
    </row>
    <row r="561" ht="15.75" customHeight="1">
      <c r="A561" s="288"/>
      <c r="B561" s="224"/>
      <c r="C561" s="224"/>
      <c r="D561" s="212"/>
      <c r="E561" s="221"/>
      <c r="F561" s="222"/>
      <c r="G561" s="223"/>
      <c r="H561" s="164"/>
      <c r="I561" s="164"/>
      <c r="J561" s="164"/>
      <c r="K561" s="164"/>
      <c r="L561" s="174"/>
      <c r="M561" s="164"/>
      <c r="N561" s="174"/>
      <c r="O561" s="157"/>
      <c r="P561" s="178"/>
      <c r="Q561" s="157"/>
      <c r="R561" s="157"/>
      <c r="S561" s="178"/>
      <c r="T561" s="157"/>
      <c r="U561" s="178"/>
      <c r="V561" s="191"/>
      <c r="W561" s="191"/>
      <c r="X561" s="191"/>
      <c r="Y561" s="191"/>
      <c r="Z561" s="191"/>
      <c r="AA561" s="191"/>
      <c r="AB561" s="191"/>
    </row>
    <row r="562" ht="15.75" customHeight="1">
      <c r="A562" s="288"/>
      <c r="B562" s="224"/>
      <c r="C562" s="224"/>
      <c r="D562" s="212"/>
      <c r="E562" s="221"/>
      <c r="F562" s="222"/>
      <c r="G562" s="223"/>
      <c r="H562" s="164"/>
      <c r="I562" s="164"/>
      <c r="J562" s="164"/>
      <c r="K562" s="164"/>
      <c r="L562" s="174"/>
      <c r="M562" s="164"/>
      <c r="N562" s="174"/>
      <c r="O562" s="157"/>
      <c r="P562" s="178"/>
      <c r="Q562" s="157"/>
      <c r="R562" s="157"/>
      <c r="S562" s="178"/>
      <c r="T562" s="157"/>
      <c r="U562" s="178"/>
      <c r="V562" s="191"/>
      <c r="W562" s="191"/>
      <c r="X562" s="191"/>
      <c r="Y562" s="191"/>
      <c r="Z562" s="191"/>
      <c r="AA562" s="191"/>
      <c r="AB562" s="191"/>
    </row>
    <row r="563" ht="15.75" customHeight="1">
      <c r="A563" s="288"/>
      <c r="B563" s="224"/>
      <c r="C563" s="224"/>
      <c r="D563" s="212"/>
      <c r="E563" s="221"/>
      <c r="F563" s="222"/>
      <c r="G563" s="223"/>
      <c r="H563" s="164"/>
      <c r="I563" s="164"/>
      <c r="J563" s="164"/>
      <c r="K563" s="164"/>
      <c r="L563" s="174"/>
      <c r="M563" s="164"/>
      <c r="N563" s="174"/>
      <c r="O563" s="157"/>
      <c r="P563" s="178"/>
      <c r="Q563" s="157"/>
      <c r="R563" s="157"/>
      <c r="S563" s="178"/>
      <c r="T563" s="157"/>
      <c r="U563" s="178"/>
      <c r="V563" s="191"/>
      <c r="W563" s="191"/>
      <c r="X563" s="191"/>
      <c r="Y563" s="191"/>
      <c r="Z563" s="191"/>
      <c r="AA563" s="191"/>
      <c r="AB563" s="191"/>
    </row>
    <row r="564" ht="15.75" customHeight="1">
      <c r="A564" s="288"/>
      <c r="B564" s="224"/>
      <c r="C564" s="224"/>
      <c r="D564" s="212"/>
      <c r="E564" s="221"/>
      <c r="F564" s="222"/>
      <c r="G564" s="223"/>
      <c r="H564" s="164"/>
      <c r="I564" s="164"/>
      <c r="J564" s="164"/>
      <c r="K564" s="164"/>
      <c r="L564" s="174"/>
      <c r="M564" s="164"/>
      <c r="N564" s="174"/>
      <c r="O564" s="157"/>
      <c r="P564" s="178"/>
      <c r="Q564" s="157"/>
      <c r="R564" s="157"/>
      <c r="S564" s="178"/>
      <c r="T564" s="157"/>
      <c r="U564" s="178"/>
      <c r="V564" s="191"/>
      <c r="W564" s="191"/>
      <c r="X564" s="191"/>
      <c r="Y564" s="191"/>
      <c r="Z564" s="191"/>
      <c r="AA564" s="191"/>
      <c r="AB564" s="191"/>
    </row>
    <row r="565" ht="15.75" customHeight="1">
      <c r="A565" s="288"/>
      <c r="B565" s="224"/>
      <c r="C565" s="224"/>
      <c r="D565" s="212"/>
      <c r="E565" s="221"/>
      <c r="F565" s="222"/>
      <c r="G565" s="223"/>
      <c r="H565" s="164"/>
      <c r="I565" s="164"/>
      <c r="J565" s="164"/>
      <c r="K565" s="164"/>
      <c r="L565" s="174"/>
      <c r="M565" s="164"/>
      <c r="N565" s="174"/>
      <c r="O565" s="157"/>
      <c r="P565" s="178"/>
      <c r="Q565" s="157"/>
      <c r="R565" s="157"/>
      <c r="S565" s="178"/>
      <c r="T565" s="157"/>
      <c r="U565" s="178"/>
      <c r="V565" s="191"/>
      <c r="W565" s="191"/>
      <c r="X565" s="191"/>
      <c r="Y565" s="191"/>
      <c r="Z565" s="191"/>
      <c r="AA565" s="191"/>
      <c r="AB565" s="191"/>
    </row>
    <row r="566" ht="15.75" customHeight="1">
      <c r="A566" s="288"/>
      <c r="B566" s="224"/>
      <c r="C566" s="224"/>
      <c r="D566" s="212"/>
      <c r="E566" s="221"/>
      <c r="F566" s="222"/>
      <c r="G566" s="223"/>
      <c r="H566" s="164"/>
      <c r="I566" s="164"/>
      <c r="J566" s="164"/>
      <c r="K566" s="164"/>
      <c r="L566" s="174"/>
      <c r="M566" s="164"/>
      <c r="N566" s="174"/>
      <c r="O566" s="157"/>
      <c r="P566" s="178"/>
      <c r="Q566" s="157"/>
      <c r="R566" s="157"/>
      <c r="S566" s="178"/>
      <c r="T566" s="157"/>
      <c r="U566" s="178"/>
      <c r="V566" s="191"/>
      <c r="W566" s="191"/>
      <c r="X566" s="191"/>
      <c r="Y566" s="191"/>
      <c r="Z566" s="191"/>
      <c r="AA566" s="191"/>
      <c r="AB566" s="191"/>
    </row>
    <row r="567" ht="15.75" customHeight="1">
      <c r="A567" s="288"/>
      <c r="B567" s="224"/>
      <c r="C567" s="224"/>
      <c r="D567" s="212"/>
      <c r="E567" s="221"/>
      <c r="F567" s="222"/>
      <c r="G567" s="223"/>
      <c r="H567" s="164"/>
      <c r="I567" s="164"/>
      <c r="J567" s="164"/>
      <c r="K567" s="164"/>
      <c r="L567" s="174"/>
      <c r="M567" s="164"/>
      <c r="N567" s="174"/>
      <c r="O567" s="157"/>
      <c r="P567" s="178"/>
      <c r="Q567" s="157"/>
      <c r="R567" s="157"/>
      <c r="S567" s="178"/>
      <c r="T567" s="157"/>
      <c r="U567" s="178"/>
      <c r="V567" s="191"/>
      <c r="W567" s="191"/>
      <c r="X567" s="191"/>
      <c r="Y567" s="191"/>
      <c r="Z567" s="191"/>
      <c r="AA567" s="191"/>
      <c r="AB567" s="191"/>
    </row>
    <row r="568" ht="15.75" customHeight="1">
      <c r="A568" s="288"/>
      <c r="B568" s="224"/>
      <c r="C568" s="224"/>
      <c r="D568" s="212"/>
      <c r="E568" s="221"/>
      <c r="F568" s="222"/>
      <c r="G568" s="223"/>
      <c r="H568" s="164"/>
      <c r="I568" s="164"/>
      <c r="J568" s="164"/>
      <c r="K568" s="164"/>
      <c r="L568" s="174"/>
      <c r="M568" s="164"/>
      <c r="N568" s="174"/>
      <c r="O568" s="157"/>
      <c r="P568" s="178"/>
      <c r="Q568" s="157"/>
      <c r="R568" s="157"/>
      <c r="S568" s="178"/>
      <c r="T568" s="157"/>
      <c r="U568" s="178"/>
      <c r="V568" s="191"/>
      <c r="W568" s="191"/>
      <c r="X568" s="191"/>
      <c r="Y568" s="191"/>
      <c r="Z568" s="191"/>
      <c r="AA568" s="191"/>
      <c r="AB568" s="191"/>
    </row>
    <row r="569" ht="15.75" customHeight="1">
      <c r="A569" s="288"/>
      <c r="B569" s="224"/>
      <c r="C569" s="224"/>
      <c r="D569" s="212"/>
      <c r="E569" s="221"/>
      <c r="F569" s="222"/>
      <c r="G569" s="223"/>
      <c r="H569" s="164"/>
      <c r="I569" s="164"/>
      <c r="J569" s="164"/>
      <c r="K569" s="164"/>
      <c r="L569" s="174"/>
      <c r="M569" s="164"/>
      <c r="N569" s="174"/>
      <c r="O569" s="157"/>
      <c r="P569" s="178"/>
      <c r="Q569" s="157"/>
      <c r="R569" s="157"/>
      <c r="S569" s="178"/>
      <c r="T569" s="157"/>
      <c r="U569" s="178"/>
      <c r="V569" s="191"/>
      <c r="W569" s="191"/>
      <c r="X569" s="191"/>
      <c r="Y569" s="191"/>
      <c r="Z569" s="191"/>
      <c r="AA569" s="191"/>
      <c r="AB569" s="191"/>
    </row>
    <row r="570" ht="15.75" customHeight="1">
      <c r="A570" s="288"/>
      <c r="B570" s="224"/>
      <c r="C570" s="224"/>
      <c r="D570" s="212"/>
      <c r="E570" s="221"/>
      <c r="F570" s="222"/>
      <c r="G570" s="223"/>
      <c r="H570" s="164"/>
      <c r="I570" s="164"/>
      <c r="J570" s="164"/>
      <c r="K570" s="164"/>
      <c r="L570" s="174"/>
      <c r="M570" s="164"/>
      <c r="N570" s="174"/>
      <c r="O570" s="157"/>
      <c r="P570" s="178"/>
      <c r="Q570" s="157"/>
      <c r="R570" s="157"/>
      <c r="S570" s="178"/>
      <c r="T570" s="157"/>
      <c r="U570" s="178"/>
      <c r="V570" s="191"/>
      <c r="W570" s="191"/>
      <c r="X570" s="191"/>
      <c r="Y570" s="191"/>
      <c r="Z570" s="191"/>
      <c r="AA570" s="191"/>
      <c r="AB570" s="191"/>
    </row>
    <row r="571" ht="15.75" customHeight="1">
      <c r="A571" s="288"/>
      <c r="B571" s="224"/>
      <c r="C571" s="224"/>
      <c r="D571" s="212"/>
      <c r="E571" s="221"/>
      <c r="F571" s="222"/>
      <c r="G571" s="223"/>
      <c r="H571" s="164"/>
      <c r="I571" s="164"/>
      <c r="J571" s="164"/>
      <c r="K571" s="164"/>
      <c r="L571" s="174"/>
      <c r="M571" s="164"/>
      <c r="N571" s="174"/>
      <c r="O571" s="157"/>
      <c r="P571" s="178"/>
      <c r="Q571" s="157"/>
      <c r="R571" s="157"/>
      <c r="S571" s="178"/>
      <c r="T571" s="157"/>
      <c r="U571" s="178"/>
      <c r="V571" s="191"/>
      <c r="W571" s="191"/>
      <c r="X571" s="191"/>
      <c r="Y571" s="191"/>
      <c r="Z571" s="191"/>
      <c r="AA571" s="191"/>
      <c r="AB571" s="191"/>
    </row>
    <row r="572" ht="15.75" customHeight="1">
      <c r="A572" s="288"/>
      <c r="B572" s="224"/>
      <c r="C572" s="224"/>
      <c r="D572" s="212"/>
      <c r="E572" s="221"/>
      <c r="F572" s="222"/>
      <c r="G572" s="223"/>
      <c r="H572" s="164"/>
      <c r="I572" s="164"/>
      <c r="J572" s="164"/>
      <c r="K572" s="164"/>
      <c r="L572" s="174"/>
      <c r="M572" s="164"/>
      <c r="N572" s="174"/>
      <c r="O572" s="157"/>
      <c r="P572" s="178"/>
      <c r="Q572" s="157"/>
      <c r="R572" s="157"/>
      <c r="S572" s="178"/>
      <c r="T572" s="157"/>
      <c r="U572" s="178"/>
      <c r="V572" s="191"/>
      <c r="W572" s="191"/>
      <c r="X572" s="191"/>
      <c r="Y572" s="191"/>
      <c r="Z572" s="191"/>
      <c r="AA572" s="191"/>
      <c r="AB572" s="191"/>
    </row>
    <row r="573" ht="15.75" customHeight="1">
      <c r="A573" s="288"/>
      <c r="B573" s="224"/>
      <c r="C573" s="224"/>
      <c r="D573" s="212"/>
      <c r="E573" s="221"/>
      <c r="F573" s="222"/>
      <c r="G573" s="223"/>
      <c r="H573" s="164"/>
      <c r="I573" s="164"/>
      <c r="J573" s="164"/>
      <c r="K573" s="164"/>
      <c r="L573" s="174"/>
      <c r="M573" s="164"/>
      <c r="N573" s="174"/>
      <c r="O573" s="157"/>
      <c r="P573" s="178"/>
      <c r="Q573" s="157"/>
      <c r="R573" s="157"/>
      <c r="S573" s="178"/>
      <c r="T573" s="157"/>
      <c r="U573" s="178"/>
      <c r="V573" s="191"/>
      <c r="W573" s="191"/>
      <c r="X573" s="191"/>
      <c r="Y573" s="191"/>
      <c r="Z573" s="191"/>
      <c r="AA573" s="191"/>
      <c r="AB573" s="191"/>
    </row>
    <row r="574" ht="15.75" customHeight="1">
      <c r="A574" s="288"/>
      <c r="B574" s="224"/>
      <c r="C574" s="224"/>
      <c r="D574" s="212"/>
      <c r="E574" s="221"/>
      <c r="F574" s="222"/>
      <c r="G574" s="223"/>
      <c r="H574" s="164"/>
      <c r="I574" s="164"/>
      <c r="J574" s="164"/>
      <c r="K574" s="164"/>
      <c r="L574" s="174"/>
      <c r="M574" s="164"/>
      <c r="N574" s="174"/>
      <c r="O574" s="157"/>
      <c r="P574" s="178"/>
      <c r="Q574" s="157"/>
      <c r="R574" s="157"/>
      <c r="S574" s="178"/>
      <c r="T574" s="157"/>
      <c r="U574" s="178"/>
      <c r="V574" s="191"/>
      <c r="W574" s="191"/>
      <c r="X574" s="191"/>
      <c r="Y574" s="191"/>
      <c r="Z574" s="191"/>
      <c r="AA574" s="191"/>
      <c r="AB574" s="191"/>
    </row>
    <row r="575" ht="15.75" customHeight="1">
      <c r="A575" s="288"/>
      <c r="B575" s="224"/>
      <c r="C575" s="224"/>
      <c r="D575" s="212"/>
      <c r="E575" s="221"/>
      <c r="F575" s="222"/>
      <c r="G575" s="223"/>
      <c r="H575" s="164"/>
      <c r="I575" s="164"/>
      <c r="J575" s="164"/>
      <c r="K575" s="164"/>
      <c r="L575" s="174"/>
      <c r="M575" s="164"/>
      <c r="N575" s="174"/>
      <c r="O575" s="157"/>
      <c r="P575" s="178"/>
      <c r="Q575" s="157"/>
      <c r="R575" s="157"/>
      <c r="S575" s="178"/>
      <c r="T575" s="157"/>
      <c r="U575" s="178"/>
      <c r="V575" s="191"/>
      <c r="W575" s="191"/>
      <c r="X575" s="191"/>
      <c r="Y575" s="191"/>
      <c r="Z575" s="191"/>
      <c r="AA575" s="191"/>
      <c r="AB575" s="191"/>
    </row>
    <row r="576" ht="15.75" customHeight="1">
      <c r="A576" s="288"/>
      <c r="B576" s="224"/>
      <c r="C576" s="224"/>
      <c r="D576" s="212"/>
      <c r="E576" s="221"/>
      <c r="F576" s="222"/>
      <c r="G576" s="223"/>
      <c r="H576" s="164"/>
      <c r="I576" s="164"/>
      <c r="J576" s="164"/>
      <c r="K576" s="164"/>
      <c r="L576" s="174"/>
      <c r="M576" s="164"/>
      <c r="N576" s="174"/>
      <c r="O576" s="157"/>
      <c r="P576" s="178"/>
      <c r="Q576" s="157"/>
      <c r="R576" s="157"/>
      <c r="S576" s="178"/>
      <c r="T576" s="157"/>
      <c r="U576" s="178"/>
      <c r="V576" s="191"/>
      <c r="W576" s="191"/>
      <c r="X576" s="191"/>
      <c r="Y576" s="191"/>
      <c r="Z576" s="191"/>
      <c r="AA576" s="191"/>
      <c r="AB576" s="191"/>
    </row>
    <row r="577" ht="15.75" customHeight="1">
      <c r="A577" s="288"/>
      <c r="B577" s="224"/>
      <c r="C577" s="224"/>
      <c r="D577" s="212"/>
      <c r="E577" s="221"/>
      <c r="F577" s="222"/>
      <c r="G577" s="223"/>
      <c r="H577" s="164"/>
      <c r="I577" s="164"/>
      <c r="J577" s="164"/>
      <c r="K577" s="164"/>
      <c r="L577" s="174"/>
      <c r="M577" s="164"/>
      <c r="N577" s="174"/>
      <c r="O577" s="157"/>
      <c r="P577" s="178"/>
      <c r="Q577" s="157"/>
      <c r="R577" s="157"/>
      <c r="S577" s="178"/>
      <c r="T577" s="157"/>
      <c r="U577" s="178"/>
      <c r="V577" s="191"/>
      <c r="W577" s="191"/>
      <c r="X577" s="191"/>
      <c r="Y577" s="191"/>
      <c r="Z577" s="191"/>
      <c r="AA577" s="191"/>
      <c r="AB577" s="191"/>
    </row>
    <row r="578" ht="15.75" customHeight="1">
      <c r="A578" s="288"/>
      <c r="B578" s="224"/>
      <c r="C578" s="224"/>
      <c r="D578" s="212"/>
      <c r="E578" s="221"/>
      <c r="F578" s="222"/>
      <c r="G578" s="223"/>
      <c r="H578" s="164"/>
      <c r="I578" s="164"/>
      <c r="J578" s="164"/>
      <c r="K578" s="164"/>
      <c r="L578" s="174"/>
      <c r="M578" s="164"/>
      <c r="N578" s="174"/>
      <c r="O578" s="157"/>
      <c r="P578" s="178"/>
      <c r="Q578" s="157"/>
      <c r="R578" s="157"/>
      <c r="S578" s="178"/>
      <c r="T578" s="157"/>
      <c r="U578" s="178"/>
      <c r="V578" s="191"/>
      <c r="W578" s="191"/>
      <c r="X578" s="191"/>
      <c r="Y578" s="191"/>
      <c r="Z578" s="191"/>
      <c r="AA578" s="191"/>
      <c r="AB578" s="191"/>
    </row>
    <row r="579" ht="15.75" customHeight="1">
      <c r="A579" s="288"/>
      <c r="B579" s="224"/>
      <c r="C579" s="224"/>
      <c r="D579" s="212"/>
      <c r="E579" s="221"/>
      <c r="F579" s="222"/>
      <c r="G579" s="223"/>
      <c r="H579" s="164"/>
      <c r="I579" s="164"/>
      <c r="J579" s="164"/>
      <c r="K579" s="164"/>
      <c r="L579" s="174"/>
      <c r="M579" s="164"/>
      <c r="N579" s="174"/>
      <c r="O579" s="157"/>
      <c r="P579" s="178"/>
      <c r="Q579" s="157"/>
      <c r="R579" s="157"/>
      <c r="S579" s="178"/>
      <c r="T579" s="157"/>
      <c r="U579" s="178"/>
      <c r="V579" s="191"/>
      <c r="W579" s="191"/>
      <c r="X579" s="191"/>
      <c r="Y579" s="191"/>
      <c r="Z579" s="191"/>
      <c r="AA579" s="191"/>
      <c r="AB579" s="191"/>
    </row>
    <row r="580" ht="15.75" customHeight="1">
      <c r="A580" s="288"/>
      <c r="B580" s="224"/>
      <c r="C580" s="224"/>
      <c r="D580" s="212"/>
      <c r="E580" s="221"/>
      <c r="F580" s="222"/>
      <c r="G580" s="223"/>
      <c r="H580" s="164"/>
      <c r="I580" s="164"/>
      <c r="J580" s="164"/>
      <c r="K580" s="164"/>
      <c r="L580" s="174"/>
      <c r="M580" s="164"/>
      <c r="N580" s="174"/>
      <c r="O580" s="157"/>
      <c r="P580" s="178"/>
      <c r="Q580" s="157"/>
      <c r="R580" s="157"/>
      <c r="S580" s="178"/>
      <c r="T580" s="157"/>
      <c r="U580" s="178"/>
      <c r="V580" s="191"/>
      <c r="W580" s="191"/>
      <c r="X580" s="191"/>
      <c r="Y580" s="191"/>
      <c r="Z580" s="191"/>
      <c r="AA580" s="191"/>
      <c r="AB580" s="191"/>
    </row>
    <row r="581" ht="15.75" customHeight="1">
      <c r="A581" s="288"/>
      <c r="B581" s="224"/>
      <c r="C581" s="224"/>
      <c r="D581" s="212"/>
      <c r="E581" s="221"/>
      <c r="F581" s="222"/>
      <c r="G581" s="223"/>
      <c r="H581" s="164"/>
      <c r="I581" s="164"/>
      <c r="J581" s="164"/>
      <c r="K581" s="164"/>
      <c r="L581" s="174"/>
      <c r="M581" s="164"/>
      <c r="N581" s="174"/>
      <c r="O581" s="157"/>
      <c r="P581" s="178"/>
      <c r="Q581" s="157"/>
      <c r="R581" s="157"/>
      <c r="S581" s="178"/>
      <c r="T581" s="157"/>
      <c r="U581" s="178"/>
      <c r="V581" s="191"/>
      <c r="W581" s="191"/>
      <c r="X581" s="191"/>
      <c r="Y581" s="191"/>
      <c r="Z581" s="191"/>
      <c r="AA581" s="191"/>
      <c r="AB581" s="191"/>
    </row>
    <row r="582" ht="15.75" customHeight="1">
      <c r="A582" s="288"/>
      <c r="B582" s="224"/>
      <c r="C582" s="224"/>
      <c r="D582" s="212"/>
      <c r="E582" s="221"/>
      <c r="F582" s="222"/>
      <c r="G582" s="223"/>
      <c r="H582" s="164"/>
      <c r="I582" s="164"/>
      <c r="J582" s="164"/>
      <c r="K582" s="164"/>
      <c r="L582" s="174"/>
      <c r="M582" s="164"/>
      <c r="N582" s="174"/>
      <c r="O582" s="157"/>
      <c r="P582" s="178"/>
      <c r="Q582" s="157"/>
      <c r="R582" s="157"/>
      <c r="S582" s="178"/>
      <c r="T582" s="157"/>
      <c r="U582" s="178"/>
      <c r="V582" s="191"/>
      <c r="W582" s="191"/>
      <c r="X582" s="191"/>
      <c r="Y582" s="191"/>
      <c r="Z582" s="191"/>
      <c r="AA582" s="191"/>
      <c r="AB582" s="191"/>
    </row>
    <row r="583" ht="15.75" customHeight="1">
      <c r="A583" s="288"/>
      <c r="B583" s="224"/>
      <c r="C583" s="224"/>
      <c r="D583" s="212"/>
      <c r="E583" s="221"/>
      <c r="F583" s="222"/>
      <c r="G583" s="223"/>
      <c r="H583" s="164"/>
      <c r="I583" s="164"/>
      <c r="J583" s="164"/>
      <c r="K583" s="164"/>
      <c r="L583" s="174"/>
      <c r="M583" s="164"/>
      <c r="N583" s="174"/>
      <c r="O583" s="157"/>
      <c r="P583" s="178"/>
      <c r="Q583" s="157"/>
      <c r="R583" s="157"/>
      <c r="S583" s="178"/>
      <c r="T583" s="157"/>
      <c r="U583" s="178"/>
      <c r="V583" s="191"/>
      <c r="W583" s="191"/>
      <c r="X583" s="191"/>
      <c r="Y583" s="191"/>
      <c r="Z583" s="191"/>
      <c r="AA583" s="191"/>
      <c r="AB583" s="191"/>
    </row>
    <row r="584" ht="15.75" customHeight="1">
      <c r="A584" s="288"/>
      <c r="B584" s="224"/>
      <c r="C584" s="224"/>
      <c r="D584" s="212"/>
      <c r="E584" s="221"/>
      <c r="F584" s="222"/>
      <c r="G584" s="223"/>
      <c r="H584" s="164"/>
      <c r="I584" s="164"/>
      <c r="J584" s="164"/>
      <c r="K584" s="164"/>
      <c r="L584" s="174"/>
      <c r="M584" s="164"/>
      <c r="N584" s="174"/>
      <c r="O584" s="157"/>
      <c r="P584" s="178"/>
      <c r="Q584" s="157"/>
      <c r="R584" s="157"/>
      <c r="S584" s="178"/>
      <c r="T584" s="157"/>
      <c r="U584" s="178"/>
      <c r="V584" s="191"/>
      <c r="W584" s="191"/>
      <c r="X584" s="191"/>
      <c r="Y584" s="191"/>
      <c r="Z584" s="191"/>
      <c r="AA584" s="191"/>
      <c r="AB584" s="191"/>
    </row>
    <row r="585" ht="15.75" customHeight="1">
      <c r="A585" s="288"/>
      <c r="B585" s="224"/>
      <c r="C585" s="224"/>
      <c r="D585" s="212"/>
      <c r="E585" s="221"/>
      <c r="F585" s="222"/>
      <c r="G585" s="223"/>
      <c r="H585" s="164"/>
      <c r="I585" s="164"/>
      <c r="J585" s="164"/>
      <c r="K585" s="164"/>
      <c r="L585" s="174"/>
      <c r="M585" s="164"/>
      <c r="N585" s="174"/>
      <c r="O585" s="157"/>
      <c r="P585" s="178"/>
      <c r="Q585" s="157"/>
      <c r="R585" s="157"/>
      <c r="S585" s="178"/>
      <c r="T585" s="157"/>
      <c r="U585" s="178"/>
      <c r="V585" s="191"/>
      <c r="W585" s="191"/>
      <c r="X585" s="191"/>
      <c r="Y585" s="191"/>
      <c r="Z585" s="191"/>
      <c r="AA585" s="191"/>
      <c r="AB585" s="191"/>
    </row>
    <row r="586" ht="15.75" customHeight="1">
      <c r="A586" s="288"/>
      <c r="B586" s="224"/>
      <c r="C586" s="224"/>
      <c r="D586" s="212"/>
      <c r="E586" s="221"/>
      <c r="F586" s="222"/>
      <c r="G586" s="223"/>
      <c r="H586" s="164"/>
      <c r="I586" s="164"/>
      <c r="J586" s="164"/>
      <c r="K586" s="164"/>
      <c r="L586" s="174"/>
      <c r="M586" s="164"/>
      <c r="N586" s="174"/>
      <c r="O586" s="157"/>
      <c r="P586" s="178"/>
      <c r="Q586" s="157"/>
      <c r="R586" s="157"/>
      <c r="S586" s="178"/>
      <c r="T586" s="157"/>
      <c r="U586" s="178"/>
      <c r="V586" s="191"/>
      <c r="W586" s="191"/>
      <c r="X586" s="191"/>
      <c r="Y586" s="191"/>
      <c r="Z586" s="191"/>
      <c r="AA586" s="191"/>
      <c r="AB586" s="191"/>
    </row>
    <row r="587" ht="15.75" customHeight="1">
      <c r="A587" s="288"/>
      <c r="B587" s="224"/>
      <c r="C587" s="224"/>
      <c r="D587" s="212"/>
      <c r="E587" s="221"/>
      <c r="F587" s="222"/>
      <c r="G587" s="223"/>
      <c r="H587" s="164"/>
      <c r="I587" s="164"/>
      <c r="J587" s="164"/>
      <c r="K587" s="164"/>
      <c r="L587" s="174"/>
      <c r="M587" s="164"/>
      <c r="N587" s="174"/>
      <c r="O587" s="157"/>
      <c r="P587" s="178"/>
      <c r="Q587" s="157"/>
      <c r="R587" s="157"/>
      <c r="S587" s="178"/>
      <c r="T587" s="157"/>
      <c r="U587" s="178"/>
      <c r="V587" s="191"/>
      <c r="W587" s="191"/>
      <c r="X587" s="191"/>
      <c r="Y587" s="191"/>
      <c r="Z587" s="191"/>
      <c r="AA587" s="191"/>
      <c r="AB587" s="191"/>
    </row>
    <row r="588" ht="15.75" customHeight="1">
      <c r="A588" s="288"/>
      <c r="B588" s="224"/>
      <c r="C588" s="224"/>
      <c r="D588" s="212"/>
      <c r="E588" s="221"/>
      <c r="F588" s="222"/>
      <c r="G588" s="223"/>
      <c r="H588" s="164"/>
      <c r="I588" s="164"/>
      <c r="J588" s="164"/>
      <c r="K588" s="164"/>
      <c r="L588" s="174"/>
      <c r="M588" s="164"/>
      <c r="N588" s="174"/>
      <c r="O588" s="157"/>
      <c r="P588" s="178"/>
      <c r="Q588" s="157"/>
      <c r="R588" s="157"/>
      <c r="S588" s="178"/>
      <c r="T588" s="157"/>
      <c r="U588" s="178"/>
      <c r="V588" s="191"/>
      <c r="W588" s="191"/>
      <c r="X588" s="191"/>
      <c r="Y588" s="191"/>
      <c r="Z588" s="191"/>
      <c r="AA588" s="191"/>
      <c r="AB588" s="191"/>
    </row>
    <row r="589" ht="15.75" customHeight="1">
      <c r="A589" s="288"/>
      <c r="B589" s="224"/>
      <c r="C589" s="224"/>
      <c r="D589" s="212"/>
      <c r="E589" s="221"/>
      <c r="F589" s="222"/>
      <c r="G589" s="223"/>
      <c r="H589" s="164"/>
      <c r="I589" s="164"/>
      <c r="J589" s="164"/>
      <c r="K589" s="164"/>
      <c r="L589" s="174"/>
      <c r="M589" s="164"/>
      <c r="N589" s="174"/>
      <c r="O589" s="157"/>
      <c r="P589" s="178"/>
      <c r="Q589" s="157"/>
      <c r="R589" s="157"/>
      <c r="S589" s="178"/>
      <c r="T589" s="157"/>
      <c r="U589" s="178"/>
      <c r="V589" s="191"/>
      <c r="W589" s="191"/>
      <c r="X589" s="191"/>
      <c r="Y589" s="191"/>
      <c r="Z589" s="191"/>
      <c r="AA589" s="191"/>
      <c r="AB589" s="191"/>
    </row>
    <row r="590" ht="15.75" customHeight="1">
      <c r="A590" s="288"/>
      <c r="B590" s="224"/>
      <c r="C590" s="224"/>
      <c r="D590" s="212"/>
      <c r="E590" s="221"/>
      <c r="F590" s="222"/>
      <c r="G590" s="223"/>
      <c r="H590" s="164"/>
      <c r="I590" s="164"/>
      <c r="J590" s="164"/>
      <c r="K590" s="164"/>
      <c r="L590" s="174"/>
      <c r="M590" s="164"/>
      <c r="N590" s="174"/>
      <c r="O590" s="157"/>
      <c r="P590" s="178"/>
      <c r="Q590" s="157"/>
      <c r="R590" s="157"/>
      <c r="S590" s="178"/>
      <c r="T590" s="157"/>
      <c r="U590" s="178"/>
      <c r="V590" s="191"/>
      <c r="W590" s="191"/>
      <c r="X590" s="191"/>
      <c r="Y590" s="191"/>
      <c r="Z590" s="191"/>
      <c r="AA590" s="191"/>
      <c r="AB590" s="191"/>
    </row>
    <row r="591" ht="15.75" customHeight="1">
      <c r="A591" s="288"/>
      <c r="B591" s="224"/>
      <c r="C591" s="224"/>
      <c r="D591" s="212"/>
      <c r="E591" s="221"/>
      <c r="F591" s="222"/>
      <c r="G591" s="223"/>
      <c r="H591" s="164"/>
      <c r="I591" s="164"/>
      <c r="J591" s="164"/>
      <c r="K591" s="164"/>
      <c r="L591" s="174"/>
      <c r="M591" s="164"/>
      <c r="N591" s="174"/>
      <c r="O591" s="157"/>
      <c r="P591" s="178"/>
      <c r="Q591" s="157"/>
      <c r="R591" s="157"/>
      <c r="S591" s="178"/>
      <c r="T591" s="157"/>
      <c r="U591" s="178"/>
      <c r="V591" s="191"/>
      <c r="W591" s="191"/>
      <c r="X591" s="191"/>
      <c r="Y591" s="191"/>
      <c r="Z591" s="191"/>
      <c r="AA591" s="191"/>
      <c r="AB591" s="191"/>
    </row>
    <row r="592" ht="15.75" customHeight="1">
      <c r="A592" s="288"/>
      <c r="B592" s="224"/>
      <c r="C592" s="224"/>
      <c r="D592" s="212"/>
      <c r="E592" s="221"/>
      <c r="F592" s="222"/>
      <c r="G592" s="223"/>
      <c r="H592" s="164"/>
      <c r="I592" s="164"/>
      <c r="J592" s="164"/>
      <c r="K592" s="164"/>
      <c r="L592" s="174"/>
      <c r="M592" s="164"/>
      <c r="N592" s="174"/>
      <c r="O592" s="157"/>
      <c r="P592" s="178"/>
      <c r="Q592" s="157"/>
      <c r="R592" s="157"/>
      <c r="S592" s="178"/>
      <c r="T592" s="157"/>
      <c r="U592" s="178"/>
      <c r="V592" s="191"/>
      <c r="W592" s="191"/>
      <c r="X592" s="191"/>
      <c r="Y592" s="191"/>
      <c r="Z592" s="191"/>
      <c r="AA592" s="191"/>
      <c r="AB592" s="191"/>
    </row>
    <row r="593" ht="15.75" customHeight="1">
      <c r="A593" s="288"/>
      <c r="B593" s="224"/>
      <c r="C593" s="224"/>
      <c r="D593" s="212"/>
      <c r="E593" s="221"/>
      <c r="F593" s="222"/>
      <c r="G593" s="223"/>
      <c r="H593" s="164"/>
      <c r="I593" s="164"/>
      <c r="J593" s="164"/>
      <c r="K593" s="164"/>
      <c r="L593" s="174"/>
      <c r="M593" s="164"/>
      <c r="N593" s="174"/>
      <c r="O593" s="157"/>
      <c r="P593" s="178"/>
      <c r="Q593" s="157"/>
      <c r="R593" s="157"/>
      <c r="S593" s="178"/>
      <c r="T593" s="157"/>
      <c r="U593" s="178"/>
      <c r="V593" s="191"/>
      <c r="W593" s="191"/>
      <c r="X593" s="191"/>
      <c r="Y593" s="191"/>
      <c r="Z593" s="191"/>
      <c r="AA593" s="191"/>
      <c r="AB593" s="191"/>
    </row>
    <row r="594" ht="15.75" customHeight="1">
      <c r="A594" s="288"/>
      <c r="B594" s="224"/>
      <c r="C594" s="224"/>
      <c r="D594" s="212"/>
      <c r="E594" s="221"/>
      <c r="F594" s="222"/>
      <c r="G594" s="223"/>
      <c r="H594" s="164"/>
      <c r="I594" s="164"/>
      <c r="J594" s="164"/>
      <c r="K594" s="164"/>
      <c r="L594" s="174"/>
      <c r="M594" s="164"/>
      <c r="N594" s="174"/>
      <c r="O594" s="157"/>
      <c r="P594" s="178"/>
      <c r="Q594" s="157"/>
      <c r="R594" s="157"/>
      <c r="S594" s="178"/>
      <c r="T594" s="157"/>
      <c r="U594" s="178"/>
      <c r="V594" s="191"/>
      <c r="W594" s="191"/>
      <c r="X594" s="191"/>
      <c r="Y594" s="191"/>
      <c r="Z594" s="191"/>
      <c r="AA594" s="191"/>
      <c r="AB594" s="191"/>
    </row>
    <row r="595" ht="15.75" customHeight="1">
      <c r="A595" s="288"/>
      <c r="B595" s="224"/>
      <c r="C595" s="224"/>
      <c r="D595" s="212"/>
      <c r="E595" s="221"/>
      <c r="F595" s="222"/>
      <c r="G595" s="223"/>
      <c r="H595" s="164"/>
      <c r="I595" s="164"/>
      <c r="J595" s="164"/>
      <c r="K595" s="164"/>
      <c r="L595" s="174"/>
      <c r="M595" s="164"/>
      <c r="N595" s="174"/>
      <c r="O595" s="157"/>
      <c r="P595" s="178"/>
      <c r="Q595" s="157"/>
      <c r="R595" s="157"/>
      <c r="S595" s="178"/>
      <c r="T595" s="157"/>
      <c r="U595" s="178"/>
      <c r="V595" s="191"/>
      <c r="W595" s="191"/>
      <c r="X595" s="191"/>
      <c r="Y595" s="191"/>
      <c r="Z595" s="191"/>
      <c r="AA595" s="191"/>
      <c r="AB595" s="191"/>
    </row>
    <row r="596" ht="15.75" customHeight="1">
      <c r="A596" s="288"/>
      <c r="B596" s="224"/>
      <c r="C596" s="224"/>
      <c r="D596" s="212"/>
      <c r="E596" s="221"/>
      <c r="F596" s="222"/>
      <c r="G596" s="223"/>
      <c r="H596" s="164"/>
      <c r="I596" s="164"/>
      <c r="J596" s="164"/>
      <c r="K596" s="164"/>
      <c r="L596" s="174"/>
      <c r="M596" s="164"/>
      <c r="N596" s="174"/>
      <c r="O596" s="157"/>
      <c r="P596" s="178"/>
      <c r="Q596" s="157"/>
      <c r="R596" s="157"/>
      <c r="S596" s="178"/>
      <c r="T596" s="157"/>
      <c r="U596" s="178"/>
      <c r="V596" s="191"/>
      <c r="W596" s="191"/>
      <c r="X596" s="191"/>
      <c r="Y596" s="191"/>
      <c r="Z596" s="191"/>
      <c r="AA596" s="191"/>
      <c r="AB596" s="191"/>
    </row>
    <row r="597" ht="15.75" customHeight="1">
      <c r="A597" s="288"/>
      <c r="B597" s="224"/>
      <c r="C597" s="224"/>
      <c r="D597" s="212"/>
      <c r="E597" s="221"/>
      <c r="F597" s="222"/>
      <c r="G597" s="223"/>
      <c r="H597" s="164"/>
      <c r="I597" s="164"/>
      <c r="J597" s="164"/>
      <c r="K597" s="164"/>
      <c r="L597" s="174"/>
      <c r="M597" s="164"/>
      <c r="N597" s="174"/>
      <c r="O597" s="157"/>
      <c r="P597" s="178"/>
      <c r="Q597" s="157"/>
      <c r="R597" s="157"/>
      <c r="S597" s="178"/>
      <c r="T597" s="157"/>
      <c r="U597" s="178"/>
      <c r="V597" s="191"/>
      <c r="W597" s="191"/>
      <c r="X597" s="191"/>
      <c r="Y597" s="191"/>
      <c r="Z597" s="191"/>
      <c r="AA597" s="191"/>
      <c r="AB597" s="191"/>
    </row>
    <row r="598" ht="15.75" customHeight="1">
      <c r="A598" s="288"/>
      <c r="B598" s="224"/>
      <c r="C598" s="224"/>
      <c r="D598" s="212"/>
      <c r="E598" s="221"/>
      <c r="F598" s="222"/>
      <c r="G598" s="223"/>
      <c r="H598" s="164"/>
      <c r="I598" s="164"/>
      <c r="J598" s="164"/>
      <c r="K598" s="164"/>
      <c r="L598" s="174"/>
      <c r="M598" s="164"/>
      <c r="N598" s="174"/>
      <c r="O598" s="157"/>
      <c r="P598" s="178"/>
      <c r="Q598" s="157"/>
      <c r="R598" s="157"/>
      <c r="S598" s="178"/>
      <c r="T598" s="157"/>
      <c r="U598" s="178"/>
      <c r="V598" s="191"/>
      <c r="W598" s="191"/>
      <c r="X598" s="191"/>
      <c r="Y598" s="191"/>
      <c r="Z598" s="191"/>
      <c r="AA598" s="191"/>
      <c r="AB598" s="191"/>
    </row>
    <row r="599" ht="15.75" customHeight="1">
      <c r="A599" s="288"/>
      <c r="B599" s="224"/>
      <c r="C599" s="224"/>
      <c r="D599" s="212"/>
      <c r="E599" s="221"/>
      <c r="F599" s="222"/>
      <c r="G599" s="223"/>
      <c r="H599" s="164"/>
      <c r="I599" s="164"/>
      <c r="J599" s="164"/>
      <c r="K599" s="164"/>
      <c r="L599" s="174"/>
      <c r="M599" s="164"/>
      <c r="N599" s="174"/>
      <c r="O599" s="157"/>
      <c r="P599" s="178"/>
      <c r="Q599" s="157"/>
      <c r="R599" s="157"/>
      <c r="S599" s="178"/>
      <c r="T599" s="157"/>
      <c r="U599" s="178"/>
      <c r="V599" s="191"/>
      <c r="W599" s="191"/>
      <c r="X599" s="191"/>
      <c r="Y599" s="191"/>
      <c r="Z599" s="191"/>
      <c r="AA599" s="191"/>
      <c r="AB599" s="191"/>
    </row>
    <row r="600" ht="15.75" customHeight="1">
      <c r="A600" s="288"/>
      <c r="B600" s="224"/>
      <c r="C600" s="224"/>
      <c r="D600" s="212"/>
      <c r="E600" s="221"/>
      <c r="F600" s="222"/>
      <c r="G600" s="223"/>
      <c r="H600" s="164"/>
      <c r="I600" s="164"/>
      <c r="J600" s="164"/>
      <c r="K600" s="164"/>
      <c r="L600" s="174"/>
      <c r="M600" s="164"/>
      <c r="N600" s="174"/>
      <c r="O600" s="157"/>
      <c r="P600" s="178"/>
      <c r="Q600" s="157"/>
      <c r="R600" s="157"/>
      <c r="S600" s="178"/>
      <c r="T600" s="157"/>
      <c r="U600" s="178"/>
      <c r="V600" s="191"/>
      <c r="W600" s="191"/>
      <c r="X600" s="191"/>
      <c r="Y600" s="191"/>
      <c r="Z600" s="191"/>
      <c r="AA600" s="191"/>
      <c r="AB600" s="191"/>
    </row>
    <row r="601" ht="15.75" customHeight="1">
      <c r="A601" s="288"/>
      <c r="B601" s="224"/>
      <c r="C601" s="224"/>
      <c r="D601" s="212"/>
      <c r="E601" s="221"/>
      <c r="F601" s="222"/>
      <c r="G601" s="223"/>
      <c r="H601" s="164"/>
      <c r="I601" s="164"/>
      <c r="J601" s="164"/>
      <c r="K601" s="164"/>
      <c r="L601" s="174"/>
      <c r="M601" s="164"/>
      <c r="N601" s="174"/>
      <c r="O601" s="157"/>
      <c r="P601" s="178"/>
      <c r="Q601" s="157"/>
      <c r="R601" s="157"/>
      <c r="S601" s="178"/>
      <c r="T601" s="157"/>
      <c r="U601" s="178"/>
      <c r="V601" s="191"/>
      <c r="W601" s="191"/>
      <c r="X601" s="191"/>
      <c r="Y601" s="191"/>
      <c r="Z601" s="191"/>
      <c r="AA601" s="191"/>
      <c r="AB601" s="191"/>
    </row>
    <row r="602" ht="15.75" customHeight="1">
      <c r="A602" s="288"/>
      <c r="B602" s="224"/>
      <c r="C602" s="224"/>
      <c r="D602" s="212"/>
      <c r="E602" s="221"/>
      <c r="F602" s="222"/>
      <c r="G602" s="223"/>
      <c r="H602" s="164"/>
      <c r="I602" s="164"/>
      <c r="J602" s="164"/>
      <c r="K602" s="164"/>
      <c r="L602" s="174"/>
      <c r="M602" s="164"/>
      <c r="N602" s="174"/>
      <c r="O602" s="157"/>
      <c r="P602" s="178"/>
      <c r="Q602" s="157"/>
      <c r="R602" s="157"/>
      <c r="S602" s="178"/>
      <c r="T602" s="157"/>
      <c r="U602" s="178"/>
      <c r="V602" s="191"/>
      <c r="W602" s="191"/>
      <c r="X602" s="191"/>
      <c r="Y602" s="191"/>
      <c r="Z602" s="191"/>
      <c r="AA602" s="191"/>
      <c r="AB602" s="191"/>
    </row>
    <row r="603" ht="15.75" customHeight="1">
      <c r="A603" s="288"/>
      <c r="B603" s="224"/>
      <c r="C603" s="224"/>
      <c r="D603" s="212"/>
      <c r="E603" s="221"/>
      <c r="F603" s="222"/>
      <c r="G603" s="223"/>
      <c r="H603" s="164"/>
      <c r="I603" s="164"/>
      <c r="J603" s="164"/>
      <c r="K603" s="164"/>
      <c r="L603" s="174"/>
      <c r="M603" s="164"/>
      <c r="N603" s="174"/>
      <c r="O603" s="157"/>
      <c r="P603" s="178"/>
      <c r="Q603" s="157"/>
      <c r="R603" s="157"/>
      <c r="S603" s="178"/>
      <c r="T603" s="157"/>
      <c r="U603" s="178"/>
      <c r="V603" s="191"/>
      <c r="W603" s="191"/>
      <c r="X603" s="191"/>
      <c r="Y603" s="191"/>
      <c r="Z603" s="191"/>
      <c r="AA603" s="191"/>
      <c r="AB603" s="191"/>
    </row>
    <row r="604" ht="15.75" customHeight="1">
      <c r="A604" s="288"/>
      <c r="B604" s="224"/>
      <c r="C604" s="224"/>
      <c r="D604" s="212"/>
      <c r="E604" s="221"/>
      <c r="F604" s="222"/>
      <c r="G604" s="223"/>
      <c r="H604" s="164"/>
      <c r="I604" s="164"/>
      <c r="J604" s="164"/>
      <c r="K604" s="164"/>
      <c r="L604" s="174"/>
      <c r="M604" s="164"/>
      <c r="N604" s="174"/>
      <c r="O604" s="157"/>
      <c r="P604" s="178"/>
      <c r="Q604" s="157"/>
      <c r="R604" s="157"/>
      <c r="S604" s="178"/>
      <c r="T604" s="157"/>
      <c r="U604" s="178"/>
      <c r="V604" s="191"/>
      <c r="W604" s="191"/>
      <c r="X604" s="191"/>
      <c r="Y604" s="191"/>
      <c r="Z604" s="191"/>
      <c r="AA604" s="191"/>
      <c r="AB604" s="191"/>
    </row>
    <row r="605" ht="15.75" customHeight="1">
      <c r="A605" s="288"/>
      <c r="B605" s="224"/>
      <c r="C605" s="224"/>
      <c r="D605" s="212"/>
      <c r="E605" s="221"/>
      <c r="F605" s="222"/>
      <c r="G605" s="223"/>
      <c r="H605" s="164"/>
      <c r="I605" s="164"/>
      <c r="J605" s="164"/>
      <c r="K605" s="164"/>
      <c r="L605" s="174"/>
      <c r="M605" s="164"/>
      <c r="N605" s="174"/>
      <c r="O605" s="157"/>
      <c r="P605" s="178"/>
      <c r="Q605" s="157"/>
      <c r="R605" s="157"/>
      <c r="S605" s="178"/>
      <c r="T605" s="157"/>
      <c r="U605" s="178"/>
      <c r="V605" s="191"/>
      <c r="W605" s="191"/>
      <c r="X605" s="191"/>
      <c r="Y605" s="191"/>
      <c r="Z605" s="191"/>
      <c r="AA605" s="191"/>
      <c r="AB605" s="191"/>
    </row>
    <row r="606" ht="15.75" customHeight="1">
      <c r="A606" s="288"/>
      <c r="B606" s="224"/>
      <c r="C606" s="224"/>
      <c r="D606" s="212"/>
      <c r="E606" s="221"/>
      <c r="F606" s="222"/>
      <c r="G606" s="223"/>
      <c r="H606" s="164"/>
      <c r="I606" s="164"/>
      <c r="J606" s="164"/>
      <c r="K606" s="164"/>
      <c r="L606" s="174"/>
      <c r="M606" s="164"/>
      <c r="N606" s="174"/>
      <c r="O606" s="157"/>
      <c r="P606" s="178"/>
      <c r="Q606" s="157"/>
      <c r="R606" s="157"/>
      <c r="S606" s="178"/>
      <c r="T606" s="157"/>
      <c r="U606" s="178"/>
      <c r="V606" s="191"/>
      <c r="W606" s="191"/>
      <c r="X606" s="191"/>
      <c r="Y606" s="191"/>
      <c r="Z606" s="191"/>
      <c r="AA606" s="191"/>
      <c r="AB606" s="191"/>
    </row>
    <row r="607" ht="15.75" customHeight="1">
      <c r="A607" s="288"/>
      <c r="B607" s="224"/>
      <c r="C607" s="224"/>
      <c r="D607" s="212"/>
      <c r="E607" s="221"/>
      <c r="F607" s="222"/>
      <c r="G607" s="223"/>
      <c r="H607" s="164"/>
      <c r="I607" s="164"/>
      <c r="J607" s="164"/>
      <c r="K607" s="164"/>
      <c r="L607" s="174"/>
      <c r="M607" s="164"/>
      <c r="N607" s="174"/>
      <c r="O607" s="157"/>
      <c r="P607" s="178"/>
      <c r="Q607" s="157"/>
      <c r="R607" s="157"/>
      <c r="S607" s="178"/>
      <c r="T607" s="157"/>
      <c r="U607" s="178"/>
      <c r="V607" s="191"/>
      <c r="W607" s="191"/>
      <c r="X607" s="191"/>
      <c r="Y607" s="191"/>
      <c r="Z607" s="191"/>
      <c r="AA607" s="191"/>
      <c r="AB607" s="191"/>
    </row>
    <row r="608" ht="15.75" customHeight="1">
      <c r="A608" s="288"/>
      <c r="B608" s="224"/>
      <c r="C608" s="224"/>
      <c r="D608" s="212"/>
      <c r="E608" s="221"/>
      <c r="F608" s="222"/>
      <c r="G608" s="223"/>
      <c r="H608" s="164"/>
      <c r="I608" s="164"/>
      <c r="J608" s="164"/>
      <c r="K608" s="164"/>
      <c r="L608" s="174"/>
      <c r="M608" s="164"/>
      <c r="N608" s="174"/>
      <c r="O608" s="157"/>
      <c r="P608" s="178"/>
      <c r="Q608" s="157"/>
      <c r="R608" s="157"/>
      <c r="S608" s="178"/>
      <c r="T608" s="157"/>
      <c r="U608" s="178"/>
      <c r="V608" s="191"/>
      <c r="W608" s="191"/>
      <c r="X608" s="191"/>
      <c r="Y608" s="191"/>
      <c r="Z608" s="191"/>
      <c r="AA608" s="191"/>
      <c r="AB608" s="191"/>
    </row>
    <row r="609" ht="15.75" customHeight="1">
      <c r="A609" s="288"/>
      <c r="B609" s="224"/>
      <c r="C609" s="224"/>
      <c r="D609" s="212"/>
      <c r="E609" s="221"/>
      <c r="F609" s="222"/>
      <c r="G609" s="223"/>
      <c r="H609" s="164"/>
      <c r="I609" s="164"/>
      <c r="J609" s="164"/>
      <c r="K609" s="164"/>
      <c r="L609" s="174"/>
      <c r="M609" s="164"/>
      <c r="N609" s="174"/>
      <c r="O609" s="157"/>
      <c r="P609" s="178"/>
      <c r="Q609" s="157"/>
      <c r="R609" s="157"/>
      <c r="S609" s="178"/>
      <c r="T609" s="157"/>
      <c r="U609" s="178"/>
      <c r="V609" s="191"/>
      <c r="W609" s="191"/>
      <c r="X609" s="191"/>
      <c r="Y609" s="191"/>
      <c r="Z609" s="191"/>
      <c r="AA609" s="191"/>
      <c r="AB609" s="191"/>
    </row>
    <row r="610" ht="15.75" customHeight="1">
      <c r="A610" s="288"/>
      <c r="B610" s="224"/>
      <c r="C610" s="224"/>
      <c r="D610" s="212"/>
      <c r="E610" s="221"/>
      <c r="F610" s="222"/>
      <c r="G610" s="223"/>
      <c r="H610" s="164"/>
      <c r="I610" s="164"/>
      <c r="J610" s="164"/>
      <c r="K610" s="164"/>
      <c r="L610" s="174"/>
      <c r="M610" s="164"/>
      <c r="N610" s="174"/>
      <c r="O610" s="157"/>
      <c r="P610" s="178"/>
      <c r="Q610" s="157"/>
      <c r="R610" s="157"/>
      <c r="S610" s="178"/>
      <c r="T610" s="157"/>
      <c r="U610" s="178"/>
      <c r="V610" s="191"/>
      <c r="W610" s="191"/>
      <c r="X610" s="191"/>
      <c r="Y610" s="191"/>
      <c r="Z610" s="191"/>
      <c r="AA610" s="191"/>
      <c r="AB610" s="191"/>
    </row>
    <row r="611" ht="15.75" customHeight="1">
      <c r="A611" s="288"/>
      <c r="B611" s="224"/>
      <c r="C611" s="224"/>
      <c r="D611" s="212"/>
      <c r="E611" s="221"/>
      <c r="F611" s="222"/>
      <c r="G611" s="223"/>
      <c r="H611" s="164"/>
      <c r="I611" s="164"/>
      <c r="J611" s="164"/>
      <c r="K611" s="164"/>
      <c r="L611" s="174"/>
      <c r="M611" s="164"/>
      <c r="N611" s="174"/>
      <c r="O611" s="157"/>
      <c r="P611" s="178"/>
      <c r="Q611" s="157"/>
      <c r="R611" s="157"/>
      <c r="S611" s="178"/>
      <c r="T611" s="157"/>
      <c r="U611" s="178"/>
      <c r="V611" s="191"/>
      <c r="W611" s="191"/>
      <c r="X611" s="191"/>
      <c r="Y611" s="191"/>
      <c r="Z611" s="191"/>
      <c r="AA611" s="191"/>
      <c r="AB611" s="191"/>
    </row>
    <row r="612" ht="15.75" customHeight="1">
      <c r="A612" s="288"/>
      <c r="B612" s="224"/>
      <c r="C612" s="224"/>
      <c r="D612" s="212"/>
      <c r="E612" s="221"/>
      <c r="F612" s="222"/>
      <c r="G612" s="223"/>
      <c r="H612" s="164"/>
      <c r="I612" s="164"/>
      <c r="J612" s="164"/>
      <c r="K612" s="164"/>
      <c r="L612" s="174"/>
      <c r="M612" s="164"/>
      <c r="N612" s="174"/>
      <c r="O612" s="157"/>
      <c r="P612" s="178"/>
      <c r="Q612" s="157"/>
      <c r="R612" s="157"/>
      <c r="S612" s="178"/>
      <c r="T612" s="157"/>
      <c r="U612" s="178"/>
      <c r="V612" s="191"/>
      <c r="W612" s="191"/>
      <c r="X612" s="191"/>
      <c r="Y612" s="191"/>
      <c r="Z612" s="191"/>
      <c r="AA612" s="191"/>
      <c r="AB612" s="191"/>
    </row>
    <row r="613" ht="15.75" customHeight="1">
      <c r="A613" s="288"/>
      <c r="B613" s="224"/>
      <c r="C613" s="224"/>
      <c r="D613" s="212"/>
      <c r="E613" s="221"/>
      <c r="F613" s="222"/>
      <c r="G613" s="223"/>
      <c r="H613" s="164"/>
      <c r="I613" s="164"/>
      <c r="J613" s="164"/>
      <c r="K613" s="164"/>
      <c r="L613" s="174"/>
      <c r="M613" s="164"/>
      <c r="N613" s="174"/>
      <c r="O613" s="157"/>
      <c r="P613" s="178"/>
      <c r="Q613" s="157"/>
      <c r="R613" s="157"/>
      <c r="S613" s="178"/>
      <c r="T613" s="157"/>
      <c r="U613" s="178"/>
      <c r="V613" s="191"/>
      <c r="W613" s="191"/>
      <c r="X613" s="191"/>
      <c r="Y613" s="191"/>
      <c r="Z613" s="191"/>
      <c r="AA613" s="191"/>
      <c r="AB613" s="191"/>
    </row>
    <row r="614" ht="15.75" customHeight="1">
      <c r="A614" s="288"/>
      <c r="B614" s="224"/>
      <c r="C614" s="224"/>
      <c r="D614" s="212"/>
      <c r="E614" s="221"/>
      <c r="F614" s="222"/>
      <c r="G614" s="223"/>
      <c r="H614" s="164"/>
      <c r="I614" s="164"/>
      <c r="J614" s="164"/>
      <c r="K614" s="164"/>
      <c r="L614" s="174"/>
      <c r="M614" s="164"/>
      <c r="N614" s="174"/>
      <c r="O614" s="157"/>
      <c r="P614" s="178"/>
      <c r="Q614" s="157"/>
      <c r="R614" s="157"/>
      <c r="S614" s="178"/>
      <c r="T614" s="157"/>
      <c r="U614" s="178"/>
      <c r="V614" s="191"/>
      <c r="W614" s="191"/>
      <c r="X614" s="191"/>
      <c r="Y614" s="191"/>
      <c r="Z614" s="191"/>
      <c r="AA614" s="191"/>
      <c r="AB614" s="191"/>
    </row>
    <row r="615" ht="15.75" customHeight="1">
      <c r="A615" s="288"/>
      <c r="B615" s="224"/>
      <c r="C615" s="224"/>
      <c r="D615" s="212"/>
      <c r="E615" s="221"/>
      <c r="F615" s="222"/>
      <c r="G615" s="223"/>
      <c r="H615" s="164"/>
      <c r="I615" s="164"/>
      <c r="J615" s="164"/>
      <c r="K615" s="164"/>
      <c r="L615" s="174"/>
      <c r="M615" s="164"/>
      <c r="N615" s="174"/>
      <c r="O615" s="157"/>
      <c r="P615" s="178"/>
      <c r="Q615" s="157"/>
      <c r="R615" s="157"/>
      <c r="S615" s="178"/>
      <c r="T615" s="157"/>
      <c r="U615" s="178"/>
      <c r="V615" s="191"/>
      <c r="W615" s="191"/>
      <c r="X615" s="191"/>
      <c r="Y615" s="191"/>
      <c r="Z615" s="191"/>
      <c r="AA615" s="191"/>
      <c r="AB615" s="191"/>
    </row>
    <row r="616" ht="15.75" customHeight="1">
      <c r="A616" s="288"/>
      <c r="B616" s="224"/>
      <c r="C616" s="224"/>
      <c r="D616" s="212"/>
      <c r="E616" s="221"/>
      <c r="F616" s="222"/>
      <c r="G616" s="223"/>
      <c r="H616" s="164"/>
      <c r="I616" s="164"/>
      <c r="J616" s="164"/>
      <c r="K616" s="164"/>
      <c r="L616" s="174"/>
      <c r="M616" s="164"/>
      <c r="N616" s="174"/>
      <c r="O616" s="157"/>
      <c r="P616" s="178"/>
      <c r="Q616" s="157"/>
      <c r="R616" s="157"/>
      <c r="S616" s="178"/>
      <c r="T616" s="157"/>
      <c r="U616" s="178"/>
      <c r="V616" s="191"/>
      <c r="W616" s="191"/>
      <c r="X616" s="191"/>
      <c r="Y616" s="191"/>
      <c r="Z616" s="191"/>
      <c r="AA616" s="191"/>
      <c r="AB616" s="191"/>
    </row>
    <row r="617" ht="15.75" customHeight="1">
      <c r="A617" s="288"/>
      <c r="B617" s="224"/>
      <c r="C617" s="224"/>
      <c r="D617" s="212"/>
      <c r="E617" s="221"/>
      <c r="F617" s="222"/>
      <c r="G617" s="223"/>
      <c r="H617" s="164"/>
      <c r="I617" s="164"/>
      <c r="J617" s="164"/>
      <c r="K617" s="164"/>
      <c r="L617" s="174"/>
      <c r="M617" s="164"/>
      <c r="N617" s="174"/>
      <c r="O617" s="157"/>
      <c r="P617" s="178"/>
      <c r="Q617" s="157"/>
      <c r="R617" s="157"/>
      <c r="S617" s="178"/>
      <c r="T617" s="157"/>
      <c r="U617" s="178"/>
      <c r="V617" s="191"/>
      <c r="W617" s="191"/>
      <c r="X617" s="191"/>
      <c r="Y617" s="191"/>
      <c r="Z617" s="191"/>
      <c r="AA617" s="191"/>
      <c r="AB617" s="191"/>
    </row>
    <row r="618" ht="15.75" customHeight="1">
      <c r="A618" s="288"/>
      <c r="B618" s="224"/>
      <c r="C618" s="224"/>
      <c r="D618" s="212"/>
      <c r="E618" s="221"/>
      <c r="F618" s="222"/>
      <c r="G618" s="223"/>
      <c r="H618" s="164"/>
      <c r="I618" s="164"/>
      <c r="J618" s="164"/>
      <c r="K618" s="164"/>
      <c r="L618" s="174"/>
      <c r="M618" s="164"/>
      <c r="N618" s="174"/>
      <c r="O618" s="157"/>
      <c r="P618" s="178"/>
      <c r="Q618" s="157"/>
      <c r="R618" s="157"/>
      <c r="S618" s="178"/>
      <c r="T618" s="157"/>
      <c r="U618" s="178"/>
      <c r="V618" s="191"/>
      <c r="W618" s="191"/>
      <c r="X618" s="191"/>
      <c r="Y618" s="191"/>
      <c r="Z618" s="191"/>
      <c r="AA618" s="191"/>
      <c r="AB618" s="191"/>
    </row>
    <row r="619" ht="15.75" customHeight="1">
      <c r="A619" s="288"/>
      <c r="B619" s="224"/>
      <c r="C619" s="224"/>
      <c r="D619" s="212"/>
      <c r="E619" s="221"/>
      <c r="F619" s="222"/>
      <c r="G619" s="223"/>
      <c r="H619" s="164"/>
      <c r="I619" s="164"/>
      <c r="J619" s="164"/>
      <c r="K619" s="164"/>
      <c r="L619" s="174"/>
      <c r="M619" s="164"/>
      <c r="N619" s="174"/>
      <c r="O619" s="157"/>
      <c r="P619" s="178"/>
      <c r="Q619" s="157"/>
      <c r="R619" s="157"/>
      <c r="S619" s="178"/>
      <c r="T619" s="157"/>
      <c r="U619" s="178"/>
      <c r="V619" s="191"/>
      <c r="W619" s="191"/>
      <c r="X619" s="191"/>
      <c r="Y619" s="191"/>
      <c r="Z619" s="191"/>
      <c r="AA619" s="191"/>
      <c r="AB619" s="191"/>
    </row>
    <row r="620" ht="15.75" customHeight="1">
      <c r="A620" s="288"/>
      <c r="B620" s="224"/>
      <c r="C620" s="224"/>
      <c r="D620" s="212"/>
      <c r="E620" s="221"/>
      <c r="F620" s="222"/>
      <c r="G620" s="223"/>
      <c r="H620" s="164"/>
      <c r="I620" s="164"/>
      <c r="J620" s="164"/>
      <c r="K620" s="164"/>
      <c r="L620" s="174"/>
      <c r="M620" s="164"/>
      <c r="N620" s="174"/>
      <c r="O620" s="157"/>
      <c r="P620" s="178"/>
      <c r="Q620" s="157"/>
      <c r="R620" s="157"/>
      <c r="S620" s="178"/>
      <c r="T620" s="157"/>
      <c r="U620" s="178"/>
      <c r="V620" s="191"/>
      <c r="W620" s="191"/>
      <c r="X620" s="191"/>
      <c r="Y620" s="191"/>
      <c r="Z620" s="191"/>
      <c r="AA620" s="191"/>
      <c r="AB620" s="191"/>
    </row>
    <row r="621" ht="15.75" customHeight="1">
      <c r="A621" s="288"/>
      <c r="B621" s="224"/>
      <c r="C621" s="224"/>
      <c r="D621" s="212"/>
      <c r="E621" s="221"/>
      <c r="F621" s="222"/>
      <c r="G621" s="223"/>
      <c r="H621" s="164"/>
      <c r="I621" s="164"/>
      <c r="J621" s="164"/>
      <c r="K621" s="164"/>
      <c r="L621" s="174"/>
      <c r="M621" s="164"/>
      <c r="N621" s="174"/>
      <c r="O621" s="157"/>
      <c r="P621" s="178"/>
      <c r="Q621" s="157"/>
      <c r="R621" s="157"/>
      <c r="S621" s="178"/>
      <c r="T621" s="157"/>
      <c r="U621" s="178"/>
      <c r="V621" s="191"/>
      <c r="W621" s="191"/>
      <c r="X621" s="191"/>
      <c r="Y621" s="191"/>
      <c r="Z621" s="191"/>
      <c r="AA621" s="191"/>
      <c r="AB621" s="191"/>
    </row>
    <row r="622" ht="15.75" customHeight="1">
      <c r="A622" s="288"/>
      <c r="B622" s="224"/>
      <c r="C622" s="224"/>
      <c r="D622" s="212"/>
      <c r="E622" s="221"/>
      <c r="F622" s="222"/>
      <c r="G622" s="223"/>
      <c r="H622" s="164"/>
      <c r="I622" s="164"/>
      <c r="J622" s="164"/>
      <c r="K622" s="164"/>
      <c r="L622" s="174"/>
      <c r="M622" s="164"/>
      <c r="N622" s="174"/>
      <c r="O622" s="157"/>
      <c r="P622" s="178"/>
      <c r="Q622" s="157"/>
      <c r="R622" s="157"/>
      <c r="S622" s="178"/>
      <c r="T622" s="157"/>
      <c r="U622" s="178"/>
      <c r="V622" s="191"/>
      <c r="W622" s="191"/>
      <c r="X622" s="191"/>
      <c r="Y622" s="191"/>
      <c r="Z622" s="191"/>
      <c r="AA622" s="191"/>
      <c r="AB622" s="191"/>
    </row>
    <row r="623" ht="15.75" customHeight="1">
      <c r="A623" s="288"/>
      <c r="B623" s="224"/>
      <c r="C623" s="224"/>
      <c r="D623" s="212"/>
      <c r="E623" s="221"/>
      <c r="F623" s="222"/>
      <c r="G623" s="223"/>
      <c r="H623" s="164"/>
      <c r="I623" s="164"/>
      <c r="J623" s="164"/>
      <c r="K623" s="164"/>
      <c r="L623" s="174"/>
      <c r="M623" s="164"/>
      <c r="N623" s="174"/>
      <c r="O623" s="157"/>
      <c r="P623" s="178"/>
      <c r="Q623" s="157"/>
      <c r="R623" s="157"/>
      <c r="S623" s="178"/>
      <c r="T623" s="157"/>
      <c r="U623" s="178"/>
      <c r="V623" s="191"/>
      <c r="W623" s="191"/>
      <c r="X623" s="191"/>
      <c r="Y623" s="191"/>
      <c r="Z623" s="191"/>
      <c r="AA623" s="191"/>
      <c r="AB623" s="191"/>
    </row>
    <row r="624" ht="15.75" customHeight="1">
      <c r="A624" s="288"/>
      <c r="B624" s="224"/>
      <c r="C624" s="224"/>
      <c r="D624" s="212"/>
      <c r="E624" s="221"/>
      <c r="F624" s="222"/>
      <c r="G624" s="223"/>
      <c r="H624" s="164"/>
      <c r="I624" s="164"/>
      <c r="J624" s="164"/>
      <c r="K624" s="164"/>
      <c r="L624" s="174"/>
      <c r="M624" s="164"/>
      <c r="N624" s="174"/>
      <c r="O624" s="157"/>
      <c r="P624" s="178"/>
      <c r="Q624" s="157"/>
      <c r="R624" s="157"/>
      <c r="S624" s="178"/>
      <c r="T624" s="157"/>
      <c r="U624" s="178"/>
      <c r="V624" s="191"/>
      <c r="W624" s="191"/>
      <c r="X624" s="191"/>
      <c r="Y624" s="191"/>
      <c r="Z624" s="191"/>
      <c r="AA624" s="191"/>
      <c r="AB624" s="191"/>
    </row>
    <row r="625" ht="15.75" customHeight="1">
      <c r="A625" s="288"/>
      <c r="B625" s="224"/>
      <c r="C625" s="224"/>
      <c r="D625" s="212"/>
      <c r="E625" s="221"/>
      <c r="F625" s="222"/>
      <c r="G625" s="223"/>
      <c r="H625" s="164"/>
      <c r="I625" s="164"/>
      <c r="J625" s="164"/>
      <c r="K625" s="164"/>
      <c r="L625" s="174"/>
      <c r="M625" s="164"/>
      <c r="N625" s="174"/>
      <c r="O625" s="157"/>
      <c r="P625" s="178"/>
      <c r="Q625" s="157"/>
      <c r="R625" s="157"/>
      <c r="S625" s="178"/>
      <c r="T625" s="157"/>
      <c r="U625" s="178"/>
      <c r="V625" s="191"/>
      <c r="W625" s="191"/>
      <c r="X625" s="191"/>
      <c r="Y625" s="191"/>
      <c r="Z625" s="191"/>
      <c r="AA625" s="191"/>
      <c r="AB625" s="191"/>
    </row>
    <row r="626" ht="15.75" customHeight="1">
      <c r="A626" s="288"/>
      <c r="B626" s="224"/>
      <c r="C626" s="224"/>
      <c r="D626" s="212"/>
      <c r="E626" s="221"/>
      <c r="F626" s="222"/>
      <c r="G626" s="223"/>
      <c r="H626" s="164"/>
      <c r="I626" s="164"/>
      <c r="J626" s="164"/>
      <c r="K626" s="164"/>
      <c r="L626" s="174"/>
      <c r="M626" s="164"/>
      <c r="N626" s="174"/>
      <c r="O626" s="157"/>
      <c r="P626" s="178"/>
      <c r="Q626" s="157"/>
      <c r="R626" s="157"/>
      <c r="S626" s="178"/>
      <c r="T626" s="157"/>
      <c r="U626" s="178"/>
      <c r="V626" s="191"/>
      <c r="W626" s="191"/>
      <c r="X626" s="191"/>
      <c r="Y626" s="191"/>
      <c r="Z626" s="191"/>
      <c r="AA626" s="191"/>
      <c r="AB626" s="191"/>
    </row>
    <row r="627" ht="15.75" customHeight="1">
      <c r="A627" s="288"/>
      <c r="B627" s="224"/>
      <c r="C627" s="224"/>
      <c r="D627" s="212"/>
      <c r="E627" s="221"/>
      <c r="F627" s="222"/>
      <c r="G627" s="223"/>
      <c r="H627" s="164"/>
      <c r="I627" s="164"/>
      <c r="J627" s="164"/>
      <c r="K627" s="164"/>
      <c r="L627" s="174"/>
      <c r="M627" s="164"/>
      <c r="N627" s="174"/>
      <c r="O627" s="157"/>
      <c r="P627" s="178"/>
      <c r="Q627" s="157"/>
      <c r="R627" s="157"/>
      <c r="S627" s="178"/>
      <c r="T627" s="157"/>
      <c r="U627" s="178"/>
      <c r="V627" s="191"/>
      <c r="W627" s="191"/>
      <c r="X627" s="191"/>
      <c r="Y627" s="191"/>
      <c r="Z627" s="191"/>
      <c r="AA627" s="191"/>
      <c r="AB627" s="191"/>
    </row>
    <row r="628" ht="15.75" customHeight="1">
      <c r="A628" s="288"/>
      <c r="B628" s="224"/>
      <c r="C628" s="224"/>
      <c r="D628" s="212"/>
      <c r="E628" s="221"/>
      <c r="F628" s="222"/>
      <c r="G628" s="223"/>
      <c r="H628" s="164"/>
      <c r="I628" s="164"/>
      <c r="J628" s="164"/>
      <c r="K628" s="164"/>
      <c r="L628" s="174"/>
      <c r="M628" s="164"/>
      <c r="N628" s="174"/>
      <c r="O628" s="157"/>
      <c r="P628" s="178"/>
      <c r="Q628" s="157"/>
      <c r="R628" s="157"/>
      <c r="S628" s="178"/>
      <c r="T628" s="157"/>
      <c r="U628" s="178"/>
      <c r="V628" s="191"/>
      <c r="W628" s="191"/>
      <c r="X628" s="191"/>
      <c r="Y628" s="191"/>
      <c r="Z628" s="191"/>
      <c r="AA628" s="191"/>
      <c r="AB628" s="191"/>
    </row>
    <row r="629" ht="15.75" customHeight="1">
      <c r="A629" s="288"/>
      <c r="B629" s="224"/>
      <c r="C629" s="224"/>
      <c r="D629" s="212"/>
      <c r="E629" s="221"/>
      <c r="F629" s="222"/>
      <c r="G629" s="223"/>
      <c r="H629" s="164"/>
      <c r="I629" s="164"/>
      <c r="J629" s="164"/>
      <c r="K629" s="164"/>
      <c r="L629" s="174"/>
      <c r="M629" s="164"/>
      <c r="N629" s="174"/>
      <c r="O629" s="157"/>
      <c r="P629" s="178"/>
      <c r="Q629" s="157"/>
      <c r="R629" s="157"/>
      <c r="S629" s="178"/>
      <c r="T629" s="157"/>
      <c r="U629" s="178"/>
      <c r="V629" s="191"/>
      <c r="W629" s="191"/>
      <c r="X629" s="191"/>
      <c r="Y629" s="191"/>
      <c r="Z629" s="191"/>
      <c r="AA629" s="191"/>
      <c r="AB629" s="191"/>
    </row>
    <row r="630" ht="15.75" customHeight="1">
      <c r="A630" s="288"/>
      <c r="B630" s="224"/>
      <c r="C630" s="224"/>
      <c r="D630" s="212"/>
      <c r="E630" s="221"/>
      <c r="F630" s="222"/>
      <c r="G630" s="223"/>
      <c r="H630" s="164"/>
      <c r="I630" s="164"/>
      <c r="J630" s="164"/>
      <c r="K630" s="164"/>
      <c r="L630" s="174"/>
      <c r="M630" s="164"/>
      <c r="N630" s="174"/>
      <c r="O630" s="157"/>
      <c r="P630" s="178"/>
      <c r="Q630" s="157"/>
      <c r="R630" s="157"/>
      <c r="S630" s="178"/>
      <c r="T630" s="157"/>
      <c r="U630" s="178"/>
      <c r="V630" s="191"/>
      <c r="W630" s="191"/>
      <c r="X630" s="191"/>
      <c r="Y630" s="191"/>
      <c r="Z630" s="191"/>
      <c r="AA630" s="191"/>
      <c r="AB630" s="191"/>
    </row>
    <row r="631" ht="15.75" customHeight="1">
      <c r="A631" s="288"/>
      <c r="B631" s="224"/>
      <c r="C631" s="224"/>
      <c r="D631" s="212"/>
      <c r="E631" s="221"/>
      <c r="F631" s="222"/>
      <c r="G631" s="223"/>
      <c r="H631" s="164"/>
      <c r="I631" s="164"/>
      <c r="J631" s="164"/>
      <c r="K631" s="164"/>
      <c r="L631" s="174"/>
      <c r="M631" s="164"/>
      <c r="N631" s="174"/>
      <c r="O631" s="157"/>
      <c r="P631" s="178"/>
      <c r="Q631" s="157"/>
      <c r="R631" s="157"/>
      <c r="S631" s="178"/>
      <c r="T631" s="157"/>
      <c r="U631" s="178"/>
      <c r="V631" s="191"/>
      <c r="W631" s="191"/>
      <c r="X631" s="191"/>
      <c r="Y631" s="191"/>
      <c r="Z631" s="191"/>
      <c r="AA631" s="191"/>
      <c r="AB631" s="191"/>
    </row>
    <row r="632" ht="15.75" customHeight="1">
      <c r="A632" s="288"/>
      <c r="B632" s="224"/>
      <c r="C632" s="224"/>
      <c r="D632" s="212"/>
      <c r="E632" s="221"/>
      <c r="F632" s="222"/>
      <c r="G632" s="223"/>
      <c r="H632" s="164"/>
      <c r="I632" s="164"/>
      <c r="J632" s="164"/>
      <c r="K632" s="164"/>
      <c r="L632" s="174"/>
      <c r="M632" s="164"/>
      <c r="N632" s="174"/>
      <c r="O632" s="157"/>
      <c r="P632" s="178"/>
      <c r="Q632" s="157"/>
      <c r="R632" s="157"/>
      <c r="S632" s="178"/>
      <c r="T632" s="157"/>
      <c r="U632" s="178"/>
      <c r="V632" s="191"/>
      <c r="W632" s="191"/>
      <c r="X632" s="191"/>
      <c r="Y632" s="191"/>
      <c r="Z632" s="191"/>
      <c r="AA632" s="191"/>
      <c r="AB632" s="191"/>
    </row>
    <row r="633" ht="15.75" customHeight="1">
      <c r="A633" s="288"/>
      <c r="B633" s="224"/>
      <c r="C633" s="224"/>
      <c r="D633" s="212"/>
      <c r="E633" s="221"/>
      <c r="F633" s="222"/>
      <c r="G633" s="223"/>
      <c r="H633" s="164"/>
      <c r="I633" s="164"/>
      <c r="J633" s="164"/>
      <c r="K633" s="164"/>
      <c r="L633" s="174"/>
      <c r="M633" s="164"/>
      <c r="N633" s="174"/>
      <c r="O633" s="157"/>
      <c r="P633" s="178"/>
      <c r="Q633" s="157"/>
      <c r="R633" s="157"/>
      <c r="S633" s="178"/>
      <c r="T633" s="157"/>
      <c r="U633" s="178"/>
      <c r="V633" s="191"/>
      <c r="W633" s="191"/>
      <c r="X633" s="191"/>
      <c r="Y633" s="191"/>
      <c r="Z633" s="191"/>
      <c r="AA633" s="191"/>
      <c r="AB633" s="191"/>
    </row>
    <row r="634" ht="15.75" customHeight="1">
      <c r="A634" s="288"/>
      <c r="B634" s="224"/>
      <c r="C634" s="224"/>
      <c r="D634" s="212"/>
      <c r="E634" s="221"/>
      <c r="F634" s="222"/>
      <c r="G634" s="223"/>
      <c r="H634" s="164"/>
      <c r="I634" s="164"/>
      <c r="J634" s="164"/>
      <c r="K634" s="164"/>
      <c r="L634" s="174"/>
      <c r="M634" s="164"/>
      <c r="N634" s="174"/>
      <c r="O634" s="157"/>
      <c r="P634" s="178"/>
      <c r="Q634" s="157"/>
      <c r="R634" s="157"/>
      <c r="S634" s="178"/>
      <c r="T634" s="157"/>
      <c r="U634" s="178"/>
      <c r="V634" s="191"/>
      <c r="W634" s="191"/>
      <c r="X634" s="191"/>
      <c r="Y634" s="191"/>
      <c r="Z634" s="191"/>
      <c r="AA634" s="191"/>
      <c r="AB634" s="191"/>
    </row>
    <row r="635" ht="15.75" customHeight="1">
      <c r="A635" s="288"/>
      <c r="B635" s="224"/>
      <c r="C635" s="224"/>
      <c r="D635" s="212"/>
      <c r="E635" s="221"/>
      <c r="F635" s="222"/>
      <c r="G635" s="223"/>
      <c r="H635" s="164"/>
      <c r="I635" s="164"/>
      <c r="J635" s="164"/>
      <c r="K635" s="164"/>
      <c r="L635" s="174"/>
      <c r="M635" s="164"/>
      <c r="N635" s="174"/>
      <c r="O635" s="157"/>
      <c r="P635" s="178"/>
      <c r="Q635" s="157"/>
      <c r="R635" s="157"/>
      <c r="S635" s="178"/>
      <c r="T635" s="157"/>
      <c r="U635" s="178"/>
      <c r="V635" s="191"/>
      <c r="W635" s="191"/>
      <c r="X635" s="191"/>
      <c r="Y635" s="191"/>
      <c r="Z635" s="191"/>
      <c r="AA635" s="191"/>
      <c r="AB635" s="191"/>
    </row>
    <row r="636" ht="15.75" customHeight="1">
      <c r="A636" s="288"/>
      <c r="B636" s="224"/>
      <c r="C636" s="224"/>
      <c r="D636" s="212"/>
      <c r="E636" s="221"/>
      <c r="F636" s="222"/>
      <c r="G636" s="223"/>
      <c r="H636" s="164"/>
      <c r="I636" s="164"/>
      <c r="J636" s="164"/>
      <c r="K636" s="164"/>
      <c r="L636" s="174"/>
      <c r="M636" s="164"/>
      <c r="N636" s="174"/>
      <c r="O636" s="157"/>
      <c r="P636" s="178"/>
      <c r="Q636" s="157"/>
      <c r="R636" s="157"/>
      <c r="S636" s="178"/>
      <c r="T636" s="157"/>
      <c r="U636" s="178"/>
      <c r="V636" s="191"/>
      <c r="W636" s="191"/>
      <c r="X636" s="191"/>
      <c r="Y636" s="191"/>
      <c r="Z636" s="191"/>
      <c r="AA636" s="191"/>
      <c r="AB636" s="191"/>
    </row>
    <row r="637" ht="15.75" customHeight="1">
      <c r="A637" s="288"/>
      <c r="B637" s="224"/>
      <c r="C637" s="224"/>
      <c r="D637" s="212"/>
      <c r="E637" s="221"/>
      <c r="F637" s="222"/>
      <c r="G637" s="223"/>
      <c r="H637" s="164"/>
      <c r="I637" s="164"/>
      <c r="J637" s="164"/>
      <c r="K637" s="164"/>
      <c r="L637" s="174"/>
      <c r="M637" s="164"/>
      <c r="N637" s="174"/>
      <c r="O637" s="157"/>
      <c r="P637" s="178"/>
      <c r="Q637" s="157"/>
      <c r="R637" s="157"/>
      <c r="S637" s="178"/>
      <c r="T637" s="157"/>
      <c r="U637" s="178"/>
      <c r="V637" s="191"/>
      <c r="W637" s="191"/>
      <c r="X637" s="191"/>
      <c r="Y637" s="191"/>
      <c r="Z637" s="191"/>
      <c r="AA637" s="191"/>
      <c r="AB637" s="191"/>
    </row>
    <row r="638" ht="15.75" customHeight="1">
      <c r="A638" s="288"/>
      <c r="B638" s="224"/>
      <c r="C638" s="224"/>
      <c r="D638" s="212"/>
      <c r="E638" s="221"/>
      <c r="F638" s="222"/>
      <c r="G638" s="223"/>
      <c r="H638" s="164"/>
      <c r="I638" s="164"/>
      <c r="J638" s="164"/>
      <c r="K638" s="164"/>
      <c r="L638" s="174"/>
      <c r="M638" s="164"/>
      <c r="N638" s="174"/>
      <c r="O638" s="157"/>
      <c r="P638" s="178"/>
      <c r="Q638" s="157"/>
      <c r="R638" s="157"/>
      <c r="S638" s="178"/>
      <c r="T638" s="157"/>
      <c r="U638" s="178"/>
      <c r="V638" s="191"/>
      <c r="W638" s="191"/>
      <c r="X638" s="191"/>
      <c r="Y638" s="191"/>
      <c r="Z638" s="191"/>
      <c r="AA638" s="191"/>
      <c r="AB638" s="191"/>
    </row>
    <row r="639" ht="15.75" customHeight="1">
      <c r="A639" s="288"/>
      <c r="B639" s="224"/>
      <c r="C639" s="224"/>
      <c r="D639" s="212"/>
      <c r="E639" s="221"/>
      <c r="F639" s="222"/>
      <c r="G639" s="223"/>
      <c r="H639" s="164"/>
      <c r="I639" s="164"/>
      <c r="J639" s="164"/>
      <c r="K639" s="164"/>
      <c r="L639" s="174"/>
      <c r="M639" s="164"/>
      <c r="N639" s="174"/>
      <c r="O639" s="157"/>
      <c r="P639" s="178"/>
      <c r="Q639" s="157"/>
      <c r="R639" s="157"/>
      <c r="S639" s="178"/>
      <c r="T639" s="157"/>
      <c r="U639" s="178"/>
      <c r="V639" s="191"/>
      <c r="W639" s="191"/>
      <c r="X639" s="191"/>
      <c r="Y639" s="191"/>
      <c r="Z639" s="191"/>
      <c r="AA639" s="191"/>
      <c r="AB639" s="191"/>
    </row>
    <row r="640" ht="15.75" customHeight="1">
      <c r="A640" s="288"/>
      <c r="B640" s="224"/>
      <c r="C640" s="224"/>
      <c r="D640" s="212"/>
      <c r="E640" s="221"/>
      <c r="F640" s="222"/>
      <c r="G640" s="223"/>
      <c r="H640" s="164"/>
      <c r="I640" s="164"/>
      <c r="J640" s="164"/>
      <c r="K640" s="164"/>
      <c r="L640" s="174"/>
      <c r="M640" s="164"/>
      <c r="N640" s="174"/>
      <c r="O640" s="157"/>
      <c r="P640" s="178"/>
      <c r="Q640" s="157"/>
      <c r="R640" s="157"/>
      <c r="S640" s="178"/>
      <c r="T640" s="157"/>
      <c r="U640" s="178"/>
      <c r="V640" s="191"/>
      <c r="W640" s="191"/>
      <c r="X640" s="191"/>
      <c r="Y640" s="191"/>
      <c r="Z640" s="191"/>
      <c r="AA640" s="191"/>
      <c r="AB640" s="191"/>
    </row>
    <row r="641" ht="15.75" customHeight="1">
      <c r="A641" s="288"/>
      <c r="B641" s="224"/>
      <c r="C641" s="224"/>
      <c r="D641" s="212"/>
      <c r="E641" s="221"/>
      <c r="F641" s="222"/>
      <c r="G641" s="223"/>
      <c r="H641" s="164"/>
      <c r="I641" s="164"/>
      <c r="J641" s="164"/>
      <c r="K641" s="164"/>
      <c r="L641" s="174"/>
      <c r="M641" s="164"/>
      <c r="N641" s="174"/>
      <c r="O641" s="157"/>
      <c r="P641" s="178"/>
      <c r="Q641" s="157"/>
      <c r="R641" s="157"/>
      <c r="S641" s="178"/>
      <c r="T641" s="157"/>
      <c r="U641" s="178"/>
      <c r="V641" s="191"/>
      <c r="W641" s="191"/>
      <c r="X641" s="191"/>
      <c r="Y641" s="191"/>
      <c r="Z641" s="191"/>
      <c r="AA641" s="191"/>
      <c r="AB641" s="191"/>
    </row>
    <row r="642" ht="15.75" customHeight="1">
      <c r="A642" s="288"/>
      <c r="B642" s="224"/>
      <c r="C642" s="224"/>
      <c r="D642" s="212"/>
      <c r="E642" s="221"/>
      <c r="F642" s="222"/>
      <c r="G642" s="223"/>
      <c r="H642" s="164"/>
      <c r="I642" s="164"/>
      <c r="J642" s="164"/>
      <c r="K642" s="164"/>
      <c r="L642" s="174"/>
      <c r="M642" s="164"/>
      <c r="N642" s="174"/>
      <c r="O642" s="157"/>
      <c r="P642" s="178"/>
      <c r="Q642" s="157"/>
      <c r="R642" s="157"/>
      <c r="S642" s="178"/>
      <c r="T642" s="157"/>
      <c r="U642" s="178"/>
      <c r="V642" s="191"/>
      <c r="W642" s="191"/>
      <c r="X642" s="191"/>
      <c r="Y642" s="191"/>
      <c r="Z642" s="191"/>
      <c r="AA642" s="191"/>
      <c r="AB642" s="191"/>
    </row>
    <row r="643" ht="15.75" customHeight="1">
      <c r="A643" s="288"/>
      <c r="B643" s="224"/>
      <c r="C643" s="224"/>
      <c r="D643" s="212"/>
      <c r="E643" s="221"/>
      <c r="F643" s="222"/>
      <c r="G643" s="223"/>
      <c r="H643" s="164"/>
      <c r="I643" s="164"/>
      <c r="J643" s="164"/>
      <c r="K643" s="164"/>
      <c r="L643" s="174"/>
      <c r="M643" s="164"/>
      <c r="N643" s="174"/>
      <c r="O643" s="157"/>
      <c r="P643" s="178"/>
      <c r="Q643" s="157"/>
      <c r="R643" s="157"/>
      <c r="S643" s="178"/>
      <c r="T643" s="157"/>
      <c r="U643" s="178"/>
      <c r="V643" s="191"/>
      <c r="W643" s="191"/>
      <c r="X643" s="191"/>
      <c r="Y643" s="191"/>
      <c r="Z643" s="191"/>
      <c r="AA643" s="191"/>
      <c r="AB643" s="191"/>
    </row>
    <row r="644" ht="15.75" customHeight="1">
      <c r="A644" s="288"/>
      <c r="B644" s="224"/>
      <c r="C644" s="224"/>
      <c r="D644" s="212"/>
      <c r="E644" s="221"/>
      <c r="F644" s="222"/>
      <c r="G644" s="223"/>
      <c r="H644" s="164"/>
      <c r="I644" s="164"/>
      <c r="J644" s="164"/>
      <c r="K644" s="164"/>
      <c r="L644" s="174"/>
      <c r="M644" s="164"/>
      <c r="N644" s="174"/>
      <c r="O644" s="157"/>
      <c r="P644" s="178"/>
      <c r="Q644" s="157"/>
      <c r="R644" s="157"/>
      <c r="S644" s="178"/>
      <c r="T644" s="157"/>
      <c r="U644" s="178"/>
      <c r="V644" s="191"/>
      <c r="W644" s="191"/>
      <c r="X644" s="191"/>
      <c r="Y644" s="191"/>
      <c r="Z644" s="191"/>
      <c r="AA644" s="191"/>
      <c r="AB644" s="191"/>
    </row>
    <row r="645" ht="15.75" customHeight="1">
      <c r="A645" s="288"/>
      <c r="B645" s="224"/>
      <c r="C645" s="224"/>
      <c r="D645" s="212"/>
      <c r="E645" s="221"/>
      <c r="F645" s="222"/>
      <c r="G645" s="223"/>
      <c r="H645" s="164"/>
      <c r="I645" s="164"/>
      <c r="J645" s="164"/>
      <c r="K645" s="164"/>
      <c r="L645" s="174"/>
      <c r="M645" s="164"/>
      <c r="N645" s="174"/>
      <c r="O645" s="157"/>
      <c r="P645" s="178"/>
      <c r="Q645" s="157"/>
      <c r="R645" s="157"/>
      <c r="S645" s="178"/>
      <c r="T645" s="157"/>
      <c r="U645" s="178"/>
      <c r="V645" s="191"/>
      <c r="W645" s="191"/>
      <c r="X645" s="191"/>
      <c r="Y645" s="191"/>
      <c r="Z645" s="191"/>
      <c r="AA645" s="191"/>
      <c r="AB645" s="191"/>
    </row>
    <row r="646" ht="15.75" customHeight="1">
      <c r="A646" s="288"/>
      <c r="B646" s="224"/>
      <c r="C646" s="224"/>
      <c r="D646" s="212"/>
      <c r="E646" s="221"/>
      <c r="F646" s="222"/>
      <c r="G646" s="223"/>
      <c r="H646" s="164"/>
      <c r="I646" s="164"/>
      <c r="J646" s="164"/>
      <c r="K646" s="164"/>
      <c r="L646" s="174"/>
      <c r="M646" s="164"/>
      <c r="N646" s="174"/>
      <c r="O646" s="157"/>
      <c r="P646" s="178"/>
      <c r="Q646" s="157"/>
      <c r="R646" s="157"/>
      <c r="S646" s="178"/>
      <c r="T646" s="157"/>
      <c r="U646" s="178"/>
      <c r="V646" s="191"/>
      <c r="W646" s="191"/>
      <c r="X646" s="191"/>
      <c r="Y646" s="191"/>
      <c r="Z646" s="191"/>
      <c r="AA646" s="191"/>
      <c r="AB646" s="191"/>
    </row>
    <row r="647" ht="15.75" customHeight="1">
      <c r="A647" s="288"/>
      <c r="B647" s="224"/>
      <c r="C647" s="224"/>
      <c r="D647" s="212"/>
      <c r="E647" s="221"/>
      <c r="F647" s="222"/>
      <c r="G647" s="223"/>
      <c r="H647" s="164"/>
      <c r="I647" s="164"/>
      <c r="J647" s="164"/>
      <c r="K647" s="164"/>
      <c r="L647" s="174"/>
      <c r="M647" s="164"/>
      <c r="N647" s="174"/>
      <c r="O647" s="157"/>
      <c r="P647" s="178"/>
      <c r="Q647" s="157"/>
      <c r="R647" s="157"/>
      <c r="S647" s="178"/>
      <c r="T647" s="157"/>
      <c r="U647" s="178"/>
      <c r="V647" s="191"/>
      <c r="W647" s="191"/>
      <c r="X647" s="191"/>
      <c r="Y647" s="191"/>
      <c r="Z647" s="191"/>
      <c r="AA647" s="191"/>
      <c r="AB647" s="191"/>
    </row>
    <row r="648" ht="15.75" customHeight="1">
      <c r="A648" s="288"/>
      <c r="B648" s="224"/>
      <c r="C648" s="224"/>
      <c r="D648" s="212"/>
      <c r="E648" s="221"/>
      <c r="F648" s="222"/>
      <c r="G648" s="223"/>
      <c r="H648" s="164"/>
      <c r="I648" s="164"/>
      <c r="J648" s="164"/>
      <c r="K648" s="164"/>
      <c r="L648" s="174"/>
      <c r="M648" s="164"/>
      <c r="N648" s="174"/>
      <c r="O648" s="157"/>
      <c r="P648" s="178"/>
      <c r="Q648" s="157"/>
      <c r="R648" s="157"/>
      <c r="S648" s="178"/>
      <c r="T648" s="157"/>
      <c r="U648" s="178"/>
      <c r="V648" s="191"/>
      <c r="W648" s="191"/>
      <c r="X648" s="191"/>
      <c r="Y648" s="191"/>
      <c r="Z648" s="191"/>
      <c r="AA648" s="191"/>
      <c r="AB648" s="191"/>
    </row>
    <row r="649" ht="15.75" customHeight="1">
      <c r="A649" s="288"/>
      <c r="B649" s="224"/>
      <c r="C649" s="224"/>
      <c r="D649" s="212"/>
      <c r="E649" s="221"/>
      <c r="F649" s="222"/>
      <c r="G649" s="223"/>
      <c r="H649" s="164"/>
      <c r="I649" s="164"/>
      <c r="J649" s="164"/>
      <c r="K649" s="164"/>
      <c r="L649" s="174"/>
      <c r="M649" s="164"/>
      <c r="N649" s="174"/>
      <c r="O649" s="157"/>
      <c r="P649" s="178"/>
      <c r="Q649" s="157"/>
      <c r="R649" s="157"/>
      <c r="S649" s="178"/>
      <c r="T649" s="157"/>
      <c r="U649" s="178"/>
      <c r="V649" s="191"/>
      <c r="W649" s="191"/>
      <c r="X649" s="191"/>
      <c r="Y649" s="191"/>
      <c r="Z649" s="191"/>
      <c r="AA649" s="191"/>
      <c r="AB649" s="191"/>
    </row>
    <row r="650" ht="15.75" customHeight="1">
      <c r="A650" s="288"/>
      <c r="B650" s="224"/>
      <c r="C650" s="224"/>
      <c r="D650" s="212"/>
      <c r="E650" s="221"/>
      <c r="F650" s="222"/>
      <c r="G650" s="223"/>
      <c r="H650" s="164"/>
      <c r="I650" s="164"/>
      <c r="J650" s="164"/>
      <c r="K650" s="164"/>
      <c r="L650" s="174"/>
      <c r="M650" s="164"/>
      <c r="N650" s="174"/>
      <c r="O650" s="157"/>
      <c r="P650" s="178"/>
      <c r="Q650" s="157"/>
      <c r="R650" s="157"/>
      <c r="S650" s="178"/>
      <c r="T650" s="157"/>
      <c r="U650" s="178"/>
      <c r="V650" s="191"/>
      <c r="W650" s="191"/>
      <c r="X650" s="191"/>
      <c r="Y650" s="191"/>
      <c r="Z650" s="191"/>
      <c r="AA650" s="191"/>
      <c r="AB650" s="191"/>
    </row>
    <row r="651" ht="15.75" customHeight="1">
      <c r="A651" s="288"/>
      <c r="B651" s="224"/>
      <c r="C651" s="224"/>
      <c r="D651" s="212"/>
      <c r="E651" s="221"/>
      <c r="F651" s="222"/>
      <c r="G651" s="223"/>
      <c r="H651" s="164"/>
      <c r="I651" s="164"/>
      <c r="J651" s="164"/>
      <c r="K651" s="164"/>
      <c r="L651" s="174"/>
      <c r="M651" s="164"/>
      <c r="N651" s="174"/>
      <c r="O651" s="157"/>
      <c r="P651" s="178"/>
      <c r="Q651" s="157"/>
      <c r="R651" s="157"/>
      <c r="S651" s="178"/>
      <c r="T651" s="157"/>
      <c r="U651" s="178"/>
      <c r="V651" s="191"/>
      <c r="W651" s="191"/>
      <c r="X651" s="191"/>
      <c r="Y651" s="191"/>
      <c r="Z651" s="191"/>
      <c r="AA651" s="191"/>
      <c r="AB651" s="191"/>
    </row>
    <row r="652" ht="15.75" customHeight="1">
      <c r="A652" s="288"/>
      <c r="B652" s="224"/>
      <c r="C652" s="224"/>
      <c r="D652" s="212"/>
      <c r="E652" s="221"/>
      <c r="F652" s="222"/>
      <c r="G652" s="223"/>
      <c r="H652" s="164"/>
      <c r="I652" s="164"/>
      <c r="J652" s="164"/>
      <c r="K652" s="164"/>
      <c r="L652" s="174"/>
      <c r="M652" s="164"/>
      <c r="N652" s="174"/>
      <c r="O652" s="157"/>
      <c r="P652" s="178"/>
      <c r="Q652" s="157"/>
      <c r="R652" s="157"/>
      <c r="S652" s="178"/>
      <c r="T652" s="157"/>
      <c r="U652" s="178"/>
      <c r="V652" s="191"/>
      <c r="W652" s="191"/>
      <c r="X652" s="191"/>
      <c r="Y652" s="191"/>
      <c r="Z652" s="191"/>
      <c r="AA652" s="191"/>
      <c r="AB652" s="191"/>
    </row>
    <row r="653" ht="15.75" customHeight="1">
      <c r="A653" s="288"/>
      <c r="B653" s="224"/>
      <c r="C653" s="224"/>
      <c r="D653" s="212"/>
      <c r="E653" s="221"/>
      <c r="F653" s="222"/>
      <c r="G653" s="223"/>
      <c r="H653" s="164"/>
      <c r="I653" s="164"/>
      <c r="J653" s="164"/>
      <c r="K653" s="164"/>
      <c r="L653" s="174"/>
      <c r="M653" s="164"/>
      <c r="N653" s="174"/>
      <c r="O653" s="157"/>
      <c r="P653" s="178"/>
      <c r="Q653" s="157"/>
      <c r="R653" s="157"/>
      <c r="S653" s="178"/>
      <c r="T653" s="157"/>
      <c r="U653" s="178"/>
      <c r="V653" s="191"/>
      <c r="W653" s="191"/>
      <c r="X653" s="191"/>
      <c r="Y653" s="191"/>
      <c r="Z653" s="191"/>
      <c r="AA653" s="191"/>
      <c r="AB653" s="191"/>
    </row>
    <row r="654" ht="15.75" customHeight="1">
      <c r="A654" s="288"/>
      <c r="B654" s="224"/>
      <c r="C654" s="224"/>
      <c r="D654" s="212"/>
      <c r="E654" s="221"/>
      <c r="F654" s="222"/>
      <c r="G654" s="223"/>
      <c r="H654" s="164"/>
      <c r="I654" s="164"/>
      <c r="J654" s="164"/>
      <c r="K654" s="164"/>
      <c r="L654" s="174"/>
      <c r="M654" s="164"/>
      <c r="N654" s="174"/>
      <c r="O654" s="157"/>
      <c r="P654" s="178"/>
      <c r="Q654" s="157"/>
      <c r="R654" s="157"/>
      <c r="S654" s="178"/>
      <c r="T654" s="157"/>
      <c r="U654" s="178"/>
      <c r="V654" s="191"/>
      <c r="W654" s="191"/>
      <c r="X654" s="191"/>
      <c r="Y654" s="191"/>
      <c r="Z654" s="191"/>
      <c r="AA654" s="191"/>
      <c r="AB654" s="191"/>
    </row>
    <row r="655" ht="15.75" customHeight="1">
      <c r="A655" s="288"/>
      <c r="B655" s="224"/>
      <c r="C655" s="224"/>
      <c r="D655" s="212"/>
      <c r="E655" s="221"/>
      <c r="F655" s="222"/>
      <c r="G655" s="223"/>
      <c r="H655" s="164"/>
      <c r="I655" s="164"/>
      <c r="J655" s="164"/>
      <c r="K655" s="164"/>
      <c r="L655" s="174"/>
      <c r="M655" s="164"/>
      <c r="N655" s="174"/>
      <c r="O655" s="157"/>
      <c r="P655" s="178"/>
      <c r="Q655" s="157"/>
      <c r="R655" s="157"/>
      <c r="S655" s="178"/>
      <c r="T655" s="157"/>
      <c r="U655" s="178"/>
      <c r="V655" s="191"/>
      <c r="W655" s="191"/>
      <c r="X655" s="191"/>
      <c r="Y655" s="191"/>
      <c r="Z655" s="191"/>
      <c r="AA655" s="191"/>
      <c r="AB655" s="191"/>
    </row>
    <row r="656" ht="15.75" customHeight="1">
      <c r="A656" s="288"/>
      <c r="B656" s="224"/>
      <c r="C656" s="224"/>
      <c r="D656" s="212"/>
      <c r="E656" s="221"/>
      <c r="F656" s="222"/>
      <c r="G656" s="223"/>
      <c r="H656" s="164"/>
      <c r="I656" s="164"/>
      <c r="J656" s="164"/>
      <c r="K656" s="164"/>
      <c r="L656" s="174"/>
      <c r="M656" s="164"/>
      <c r="N656" s="174"/>
      <c r="O656" s="157"/>
      <c r="P656" s="178"/>
      <c r="Q656" s="157"/>
      <c r="R656" s="157"/>
      <c r="S656" s="178"/>
      <c r="T656" s="157"/>
      <c r="U656" s="178"/>
      <c r="V656" s="191"/>
      <c r="W656" s="191"/>
      <c r="X656" s="191"/>
      <c r="Y656" s="191"/>
      <c r="Z656" s="191"/>
      <c r="AA656" s="191"/>
      <c r="AB656" s="191"/>
    </row>
    <row r="657" ht="15.75" customHeight="1">
      <c r="A657" s="288"/>
      <c r="B657" s="224"/>
      <c r="C657" s="224"/>
      <c r="D657" s="212"/>
      <c r="E657" s="221"/>
      <c r="F657" s="222"/>
      <c r="G657" s="223"/>
      <c r="H657" s="164"/>
      <c r="I657" s="164"/>
      <c r="J657" s="164"/>
      <c r="K657" s="164"/>
      <c r="L657" s="174"/>
      <c r="M657" s="164"/>
      <c r="N657" s="174"/>
      <c r="O657" s="157"/>
      <c r="P657" s="178"/>
      <c r="Q657" s="157"/>
      <c r="R657" s="157"/>
      <c r="S657" s="178"/>
      <c r="T657" s="157"/>
      <c r="U657" s="178"/>
      <c r="V657" s="191"/>
      <c r="W657" s="191"/>
      <c r="X657" s="191"/>
      <c r="Y657" s="191"/>
      <c r="Z657" s="191"/>
      <c r="AA657" s="191"/>
      <c r="AB657" s="191"/>
    </row>
    <row r="658" ht="15.75" customHeight="1">
      <c r="A658" s="288"/>
      <c r="B658" s="224"/>
      <c r="C658" s="224"/>
      <c r="D658" s="212"/>
      <c r="E658" s="221"/>
      <c r="F658" s="222"/>
      <c r="G658" s="223"/>
      <c r="H658" s="164"/>
      <c r="I658" s="164"/>
      <c r="J658" s="164"/>
      <c r="K658" s="164"/>
      <c r="L658" s="174"/>
      <c r="M658" s="164"/>
      <c r="N658" s="174"/>
      <c r="O658" s="157"/>
      <c r="P658" s="178"/>
      <c r="Q658" s="157"/>
      <c r="R658" s="157"/>
      <c r="S658" s="178"/>
      <c r="T658" s="157"/>
      <c r="U658" s="178"/>
      <c r="V658" s="191"/>
      <c r="W658" s="191"/>
      <c r="X658" s="191"/>
      <c r="Y658" s="191"/>
      <c r="Z658" s="191"/>
      <c r="AA658" s="191"/>
      <c r="AB658" s="191"/>
    </row>
    <row r="659" ht="15.75" customHeight="1">
      <c r="A659" s="288"/>
      <c r="B659" s="224"/>
      <c r="C659" s="224"/>
      <c r="D659" s="212"/>
      <c r="E659" s="221"/>
      <c r="F659" s="222"/>
      <c r="G659" s="223"/>
      <c r="H659" s="164"/>
      <c r="I659" s="164"/>
      <c r="J659" s="164"/>
      <c r="K659" s="164"/>
      <c r="L659" s="174"/>
      <c r="M659" s="164"/>
      <c r="N659" s="174"/>
      <c r="O659" s="157"/>
      <c r="P659" s="178"/>
      <c r="Q659" s="157"/>
      <c r="R659" s="157"/>
      <c r="S659" s="178"/>
      <c r="T659" s="157"/>
      <c r="U659" s="178"/>
      <c r="V659" s="191"/>
      <c r="W659" s="191"/>
      <c r="X659" s="191"/>
      <c r="Y659" s="191"/>
      <c r="Z659" s="191"/>
      <c r="AA659" s="191"/>
      <c r="AB659" s="191"/>
    </row>
    <row r="660" ht="15.75" customHeight="1">
      <c r="A660" s="288"/>
      <c r="B660" s="224"/>
      <c r="C660" s="224"/>
      <c r="D660" s="212"/>
      <c r="E660" s="221"/>
      <c r="F660" s="222"/>
      <c r="G660" s="223"/>
      <c r="H660" s="164"/>
      <c r="I660" s="164"/>
      <c r="J660" s="164"/>
      <c r="K660" s="164"/>
      <c r="L660" s="174"/>
      <c r="M660" s="164"/>
      <c r="N660" s="174"/>
      <c r="O660" s="157"/>
      <c r="P660" s="178"/>
      <c r="Q660" s="157"/>
      <c r="R660" s="157"/>
      <c r="S660" s="178"/>
      <c r="T660" s="157"/>
      <c r="U660" s="178"/>
      <c r="V660" s="191"/>
      <c r="W660" s="191"/>
      <c r="X660" s="191"/>
      <c r="Y660" s="191"/>
      <c r="Z660" s="191"/>
      <c r="AA660" s="191"/>
      <c r="AB660" s="191"/>
    </row>
    <row r="661" ht="15.75" customHeight="1">
      <c r="A661" s="288"/>
      <c r="B661" s="224"/>
      <c r="C661" s="224"/>
      <c r="D661" s="212"/>
      <c r="E661" s="221"/>
      <c r="F661" s="222"/>
      <c r="G661" s="223"/>
      <c r="H661" s="164"/>
      <c r="I661" s="164"/>
      <c r="J661" s="164"/>
      <c r="K661" s="164"/>
      <c r="L661" s="174"/>
      <c r="M661" s="164"/>
      <c r="N661" s="174"/>
      <c r="O661" s="157"/>
      <c r="P661" s="178"/>
      <c r="Q661" s="157"/>
      <c r="R661" s="157"/>
      <c r="S661" s="178"/>
      <c r="T661" s="157"/>
      <c r="U661" s="178"/>
      <c r="V661" s="191"/>
      <c r="W661" s="191"/>
      <c r="X661" s="191"/>
      <c r="Y661" s="191"/>
      <c r="Z661" s="191"/>
      <c r="AA661" s="191"/>
      <c r="AB661" s="191"/>
    </row>
    <row r="662" ht="15.75" customHeight="1">
      <c r="A662" s="288"/>
      <c r="B662" s="224"/>
      <c r="C662" s="224"/>
      <c r="D662" s="212"/>
      <c r="E662" s="221"/>
      <c r="F662" s="222"/>
      <c r="G662" s="223"/>
      <c r="H662" s="164"/>
      <c r="I662" s="164"/>
      <c r="J662" s="164"/>
      <c r="K662" s="164"/>
      <c r="L662" s="174"/>
      <c r="M662" s="164"/>
      <c r="N662" s="174"/>
      <c r="O662" s="157"/>
      <c r="P662" s="178"/>
      <c r="Q662" s="157"/>
      <c r="R662" s="157"/>
      <c r="S662" s="178"/>
      <c r="T662" s="157"/>
      <c r="U662" s="178"/>
      <c r="V662" s="191"/>
      <c r="W662" s="191"/>
      <c r="X662" s="191"/>
      <c r="Y662" s="191"/>
      <c r="Z662" s="191"/>
      <c r="AA662" s="191"/>
      <c r="AB662" s="191"/>
    </row>
    <row r="663" ht="15.75" customHeight="1">
      <c r="A663" s="288"/>
      <c r="B663" s="224"/>
      <c r="C663" s="224"/>
      <c r="D663" s="212"/>
      <c r="E663" s="221"/>
      <c r="F663" s="222"/>
      <c r="G663" s="223"/>
      <c r="H663" s="164"/>
      <c r="I663" s="164"/>
      <c r="J663" s="164"/>
      <c r="K663" s="164"/>
      <c r="L663" s="174"/>
      <c r="M663" s="164"/>
      <c r="N663" s="174"/>
      <c r="O663" s="157"/>
      <c r="P663" s="178"/>
      <c r="Q663" s="157"/>
      <c r="R663" s="157"/>
      <c r="S663" s="178"/>
      <c r="T663" s="157"/>
      <c r="U663" s="178"/>
      <c r="V663" s="191"/>
      <c r="W663" s="191"/>
      <c r="X663" s="191"/>
      <c r="Y663" s="191"/>
      <c r="Z663" s="191"/>
      <c r="AA663" s="191"/>
      <c r="AB663" s="191"/>
    </row>
    <row r="664" ht="15.75" customHeight="1">
      <c r="A664" s="288"/>
      <c r="B664" s="224"/>
      <c r="C664" s="224"/>
      <c r="D664" s="212"/>
      <c r="E664" s="221"/>
      <c r="F664" s="222"/>
      <c r="G664" s="223"/>
      <c r="H664" s="164"/>
      <c r="I664" s="164"/>
      <c r="J664" s="164"/>
      <c r="K664" s="164"/>
      <c r="L664" s="174"/>
      <c r="M664" s="164"/>
      <c r="N664" s="174"/>
      <c r="O664" s="157"/>
      <c r="P664" s="178"/>
      <c r="Q664" s="157"/>
      <c r="R664" s="157"/>
      <c r="S664" s="178"/>
      <c r="T664" s="157"/>
      <c r="U664" s="178"/>
      <c r="V664" s="191"/>
      <c r="W664" s="191"/>
      <c r="X664" s="191"/>
      <c r="Y664" s="191"/>
      <c r="Z664" s="191"/>
      <c r="AA664" s="191"/>
      <c r="AB664" s="191"/>
    </row>
    <row r="665" ht="15.75" customHeight="1">
      <c r="A665" s="288"/>
      <c r="B665" s="224"/>
      <c r="C665" s="224"/>
      <c r="D665" s="212"/>
      <c r="E665" s="221"/>
      <c r="F665" s="222"/>
      <c r="G665" s="223"/>
      <c r="H665" s="164"/>
      <c r="I665" s="164"/>
      <c r="J665" s="164"/>
      <c r="K665" s="164"/>
      <c r="L665" s="174"/>
      <c r="M665" s="164"/>
      <c r="N665" s="174"/>
      <c r="O665" s="157"/>
      <c r="P665" s="178"/>
      <c r="Q665" s="157"/>
      <c r="R665" s="157"/>
      <c r="S665" s="178"/>
      <c r="T665" s="157"/>
      <c r="U665" s="178"/>
      <c r="V665" s="191"/>
      <c r="W665" s="191"/>
      <c r="X665" s="191"/>
      <c r="Y665" s="191"/>
      <c r="Z665" s="191"/>
      <c r="AA665" s="191"/>
      <c r="AB665" s="191"/>
    </row>
    <row r="666" ht="15.75" customHeight="1">
      <c r="A666" s="288"/>
      <c r="B666" s="224"/>
      <c r="C666" s="224"/>
      <c r="D666" s="212"/>
      <c r="E666" s="221"/>
      <c r="F666" s="222"/>
      <c r="G666" s="223"/>
      <c r="H666" s="164"/>
      <c r="I666" s="164"/>
      <c r="J666" s="164"/>
      <c r="K666" s="164"/>
      <c r="L666" s="174"/>
      <c r="M666" s="164"/>
      <c r="N666" s="174"/>
      <c r="O666" s="157"/>
      <c r="P666" s="178"/>
      <c r="Q666" s="157"/>
      <c r="R666" s="157"/>
      <c r="S666" s="178"/>
      <c r="T666" s="157"/>
      <c r="U666" s="178"/>
      <c r="V666" s="191"/>
      <c r="W666" s="191"/>
      <c r="X666" s="191"/>
      <c r="Y666" s="191"/>
      <c r="Z666" s="191"/>
      <c r="AA666" s="191"/>
      <c r="AB666" s="191"/>
    </row>
    <row r="667" ht="15.75" customHeight="1">
      <c r="A667" s="288"/>
      <c r="B667" s="224"/>
      <c r="C667" s="224"/>
      <c r="D667" s="212"/>
      <c r="E667" s="221"/>
      <c r="F667" s="222"/>
      <c r="G667" s="223"/>
      <c r="H667" s="164"/>
      <c r="I667" s="164"/>
      <c r="J667" s="164"/>
      <c r="K667" s="164"/>
      <c r="L667" s="174"/>
      <c r="M667" s="164"/>
      <c r="N667" s="174"/>
      <c r="O667" s="157"/>
      <c r="P667" s="178"/>
      <c r="Q667" s="157"/>
      <c r="R667" s="157"/>
      <c r="S667" s="178"/>
      <c r="T667" s="157"/>
      <c r="U667" s="178"/>
      <c r="V667" s="191"/>
      <c r="W667" s="191"/>
      <c r="X667" s="191"/>
      <c r="Y667" s="191"/>
      <c r="Z667" s="191"/>
      <c r="AA667" s="191"/>
      <c r="AB667" s="191"/>
    </row>
    <row r="668" ht="15.75" customHeight="1">
      <c r="A668" s="288"/>
      <c r="B668" s="224"/>
      <c r="C668" s="224"/>
      <c r="D668" s="212"/>
      <c r="E668" s="221"/>
      <c r="F668" s="222"/>
      <c r="G668" s="223"/>
      <c r="H668" s="164"/>
      <c r="I668" s="164"/>
      <c r="J668" s="164"/>
      <c r="K668" s="164"/>
      <c r="L668" s="174"/>
      <c r="M668" s="164"/>
      <c r="N668" s="174"/>
      <c r="O668" s="157"/>
      <c r="P668" s="178"/>
      <c r="Q668" s="157"/>
      <c r="R668" s="157"/>
      <c r="S668" s="178"/>
      <c r="T668" s="157"/>
      <c r="U668" s="178"/>
      <c r="V668" s="191"/>
      <c r="W668" s="191"/>
      <c r="X668" s="191"/>
      <c r="Y668" s="191"/>
      <c r="Z668" s="191"/>
      <c r="AA668" s="191"/>
      <c r="AB668" s="191"/>
    </row>
    <row r="669" ht="15.75" customHeight="1">
      <c r="A669" s="288"/>
      <c r="B669" s="224"/>
      <c r="C669" s="224"/>
      <c r="D669" s="212"/>
      <c r="E669" s="221"/>
      <c r="F669" s="222"/>
      <c r="G669" s="223"/>
      <c r="H669" s="164"/>
      <c r="I669" s="164"/>
      <c r="J669" s="164"/>
      <c r="K669" s="164"/>
      <c r="L669" s="174"/>
      <c r="M669" s="164"/>
      <c r="N669" s="174"/>
      <c r="O669" s="157"/>
      <c r="P669" s="178"/>
      <c r="Q669" s="157"/>
      <c r="R669" s="157"/>
      <c r="S669" s="178"/>
      <c r="T669" s="157"/>
      <c r="U669" s="178"/>
      <c r="V669" s="191"/>
      <c r="W669" s="191"/>
      <c r="X669" s="191"/>
      <c r="Y669" s="191"/>
      <c r="Z669" s="191"/>
      <c r="AA669" s="191"/>
      <c r="AB669" s="191"/>
    </row>
    <row r="670" ht="15.75" customHeight="1">
      <c r="A670" s="288"/>
      <c r="B670" s="224"/>
      <c r="C670" s="224"/>
      <c r="D670" s="212"/>
      <c r="E670" s="221"/>
      <c r="F670" s="222"/>
      <c r="G670" s="223"/>
      <c r="H670" s="164"/>
      <c r="I670" s="164"/>
      <c r="J670" s="164"/>
      <c r="K670" s="164"/>
      <c r="L670" s="174"/>
      <c r="M670" s="164"/>
      <c r="N670" s="174"/>
      <c r="O670" s="157"/>
      <c r="P670" s="178"/>
      <c r="Q670" s="157"/>
      <c r="R670" s="157"/>
      <c r="S670" s="178"/>
      <c r="T670" s="157"/>
      <c r="U670" s="178"/>
      <c r="V670" s="191"/>
      <c r="W670" s="191"/>
      <c r="X670" s="191"/>
      <c r="Y670" s="191"/>
      <c r="Z670" s="191"/>
      <c r="AA670" s="191"/>
      <c r="AB670" s="191"/>
    </row>
    <row r="671" ht="15.75" customHeight="1">
      <c r="A671" s="288"/>
      <c r="B671" s="224"/>
      <c r="C671" s="224"/>
      <c r="D671" s="212"/>
      <c r="E671" s="221"/>
      <c r="F671" s="222"/>
      <c r="G671" s="223"/>
      <c r="H671" s="164"/>
      <c r="I671" s="164"/>
      <c r="J671" s="164"/>
      <c r="K671" s="164"/>
      <c r="L671" s="174"/>
      <c r="M671" s="164"/>
      <c r="N671" s="174"/>
      <c r="O671" s="157"/>
      <c r="P671" s="178"/>
      <c r="Q671" s="157"/>
      <c r="R671" s="157"/>
      <c r="S671" s="178"/>
      <c r="T671" s="157"/>
      <c r="U671" s="178"/>
      <c r="V671" s="191"/>
      <c r="W671" s="191"/>
      <c r="X671" s="191"/>
      <c r="Y671" s="191"/>
      <c r="Z671" s="191"/>
      <c r="AA671" s="191"/>
      <c r="AB671" s="191"/>
    </row>
    <row r="672" ht="15.75" customHeight="1">
      <c r="A672" s="288"/>
      <c r="B672" s="224"/>
      <c r="C672" s="224"/>
      <c r="D672" s="212"/>
      <c r="E672" s="221"/>
      <c r="F672" s="222"/>
      <c r="G672" s="223"/>
      <c r="H672" s="164"/>
      <c r="I672" s="164"/>
      <c r="J672" s="164"/>
      <c r="K672" s="164"/>
      <c r="L672" s="174"/>
      <c r="M672" s="164"/>
      <c r="N672" s="174"/>
      <c r="O672" s="157"/>
      <c r="P672" s="178"/>
      <c r="Q672" s="157"/>
      <c r="R672" s="157"/>
      <c r="S672" s="178"/>
      <c r="T672" s="157"/>
      <c r="U672" s="178"/>
      <c r="V672" s="191"/>
      <c r="W672" s="191"/>
      <c r="X672" s="191"/>
      <c r="Y672" s="191"/>
      <c r="Z672" s="191"/>
      <c r="AA672" s="191"/>
      <c r="AB672" s="191"/>
    </row>
    <row r="673" ht="15.75" customHeight="1">
      <c r="A673" s="288"/>
      <c r="B673" s="224"/>
      <c r="C673" s="224"/>
      <c r="D673" s="212"/>
      <c r="E673" s="221"/>
      <c r="F673" s="222"/>
      <c r="G673" s="223"/>
      <c r="H673" s="164"/>
      <c r="I673" s="164"/>
      <c r="J673" s="164"/>
      <c r="K673" s="164"/>
      <c r="L673" s="174"/>
      <c r="M673" s="164"/>
      <c r="N673" s="174"/>
      <c r="O673" s="157"/>
      <c r="P673" s="178"/>
      <c r="Q673" s="157"/>
      <c r="R673" s="157"/>
      <c r="S673" s="178"/>
      <c r="T673" s="157"/>
      <c r="U673" s="178"/>
      <c r="V673" s="191"/>
      <c r="W673" s="191"/>
      <c r="X673" s="191"/>
      <c r="Y673" s="191"/>
      <c r="Z673" s="191"/>
      <c r="AA673" s="191"/>
      <c r="AB673" s="191"/>
    </row>
    <row r="674" ht="15.75" customHeight="1">
      <c r="A674" s="288"/>
      <c r="B674" s="224"/>
      <c r="C674" s="224"/>
      <c r="D674" s="212"/>
      <c r="E674" s="221"/>
      <c r="F674" s="222"/>
      <c r="G674" s="223"/>
      <c r="H674" s="164"/>
      <c r="I674" s="164"/>
      <c r="J674" s="164"/>
      <c r="K674" s="164"/>
      <c r="L674" s="174"/>
      <c r="M674" s="164"/>
      <c r="N674" s="174"/>
      <c r="O674" s="157"/>
      <c r="P674" s="178"/>
      <c r="Q674" s="157"/>
      <c r="R674" s="157"/>
      <c r="S674" s="178"/>
      <c r="T674" s="157"/>
      <c r="U674" s="178"/>
      <c r="V674" s="191"/>
      <c r="W674" s="191"/>
      <c r="X674" s="191"/>
      <c r="Y674" s="191"/>
      <c r="Z674" s="191"/>
      <c r="AA674" s="191"/>
      <c r="AB674" s="191"/>
    </row>
    <row r="675" ht="15.75" customHeight="1">
      <c r="A675" s="288"/>
      <c r="B675" s="224"/>
      <c r="C675" s="224"/>
      <c r="D675" s="212"/>
      <c r="E675" s="221"/>
      <c r="F675" s="222"/>
      <c r="G675" s="223"/>
      <c r="H675" s="164"/>
      <c r="I675" s="164"/>
      <c r="J675" s="164"/>
      <c r="K675" s="164"/>
      <c r="L675" s="174"/>
      <c r="M675" s="164"/>
      <c r="N675" s="174"/>
      <c r="O675" s="157"/>
      <c r="P675" s="178"/>
      <c r="Q675" s="157"/>
      <c r="R675" s="157"/>
      <c r="S675" s="178"/>
      <c r="T675" s="157"/>
      <c r="U675" s="178"/>
      <c r="V675" s="191"/>
      <c r="W675" s="191"/>
      <c r="X675" s="191"/>
      <c r="Y675" s="191"/>
      <c r="Z675" s="191"/>
      <c r="AA675" s="191"/>
      <c r="AB675" s="191"/>
    </row>
    <row r="676" ht="15.75" customHeight="1">
      <c r="A676" s="288"/>
      <c r="B676" s="224"/>
      <c r="C676" s="224"/>
      <c r="D676" s="212"/>
      <c r="E676" s="221"/>
      <c r="F676" s="222"/>
      <c r="G676" s="223"/>
      <c r="H676" s="164"/>
      <c r="I676" s="164"/>
      <c r="J676" s="164"/>
      <c r="K676" s="164"/>
      <c r="L676" s="174"/>
      <c r="M676" s="164"/>
      <c r="N676" s="174"/>
      <c r="O676" s="157"/>
      <c r="P676" s="178"/>
      <c r="Q676" s="157"/>
      <c r="R676" s="157"/>
      <c r="S676" s="178"/>
      <c r="T676" s="157"/>
      <c r="U676" s="178"/>
      <c r="V676" s="191"/>
      <c r="W676" s="191"/>
      <c r="X676" s="191"/>
      <c r="Y676" s="191"/>
      <c r="Z676" s="191"/>
      <c r="AA676" s="191"/>
      <c r="AB676" s="191"/>
    </row>
    <row r="677" ht="15.75" customHeight="1">
      <c r="A677" s="288"/>
      <c r="B677" s="224"/>
      <c r="C677" s="224"/>
      <c r="D677" s="212"/>
      <c r="E677" s="221"/>
      <c r="F677" s="222"/>
      <c r="G677" s="223"/>
      <c r="H677" s="164"/>
      <c r="I677" s="164"/>
      <c r="J677" s="164"/>
      <c r="K677" s="164"/>
      <c r="L677" s="174"/>
      <c r="M677" s="164"/>
      <c r="N677" s="174"/>
      <c r="O677" s="157"/>
      <c r="P677" s="178"/>
      <c r="Q677" s="157"/>
      <c r="R677" s="157"/>
      <c r="S677" s="178"/>
      <c r="T677" s="157"/>
      <c r="U677" s="178"/>
      <c r="V677" s="191"/>
      <c r="W677" s="191"/>
      <c r="X677" s="191"/>
      <c r="Y677" s="191"/>
      <c r="Z677" s="191"/>
      <c r="AA677" s="191"/>
      <c r="AB677" s="191"/>
    </row>
    <row r="678" ht="15.75" customHeight="1">
      <c r="A678" s="288"/>
      <c r="B678" s="224"/>
      <c r="C678" s="224"/>
      <c r="D678" s="212"/>
      <c r="E678" s="221"/>
      <c r="F678" s="222"/>
      <c r="G678" s="223"/>
      <c r="H678" s="164"/>
      <c r="I678" s="164"/>
      <c r="J678" s="164"/>
      <c r="K678" s="164"/>
      <c r="L678" s="174"/>
      <c r="M678" s="164"/>
      <c r="N678" s="174"/>
      <c r="O678" s="157"/>
      <c r="P678" s="178"/>
      <c r="Q678" s="157"/>
      <c r="R678" s="157"/>
      <c r="S678" s="178"/>
      <c r="T678" s="157"/>
      <c r="U678" s="178"/>
      <c r="V678" s="191"/>
      <c r="W678" s="191"/>
      <c r="X678" s="191"/>
      <c r="Y678" s="191"/>
      <c r="Z678" s="191"/>
      <c r="AA678" s="191"/>
      <c r="AB678" s="191"/>
    </row>
    <row r="679" ht="15.75" customHeight="1">
      <c r="A679" s="288"/>
      <c r="B679" s="224"/>
      <c r="C679" s="224"/>
      <c r="D679" s="212"/>
      <c r="E679" s="221"/>
      <c r="F679" s="222"/>
      <c r="G679" s="223"/>
      <c r="H679" s="164"/>
      <c r="I679" s="164"/>
      <c r="J679" s="164"/>
      <c r="K679" s="164"/>
      <c r="L679" s="174"/>
      <c r="M679" s="164"/>
      <c r="N679" s="174"/>
      <c r="O679" s="157"/>
      <c r="P679" s="178"/>
      <c r="Q679" s="157"/>
      <c r="R679" s="157"/>
      <c r="S679" s="178"/>
      <c r="T679" s="157"/>
      <c r="U679" s="178"/>
      <c r="V679" s="191"/>
      <c r="W679" s="191"/>
      <c r="X679" s="191"/>
      <c r="Y679" s="191"/>
      <c r="Z679" s="191"/>
      <c r="AA679" s="191"/>
      <c r="AB679" s="191"/>
    </row>
    <row r="680" ht="15.75" customHeight="1">
      <c r="A680" s="288"/>
      <c r="B680" s="224"/>
      <c r="C680" s="224"/>
      <c r="D680" s="212"/>
      <c r="E680" s="221"/>
      <c r="F680" s="222"/>
      <c r="G680" s="223"/>
      <c r="H680" s="164"/>
      <c r="I680" s="164"/>
      <c r="J680" s="164"/>
      <c r="K680" s="164"/>
      <c r="L680" s="174"/>
      <c r="M680" s="164"/>
      <c r="N680" s="174"/>
      <c r="O680" s="157"/>
      <c r="P680" s="178"/>
      <c r="Q680" s="157"/>
      <c r="R680" s="157"/>
      <c r="S680" s="178"/>
      <c r="T680" s="157"/>
      <c r="U680" s="178"/>
      <c r="V680" s="191"/>
      <c r="W680" s="191"/>
      <c r="X680" s="191"/>
      <c r="Y680" s="191"/>
      <c r="Z680" s="191"/>
      <c r="AA680" s="191"/>
      <c r="AB680" s="191"/>
    </row>
    <row r="681" ht="15.75" customHeight="1">
      <c r="A681" s="288"/>
      <c r="B681" s="224"/>
      <c r="C681" s="224"/>
      <c r="D681" s="212"/>
      <c r="E681" s="221"/>
      <c r="F681" s="222"/>
      <c r="G681" s="223"/>
      <c r="H681" s="164"/>
      <c r="I681" s="164"/>
      <c r="J681" s="164"/>
      <c r="K681" s="164"/>
      <c r="L681" s="174"/>
      <c r="M681" s="164"/>
      <c r="N681" s="174"/>
      <c r="O681" s="157"/>
      <c r="P681" s="178"/>
      <c r="Q681" s="157"/>
      <c r="R681" s="157"/>
      <c r="S681" s="178"/>
      <c r="T681" s="157"/>
      <c r="U681" s="178"/>
      <c r="V681" s="191"/>
      <c r="W681" s="191"/>
      <c r="X681" s="191"/>
      <c r="Y681" s="191"/>
      <c r="Z681" s="191"/>
      <c r="AA681" s="191"/>
      <c r="AB681" s="191"/>
    </row>
    <row r="682" ht="15.75" customHeight="1">
      <c r="A682" s="288"/>
      <c r="B682" s="224"/>
      <c r="C682" s="224"/>
      <c r="D682" s="212"/>
      <c r="E682" s="221"/>
      <c r="F682" s="222"/>
      <c r="G682" s="223"/>
      <c r="H682" s="164"/>
      <c r="I682" s="164"/>
      <c r="J682" s="164"/>
      <c r="K682" s="164"/>
      <c r="L682" s="174"/>
      <c r="M682" s="164"/>
      <c r="N682" s="174"/>
      <c r="O682" s="157"/>
      <c r="P682" s="178"/>
      <c r="Q682" s="157"/>
      <c r="R682" s="157"/>
      <c r="S682" s="178"/>
      <c r="T682" s="157"/>
      <c r="U682" s="178"/>
      <c r="V682" s="191"/>
      <c r="W682" s="191"/>
      <c r="X682" s="191"/>
      <c r="Y682" s="191"/>
      <c r="Z682" s="191"/>
      <c r="AA682" s="191"/>
      <c r="AB682" s="191"/>
    </row>
    <row r="683" ht="15.75" customHeight="1">
      <c r="A683" s="288"/>
      <c r="B683" s="224"/>
      <c r="C683" s="224"/>
      <c r="D683" s="212"/>
      <c r="E683" s="221"/>
      <c r="F683" s="222"/>
      <c r="G683" s="223"/>
      <c r="H683" s="164"/>
      <c r="I683" s="164"/>
      <c r="J683" s="164"/>
      <c r="K683" s="164"/>
      <c r="L683" s="174"/>
      <c r="M683" s="164"/>
      <c r="N683" s="174"/>
      <c r="O683" s="157"/>
      <c r="P683" s="178"/>
      <c r="Q683" s="157"/>
      <c r="R683" s="157"/>
      <c r="S683" s="178"/>
      <c r="T683" s="157"/>
      <c r="U683" s="178"/>
      <c r="V683" s="191"/>
      <c r="W683" s="191"/>
      <c r="X683" s="191"/>
      <c r="Y683" s="191"/>
      <c r="Z683" s="191"/>
      <c r="AA683" s="191"/>
      <c r="AB683" s="191"/>
    </row>
    <row r="684" ht="15.75" customHeight="1">
      <c r="A684" s="288"/>
      <c r="B684" s="224"/>
      <c r="C684" s="224"/>
      <c r="D684" s="212"/>
      <c r="E684" s="221"/>
      <c r="F684" s="222"/>
      <c r="G684" s="223"/>
      <c r="H684" s="164"/>
      <c r="I684" s="164"/>
      <c r="J684" s="164"/>
      <c r="K684" s="164"/>
      <c r="L684" s="174"/>
      <c r="M684" s="164"/>
      <c r="N684" s="174"/>
      <c r="O684" s="157"/>
      <c r="P684" s="178"/>
      <c r="Q684" s="157"/>
      <c r="R684" s="157"/>
      <c r="S684" s="178"/>
      <c r="T684" s="157"/>
      <c r="U684" s="178"/>
      <c r="V684" s="191"/>
      <c r="W684" s="191"/>
      <c r="X684" s="191"/>
      <c r="Y684" s="191"/>
      <c r="Z684" s="191"/>
      <c r="AA684" s="191"/>
      <c r="AB684" s="191"/>
    </row>
    <row r="685" ht="15.75" customHeight="1">
      <c r="A685" s="288"/>
      <c r="B685" s="224"/>
      <c r="C685" s="224"/>
      <c r="D685" s="212"/>
      <c r="E685" s="221"/>
      <c r="F685" s="222"/>
      <c r="G685" s="223"/>
      <c r="H685" s="164"/>
      <c r="I685" s="164"/>
      <c r="J685" s="164"/>
      <c r="K685" s="164"/>
      <c r="L685" s="174"/>
      <c r="M685" s="164"/>
      <c r="N685" s="174"/>
      <c r="O685" s="157"/>
      <c r="P685" s="178"/>
      <c r="Q685" s="157"/>
      <c r="R685" s="157"/>
      <c r="S685" s="178"/>
      <c r="T685" s="157"/>
      <c r="U685" s="178"/>
      <c r="V685" s="191"/>
      <c r="W685" s="191"/>
      <c r="X685" s="191"/>
      <c r="Y685" s="191"/>
      <c r="Z685" s="191"/>
      <c r="AA685" s="191"/>
      <c r="AB685" s="191"/>
    </row>
    <row r="686" ht="15.75" customHeight="1">
      <c r="A686" s="288"/>
      <c r="B686" s="224"/>
      <c r="C686" s="224"/>
      <c r="D686" s="212"/>
      <c r="E686" s="221"/>
      <c r="F686" s="222"/>
      <c r="G686" s="223"/>
      <c r="H686" s="164"/>
      <c r="I686" s="164"/>
      <c r="J686" s="164"/>
      <c r="K686" s="164"/>
      <c r="L686" s="174"/>
      <c r="M686" s="164"/>
      <c r="N686" s="174"/>
      <c r="O686" s="157"/>
      <c r="P686" s="178"/>
      <c r="Q686" s="157"/>
      <c r="R686" s="157"/>
      <c r="S686" s="178"/>
      <c r="T686" s="157"/>
      <c r="U686" s="178"/>
      <c r="V686" s="191"/>
      <c r="W686" s="191"/>
      <c r="X686" s="191"/>
      <c r="Y686" s="191"/>
      <c r="Z686" s="191"/>
      <c r="AA686" s="191"/>
      <c r="AB686" s="191"/>
    </row>
    <row r="687" ht="15.75" customHeight="1">
      <c r="A687" s="288"/>
      <c r="B687" s="224"/>
      <c r="C687" s="224"/>
      <c r="D687" s="212"/>
      <c r="E687" s="221"/>
      <c r="F687" s="222"/>
      <c r="G687" s="223"/>
      <c r="H687" s="164"/>
      <c r="I687" s="164"/>
      <c r="J687" s="164"/>
      <c r="K687" s="164"/>
      <c r="L687" s="174"/>
      <c r="M687" s="164"/>
      <c r="N687" s="174"/>
      <c r="O687" s="157"/>
      <c r="P687" s="178"/>
      <c r="Q687" s="157"/>
      <c r="R687" s="157"/>
      <c r="S687" s="178"/>
      <c r="T687" s="157"/>
      <c r="U687" s="178"/>
      <c r="V687" s="191"/>
      <c r="W687" s="191"/>
      <c r="X687" s="191"/>
      <c r="Y687" s="191"/>
      <c r="Z687" s="191"/>
      <c r="AA687" s="191"/>
      <c r="AB687" s="191"/>
    </row>
    <row r="688" ht="15.75" customHeight="1">
      <c r="A688" s="288"/>
      <c r="B688" s="224"/>
      <c r="C688" s="224"/>
      <c r="D688" s="212"/>
      <c r="E688" s="221"/>
      <c r="F688" s="222"/>
      <c r="G688" s="223"/>
      <c r="H688" s="164"/>
      <c r="I688" s="164"/>
      <c r="J688" s="164"/>
      <c r="K688" s="164"/>
      <c r="L688" s="174"/>
      <c r="M688" s="164"/>
      <c r="N688" s="174"/>
      <c r="O688" s="157"/>
      <c r="P688" s="178"/>
      <c r="Q688" s="157"/>
      <c r="R688" s="157"/>
      <c r="S688" s="178"/>
      <c r="T688" s="157"/>
      <c r="U688" s="178"/>
      <c r="V688" s="191"/>
      <c r="W688" s="191"/>
      <c r="X688" s="191"/>
      <c r="Y688" s="191"/>
      <c r="Z688" s="191"/>
      <c r="AA688" s="191"/>
      <c r="AB688" s="191"/>
    </row>
    <row r="689" ht="15.75" customHeight="1">
      <c r="A689" s="288"/>
      <c r="B689" s="224"/>
      <c r="C689" s="224"/>
      <c r="D689" s="212"/>
      <c r="E689" s="221"/>
      <c r="F689" s="222"/>
      <c r="G689" s="223"/>
      <c r="H689" s="164"/>
      <c r="I689" s="164"/>
      <c r="J689" s="164"/>
      <c r="K689" s="164"/>
      <c r="L689" s="174"/>
      <c r="M689" s="164"/>
      <c r="N689" s="174"/>
      <c r="O689" s="157"/>
      <c r="P689" s="178"/>
      <c r="Q689" s="157"/>
      <c r="R689" s="157"/>
      <c r="S689" s="178"/>
      <c r="T689" s="157"/>
      <c r="U689" s="178"/>
      <c r="V689" s="191"/>
      <c r="W689" s="191"/>
      <c r="X689" s="191"/>
      <c r="Y689" s="191"/>
      <c r="Z689" s="191"/>
      <c r="AA689" s="191"/>
      <c r="AB689" s="191"/>
    </row>
    <row r="690" ht="15.75" customHeight="1">
      <c r="A690" s="288"/>
      <c r="B690" s="224"/>
      <c r="C690" s="224"/>
      <c r="D690" s="212"/>
      <c r="E690" s="221"/>
      <c r="F690" s="222"/>
      <c r="G690" s="223"/>
      <c r="H690" s="164"/>
      <c r="I690" s="164"/>
      <c r="J690" s="164"/>
      <c r="K690" s="164"/>
      <c r="L690" s="174"/>
      <c r="M690" s="164"/>
      <c r="N690" s="174"/>
      <c r="O690" s="157"/>
      <c r="P690" s="178"/>
      <c r="Q690" s="157"/>
      <c r="R690" s="157"/>
      <c r="S690" s="178"/>
      <c r="T690" s="157"/>
      <c r="U690" s="178"/>
      <c r="V690" s="191"/>
      <c r="W690" s="191"/>
      <c r="X690" s="191"/>
      <c r="Y690" s="191"/>
      <c r="Z690" s="191"/>
      <c r="AA690" s="191"/>
      <c r="AB690" s="191"/>
    </row>
    <row r="691" ht="15.75" customHeight="1">
      <c r="A691" s="288"/>
      <c r="B691" s="224"/>
      <c r="C691" s="224"/>
      <c r="D691" s="212"/>
      <c r="E691" s="221"/>
      <c r="F691" s="222"/>
      <c r="G691" s="223"/>
      <c r="H691" s="164"/>
      <c r="I691" s="164"/>
      <c r="J691" s="164"/>
      <c r="K691" s="164"/>
      <c r="L691" s="174"/>
      <c r="M691" s="164"/>
      <c r="N691" s="174"/>
      <c r="O691" s="157"/>
      <c r="P691" s="178"/>
      <c r="Q691" s="157"/>
      <c r="R691" s="157"/>
      <c r="S691" s="178"/>
      <c r="T691" s="157"/>
      <c r="U691" s="178"/>
      <c r="V691" s="191"/>
      <c r="W691" s="191"/>
      <c r="X691" s="191"/>
      <c r="Y691" s="191"/>
      <c r="Z691" s="191"/>
      <c r="AA691" s="191"/>
      <c r="AB691" s="191"/>
    </row>
    <row r="692" ht="15.75" customHeight="1">
      <c r="A692" s="288"/>
      <c r="B692" s="224"/>
      <c r="C692" s="224"/>
      <c r="D692" s="212"/>
      <c r="E692" s="221"/>
      <c r="F692" s="222"/>
      <c r="G692" s="223"/>
      <c r="H692" s="164"/>
      <c r="I692" s="164"/>
      <c r="J692" s="164"/>
      <c r="K692" s="164"/>
      <c r="L692" s="174"/>
      <c r="M692" s="164"/>
      <c r="N692" s="174"/>
      <c r="O692" s="157"/>
      <c r="P692" s="178"/>
      <c r="Q692" s="157"/>
      <c r="R692" s="157"/>
      <c r="S692" s="178"/>
      <c r="T692" s="157"/>
      <c r="U692" s="178"/>
      <c r="V692" s="191"/>
      <c r="W692" s="191"/>
      <c r="X692" s="191"/>
      <c r="Y692" s="191"/>
      <c r="Z692" s="191"/>
      <c r="AA692" s="191"/>
      <c r="AB692" s="191"/>
    </row>
    <row r="693" ht="15.75" customHeight="1">
      <c r="A693" s="288"/>
      <c r="B693" s="224"/>
      <c r="C693" s="224"/>
      <c r="D693" s="212"/>
      <c r="E693" s="221"/>
      <c r="F693" s="222"/>
      <c r="G693" s="223"/>
      <c r="H693" s="164"/>
      <c r="I693" s="164"/>
      <c r="J693" s="164"/>
      <c r="K693" s="164"/>
      <c r="L693" s="174"/>
      <c r="M693" s="164"/>
      <c r="N693" s="174"/>
      <c r="O693" s="157"/>
      <c r="P693" s="178"/>
      <c r="Q693" s="157"/>
      <c r="R693" s="157"/>
      <c r="S693" s="178"/>
      <c r="T693" s="157"/>
      <c r="U693" s="178"/>
      <c r="V693" s="191"/>
      <c r="W693" s="191"/>
      <c r="X693" s="191"/>
      <c r="Y693" s="191"/>
      <c r="Z693" s="191"/>
      <c r="AA693" s="191"/>
      <c r="AB693" s="191"/>
    </row>
    <row r="694" ht="15.75" customHeight="1">
      <c r="A694" s="288"/>
      <c r="B694" s="224"/>
      <c r="C694" s="224"/>
      <c r="D694" s="212"/>
      <c r="E694" s="221"/>
      <c r="F694" s="222"/>
      <c r="G694" s="223"/>
      <c r="H694" s="164"/>
      <c r="I694" s="164"/>
      <c r="J694" s="164"/>
      <c r="K694" s="164"/>
      <c r="L694" s="174"/>
      <c r="M694" s="164"/>
      <c r="N694" s="174"/>
      <c r="O694" s="157"/>
      <c r="P694" s="178"/>
      <c r="Q694" s="157"/>
      <c r="R694" s="157"/>
      <c r="S694" s="178"/>
      <c r="T694" s="157"/>
      <c r="U694" s="178"/>
      <c r="V694" s="191"/>
      <c r="W694" s="191"/>
      <c r="X694" s="191"/>
      <c r="Y694" s="191"/>
      <c r="Z694" s="191"/>
      <c r="AA694" s="191"/>
      <c r="AB694" s="191"/>
    </row>
    <row r="695" ht="15.75" customHeight="1">
      <c r="A695" s="288"/>
      <c r="B695" s="224"/>
      <c r="C695" s="224"/>
      <c r="D695" s="212"/>
      <c r="E695" s="221"/>
      <c r="F695" s="222"/>
      <c r="G695" s="223"/>
      <c r="H695" s="164"/>
      <c r="I695" s="164"/>
      <c r="J695" s="164"/>
      <c r="K695" s="164"/>
      <c r="L695" s="174"/>
      <c r="M695" s="164"/>
      <c r="N695" s="174"/>
      <c r="O695" s="157"/>
      <c r="P695" s="178"/>
      <c r="Q695" s="157"/>
      <c r="R695" s="157"/>
      <c r="S695" s="178"/>
      <c r="T695" s="157"/>
      <c r="U695" s="178"/>
      <c r="V695" s="191"/>
      <c r="W695" s="191"/>
      <c r="X695" s="191"/>
      <c r="Y695" s="191"/>
      <c r="Z695" s="191"/>
      <c r="AA695" s="191"/>
      <c r="AB695" s="191"/>
    </row>
    <row r="696" ht="15.75" customHeight="1">
      <c r="A696" s="288"/>
      <c r="B696" s="224"/>
      <c r="C696" s="224"/>
      <c r="D696" s="212"/>
      <c r="E696" s="221"/>
      <c r="F696" s="222"/>
      <c r="G696" s="223"/>
      <c r="H696" s="164"/>
      <c r="I696" s="164"/>
      <c r="J696" s="164"/>
      <c r="K696" s="164"/>
      <c r="L696" s="174"/>
      <c r="M696" s="164"/>
      <c r="N696" s="174"/>
      <c r="O696" s="157"/>
      <c r="P696" s="178"/>
      <c r="Q696" s="157"/>
      <c r="R696" s="157"/>
      <c r="S696" s="178"/>
      <c r="T696" s="157"/>
      <c r="U696" s="178"/>
      <c r="V696" s="191"/>
      <c r="W696" s="191"/>
      <c r="X696" s="191"/>
      <c r="Y696" s="191"/>
      <c r="Z696" s="191"/>
      <c r="AA696" s="191"/>
      <c r="AB696" s="191"/>
    </row>
    <row r="697" ht="15.75" customHeight="1">
      <c r="A697" s="288"/>
      <c r="B697" s="224"/>
      <c r="C697" s="224"/>
      <c r="D697" s="212"/>
      <c r="E697" s="221"/>
      <c r="F697" s="222"/>
      <c r="G697" s="223"/>
      <c r="H697" s="164"/>
      <c r="I697" s="164"/>
      <c r="J697" s="164"/>
      <c r="K697" s="164"/>
      <c r="L697" s="174"/>
      <c r="M697" s="164"/>
      <c r="N697" s="174"/>
      <c r="O697" s="157"/>
      <c r="P697" s="178"/>
      <c r="Q697" s="157"/>
      <c r="R697" s="157"/>
      <c r="S697" s="178"/>
      <c r="T697" s="157"/>
      <c r="U697" s="178"/>
      <c r="V697" s="191"/>
      <c r="W697" s="191"/>
      <c r="X697" s="191"/>
      <c r="Y697" s="191"/>
      <c r="Z697" s="191"/>
      <c r="AA697" s="191"/>
      <c r="AB697" s="191"/>
    </row>
    <row r="698" ht="15.75" customHeight="1">
      <c r="A698" s="288"/>
      <c r="B698" s="224"/>
      <c r="C698" s="224"/>
      <c r="D698" s="212"/>
      <c r="E698" s="221"/>
      <c r="F698" s="222"/>
      <c r="G698" s="223"/>
      <c r="H698" s="164"/>
      <c r="I698" s="164"/>
      <c r="J698" s="164"/>
      <c r="K698" s="164"/>
      <c r="L698" s="174"/>
      <c r="M698" s="164"/>
      <c r="N698" s="174"/>
      <c r="O698" s="157"/>
      <c r="P698" s="178"/>
      <c r="Q698" s="157"/>
      <c r="R698" s="157"/>
      <c r="S698" s="178"/>
      <c r="T698" s="157"/>
      <c r="U698" s="178"/>
      <c r="V698" s="191"/>
      <c r="W698" s="191"/>
      <c r="X698" s="191"/>
      <c r="Y698" s="191"/>
      <c r="Z698" s="191"/>
      <c r="AA698" s="191"/>
      <c r="AB698" s="191"/>
    </row>
    <row r="699" ht="15.75" customHeight="1">
      <c r="A699" s="288"/>
      <c r="B699" s="224"/>
      <c r="C699" s="224"/>
      <c r="D699" s="212"/>
      <c r="E699" s="221"/>
      <c r="F699" s="222"/>
      <c r="G699" s="223"/>
      <c r="H699" s="164"/>
      <c r="I699" s="164"/>
      <c r="J699" s="164"/>
      <c r="K699" s="164"/>
      <c r="L699" s="174"/>
      <c r="M699" s="164"/>
      <c r="N699" s="174"/>
      <c r="O699" s="157"/>
      <c r="P699" s="178"/>
      <c r="Q699" s="157"/>
      <c r="R699" s="157"/>
      <c r="S699" s="178"/>
      <c r="T699" s="157"/>
      <c r="U699" s="178"/>
      <c r="V699" s="191"/>
      <c r="W699" s="191"/>
      <c r="X699" s="191"/>
      <c r="Y699" s="191"/>
      <c r="Z699" s="191"/>
      <c r="AA699" s="191"/>
      <c r="AB699" s="191"/>
    </row>
    <row r="700" ht="15.75" customHeight="1">
      <c r="A700" s="288"/>
      <c r="B700" s="224"/>
      <c r="C700" s="224"/>
      <c r="D700" s="212"/>
      <c r="E700" s="221"/>
      <c r="F700" s="222"/>
      <c r="G700" s="223"/>
      <c r="H700" s="164"/>
      <c r="I700" s="164"/>
      <c r="J700" s="164"/>
      <c r="K700" s="164"/>
      <c r="L700" s="174"/>
      <c r="M700" s="164"/>
      <c r="N700" s="174"/>
      <c r="O700" s="157"/>
      <c r="P700" s="178"/>
      <c r="Q700" s="157"/>
      <c r="R700" s="157"/>
      <c r="S700" s="178"/>
      <c r="T700" s="157"/>
      <c r="U700" s="178"/>
      <c r="V700" s="191"/>
      <c r="W700" s="191"/>
      <c r="X700" s="191"/>
      <c r="Y700" s="191"/>
      <c r="Z700" s="191"/>
      <c r="AA700" s="191"/>
      <c r="AB700" s="191"/>
    </row>
    <row r="701" ht="15.75" customHeight="1">
      <c r="A701" s="288"/>
      <c r="B701" s="224"/>
      <c r="C701" s="224"/>
      <c r="D701" s="212"/>
      <c r="E701" s="221"/>
      <c r="F701" s="222"/>
      <c r="G701" s="223"/>
      <c r="H701" s="164"/>
      <c r="I701" s="164"/>
      <c r="J701" s="164"/>
      <c r="K701" s="164"/>
      <c r="L701" s="174"/>
      <c r="M701" s="164"/>
      <c r="N701" s="174"/>
      <c r="O701" s="157"/>
      <c r="P701" s="178"/>
      <c r="Q701" s="157"/>
      <c r="R701" s="157"/>
      <c r="S701" s="178"/>
      <c r="T701" s="157"/>
      <c r="U701" s="178"/>
      <c r="V701" s="191"/>
      <c r="W701" s="191"/>
      <c r="X701" s="191"/>
      <c r="Y701" s="191"/>
      <c r="Z701" s="191"/>
      <c r="AA701" s="191"/>
      <c r="AB701" s="191"/>
    </row>
    <row r="702" ht="15.75" customHeight="1">
      <c r="A702" s="288"/>
      <c r="B702" s="224"/>
      <c r="C702" s="224"/>
      <c r="D702" s="212"/>
      <c r="E702" s="221"/>
      <c r="F702" s="222"/>
      <c r="G702" s="223"/>
      <c r="H702" s="164"/>
      <c r="I702" s="164"/>
      <c r="J702" s="164"/>
      <c r="K702" s="164"/>
      <c r="L702" s="174"/>
      <c r="M702" s="164"/>
      <c r="N702" s="174"/>
      <c r="O702" s="157"/>
      <c r="P702" s="178"/>
      <c r="Q702" s="157"/>
      <c r="R702" s="157"/>
      <c r="S702" s="178"/>
      <c r="T702" s="157"/>
      <c r="U702" s="178"/>
      <c r="V702" s="191"/>
      <c r="W702" s="191"/>
      <c r="X702" s="191"/>
      <c r="Y702" s="191"/>
      <c r="Z702" s="191"/>
      <c r="AA702" s="191"/>
      <c r="AB702" s="191"/>
    </row>
    <row r="703" ht="15.75" customHeight="1">
      <c r="A703" s="288"/>
      <c r="B703" s="224"/>
      <c r="C703" s="224"/>
      <c r="D703" s="212"/>
      <c r="E703" s="221"/>
      <c r="F703" s="222"/>
      <c r="G703" s="223"/>
      <c r="H703" s="164"/>
      <c r="I703" s="164"/>
      <c r="J703" s="164"/>
      <c r="K703" s="164"/>
      <c r="L703" s="174"/>
      <c r="M703" s="164"/>
      <c r="N703" s="174"/>
      <c r="O703" s="157"/>
      <c r="P703" s="178"/>
      <c r="Q703" s="157"/>
      <c r="R703" s="157"/>
      <c r="S703" s="178"/>
      <c r="T703" s="157"/>
      <c r="U703" s="178"/>
      <c r="V703" s="191"/>
      <c r="W703" s="191"/>
      <c r="X703" s="191"/>
      <c r="Y703" s="191"/>
      <c r="Z703" s="191"/>
      <c r="AA703" s="191"/>
      <c r="AB703" s="191"/>
    </row>
    <row r="704" ht="15.75" customHeight="1">
      <c r="A704" s="288"/>
      <c r="B704" s="224"/>
      <c r="C704" s="224"/>
      <c r="D704" s="212"/>
      <c r="E704" s="221"/>
      <c r="F704" s="222"/>
      <c r="G704" s="223"/>
      <c r="H704" s="164"/>
      <c r="I704" s="164"/>
      <c r="J704" s="164"/>
      <c r="K704" s="164"/>
      <c r="L704" s="174"/>
      <c r="M704" s="164"/>
      <c r="N704" s="174"/>
      <c r="O704" s="157"/>
      <c r="P704" s="178"/>
      <c r="Q704" s="157"/>
      <c r="R704" s="157"/>
      <c r="S704" s="178"/>
      <c r="T704" s="157"/>
      <c r="U704" s="178"/>
      <c r="V704" s="191"/>
      <c r="W704" s="191"/>
      <c r="X704" s="191"/>
      <c r="Y704" s="191"/>
      <c r="Z704" s="191"/>
      <c r="AA704" s="191"/>
      <c r="AB704" s="191"/>
    </row>
    <row r="705" ht="15.75" customHeight="1">
      <c r="A705" s="288"/>
      <c r="B705" s="224"/>
      <c r="C705" s="224"/>
      <c r="D705" s="212"/>
      <c r="E705" s="221"/>
      <c r="F705" s="222"/>
      <c r="G705" s="223"/>
      <c r="H705" s="164"/>
      <c r="I705" s="164"/>
      <c r="J705" s="164"/>
      <c r="K705" s="164"/>
      <c r="L705" s="174"/>
      <c r="M705" s="164"/>
      <c r="N705" s="174"/>
      <c r="O705" s="157"/>
      <c r="P705" s="178"/>
      <c r="Q705" s="157"/>
      <c r="R705" s="157"/>
      <c r="S705" s="178"/>
      <c r="T705" s="157"/>
      <c r="U705" s="178"/>
      <c r="V705" s="191"/>
      <c r="W705" s="191"/>
      <c r="X705" s="191"/>
      <c r="Y705" s="191"/>
      <c r="Z705" s="191"/>
      <c r="AA705" s="191"/>
      <c r="AB705" s="191"/>
    </row>
    <row r="706" ht="15.75" customHeight="1">
      <c r="A706" s="288"/>
      <c r="B706" s="224"/>
      <c r="C706" s="224"/>
      <c r="D706" s="212"/>
      <c r="E706" s="221"/>
      <c r="F706" s="222"/>
      <c r="G706" s="223"/>
      <c r="H706" s="164"/>
      <c r="I706" s="164"/>
      <c r="J706" s="164"/>
      <c r="K706" s="164"/>
      <c r="L706" s="174"/>
      <c r="M706" s="164"/>
      <c r="N706" s="174"/>
      <c r="O706" s="157"/>
      <c r="P706" s="178"/>
      <c r="Q706" s="157"/>
      <c r="R706" s="157"/>
      <c r="S706" s="178"/>
      <c r="T706" s="157"/>
      <c r="U706" s="178"/>
      <c r="V706" s="191"/>
      <c r="W706" s="191"/>
      <c r="X706" s="191"/>
      <c r="Y706" s="191"/>
      <c r="Z706" s="191"/>
      <c r="AA706" s="191"/>
      <c r="AB706" s="191"/>
    </row>
    <row r="707" ht="15.75" customHeight="1">
      <c r="A707" s="288"/>
      <c r="B707" s="224"/>
      <c r="C707" s="224"/>
      <c r="D707" s="212"/>
      <c r="E707" s="221"/>
      <c r="F707" s="222"/>
      <c r="G707" s="223"/>
      <c r="H707" s="164"/>
      <c r="I707" s="164"/>
      <c r="J707" s="164"/>
      <c r="K707" s="164"/>
      <c r="L707" s="174"/>
      <c r="M707" s="164"/>
      <c r="N707" s="174"/>
      <c r="O707" s="157"/>
      <c r="P707" s="178"/>
      <c r="Q707" s="157"/>
      <c r="R707" s="157"/>
      <c r="S707" s="178"/>
      <c r="T707" s="157"/>
      <c r="U707" s="178"/>
      <c r="V707" s="191"/>
      <c r="W707" s="191"/>
      <c r="X707" s="191"/>
      <c r="Y707" s="191"/>
      <c r="Z707" s="191"/>
      <c r="AA707" s="191"/>
      <c r="AB707" s="191"/>
    </row>
    <row r="708" ht="15.75" customHeight="1">
      <c r="A708" s="288"/>
      <c r="B708" s="224"/>
      <c r="C708" s="224"/>
      <c r="D708" s="212"/>
      <c r="E708" s="221"/>
      <c r="F708" s="222"/>
      <c r="G708" s="223"/>
      <c r="H708" s="164"/>
      <c r="I708" s="164"/>
      <c r="J708" s="164"/>
      <c r="K708" s="164"/>
      <c r="L708" s="174"/>
      <c r="M708" s="164"/>
      <c r="N708" s="174"/>
      <c r="O708" s="157"/>
      <c r="P708" s="178"/>
      <c r="Q708" s="157"/>
      <c r="R708" s="157"/>
      <c r="S708" s="178"/>
      <c r="T708" s="157"/>
      <c r="U708" s="178"/>
      <c r="V708" s="191"/>
      <c r="W708" s="191"/>
      <c r="X708" s="191"/>
      <c r="Y708" s="191"/>
      <c r="Z708" s="191"/>
      <c r="AA708" s="191"/>
      <c r="AB708" s="191"/>
    </row>
    <row r="709" ht="15.75" customHeight="1">
      <c r="A709" s="288"/>
      <c r="B709" s="224"/>
      <c r="C709" s="224"/>
      <c r="D709" s="212"/>
      <c r="E709" s="221"/>
      <c r="F709" s="222"/>
      <c r="G709" s="223"/>
      <c r="H709" s="164"/>
      <c r="I709" s="164"/>
      <c r="J709" s="164"/>
      <c r="K709" s="164"/>
      <c r="L709" s="174"/>
      <c r="M709" s="164"/>
      <c r="N709" s="174"/>
      <c r="O709" s="157"/>
      <c r="P709" s="178"/>
      <c r="Q709" s="157"/>
      <c r="R709" s="157"/>
      <c r="S709" s="178"/>
      <c r="T709" s="157"/>
      <c r="U709" s="178"/>
      <c r="V709" s="191"/>
      <c r="W709" s="191"/>
      <c r="X709" s="191"/>
      <c r="Y709" s="191"/>
      <c r="Z709" s="191"/>
      <c r="AA709" s="191"/>
      <c r="AB709" s="191"/>
    </row>
    <row r="710" ht="15.75" customHeight="1">
      <c r="A710" s="288"/>
      <c r="B710" s="224"/>
      <c r="C710" s="224"/>
      <c r="D710" s="212"/>
      <c r="E710" s="221"/>
      <c r="F710" s="222"/>
      <c r="G710" s="223"/>
      <c r="H710" s="164"/>
      <c r="I710" s="164"/>
      <c r="J710" s="164"/>
      <c r="K710" s="164"/>
      <c r="L710" s="174"/>
      <c r="M710" s="164"/>
      <c r="N710" s="174"/>
      <c r="O710" s="157"/>
      <c r="P710" s="178"/>
      <c r="Q710" s="157"/>
      <c r="R710" s="157"/>
      <c r="S710" s="178"/>
      <c r="T710" s="157"/>
      <c r="U710" s="178"/>
      <c r="V710" s="191"/>
      <c r="W710" s="191"/>
      <c r="X710" s="191"/>
      <c r="Y710" s="191"/>
      <c r="Z710" s="191"/>
      <c r="AA710" s="191"/>
      <c r="AB710" s="191"/>
    </row>
    <row r="711" ht="15.75" customHeight="1">
      <c r="A711" s="288"/>
      <c r="B711" s="224"/>
      <c r="C711" s="224"/>
      <c r="D711" s="212"/>
      <c r="E711" s="221"/>
      <c r="F711" s="222"/>
      <c r="G711" s="223"/>
      <c r="H711" s="164"/>
      <c r="I711" s="164"/>
      <c r="J711" s="164"/>
      <c r="K711" s="164"/>
      <c r="L711" s="174"/>
      <c r="M711" s="164"/>
      <c r="N711" s="174"/>
      <c r="O711" s="157"/>
      <c r="P711" s="178"/>
      <c r="Q711" s="157"/>
      <c r="R711" s="157"/>
      <c r="S711" s="178"/>
      <c r="T711" s="157"/>
      <c r="U711" s="178"/>
      <c r="V711" s="191"/>
      <c r="W711" s="191"/>
      <c r="X711" s="191"/>
      <c r="Y711" s="191"/>
      <c r="Z711" s="191"/>
      <c r="AA711" s="191"/>
      <c r="AB711" s="191"/>
    </row>
    <row r="712" ht="15.75" customHeight="1">
      <c r="A712" s="288"/>
      <c r="B712" s="224"/>
      <c r="C712" s="224"/>
      <c r="D712" s="212"/>
      <c r="E712" s="221"/>
      <c r="F712" s="222"/>
      <c r="G712" s="223"/>
      <c r="H712" s="164"/>
      <c r="I712" s="164"/>
      <c r="J712" s="164"/>
      <c r="K712" s="164"/>
      <c r="L712" s="174"/>
      <c r="M712" s="164"/>
      <c r="N712" s="174"/>
      <c r="O712" s="157"/>
      <c r="P712" s="178"/>
      <c r="Q712" s="157"/>
      <c r="R712" s="157"/>
      <c r="S712" s="178"/>
      <c r="T712" s="157"/>
      <c r="U712" s="178"/>
      <c r="V712" s="191"/>
      <c r="W712" s="191"/>
      <c r="X712" s="191"/>
      <c r="Y712" s="191"/>
      <c r="Z712" s="191"/>
      <c r="AA712" s="191"/>
      <c r="AB712" s="191"/>
    </row>
    <row r="713" ht="15.75" customHeight="1">
      <c r="A713" s="288"/>
      <c r="B713" s="224"/>
      <c r="C713" s="224"/>
      <c r="D713" s="212"/>
      <c r="E713" s="221"/>
      <c r="F713" s="222"/>
      <c r="G713" s="223"/>
      <c r="H713" s="164"/>
      <c r="I713" s="164"/>
      <c r="J713" s="164"/>
      <c r="K713" s="164"/>
      <c r="L713" s="174"/>
      <c r="M713" s="164"/>
      <c r="N713" s="174"/>
      <c r="O713" s="157"/>
      <c r="P713" s="178"/>
      <c r="Q713" s="157"/>
      <c r="R713" s="157"/>
      <c r="S713" s="178"/>
      <c r="T713" s="157"/>
      <c r="U713" s="178"/>
      <c r="V713" s="191"/>
      <c r="W713" s="191"/>
      <c r="X713" s="191"/>
      <c r="Y713" s="191"/>
      <c r="Z713" s="191"/>
      <c r="AA713" s="191"/>
      <c r="AB713" s="191"/>
    </row>
    <row r="714" ht="15.75" customHeight="1">
      <c r="A714" s="288"/>
      <c r="B714" s="224"/>
      <c r="C714" s="224"/>
      <c r="D714" s="212"/>
      <c r="E714" s="221"/>
      <c r="F714" s="222"/>
      <c r="G714" s="223"/>
      <c r="H714" s="164"/>
      <c r="I714" s="164"/>
      <c r="J714" s="164"/>
      <c r="K714" s="164"/>
      <c r="L714" s="174"/>
      <c r="M714" s="164"/>
      <c r="N714" s="174"/>
      <c r="O714" s="157"/>
      <c r="P714" s="178"/>
      <c r="Q714" s="157"/>
      <c r="R714" s="157"/>
      <c r="S714" s="178"/>
      <c r="T714" s="157"/>
      <c r="U714" s="178"/>
      <c r="V714" s="191"/>
      <c r="W714" s="191"/>
      <c r="X714" s="191"/>
      <c r="Y714" s="191"/>
      <c r="Z714" s="191"/>
      <c r="AA714" s="191"/>
      <c r="AB714" s="191"/>
    </row>
    <row r="715" ht="15.75" customHeight="1">
      <c r="A715" s="288"/>
      <c r="B715" s="224"/>
      <c r="C715" s="224"/>
      <c r="D715" s="212"/>
      <c r="E715" s="221"/>
      <c r="F715" s="222"/>
      <c r="G715" s="223"/>
      <c r="H715" s="164"/>
      <c r="I715" s="164"/>
      <c r="J715" s="164"/>
      <c r="K715" s="164"/>
      <c r="L715" s="174"/>
      <c r="M715" s="164"/>
      <c r="N715" s="174"/>
      <c r="O715" s="157"/>
      <c r="P715" s="178"/>
      <c r="Q715" s="157"/>
      <c r="R715" s="157"/>
      <c r="S715" s="178"/>
      <c r="T715" s="157"/>
      <c r="U715" s="178"/>
      <c r="V715" s="191"/>
      <c r="W715" s="191"/>
      <c r="X715" s="191"/>
      <c r="Y715" s="191"/>
      <c r="Z715" s="191"/>
      <c r="AA715" s="191"/>
      <c r="AB715" s="191"/>
    </row>
    <row r="716" ht="15.75" customHeight="1">
      <c r="A716" s="288"/>
      <c r="B716" s="224"/>
      <c r="C716" s="224"/>
      <c r="D716" s="212"/>
      <c r="E716" s="221"/>
      <c r="F716" s="222"/>
      <c r="G716" s="223"/>
      <c r="H716" s="164"/>
      <c r="I716" s="164"/>
      <c r="J716" s="164"/>
      <c r="K716" s="164"/>
      <c r="L716" s="174"/>
      <c r="M716" s="164"/>
      <c r="N716" s="174"/>
      <c r="O716" s="157"/>
      <c r="P716" s="178"/>
      <c r="Q716" s="157"/>
      <c r="R716" s="157"/>
      <c r="S716" s="178"/>
      <c r="T716" s="157"/>
      <c r="U716" s="178"/>
      <c r="V716" s="191"/>
      <c r="W716" s="191"/>
      <c r="X716" s="191"/>
      <c r="Y716" s="191"/>
      <c r="Z716" s="191"/>
      <c r="AA716" s="191"/>
      <c r="AB716" s="191"/>
    </row>
    <row r="717" ht="15.75" customHeight="1">
      <c r="A717" s="288"/>
      <c r="B717" s="224"/>
      <c r="C717" s="224"/>
      <c r="D717" s="212"/>
      <c r="E717" s="221"/>
      <c r="F717" s="222"/>
      <c r="G717" s="223"/>
      <c r="H717" s="164"/>
      <c r="I717" s="164"/>
      <c r="J717" s="164"/>
      <c r="K717" s="164"/>
      <c r="L717" s="174"/>
      <c r="M717" s="164"/>
      <c r="N717" s="174"/>
      <c r="O717" s="157"/>
      <c r="P717" s="178"/>
      <c r="Q717" s="157"/>
      <c r="R717" s="157"/>
      <c r="S717" s="178"/>
      <c r="T717" s="157"/>
      <c r="U717" s="178"/>
      <c r="V717" s="191"/>
      <c r="W717" s="191"/>
      <c r="X717" s="191"/>
      <c r="Y717" s="191"/>
      <c r="Z717" s="191"/>
      <c r="AA717" s="191"/>
      <c r="AB717" s="191"/>
    </row>
    <row r="718" ht="15.75" customHeight="1">
      <c r="A718" s="288"/>
      <c r="B718" s="224"/>
      <c r="C718" s="224"/>
      <c r="D718" s="212"/>
      <c r="E718" s="221"/>
      <c r="F718" s="222"/>
      <c r="G718" s="223"/>
      <c r="H718" s="164"/>
      <c r="I718" s="164"/>
      <c r="J718" s="164"/>
      <c r="K718" s="164"/>
      <c r="L718" s="174"/>
      <c r="M718" s="164"/>
      <c r="N718" s="174"/>
      <c r="O718" s="157"/>
      <c r="P718" s="178"/>
      <c r="Q718" s="157"/>
      <c r="R718" s="157"/>
      <c r="S718" s="178"/>
      <c r="T718" s="157"/>
      <c r="U718" s="178"/>
      <c r="V718" s="191"/>
      <c r="W718" s="191"/>
      <c r="X718" s="191"/>
      <c r="Y718" s="191"/>
      <c r="Z718" s="191"/>
      <c r="AA718" s="191"/>
      <c r="AB718" s="191"/>
    </row>
    <row r="719" ht="15.75" customHeight="1">
      <c r="A719" s="288"/>
      <c r="B719" s="224"/>
      <c r="C719" s="224"/>
      <c r="D719" s="212"/>
      <c r="E719" s="221"/>
      <c r="F719" s="222"/>
      <c r="G719" s="223"/>
      <c r="H719" s="164"/>
      <c r="I719" s="164"/>
      <c r="J719" s="164"/>
      <c r="K719" s="164"/>
      <c r="L719" s="174"/>
      <c r="M719" s="164"/>
      <c r="N719" s="174"/>
      <c r="O719" s="157"/>
      <c r="P719" s="178"/>
      <c r="Q719" s="157"/>
      <c r="R719" s="157"/>
      <c r="S719" s="178"/>
      <c r="T719" s="157"/>
      <c r="U719" s="178"/>
      <c r="V719" s="191"/>
      <c r="W719" s="191"/>
      <c r="X719" s="191"/>
      <c r="Y719" s="191"/>
      <c r="Z719" s="191"/>
      <c r="AA719" s="191"/>
      <c r="AB719" s="191"/>
    </row>
    <row r="720" ht="15.75" customHeight="1">
      <c r="A720" s="288"/>
      <c r="B720" s="224"/>
      <c r="C720" s="224"/>
      <c r="D720" s="212"/>
      <c r="E720" s="221"/>
      <c r="F720" s="222"/>
      <c r="G720" s="223"/>
      <c r="H720" s="164"/>
      <c r="I720" s="164"/>
      <c r="J720" s="164"/>
      <c r="K720" s="164"/>
      <c r="L720" s="174"/>
      <c r="M720" s="164"/>
      <c r="N720" s="174"/>
      <c r="O720" s="157"/>
      <c r="P720" s="178"/>
      <c r="Q720" s="157"/>
      <c r="R720" s="157"/>
      <c r="S720" s="178"/>
      <c r="T720" s="157"/>
      <c r="U720" s="178"/>
      <c r="V720" s="191"/>
      <c r="W720" s="191"/>
      <c r="X720" s="191"/>
      <c r="Y720" s="191"/>
      <c r="Z720" s="191"/>
      <c r="AA720" s="191"/>
      <c r="AB720" s="191"/>
    </row>
    <row r="721" ht="15.75" customHeight="1">
      <c r="A721" s="288"/>
      <c r="B721" s="224"/>
      <c r="C721" s="224"/>
      <c r="D721" s="212"/>
      <c r="E721" s="221"/>
      <c r="F721" s="222"/>
      <c r="G721" s="223"/>
      <c r="H721" s="164"/>
      <c r="I721" s="164"/>
      <c r="J721" s="164"/>
      <c r="K721" s="164"/>
      <c r="L721" s="174"/>
      <c r="M721" s="164"/>
      <c r="N721" s="174"/>
      <c r="O721" s="157"/>
      <c r="P721" s="178"/>
      <c r="Q721" s="157"/>
      <c r="R721" s="157"/>
      <c r="S721" s="178"/>
      <c r="T721" s="157"/>
      <c r="U721" s="178"/>
      <c r="V721" s="191"/>
      <c r="W721" s="191"/>
      <c r="X721" s="191"/>
      <c r="Y721" s="191"/>
      <c r="Z721" s="191"/>
      <c r="AA721" s="191"/>
      <c r="AB721" s="191"/>
    </row>
    <row r="722" ht="15.75" customHeight="1">
      <c r="A722" s="288"/>
      <c r="B722" s="224"/>
      <c r="C722" s="224"/>
      <c r="D722" s="212"/>
      <c r="E722" s="221"/>
      <c r="F722" s="222"/>
      <c r="G722" s="223"/>
      <c r="H722" s="164"/>
      <c r="I722" s="164"/>
      <c r="J722" s="164"/>
      <c r="K722" s="164"/>
      <c r="L722" s="174"/>
      <c r="M722" s="164"/>
      <c r="N722" s="174"/>
      <c r="O722" s="157"/>
      <c r="P722" s="178"/>
      <c r="Q722" s="157"/>
      <c r="R722" s="157"/>
      <c r="S722" s="178"/>
      <c r="T722" s="157"/>
      <c r="U722" s="178"/>
      <c r="V722" s="191"/>
      <c r="W722" s="191"/>
      <c r="X722" s="191"/>
      <c r="Y722" s="191"/>
      <c r="Z722" s="191"/>
      <c r="AA722" s="191"/>
      <c r="AB722" s="191"/>
    </row>
    <row r="723" ht="15.75" customHeight="1">
      <c r="A723" s="288"/>
      <c r="B723" s="224"/>
      <c r="C723" s="224"/>
      <c r="D723" s="212"/>
      <c r="E723" s="221"/>
      <c r="F723" s="222"/>
      <c r="G723" s="223"/>
      <c r="H723" s="164"/>
      <c r="I723" s="164"/>
      <c r="J723" s="164"/>
      <c r="K723" s="164"/>
      <c r="L723" s="174"/>
      <c r="M723" s="164"/>
      <c r="N723" s="174"/>
      <c r="O723" s="157"/>
      <c r="P723" s="178"/>
      <c r="Q723" s="157"/>
      <c r="R723" s="157"/>
      <c r="S723" s="178"/>
      <c r="T723" s="157"/>
      <c r="U723" s="178"/>
      <c r="V723" s="191"/>
      <c r="W723" s="191"/>
      <c r="X723" s="191"/>
      <c r="Y723" s="191"/>
      <c r="Z723" s="191"/>
      <c r="AA723" s="191"/>
      <c r="AB723" s="191"/>
    </row>
    <row r="724" ht="15.75" customHeight="1">
      <c r="A724" s="288"/>
      <c r="B724" s="224"/>
      <c r="C724" s="224"/>
      <c r="D724" s="212"/>
      <c r="E724" s="221"/>
      <c r="F724" s="222"/>
      <c r="G724" s="223"/>
      <c r="H724" s="164"/>
      <c r="I724" s="164"/>
      <c r="J724" s="164"/>
      <c r="K724" s="164"/>
      <c r="L724" s="174"/>
      <c r="M724" s="164"/>
      <c r="N724" s="174"/>
      <c r="O724" s="157"/>
      <c r="P724" s="178"/>
      <c r="Q724" s="157"/>
      <c r="R724" s="157"/>
      <c r="S724" s="178"/>
      <c r="T724" s="157"/>
      <c r="U724" s="178"/>
      <c r="V724" s="191"/>
      <c r="W724" s="191"/>
      <c r="X724" s="191"/>
      <c r="Y724" s="191"/>
      <c r="Z724" s="191"/>
      <c r="AA724" s="191"/>
      <c r="AB724" s="191"/>
    </row>
    <row r="725" ht="15.75" customHeight="1">
      <c r="A725" s="288"/>
      <c r="B725" s="224"/>
      <c r="C725" s="224"/>
      <c r="D725" s="212"/>
      <c r="E725" s="221"/>
      <c r="F725" s="222"/>
      <c r="G725" s="223"/>
      <c r="H725" s="164"/>
      <c r="I725" s="164"/>
      <c r="J725" s="164"/>
      <c r="K725" s="164"/>
      <c r="L725" s="174"/>
      <c r="M725" s="164"/>
      <c r="N725" s="174"/>
      <c r="O725" s="157"/>
      <c r="P725" s="178"/>
      <c r="Q725" s="157"/>
      <c r="R725" s="157"/>
      <c r="S725" s="178"/>
      <c r="T725" s="157"/>
      <c r="U725" s="178"/>
      <c r="V725" s="191"/>
      <c r="W725" s="191"/>
      <c r="X725" s="191"/>
      <c r="Y725" s="191"/>
      <c r="Z725" s="191"/>
      <c r="AA725" s="191"/>
      <c r="AB725" s="191"/>
    </row>
    <row r="726" ht="15.75" customHeight="1">
      <c r="A726" s="288"/>
      <c r="B726" s="224"/>
      <c r="C726" s="224"/>
      <c r="D726" s="212"/>
      <c r="E726" s="221"/>
      <c r="F726" s="222"/>
      <c r="G726" s="223"/>
      <c r="H726" s="164"/>
      <c r="I726" s="164"/>
      <c r="J726" s="164"/>
      <c r="K726" s="164"/>
      <c r="L726" s="174"/>
      <c r="M726" s="164"/>
      <c r="N726" s="174"/>
      <c r="O726" s="157"/>
      <c r="P726" s="178"/>
      <c r="Q726" s="157"/>
      <c r="R726" s="157"/>
      <c r="S726" s="178"/>
      <c r="T726" s="157"/>
      <c r="U726" s="178"/>
      <c r="V726" s="191"/>
      <c r="W726" s="191"/>
      <c r="X726" s="191"/>
      <c r="Y726" s="191"/>
      <c r="Z726" s="191"/>
      <c r="AA726" s="191"/>
      <c r="AB726" s="191"/>
    </row>
    <row r="727" ht="15.75" customHeight="1">
      <c r="A727" s="288"/>
      <c r="B727" s="224"/>
      <c r="C727" s="224"/>
      <c r="D727" s="212"/>
      <c r="E727" s="221"/>
      <c r="F727" s="222"/>
      <c r="G727" s="223"/>
      <c r="H727" s="164"/>
      <c r="I727" s="164"/>
      <c r="J727" s="164"/>
      <c r="K727" s="164"/>
      <c r="L727" s="174"/>
      <c r="M727" s="164"/>
      <c r="N727" s="174"/>
      <c r="O727" s="157"/>
      <c r="P727" s="178"/>
      <c r="Q727" s="157"/>
      <c r="R727" s="157"/>
      <c r="S727" s="178"/>
      <c r="T727" s="157"/>
      <c r="U727" s="178"/>
      <c r="V727" s="191"/>
      <c r="W727" s="191"/>
      <c r="X727" s="191"/>
      <c r="Y727" s="191"/>
      <c r="Z727" s="191"/>
      <c r="AA727" s="191"/>
      <c r="AB727" s="191"/>
    </row>
    <row r="728" ht="15.75" customHeight="1">
      <c r="A728" s="288"/>
      <c r="B728" s="224"/>
      <c r="C728" s="224"/>
      <c r="D728" s="212"/>
      <c r="E728" s="221"/>
      <c r="F728" s="222"/>
      <c r="G728" s="223"/>
      <c r="H728" s="164"/>
      <c r="I728" s="164"/>
      <c r="J728" s="164"/>
      <c r="K728" s="164"/>
      <c r="L728" s="174"/>
      <c r="M728" s="164"/>
      <c r="N728" s="174"/>
      <c r="O728" s="157"/>
      <c r="P728" s="178"/>
      <c r="Q728" s="157"/>
      <c r="R728" s="157"/>
      <c r="S728" s="178"/>
      <c r="T728" s="157"/>
      <c r="U728" s="178"/>
      <c r="V728" s="191"/>
      <c r="W728" s="191"/>
      <c r="X728" s="191"/>
      <c r="Y728" s="191"/>
      <c r="Z728" s="191"/>
      <c r="AA728" s="191"/>
      <c r="AB728" s="191"/>
    </row>
    <row r="729" ht="15.75" customHeight="1">
      <c r="A729" s="288"/>
      <c r="B729" s="224"/>
      <c r="C729" s="224"/>
      <c r="D729" s="212"/>
      <c r="E729" s="221"/>
      <c r="F729" s="222"/>
      <c r="G729" s="223"/>
      <c r="H729" s="164"/>
      <c r="I729" s="164"/>
      <c r="J729" s="164"/>
      <c r="K729" s="164"/>
      <c r="L729" s="174"/>
      <c r="M729" s="164"/>
      <c r="N729" s="174"/>
      <c r="O729" s="157"/>
      <c r="P729" s="178"/>
      <c r="Q729" s="157"/>
      <c r="R729" s="157"/>
      <c r="S729" s="178"/>
      <c r="T729" s="157"/>
      <c r="U729" s="178"/>
      <c r="V729" s="191"/>
      <c r="W729" s="191"/>
      <c r="X729" s="191"/>
      <c r="Y729" s="191"/>
      <c r="Z729" s="191"/>
      <c r="AA729" s="191"/>
      <c r="AB729" s="191"/>
    </row>
    <row r="730" ht="15.75" customHeight="1">
      <c r="A730" s="288"/>
      <c r="B730" s="224"/>
      <c r="C730" s="224"/>
      <c r="D730" s="212"/>
      <c r="E730" s="221"/>
      <c r="F730" s="222"/>
      <c r="G730" s="223"/>
      <c r="H730" s="164"/>
      <c r="I730" s="164"/>
      <c r="J730" s="164"/>
      <c r="K730" s="164"/>
      <c r="L730" s="174"/>
      <c r="M730" s="164"/>
      <c r="N730" s="174"/>
      <c r="O730" s="157"/>
      <c r="P730" s="178"/>
      <c r="Q730" s="157"/>
      <c r="R730" s="157"/>
      <c r="S730" s="178"/>
      <c r="T730" s="157"/>
      <c r="U730" s="178"/>
      <c r="V730" s="191"/>
      <c r="W730" s="191"/>
      <c r="X730" s="191"/>
      <c r="Y730" s="191"/>
      <c r="Z730" s="191"/>
      <c r="AA730" s="191"/>
      <c r="AB730" s="191"/>
    </row>
    <row r="731" ht="15.75" customHeight="1">
      <c r="A731" s="288"/>
      <c r="B731" s="224"/>
      <c r="C731" s="224"/>
      <c r="D731" s="212"/>
      <c r="E731" s="221"/>
      <c r="F731" s="222"/>
      <c r="G731" s="223"/>
      <c r="H731" s="164"/>
      <c r="I731" s="164"/>
      <c r="J731" s="164"/>
      <c r="K731" s="164"/>
      <c r="L731" s="174"/>
      <c r="M731" s="164"/>
      <c r="N731" s="174"/>
      <c r="O731" s="157"/>
      <c r="P731" s="178"/>
      <c r="Q731" s="157"/>
      <c r="R731" s="157"/>
      <c r="S731" s="178"/>
      <c r="T731" s="157"/>
      <c r="U731" s="178"/>
      <c r="V731" s="191"/>
      <c r="W731" s="191"/>
      <c r="X731" s="191"/>
      <c r="Y731" s="191"/>
      <c r="Z731" s="191"/>
      <c r="AA731" s="191"/>
      <c r="AB731" s="191"/>
    </row>
    <row r="732" ht="15.75" customHeight="1">
      <c r="A732" s="288"/>
      <c r="B732" s="224"/>
      <c r="C732" s="224"/>
      <c r="D732" s="212"/>
      <c r="E732" s="221"/>
      <c r="F732" s="222"/>
      <c r="G732" s="223"/>
      <c r="H732" s="164"/>
      <c r="I732" s="164"/>
      <c r="J732" s="164"/>
      <c r="K732" s="164"/>
      <c r="L732" s="174"/>
      <c r="M732" s="164"/>
      <c r="N732" s="174"/>
      <c r="O732" s="157"/>
      <c r="P732" s="178"/>
      <c r="Q732" s="157"/>
      <c r="R732" s="157"/>
      <c r="S732" s="178"/>
      <c r="T732" s="157"/>
      <c r="U732" s="178"/>
      <c r="V732" s="191"/>
      <c r="W732" s="191"/>
      <c r="X732" s="191"/>
      <c r="Y732" s="191"/>
      <c r="Z732" s="191"/>
      <c r="AA732" s="191"/>
      <c r="AB732" s="191"/>
    </row>
    <row r="733" ht="15.75" customHeight="1">
      <c r="A733" s="288"/>
      <c r="B733" s="224"/>
      <c r="C733" s="224"/>
      <c r="D733" s="212"/>
      <c r="E733" s="221"/>
      <c r="F733" s="222"/>
      <c r="G733" s="223"/>
      <c r="H733" s="164"/>
      <c r="I733" s="164"/>
      <c r="J733" s="164"/>
      <c r="K733" s="164"/>
      <c r="L733" s="174"/>
      <c r="M733" s="164"/>
      <c r="N733" s="174"/>
      <c r="O733" s="157"/>
      <c r="P733" s="178"/>
      <c r="Q733" s="157"/>
      <c r="R733" s="157"/>
      <c r="S733" s="178"/>
      <c r="T733" s="157"/>
      <c r="U733" s="178"/>
      <c r="V733" s="191"/>
      <c r="W733" s="191"/>
      <c r="X733" s="191"/>
      <c r="Y733" s="191"/>
      <c r="Z733" s="191"/>
      <c r="AA733" s="191"/>
      <c r="AB733" s="191"/>
    </row>
    <row r="734" ht="15.75" customHeight="1">
      <c r="A734" s="288"/>
      <c r="B734" s="224"/>
      <c r="C734" s="224"/>
      <c r="D734" s="212"/>
      <c r="E734" s="221"/>
      <c r="F734" s="222"/>
      <c r="G734" s="223"/>
      <c r="H734" s="164"/>
      <c r="I734" s="164"/>
      <c r="J734" s="164"/>
      <c r="K734" s="164"/>
      <c r="L734" s="174"/>
      <c r="M734" s="164"/>
      <c r="N734" s="174"/>
      <c r="O734" s="157"/>
      <c r="P734" s="178"/>
      <c r="Q734" s="157"/>
      <c r="R734" s="157"/>
      <c r="S734" s="178"/>
      <c r="T734" s="157"/>
      <c r="U734" s="178"/>
      <c r="V734" s="191"/>
      <c r="W734" s="191"/>
      <c r="X734" s="191"/>
      <c r="Y734" s="191"/>
      <c r="Z734" s="191"/>
      <c r="AA734" s="191"/>
      <c r="AB734" s="191"/>
    </row>
    <row r="735" ht="15.75" customHeight="1">
      <c r="A735" s="288"/>
      <c r="B735" s="224"/>
      <c r="C735" s="224"/>
      <c r="D735" s="212"/>
      <c r="E735" s="221"/>
      <c r="F735" s="222"/>
      <c r="G735" s="223"/>
      <c r="H735" s="164"/>
      <c r="I735" s="164"/>
      <c r="J735" s="164"/>
      <c r="K735" s="164"/>
      <c r="L735" s="174"/>
      <c r="M735" s="164"/>
      <c r="N735" s="174"/>
      <c r="O735" s="157"/>
      <c r="P735" s="178"/>
      <c r="Q735" s="157"/>
      <c r="R735" s="157"/>
      <c r="S735" s="178"/>
      <c r="T735" s="157"/>
      <c r="U735" s="178"/>
      <c r="V735" s="191"/>
      <c r="W735" s="191"/>
      <c r="X735" s="191"/>
      <c r="Y735" s="191"/>
      <c r="Z735" s="191"/>
      <c r="AA735" s="191"/>
      <c r="AB735" s="191"/>
    </row>
    <row r="736" ht="15.75" customHeight="1">
      <c r="A736" s="288"/>
      <c r="B736" s="224"/>
      <c r="C736" s="224"/>
      <c r="D736" s="212"/>
      <c r="E736" s="221"/>
      <c r="F736" s="222"/>
      <c r="G736" s="223"/>
      <c r="H736" s="164"/>
      <c r="I736" s="164"/>
      <c r="J736" s="164"/>
      <c r="K736" s="164"/>
      <c r="L736" s="174"/>
      <c r="M736" s="164"/>
      <c r="N736" s="174"/>
      <c r="O736" s="157"/>
      <c r="P736" s="178"/>
      <c r="Q736" s="157"/>
      <c r="R736" s="157"/>
      <c r="S736" s="178"/>
      <c r="T736" s="157"/>
      <c r="U736" s="178"/>
      <c r="V736" s="191"/>
      <c r="W736" s="191"/>
      <c r="X736" s="191"/>
      <c r="Y736" s="191"/>
      <c r="Z736" s="191"/>
      <c r="AA736" s="191"/>
      <c r="AB736" s="191"/>
    </row>
    <row r="737" ht="15.75" customHeight="1">
      <c r="A737" s="288"/>
      <c r="B737" s="224"/>
      <c r="C737" s="224"/>
      <c r="D737" s="212"/>
      <c r="E737" s="221"/>
      <c r="F737" s="222"/>
      <c r="G737" s="223"/>
      <c r="H737" s="164"/>
      <c r="I737" s="164"/>
      <c r="J737" s="164"/>
      <c r="K737" s="164"/>
      <c r="L737" s="174"/>
      <c r="M737" s="164"/>
      <c r="N737" s="174"/>
      <c r="O737" s="157"/>
      <c r="P737" s="178"/>
      <c r="Q737" s="157"/>
      <c r="R737" s="157"/>
      <c r="S737" s="178"/>
      <c r="T737" s="157"/>
      <c r="U737" s="178"/>
      <c r="V737" s="191"/>
      <c r="W737" s="191"/>
      <c r="X737" s="191"/>
      <c r="Y737" s="191"/>
      <c r="Z737" s="191"/>
      <c r="AA737" s="191"/>
      <c r="AB737" s="191"/>
    </row>
    <row r="738" ht="15.75" customHeight="1">
      <c r="A738" s="288"/>
      <c r="B738" s="224"/>
      <c r="C738" s="224"/>
      <c r="D738" s="212"/>
      <c r="E738" s="221"/>
      <c r="F738" s="222"/>
      <c r="G738" s="223"/>
      <c r="H738" s="164"/>
      <c r="I738" s="164"/>
      <c r="J738" s="164"/>
      <c r="K738" s="164"/>
      <c r="L738" s="174"/>
      <c r="M738" s="164"/>
      <c r="N738" s="174"/>
      <c r="O738" s="157"/>
      <c r="P738" s="178"/>
      <c r="Q738" s="157"/>
      <c r="R738" s="157"/>
      <c r="S738" s="178"/>
      <c r="T738" s="157"/>
      <c r="U738" s="178"/>
      <c r="V738" s="191"/>
      <c r="W738" s="191"/>
      <c r="X738" s="191"/>
      <c r="Y738" s="191"/>
      <c r="Z738" s="191"/>
      <c r="AA738" s="191"/>
      <c r="AB738" s="191"/>
    </row>
    <row r="739" ht="15.75" customHeight="1">
      <c r="A739" s="288"/>
      <c r="B739" s="224"/>
      <c r="C739" s="224"/>
      <c r="D739" s="212"/>
      <c r="E739" s="221"/>
      <c r="F739" s="222"/>
      <c r="G739" s="223"/>
      <c r="H739" s="164"/>
      <c r="I739" s="164"/>
      <c r="J739" s="164"/>
      <c r="K739" s="164"/>
      <c r="L739" s="174"/>
      <c r="M739" s="164"/>
      <c r="N739" s="174"/>
      <c r="O739" s="157"/>
      <c r="P739" s="178"/>
      <c r="Q739" s="157"/>
      <c r="R739" s="157"/>
      <c r="S739" s="178"/>
      <c r="T739" s="157"/>
      <c r="U739" s="178"/>
      <c r="V739" s="191"/>
      <c r="W739" s="191"/>
      <c r="X739" s="191"/>
      <c r="Y739" s="191"/>
      <c r="Z739" s="191"/>
      <c r="AA739" s="191"/>
      <c r="AB739" s="191"/>
    </row>
    <row r="740" ht="15.75" customHeight="1">
      <c r="A740" s="288"/>
      <c r="B740" s="224"/>
      <c r="C740" s="224"/>
      <c r="D740" s="212"/>
      <c r="E740" s="221"/>
      <c r="F740" s="222"/>
      <c r="G740" s="223"/>
      <c r="H740" s="164"/>
      <c r="I740" s="164"/>
      <c r="J740" s="164"/>
      <c r="K740" s="164"/>
      <c r="L740" s="174"/>
      <c r="M740" s="164"/>
      <c r="N740" s="174"/>
      <c r="O740" s="157"/>
      <c r="P740" s="178"/>
      <c r="Q740" s="157"/>
      <c r="R740" s="157"/>
      <c r="S740" s="178"/>
      <c r="T740" s="157"/>
      <c r="U740" s="178"/>
      <c r="V740" s="191"/>
      <c r="W740" s="191"/>
      <c r="X740" s="191"/>
      <c r="Y740" s="191"/>
      <c r="Z740" s="191"/>
      <c r="AA740" s="191"/>
      <c r="AB740" s="191"/>
    </row>
    <row r="741" ht="15.75" customHeight="1">
      <c r="A741" s="288"/>
      <c r="B741" s="224"/>
      <c r="C741" s="224"/>
      <c r="D741" s="212"/>
      <c r="E741" s="221"/>
      <c r="F741" s="222"/>
      <c r="G741" s="223"/>
      <c r="H741" s="164"/>
      <c r="I741" s="164"/>
      <c r="J741" s="164"/>
      <c r="K741" s="164"/>
      <c r="L741" s="174"/>
      <c r="M741" s="164"/>
      <c r="N741" s="174"/>
      <c r="O741" s="157"/>
      <c r="P741" s="178"/>
      <c r="Q741" s="157"/>
      <c r="R741" s="157"/>
      <c r="S741" s="178"/>
      <c r="T741" s="157"/>
      <c r="U741" s="178"/>
      <c r="V741" s="191"/>
      <c r="W741" s="191"/>
      <c r="X741" s="191"/>
      <c r="Y741" s="191"/>
      <c r="Z741" s="191"/>
      <c r="AA741" s="191"/>
      <c r="AB741" s="191"/>
    </row>
    <row r="742" ht="15.75" customHeight="1">
      <c r="A742" s="288"/>
      <c r="B742" s="224"/>
      <c r="C742" s="224"/>
      <c r="D742" s="212"/>
      <c r="E742" s="221"/>
      <c r="F742" s="222"/>
      <c r="G742" s="223"/>
      <c r="H742" s="164"/>
      <c r="I742" s="164"/>
      <c r="J742" s="164"/>
      <c r="K742" s="164"/>
      <c r="L742" s="174"/>
      <c r="M742" s="164"/>
      <c r="N742" s="174"/>
      <c r="O742" s="157"/>
      <c r="P742" s="178"/>
      <c r="Q742" s="157"/>
      <c r="R742" s="157"/>
      <c r="S742" s="178"/>
      <c r="T742" s="157"/>
      <c r="U742" s="178"/>
      <c r="V742" s="191"/>
      <c r="W742" s="191"/>
      <c r="X742" s="191"/>
      <c r="Y742" s="191"/>
      <c r="Z742" s="191"/>
      <c r="AA742" s="191"/>
      <c r="AB742" s="191"/>
    </row>
    <row r="743" ht="15.75" customHeight="1">
      <c r="A743" s="288"/>
      <c r="B743" s="224"/>
      <c r="C743" s="224"/>
      <c r="D743" s="212"/>
      <c r="E743" s="221"/>
      <c r="F743" s="222"/>
      <c r="G743" s="223"/>
      <c r="H743" s="164"/>
      <c r="I743" s="164"/>
      <c r="J743" s="164"/>
      <c r="K743" s="164"/>
      <c r="L743" s="174"/>
      <c r="M743" s="164"/>
      <c r="N743" s="174"/>
      <c r="O743" s="157"/>
      <c r="P743" s="178"/>
      <c r="Q743" s="157"/>
      <c r="R743" s="157"/>
      <c r="S743" s="178"/>
      <c r="T743" s="157"/>
      <c r="U743" s="178"/>
      <c r="V743" s="191"/>
      <c r="W743" s="191"/>
      <c r="X743" s="191"/>
      <c r="Y743" s="191"/>
      <c r="Z743" s="191"/>
      <c r="AA743" s="191"/>
      <c r="AB743" s="191"/>
    </row>
    <row r="744" ht="15.75" customHeight="1">
      <c r="A744" s="288"/>
      <c r="B744" s="224"/>
      <c r="C744" s="224"/>
      <c r="D744" s="212"/>
      <c r="E744" s="221"/>
      <c r="F744" s="222"/>
      <c r="G744" s="223"/>
      <c r="H744" s="164"/>
      <c r="I744" s="164"/>
      <c r="J744" s="164"/>
      <c r="K744" s="164"/>
      <c r="L744" s="174"/>
      <c r="M744" s="164"/>
      <c r="N744" s="174"/>
      <c r="O744" s="157"/>
      <c r="P744" s="178"/>
      <c r="Q744" s="157"/>
      <c r="R744" s="157"/>
      <c r="S744" s="178"/>
      <c r="T744" s="157"/>
      <c r="U744" s="178"/>
      <c r="V744" s="191"/>
      <c r="W744" s="191"/>
      <c r="X744" s="191"/>
      <c r="Y744" s="191"/>
      <c r="Z744" s="191"/>
      <c r="AA744" s="191"/>
      <c r="AB744" s="191"/>
    </row>
    <row r="745" ht="15.75" customHeight="1">
      <c r="A745" s="288"/>
      <c r="B745" s="224"/>
      <c r="C745" s="224"/>
      <c r="D745" s="212"/>
      <c r="E745" s="221"/>
      <c r="F745" s="222"/>
      <c r="G745" s="223"/>
      <c r="H745" s="164"/>
      <c r="I745" s="164"/>
      <c r="J745" s="164"/>
      <c r="K745" s="164"/>
      <c r="L745" s="174"/>
      <c r="M745" s="164"/>
      <c r="N745" s="174"/>
      <c r="O745" s="157"/>
      <c r="P745" s="178"/>
      <c r="Q745" s="157"/>
      <c r="R745" s="157"/>
      <c r="S745" s="178"/>
      <c r="T745" s="157"/>
      <c r="U745" s="178"/>
      <c r="V745" s="191"/>
      <c r="W745" s="191"/>
      <c r="X745" s="191"/>
      <c r="Y745" s="191"/>
      <c r="Z745" s="191"/>
      <c r="AA745" s="191"/>
      <c r="AB745" s="191"/>
    </row>
    <row r="746" ht="15.75" customHeight="1">
      <c r="A746" s="288"/>
      <c r="B746" s="224"/>
      <c r="C746" s="224"/>
      <c r="D746" s="212"/>
      <c r="E746" s="221"/>
      <c r="F746" s="222"/>
      <c r="G746" s="223"/>
      <c r="H746" s="164"/>
      <c r="I746" s="164"/>
      <c r="J746" s="164"/>
      <c r="K746" s="164"/>
      <c r="L746" s="174"/>
      <c r="M746" s="164"/>
      <c r="N746" s="174"/>
      <c r="O746" s="157"/>
      <c r="P746" s="178"/>
      <c r="Q746" s="157"/>
      <c r="R746" s="157"/>
      <c r="S746" s="178"/>
      <c r="T746" s="157"/>
      <c r="U746" s="178"/>
      <c r="V746" s="191"/>
      <c r="W746" s="191"/>
      <c r="X746" s="191"/>
      <c r="Y746" s="191"/>
      <c r="Z746" s="191"/>
      <c r="AA746" s="191"/>
      <c r="AB746" s="191"/>
    </row>
    <row r="747" ht="15.75" customHeight="1">
      <c r="A747" s="288"/>
      <c r="B747" s="224"/>
      <c r="C747" s="224"/>
      <c r="D747" s="212"/>
      <c r="E747" s="221"/>
      <c r="F747" s="222"/>
      <c r="G747" s="223"/>
      <c r="H747" s="164"/>
      <c r="I747" s="164"/>
      <c r="J747" s="164"/>
      <c r="K747" s="164"/>
      <c r="L747" s="174"/>
      <c r="M747" s="164"/>
      <c r="N747" s="174"/>
      <c r="O747" s="157"/>
      <c r="P747" s="178"/>
      <c r="Q747" s="157"/>
      <c r="R747" s="157"/>
      <c r="S747" s="178"/>
      <c r="T747" s="157"/>
      <c r="U747" s="178"/>
      <c r="V747" s="191"/>
      <c r="W747" s="191"/>
      <c r="X747" s="191"/>
      <c r="Y747" s="191"/>
      <c r="Z747" s="191"/>
      <c r="AA747" s="191"/>
      <c r="AB747" s="191"/>
    </row>
    <row r="748" ht="15.75" customHeight="1">
      <c r="A748" s="288"/>
      <c r="B748" s="224"/>
      <c r="C748" s="224"/>
      <c r="D748" s="212"/>
      <c r="E748" s="221"/>
      <c r="F748" s="222"/>
      <c r="G748" s="223"/>
      <c r="H748" s="164"/>
      <c r="I748" s="164"/>
      <c r="J748" s="164"/>
      <c r="K748" s="164"/>
      <c r="L748" s="174"/>
      <c r="M748" s="164"/>
      <c r="N748" s="174"/>
      <c r="O748" s="157"/>
      <c r="P748" s="178"/>
      <c r="Q748" s="157"/>
      <c r="R748" s="157"/>
      <c r="S748" s="178"/>
      <c r="T748" s="157"/>
      <c r="U748" s="178"/>
      <c r="V748" s="191"/>
      <c r="W748" s="191"/>
      <c r="X748" s="191"/>
      <c r="Y748" s="191"/>
      <c r="Z748" s="191"/>
      <c r="AA748" s="191"/>
      <c r="AB748" s="191"/>
    </row>
    <row r="749" ht="15.75" customHeight="1">
      <c r="A749" s="288"/>
      <c r="B749" s="224"/>
      <c r="C749" s="224"/>
      <c r="D749" s="212"/>
      <c r="E749" s="221"/>
      <c r="F749" s="222"/>
      <c r="G749" s="223"/>
      <c r="H749" s="164"/>
      <c r="I749" s="164"/>
      <c r="J749" s="164"/>
      <c r="K749" s="164"/>
      <c r="L749" s="174"/>
      <c r="M749" s="164"/>
      <c r="N749" s="174"/>
      <c r="O749" s="157"/>
      <c r="P749" s="178"/>
      <c r="Q749" s="157"/>
      <c r="R749" s="157"/>
      <c r="S749" s="178"/>
      <c r="T749" s="157"/>
      <c r="U749" s="178"/>
      <c r="V749" s="191"/>
      <c r="W749" s="191"/>
      <c r="X749" s="191"/>
      <c r="Y749" s="191"/>
      <c r="Z749" s="191"/>
      <c r="AA749" s="191"/>
      <c r="AB749" s="191"/>
    </row>
    <row r="750" ht="15.75" customHeight="1">
      <c r="A750" s="288"/>
      <c r="B750" s="224"/>
      <c r="C750" s="224"/>
      <c r="D750" s="212"/>
      <c r="E750" s="221"/>
      <c r="F750" s="222"/>
      <c r="G750" s="223"/>
      <c r="H750" s="164"/>
      <c r="I750" s="164"/>
      <c r="J750" s="164"/>
      <c r="K750" s="164"/>
      <c r="L750" s="174"/>
      <c r="M750" s="164"/>
      <c r="N750" s="174"/>
      <c r="O750" s="157"/>
      <c r="P750" s="178"/>
      <c r="Q750" s="157"/>
      <c r="R750" s="157"/>
      <c r="S750" s="178"/>
      <c r="T750" s="157"/>
      <c r="U750" s="178"/>
      <c r="V750" s="191"/>
      <c r="W750" s="191"/>
      <c r="X750" s="191"/>
      <c r="Y750" s="191"/>
      <c r="Z750" s="191"/>
      <c r="AA750" s="191"/>
      <c r="AB750" s="191"/>
    </row>
    <row r="751" ht="15.75" customHeight="1">
      <c r="A751" s="288"/>
      <c r="B751" s="224"/>
      <c r="C751" s="224"/>
      <c r="D751" s="212"/>
      <c r="E751" s="221"/>
      <c r="F751" s="222"/>
      <c r="G751" s="223"/>
      <c r="H751" s="164"/>
      <c r="I751" s="164"/>
      <c r="J751" s="164"/>
      <c r="K751" s="164"/>
      <c r="L751" s="174"/>
      <c r="M751" s="164"/>
      <c r="N751" s="174"/>
      <c r="O751" s="157"/>
      <c r="P751" s="178"/>
      <c r="Q751" s="157"/>
      <c r="R751" s="157"/>
      <c r="S751" s="178"/>
      <c r="T751" s="157"/>
      <c r="U751" s="178"/>
      <c r="V751" s="191"/>
      <c r="W751" s="191"/>
      <c r="X751" s="191"/>
      <c r="Y751" s="191"/>
      <c r="Z751" s="191"/>
      <c r="AA751" s="191"/>
      <c r="AB751" s="191"/>
    </row>
    <row r="752" ht="15.75" customHeight="1">
      <c r="A752" s="288"/>
      <c r="B752" s="224"/>
      <c r="C752" s="224"/>
      <c r="D752" s="212"/>
      <c r="E752" s="221"/>
      <c r="F752" s="222"/>
      <c r="G752" s="223"/>
      <c r="H752" s="164"/>
      <c r="I752" s="164"/>
      <c r="J752" s="164"/>
      <c r="K752" s="164"/>
      <c r="L752" s="174"/>
      <c r="M752" s="164"/>
      <c r="N752" s="174"/>
      <c r="O752" s="157"/>
      <c r="P752" s="178"/>
      <c r="Q752" s="157"/>
      <c r="R752" s="157"/>
      <c r="S752" s="178"/>
      <c r="T752" s="157"/>
      <c r="U752" s="178"/>
      <c r="V752" s="191"/>
      <c r="W752" s="191"/>
      <c r="X752" s="191"/>
      <c r="Y752" s="191"/>
      <c r="Z752" s="191"/>
      <c r="AA752" s="191"/>
      <c r="AB752" s="191"/>
    </row>
    <row r="753" ht="15.75" customHeight="1">
      <c r="A753" s="288"/>
      <c r="B753" s="224"/>
      <c r="C753" s="224"/>
      <c r="D753" s="212"/>
      <c r="E753" s="221"/>
      <c r="F753" s="222"/>
      <c r="G753" s="223"/>
      <c r="H753" s="164"/>
      <c r="I753" s="164"/>
      <c r="J753" s="164"/>
      <c r="K753" s="164"/>
      <c r="L753" s="174"/>
      <c r="M753" s="164"/>
      <c r="N753" s="174"/>
      <c r="O753" s="157"/>
      <c r="P753" s="178"/>
      <c r="Q753" s="157"/>
      <c r="R753" s="157"/>
      <c r="S753" s="178"/>
      <c r="T753" s="157"/>
      <c r="U753" s="178"/>
      <c r="V753" s="191"/>
      <c r="W753" s="191"/>
      <c r="X753" s="191"/>
      <c r="Y753" s="191"/>
      <c r="Z753" s="191"/>
      <c r="AA753" s="191"/>
      <c r="AB753" s="191"/>
    </row>
    <row r="754" ht="15.75" customHeight="1">
      <c r="A754" s="288"/>
      <c r="B754" s="224"/>
      <c r="C754" s="224"/>
      <c r="D754" s="212"/>
      <c r="E754" s="221"/>
      <c r="F754" s="222"/>
      <c r="G754" s="223"/>
      <c r="H754" s="164"/>
      <c r="I754" s="164"/>
      <c r="J754" s="164"/>
      <c r="K754" s="164"/>
      <c r="L754" s="174"/>
      <c r="M754" s="164"/>
      <c r="N754" s="174"/>
      <c r="O754" s="157"/>
      <c r="P754" s="178"/>
      <c r="Q754" s="157"/>
      <c r="R754" s="157"/>
      <c r="S754" s="178"/>
      <c r="T754" s="157"/>
      <c r="U754" s="178"/>
      <c r="V754" s="191"/>
      <c r="W754" s="191"/>
      <c r="X754" s="191"/>
      <c r="Y754" s="191"/>
      <c r="Z754" s="191"/>
      <c r="AA754" s="191"/>
      <c r="AB754" s="191"/>
    </row>
    <row r="755" ht="15.75" customHeight="1">
      <c r="A755" s="288"/>
      <c r="B755" s="224"/>
      <c r="C755" s="224"/>
      <c r="D755" s="212"/>
      <c r="E755" s="221"/>
      <c r="F755" s="222"/>
      <c r="G755" s="223"/>
      <c r="H755" s="164"/>
      <c r="I755" s="164"/>
      <c r="J755" s="164"/>
      <c r="K755" s="164"/>
      <c r="L755" s="174"/>
      <c r="M755" s="164"/>
      <c r="N755" s="174"/>
      <c r="O755" s="157"/>
      <c r="P755" s="178"/>
      <c r="Q755" s="157"/>
      <c r="R755" s="157"/>
      <c r="S755" s="178"/>
      <c r="T755" s="157"/>
      <c r="U755" s="178"/>
      <c r="V755" s="191"/>
      <c r="W755" s="191"/>
      <c r="X755" s="191"/>
      <c r="Y755" s="191"/>
      <c r="Z755" s="191"/>
      <c r="AA755" s="191"/>
      <c r="AB755" s="191"/>
    </row>
    <row r="756" ht="15.75" customHeight="1">
      <c r="A756" s="288"/>
      <c r="B756" s="224"/>
      <c r="C756" s="224"/>
      <c r="D756" s="212"/>
      <c r="E756" s="221"/>
      <c r="F756" s="222"/>
      <c r="G756" s="223"/>
      <c r="H756" s="164"/>
      <c r="I756" s="164"/>
      <c r="J756" s="164"/>
      <c r="K756" s="164"/>
      <c r="L756" s="174"/>
      <c r="M756" s="164"/>
      <c r="N756" s="174"/>
      <c r="O756" s="157"/>
      <c r="P756" s="178"/>
      <c r="Q756" s="157"/>
      <c r="R756" s="157"/>
      <c r="S756" s="178"/>
      <c r="T756" s="157"/>
      <c r="U756" s="178"/>
      <c r="V756" s="191"/>
      <c r="W756" s="191"/>
      <c r="X756" s="191"/>
      <c r="Y756" s="191"/>
      <c r="Z756" s="191"/>
      <c r="AA756" s="191"/>
      <c r="AB756" s="191"/>
    </row>
    <row r="757" ht="15.75" customHeight="1">
      <c r="A757" s="288"/>
      <c r="B757" s="224"/>
      <c r="C757" s="224"/>
      <c r="D757" s="212"/>
      <c r="E757" s="221"/>
      <c r="F757" s="222"/>
      <c r="G757" s="223"/>
      <c r="H757" s="164"/>
      <c r="I757" s="164"/>
      <c r="J757" s="164"/>
      <c r="K757" s="164"/>
      <c r="L757" s="174"/>
      <c r="M757" s="164"/>
      <c r="N757" s="174"/>
      <c r="O757" s="157"/>
      <c r="P757" s="178"/>
      <c r="Q757" s="157"/>
      <c r="R757" s="157"/>
      <c r="S757" s="178"/>
      <c r="T757" s="157"/>
      <c r="U757" s="178"/>
      <c r="V757" s="191"/>
      <c r="W757" s="191"/>
      <c r="X757" s="191"/>
      <c r="Y757" s="191"/>
      <c r="Z757" s="191"/>
      <c r="AA757" s="191"/>
      <c r="AB757" s="191"/>
    </row>
    <row r="758" ht="15.75" customHeight="1">
      <c r="A758" s="288"/>
      <c r="B758" s="224"/>
      <c r="C758" s="224"/>
      <c r="D758" s="212"/>
      <c r="E758" s="221"/>
      <c r="F758" s="222"/>
      <c r="G758" s="223"/>
      <c r="H758" s="164"/>
      <c r="I758" s="164"/>
      <c r="J758" s="164"/>
      <c r="K758" s="164"/>
      <c r="L758" s="174"/>
      <c r="M758" s="164"/>
      <c r="N758" s="174"/>
      <c r="O758" s="157"/>
      <c r="P758" s="178"/>
      <c r="Q758" s="157"/>
      <c r="R758" s="157"/>
      <c r="S758" s="178"/>
      <c r="T758" s="157"/>
      <c r="U758" s="178"/>
      <c r="V758" s="191"/>
      <c r="W758" s="191"/>
      <c r="X758" s="191"/>
      <c r="Y758" s="191"/>
      <c r="Z758" s="191"/>
      <c r="AA758" s="191"/>
      <c r="AB758" s="191"/>
    </row>
    <row r="759" ht="15.75" customHeight="1">
      <c r="A759" s="288"/>
      <c r="B759" s="224"/>
      <c r="C759" s="224"/>
      <c r="D759" s="212"/>
      <c r="E759" s="221"/>
      <c r="F759" s="222"/>
      <c r="G759" s="223"/>
      <c r="H759" s="164"/>
      <c r="I759" s="164"/>
      <c r="J759" s="164"/>
      <c r="K759" s="164"/>
      <c r="L759" s="174"/>
      <c r="M759" s="164"/>
      <c r="N759" s="174"/>
      <c r="O759" s="157"/>
      <c r="P759" s="178"/>
      <c r="Q759" s="157"/>
      <c r="R759" s="157"/>
      <c r="S759" s="178"/>
      <c r="T759" s="157"/>
      <c r="U759" s="178"/>
      <c r="V759" s="191"/>
      <c r="W759" s="191"/>
      <c r="X759" s="191"/>
      <c r="Y759" s="191"/>
      <c r="Z759" s="191"/>
      <c r="AA759" s="191"/>
      <c r="AB759" s="191"/>
    </row>
    <row r="760" ht="15.75" customHeight="1">
      <c r="A760" s="288"/>
      <c r="B760" s="224"/>
      <c r="C760" s="224"/>
      <c r="D760" s="212"/>
      <c r="E760" s="221"/>
      <c r="F760" s="222"/>
      <c r="G760" s="223"/>
      <c r="H760" s="164"/>
      <c r="I760" s="164"/>
      <c r="J760" s="164"/>
      <c r="K760" s="164"/>
      <c r="L760" s="174"/>
      <c r="M760" s="164"/>
      <c r="N760" s="174"/>
      <c r="O760" s="157"/>
      <c r="P760" s="178"/>
      <c r="Q760" s="157"/>
      <c r="R760" s="157"/>
      <c r="S760" s="178"/>
      <c r="T760" s="157"/>
      <c r="U760" s="178"/>
      <c r="V760" s="191"/>
      <c r="W760" s="191"/>
      <c r="X760" s="191"/>
      <c r="Y760" s="191"/>
      <c r="Z760" s="191"/>
      <c r="AA760" s="191"/>
      <c r="AB760" s="191"/>
    </row>
    <row r="761" ht="15.75" customHeight="1">
      <c r="A761" s="288"/>
      <c r="B761" s="224"/>
      <c r="C761" s="224"/>
      <c r="D761" s="212"/>
      <c r="E761" s="221"/>
      <c r="F761" s="222"/>
      <c r="G761" s="223"/>
      <c r="H761" s="164"/>
      <c r="I761" s="164"/>
      <c r="J761" s="164"/>
      <c r="K761" s="164"/>
      <c r="L761" s="174"/>
      <c r="M761" s="164"/>
      <c r="N761" s="174"/>
      <c r="O761" s="157"/>
      <c r="P761" s="178"/>
      <c r="Q761" s="157"/>
      <c r="R761" s="157"/>
      <c r="S761" s="178"/>
      <c r="T761" s="157"/>
      <c r="U761" s="178"/>
      <c r="V761" s="191"/>
      <c r="W761" s="191"/>
      <c r="X761" s="191"/>
      <c r="Y761" s="191"/>
      <c r="Z761" s="191"/>
      <c r="AA761" s="191"/>
      <c r="AB761" s="191"/>
    </row>
    <row r="762" ht="15.75" customHeight="1">
      <c r="A762" s="288"/>
      <c r="B762" s="224"/>
      <c r="C762" s="224"/>
      <c r="D762" s="212"/>
      <c r="E762" s="221"/>
      <c r="F762" s="222"/>
      <c r="G762" s="223"/>
      <c r="H762" s="164"/>
      <c r="I762" s="164"/>
      <c r="J762" s="164"/>
      <c r="K762" s="164"/>
      <c r="L762" s="174"/>
      <c r="M762" s="164"/>
      <c r="N762" s="174"/>
      <c r="O762" s="157"/>
      <c r="P762" s="178"/>
      <c r="Q762" s="157"/>
      <c r="R762" s="157"/>
      <c r="S762" s="178"/>
      <c r="T762" s="157"/>
      <c r="U762" s="178"/>
      <c r="V762" s="191"/>
      <c r="W762" s="191"/>
      <c r="X762" s="191"/>
      <c r="Y762" s="191"/>
      <c r="Z762" s="191"/>
      <c r="AA762" s="191"/>
      <c r="AB762" s="191"/>
    </row>
    <row r="763" ht="15.75" customHeight="1">
      <c r="A763" s="288"/>
      <c r="B763" s="224"/>
      <c r="C763" s="224"/>
      <c r="D763" s="212"/>
      <c r="E763" s="221"/>
      <c r="F763" s="222"/>
      <c r="G763" s="223"/>
      <c r="H763" s="164"/>
      <c r="I763" s="164"/>
      <c r="J763" s="164"/>
      <c r="K763" s="164"/>
      <c r="L763" s="174"/>
      <c r="M763" s="164"/>
      <c r="N763" s="174"/>
      <c r="O763" s="157"/>
      <c r="P763" s="178"/>
      <c r="Q763" s="157"/>
      <c r="R763" s="157"/>
      <c r="S763" s="178"/>
      <c r="T763" s="157"/>
      <c r="U763" s="178"/>
      <c r="V763" s="191"/>
      <c r="W763" s="191"/>
      <c r="X763" s="191"/>
      <c r="Y763" s="191"/>
      <c r="Z763" s="191"/>
      <c r="AA763" s="191"/>
      <c r="AB763" s="191"/>
    </row>
    <row r="764" ht="15.75" customHeight="1">
      <c r="A764" s="288"/>
      <c r="B764" s="224"/>
      <c r="C764" s="224"/>
      <c r="D764" s="212"/>
      <c r="E764" s="221"/>
      <c r="F764" s="222"/>
      <c r="G764" s="223"/>
      <c r="H764" s="164"/>
      <c r="I764" s="164"/>
      <c r="J764" s="164"/>
      <c r="K764" s="164"/>
      <c r="L764" s="174"/>
      <c r="M764" s="164"/>
      <c r="N764" s="174"/>
      <c r="O764" s="157"/>
      <c r="P764" s="178"/>
      <c r="Q764" s="157"/>
      <c r="R764" s="157"/>
      <c r="S764" s="178"/>
      <c r="T764" s="157"/>
      <c r="U764" s="178"/>
      <c r="V764" s="191"/>
      <c r="W764" s="191"/>
      <c r="X764" s="191"/>
      <c r="Y764" s="191"/>
      <c r="Z764" s="191"/>
      <c r="AA764" s="191"/>
      <c r="AB764" s="191"/>
    </row>
    <row r="765" ht="15.75" customHeight="1">
      <c r="A765" s="288"/>
      <c r="B765" s="224"/>
      <c r="C765" s="224"/>
      <c r="D765" s="212"/>
      <c r="E765" s="221"/>
      <c r="F765" s="222"/>
      <c r="G765" s="223"/>
      <c r="H765" s="164"/>
      <c r="I765" s="164"/>
      <c r="J765" s="164"/>
      <c r="K765" s="164"/>
      <c r="L765" s="174"/>
      <c r="M765" s="164"/>
      <c r="N765" s="174"/>
      <c r="O765" s="157"/>
      <c r="P765" s="178"/>
      <c r="Q765" s="157"/>
      <c r="R765" s="157"/>
      <c r="S765" s="178"/>
      <c r="T765" s="157"/>
      <c r="U765" s="178"/>
      <c r="V765" s="191"/>
      <c r="W765" s="191"/>
      <c r="X765" s="191"/>
      <c r="Y765" s="191"/>
      <c r="Z765" s="191"/>
      <c r="AA765" s="191"/>
      <c r="AB765" s="191"/>
    </row>
    <row r="766" ht="15.75" customHeight="1">
      <c r="A766" s="288"/>
      <c r="B766" s="224"/>
      <c r="C766" s="224"/>
      <c r="D766" s="212"/>
      <c r="E766" s="221"/>
      <c r="F766" s="222"/>
      <c r="G766" s="223"/>
      <c r="H766" s="164"/>
      <c r="I766" s="164"/>
      <c r="J766" s="164"/>
      <c r="K766" s="164"/>
      <c r="L766" s="174"/>
      <c r="M766" s="164"/>
      <c r="N766" s="174"/>
      <c r="O766" s="157"/>
      <c r="P766" s="178"/>
      <c r="Q766" s="157"/>
      <c r="R766" s="157"/>
      <c r="S766" s="178"/>
      <c r="T766" s="157"/>
      <c r="U766" s="178"/>
      <c r="V766" s="191"/>
      <c r="W766" s="191"/>
      <c r="X766" s="191"/>
      <c r="Y766" s="191"/>
      <c r="Z766" s="191"/>
      <c r="AA766" s="191"/>
      <c r="AB766" s="191"/>
    </row>
    <row r="767" ht="15.75" customHeight="1">
      <c r="A767" s="288"/>
      <c r="B767" s="224"/>
      <c r="C767" s="224"/>
      <c r="D767" s="212"/>
      <c r="E767" s="221"/>
      <c r="F767" s="222"/>
      <c r="G767" s="223"/>
      <c r="H767" s="164"/>
      <c r="I767" s="164"/>
      <c r="J767" s="164"/>
      <c r="K767" s="164"/>
      <c r="L767" s="174"/>
      <c r="M767" s="164"/>
      <c r="N767" s="174"/>
      <c r="O767" s="157"/>
      <c r="P767" s="178"/>
      <c r="Q767" s="157"/>
      <c r="R767" s="157"/>
      <c r="S767" s="178"/>
      <c r="T767" s="157"/>
      <c r="U767" s="178"/>
      <c r="V767" s="191"/>
      <c r="W767" s="191"/>
      <c r="X767" s="191"/>
      <c r="Y767" s="191"/>
      <c r="Z767" s="191"/>
      <c r="AA767" s="191"/>
      <c r="AB767" s="191"/>
    </row>
    <row r="768" ht="15.75" customHeight="1">
      <c r="A768" s="288"/>
      <c r="B768" s="224"/>
      <c r="C768" s="224"/>
      <c r="D768" s="212"/>
      <c r="E768" s="221"/>
      <c r="F768" s="222"/>
      <c r="G768" s="223"/>
      <c r="H768" s="164"/>
      <c r="I768" s="164"/>
      <c r="J768" s="164"/>
      <c r="K768" s="164"/>
      <c r="L768" s="174"/>
      <c r="M768" s="164"/>
      <c r="N768" s="174"/>
      <c r="O768" s="157"/>
      <c r="P768" s="178"/>
      <c r="Q768" s="157"/>
      <c r="R768" s="157"/>
      <c r="S768" s="178"/>
      <c r="T768" s="157"/>
      <c r="U768" s="178"/>
      <c r="V768" s="191"/>
      <c r="W768" s="191"/>
      <c r="X768" s="191"/>
      <c r="Y768" s="191"/>
      <c r="Z768" s="191"/>
      <c r="AA768" s="191"/>
      <c r="AB768" s="191"/>
    </row>
    <row r="769" ht="15.75" customHeight="1">
      <c r="A769" s="288"/>
      <c r="B769" s="224"/>
      <c r="C769" s="224"/>
      <c r="D769" s="212"/>
      <c r="E769" s="221"/>
      <c r="F769" s="222"/>
      <c r="G769" s="223"/>
      <c r="H769" s="164"/>
      <c r="I769" s="164"/>
      <c r="J769" s="164"/>
      <c r="K769" s="164"/>
      <c r="L769" s="174"/>
      <c r="M769" s="164"/>
      <c r="N769" s="174"/>
      <c r="O769" s="157"/>
      <c r="P769" s="178"/>
      <c r="Q769" s="157"/>
      <c r="R769" s="157"/>
      <c r="S769" s="178"/>
      <c r="T769" s="157"/>
      <c r="U769" s="178"/>
      <c r="V769" s="191"/>
      <c r="W769" s="191"/>
      <c r="X769" s="191"/>
      <c r="Y769" s="191"/>
      <c r="Z769" s="191"/>
      <c r="AA769" s="191"/>
      <c r="AB769" s="191"/>
    </row>
    <row r="770" ht="15.75" customHeight="1">
      <c r="A770" s="288"/>
      <c r="B770" s="224"/>
      <c r="C770" s="224"/>
      <c r="D770" s="212"/>
      <c r="E770" s="221"/>
      <c r="F770" s="222"/>
      <c r="G770" s="223"/>
      <c r="H770" s="164"/>
      <c r="I770" s="164"/>
      <c r="J770" s="164"/>
      <c r="K770" s="164"/>
      <c r="L770" s="174"/>
      <c r="M770" s="164"/>
      <c r="N770" s="174"/>
      <c r="O770" s="157"/>
      <c r="P770" s="178"/>
      <c r="Q770" s="157"/>
      <c r="R770" s="157"/>
      <c r="S770" s="178"/>
      <c r="T770" s="157"/>
      <c r="U770" s="178"/>
      <c r="V770" s="191"/>
      <c r="W770" s="191"/>
      <c r="X770" s="191"/>
      <c r="Y770" s="191"/>
      <c r="Z770" s="191"/>
      <c r="AA770" s="191"/>
      <c r="AB770" s="191"/>
    </row>
    <row r="771" ht="15.75" customHeight="1">
      <c r="A771" s="288"/>
      <c r="B771" s="224"/>
      <c r="C771" s="224"/>
      <c r="D771" s="212"/>
      <c r="E771" s="221"/>
      <c r="F771" s="222"/>
      <c r="G771" s="223"/>
      <c r="H771" s="164"/>
      <c r="I771" s="164"/>
      <c r="J771" s="164"/>
      <c r="K771" s="164"/>
      <c r="L771" s="174"/>
      <c r="M771" s="164"/>
      <c r="N771" s="174"/>
      <c r="O771" s="157"/>
      <c r="P771" s="178"/>
      <c r="Q771" s="157"/>
      <c r="R771" s="157"/>
      <c r="S771" s="178"/>
      <c r="T771" s="157"/>
      <c r="U771" s="178"/>
      <c r="V771" s="191"/>
      <c r="W771" s="191"/>
      <c r="X771" s="191"/>
      <c r="Y771" s="191"/>
      <c r="Z771" s="191"/>
      <c r="AA771" s="191"/>
      <c r="AB771" s="191"/>
    </row>
    <row r="772" ht="15.75" customHeight="1">
      <c r="A772" s="288"/>
      <c r="B772" s="224"/>
      <c r="C772" s="224"/>
      <c r="D772" s="212"/>
      <c r="E772" s="221"/>
      <c r="F772" s="222"/>
      <c r="G772" s="223"/>
      <c r="H772" s="164"/>
      <c r="I772" s="164"/>
      <c r="J772" s="164"/>
      <c r="K772" s="164"/>
      <c r="L772" s="174"/>
      <c r="M772" s="164"/>
      <c r="N772" s="174"/>
      <c r="O772" s="157"/>
      <c r="P772" s="178"/>
      <c r="Q772" s="157"/>
      <c r="R772" s="157"/>
      <c r="S772" s="178"/>
      <c r="T772" s="157"/>
      <c r="U772" s="178"/>
      <c r="V772" s="191"/>
      <c r="W772" s="191"/>
      <c r="X772" s="191"/>
      <c r="Y772" s="191"/>
      <c r="Z772" s="191"/>
      <c r="AA772" s="191"/>
      <c r="AB772" s="191"/>
    </row>
    <row r="773" ht="15.75" customHeight="1">
      <c r="A773" s="288"/>
      <c r="B773" s="224"/>
      <c r="C773" s="224"/>
      <c r="D773" s="212"/>
      <c r="E773" s="221"/>
      <c r="F773" s="222"/>
      <c r="G773" s="223"/>
      <c r="H773" s="164"/>
      <c r="I773" s="164"/>
      <c r="J773" s="164"/>
      <c r="K773" s="164"/>
      <c r="L773" s="174"/>
      <c r="M773" s="164"/>
      <c r="N773" s="174"/>
      <c r="O773" s="157"/>
      <c r="P773" s="178"/>
      <c r="Q773" s="157"/>
      <c r="R773" s="157"/>
      <c r="S773" s="178"/>
      <c r="T773" s="157"/>
      <c r="U773" s="178"/>
      <c r="V773" s="191"/>
      <c r="W773" s="191"/>
      <c r="X773" s="191"/>
      <c r="Y773" s="191"/>
      <c r="Z773" s="191"/>
      <c r="AA773" s="191"/>
      <c r="AB773" s="191"/>
    </row>
    <row r="774" ht="15.75" customHeight="1">
      <c r="A774" s="288"/>
      <c r="B774" s="224"/>
      <c r="C774" s="224"/>
      <c r="D774" s="212"/>
      <c r="E774" s="221"/>
      <c r="F774" s="222"/>
      <c r="G774" s="223"/>
      <c r="H774" s="164"/>
      <c r="I774" s="164"/>
      <c r="J774" s="164"/>
      <c r="K774" s="164"/>
      <c r="L774" s="174"/>
      <c r="M774" s="164"/>
      <c r="N774" s="174"/>
      <c r="O774" s="157"/>
      <c r="P774" s="178"/>
      <c r="Q774" s="157"/>
      <c r="R774" s="157"/>
      <c r="S774" s="178"/>
      <c r="T774" s="157"/>
      <c r="U774" s="178"/>
      <c r="V774" s="191"/>
      <c r="W774" s="191"/>
      <c r="X774" s="191"/>
      <c r="Y774" s="191"/>
      <c r="Z774" s="191"/>
      <c r="AA774" s="191"/>
      <c r="AB774" s="191"/>
    </row>
    <row r="775" ht="15.75" customHeight="1">
      <c r="A775" s="288"/>
      <c r="B775" s="224"/>
      <c r="C775" s="224"/>
      <c r="D775" s="212"/>
      <c r="E775" s="221"/>
      <c r="F775" s="222"/>
      <c r="G775" s="223"/>
      <c r="H775" s="164"/>
      <c r="I775" s="164"/>
      <c r="J775" s="164"/>
      <c r="K775" s="164"/>
      <c r="L775" s="174"/>
      <c r="M775" s="164"/>
      <c r="N775" s="174"/>
      <c r="O775" s="157"/>
      <c r="P775" s="178"/>
      <c r="Q775" s="157"/>
      <c r="R775" s="157"/>
      <c r="S775" s="178"/>
      <c r="T775" s="157"/>
      <c r="U775" s="178"/>
      <c r="V775" s="191"/>
      <c r="W775" s="191"/>
      <c r="X775" s="191"/>
      <c r="Y775" s="191"/>
      <c r="Z775" s="191"/>
      <c r="AA775" s="191"/>
      <c r="AB775" s="191"/>
    </row>
    <row r="776" ht="15.75" customHeight="1">
      <c r="A776" s="288"/>
      <c r="B776" s="224"/>
      <c r="C776" s="224"/>
      <c r="D776" s="212"/>
      <c r="E776" s="221"/>
      <c r="F776" s="222"/>
      <c r="G776" s="223"/>
      <c r="H776" s="164"/>
      <c r="I776" s="164"/>
      <c r="J776" s="164"/>
      <c r="K776" s="164"/>
      <c r="L776" s="174"/>
      <c r="M776" s="164"/>
      <c r="N776" s="174"/>
      <c r="O776" s="157"/>
      <c r="P776" s="178"/>
      <c r="Q776" s="157"/>
      <c r="R776" s="157"/>
      <c r="S776" s="178"/>
      <c r="T776" s="157"/>
      <c r="U776" s="178"/>
      <c r="V776" s="191"/>
      <c r="W776" s="191"/>
      <c r="X776" s="191"/>
      <c r="Y776" s="191"/>
      <c r="Z776" s="191"/>
      <c r="AA776" s="191"/>
      <c r="AB776" s="191"/>
    </row>
    <row r="777" ht="15.75" customHeight="1">
      <c r="A777" s="288"/>
      <c r="B777" s="224"/>
      <c r="C777" s="224"/>
      <c r="D777" s="212"/>
      <c r="E777" s="221"/>
      <c r="F777" s="222"/>
      <c r="G777" s="223"/>
      <c r="H777" s="164"/>
      <c r="I777" s="164"/>
      <c r="J777" s="164"/>
      <c r="K777" s="164"/>
      <c r="L777" s="174"/>
      <c r="M777" s="164"/>
      <c r="N777" s="174"/>
      <c r="O777" s="157"/>
      <c r="P777" s="178"/>
      <c r="Q777" s="157"/>
      <c r="R777" s="157"/>
      <c r="S777" s="178"/>
      <c r="T777" s="157"/>
      <c r="U777" s="178"/>
      <c r="V777" s="191"/>
      <c r="W777" s="191"/>
      <c r="X777" s="191"/>
      <c r="Y777" s="191"/>
      <c r="Z777" s="191"/>
      <c r="AA777" s="191"/>
      <c r="AB777" s="191"/>
    </row>
    <row r="778" ht="15.75" customHeight="1">
      <c r="A778" s="288"/>
      <c r="B778" s="224"/>
      <c r="C778" s="224"/>
      <c r="D778" s="212"/>
      <c r="E778" s="221"/>
      <c r="F778" s="222"/>
      <c r="G778" s="223"/>
      <c r="H778" s="164"/>
      <c r="I778" s="164"/>
      <c r="J778" s="164"/>
      <c r="K778" s="164"/>
      <c r="L778" s="174"/>
      <c r="M778" s="164"/>
      <c r="N778" s="174"/>
      <c r="O778" s="157"/>
      <c r="P778" s="178"/>
      <c r="Q778" s="157"/>
      <c r="R778" s="157"/>
      <c r="S778" s="178"/>
      <c r="T778" s="157"/>
      <c r="U778" s="178"/>
      <c r="V778" s="191"/>
      <c r="W778" s="191"/>
      <c r="X778" s="191"/>
      <c r="Y778" s="191"/>
      <c r="Z778" s="191"/>
      <c r="AA778" s="191"/>
      <c r="AB778" s="191"/>
    </row>
    <row r="779" ht="15.75" customHeight="1">
      <c r="A779" s="288"/>
      <c r="B779" s="224"/>
      <c r="C779" s="224"/>
      <c r="D779" s="212"/>
      <c r="E779" s="221"/>
      <c r="F779" s="222"/>
      <c r="G779" s="223"/>
      <c r="H779" s="164"/>
      <c r="I779" s="164"/>
      <c r="J779" s="164"/>
      <c r="K779" s="164"/>
      <c r="L779" s="174"/>
      <c r="M779" s="164"/>
      <c r="N779" s="174"/>
      <c r="O779" s="157"/>
      <c r="P779" s="178"/>
      <c r="Q779" s="157"/>
      <c r="R779" s="157"/>
      <c r="S779" s="178"/>
      <c r="T779" s="157"/>
      <c r="U779" s="178"/>
      <c r="V779" s="191"/>
      <c r="W779" s="191"/>
      <c r="X779" s="191"/>
      <c r="Y779" s="191"/>
      <c r="Z779" s="191"/>
      <c r="AA779" s="191"/>
      <c r="AB779" s="191"/>
    </row>
    <row r="780" ht="15.75" customHeight="1">
      <c r="A780" s="288"/>
      <c r="B780" s="224"/>
      <c r="C780" s="224"/>
      <c r="D780" s="212"/>
      <c r="E780" s="221"/>
      <c r="F780" s="222"/>
      <c r="G780" s="223"/>
      <c r="H780" s="164"/>
      <c r="I780" s="164"/>
      <c r="J780" s="164"/>
      <c r="K780" s="164"/>
      <c r="L780" s="174"/>
      <c r="M780" s="164"/>
      <c r="N780" s="174"/>
      <c r="O780" s="157"/>
      <c r="P780" s="178"/>
      <c r="Q780" s="157"/>
      <c r="R780" s="157"/>
      <c r="S780" s="178"/>
      <c r="T780" s="157"/>
      <c r="U780" s="178"/>
      <c r="V780" s="191"/>
      <c r="W780" s="191"/>
      <c r="X780" s="191"/>
      <c r="Y780" s="191"/>
      <c r="Z780" s="191"/>
      <c r="AA780" s="191"/>
      <c r="AB780" s="191"/>
    </row>
    <row r="781" ht="15.75" customHeight="1">
      <c r="A781" s="288"/>
      <c r="B781" s="224"/>
      <c r="C781" s="224"/>
      <c r="D781" s="212"/>
      <c r="E781" s="221"/>
      <c r="F781" s="222"/>
      <c r="G781" s="223"/>
      <c r="H781" s="164"/>
      <c r="I781" s="164"/>
      <c r="J781" s="164"/>
      <c r="K781" s="164"/>
      <c r="L781" s="174"/>
      <c r="M781" s="164"/>
      <c r="N781" s="174"/>
      <c r="O781" s="157"/>
      <c r="P781" s="178"/>
      <c r="Q781" s="157"/>
      <c r="R781" s="157"/>
      <c r="S781" s="178"/>
      <c r="T781" s="157"/>
      <c r="U781" s="178"/>
      <c r="V781" s="191"/>
      <c r="W781" s="191"/>
      <c r="X781" s="191"/>
      <c r="Y781" s="191"/>
      <c r="Z781" s="191"/>
      <c r="AA781" s="191"/>
      <c r="AB781" s="191"/>
    </row>
    <row r="782" ht="15.75" customHeight="1">
      <c r="A782" s="288"/>
      <c r="B782" s="224"/>
      <c r="C782" s="224"/>
      <c r="D782" s="212"/>
      <c r="E782" s="221"/>
      <c r="F782" s="222"/>
      <c r="G782" s="223"/>
      <c r="H782" s="164"/>
      <c r="I782" s="164"/>
      <c r="J782" s="164"/>
      <c r="K782" s="164"/>
      <c r="L782" s="174"/>
      <c r="M782" s="164"/>
      <c r="N782" s="174"/>
      <c r="O782" s="157"/>
      <c r="P782" s="178"/>
      <c r="Q782" s="157"/>
      <c r="R782" s="157"/>
      <c r="S782" s="178"/>
      <c r="T782" s="157"/>
      <c r="U782" s="178"/>
      <c r="V782" s="191"/>
      <c r="W782" s="191"/>
      <c r="X782" s="191"/>
      <c r="Y782" s="191"/>
      <c r="Z782" s="191"/>
      <c r="AA782" s="191"/>
      <c r="AB782" s="191"/>
    </row>
    <row r="783" ht="15.75" customHeight="1">
      <c r="A783" s="288"/>
      <c r="B783" s="224"/>
      <c r="C783" s="224"/>
      <c r="D783" s="212"/>
      <c r="E783" s="221"/>
      <c r="F783" s="222"/>
      <c r="G783" s="223"/>
      <c r="H783" s="164"/>
      <c r="I783" s="164"/>
      <c r="J783" s="164"/>
      <c r="K783" s="164"/>
      <c r="L783" s="174"/>
      <c r="M783" s="164"/>
      <c r="N783" s="174"/>
      <c r="O783" s="157"/>
      <c r="P783" s="178"/>
      <c r="Q783" s="157"/>
      <c r="R783" s="157"/>
      <c r="S783" s="178"/>
      <c r="T783" s="157"/>
      <c r="U783" s="178"/>
      <c r="V783" s="191"/>
      <c r="W783" s="191"/>
      <c r="X783" s="191"/>
      <c r="Y783" s="191"/>
      <c r="Z783" s="191"/>
      <c r="AA783" s="191"/>
      <c r="AB783" s="191"/>
    </row>
    <row r="784" ht="15.75" customHeight="1">
      <c r="A784" s="288"/>
      <c r="B784" s="224"/>
      <c r="C784" s="224"/>
      <c r="D784" s="212"/>
      <c r="E784" s="221"/>
      <c r="F784" s="222"/>
      <c r="G784" s="223"/>
      <c r="H784" s="164"/>
      <c r="I784" s="164"/>
      <c r="J784" s="164"/>
      <c r="K784" s="164"/>
      <c r="L784" s="174"/>
      <c r="M784" s="164"/>
      <c r="N784" s="174"/>
      <c r="O784" s="157"/>
      <c r="P784" s="178"/>
      <c r="Q784" s="157"/>
      <c r="R784" s="157"/>
      <c r="S784" s="178"/>
      <c r="T784" s="157"/>
      <c r="U784" s="178"/>
      <c r="V784" s="191"/>
      <c r="W784" s="191"/>
      <c r="X784" s="191"/>
      <c r="Y784" s="191"/>
      <c r="Z784" s="191"/>
      <c r="AA784" s="191"/>
      <c r="AB784" s="191"/>
    </row>
    <row r="785" ht="15.75" customHeight="1">
      <c r="A785" s="288"/>
      <c r="B785" s="224"/>
      <c r="C785" s="224"/>
      <c r="D785" s="212"/>
      <c r="E785" s="221"/>
      <c r="F785" s="222"/>
      <c r="G785" s="223"/>
      <c r="H785" s="164"/>
      <c r="I785" s="164"/>
      <c r="J785" s="164"/>
      <c r="K785" s="164"/>
      <c r="L785" s="174"/>
      <c r="M785" s="164"/>
      <c r="N785" s="174"/>
      <c r="O785" s="157"/>
      <c r="P785" s="178"/>
      <c r="Q785" s="157"/>
      <c r="R785" s="157"/>
      <c r="S785" s="178"/>
      <c r="T785" s="157"/>
      <c r="U785" s="178"/>
      <c r="V785" s="191"/>
      <c r="W785" s="191"/>
      <c r="X785" s="191"/>
      <c r="Y785" s="191"/>
      <c r="Z785" s="191"/>
      <c r="AA785" s="191"/>
      <c r="AB785" s="191"/>
    </row>
    <row r="786" ht="15.75" customHeight="1">
      <c r="A786" s="288"/>
      <c r="B786" s="224"/>
      <c r="C786" s="224"/>
      <c r="D786" s="212"/>
      <c r="E786" s="221"/>
      <c r="F786" s="222"/>
      <c r="G786" s="223"/>
      <c r="H786" s="164"/>
      <c r="I786" s="164"/>
      <c r="J786" s="164"/>
      <c r="K786" s="164"/>
      <c r="L786" s="174"/>
      <c r="M786" s="164"/>
      <c r="N786" s="174"/>
      <c r="O786" s="157"/>
      <c r="P786" s="178"/>
      <c r="Q786" s="157"/>
      <c r="R786" s="157"/>
      <c r="S786" s="178"/>
      <c r="T786" s="157"/>
      <c r="U786" s="178"/>
      <c r="V786" s="191"/>
      <c r="W786" s="191"/>
      <c r="X786" s="191"/>
      <c r="Y786" s="191"/>
      <c r="Z786" s="191"/>
      <c r="AA786" s="191"/>
      <c r="AB786" s="191"/>
    </row>
    <row r="787" ht="15.75" customHeight="1">
      <c r="A787" s="288"/>
      <c r="B787" s="224"/>
      <c r="C787" s="224"/>
      <c r="D787" s="212"/>
      <c r="E787" s="221"/>
      <c r="F787" s="222"/>
      <c r="G787" s="223"/>
      <c r="H787" s="164"/>
      <c r="I787" s="164"/>
      <c r="J787" s="164"/>
      <c r="K787" s="164"/>
      <c r="L787" s="174"/>
      <c r="M787" s="164"/>
      <c r="N787" s="174"/>
      <c r="O787" s="157"/>
      <c r="P787" s="178"/>
      <c r="Q787" s="157"/>
      <c r="R787" s="157"/>
      <c r="S787" s="178"/>
      <c r="T787" s="157"/>
      <c r="U787" s="178"/>
      <c r="V787" s="191"/>
      <c r="W787" s="191"/>
      <c r="X787" s="191"/>
      <c r="Y787" s="191"/>
      <c r="Z787" s="191"/>
      <c r="AA787" s="191"/>
      <c r="AB787" s="191"/>
    </row>
    <row r="788" ht="15.75" customHeight="1">
      <c r="A788" s="288"/>
      <c r="B788" s="224"/>
      <c r="C788" s="224"/>
      <c r="D788" s="212"/>
      <c r="E788" s="221"/>
      <c r="F788" s="222"/>
      <c r="G788" s="223"/>
      <c r="H788" s="164"/>
      <c r="I788" s="164"/>
      <c r="J788" s="164"/>
      <c r="K788" s="164"/>
      <c r="L788" s="174"/>
      <c r="M788" s="164"/>
      <c r="N788" s="174"/>
      <c r="O788" s="157"/>
      <c r="P788" s="178"/>
      <c r="Q788" s="157"/>
      <c r="R788" s="157"/>
      <c r="S788" s="178"/>
      <c r="T788" s="157"/>
      <c r="U788" s="178"/>
      <c r="V788" s="191"/>
      <c r="W788" s="191"/>
      <c r="X788" s="191"/>
      <c r="Y788" s="191"/>
      <c r="Z788" s="191"/>
      <c r="AA788" s="191"/>
      <c r="AB788" s="191"/>
    </row>
    <row r="789" ht="15.75" customHeight="1">
      <c r="A789" s="288"/>
      <c r="B789" s="224"/>
      <c r="C789" s="224"/>
      <c r="D789" s="212"/>
      <c r="E789" s="221"/>
      <c r="F789" s="222"/>
      <c r="G789" s="223"/>
      <c r="H789" s="164"/>
      <c r="I789" s="164"/>
      <c r="J789" s="164"/>
      <c r="K789" s="164"/>
      <c r="L789" s="174"/>
      <c r="M789" s="164"/>
      <c r="N789" s="174"/>
      <c r="O789" s="157"/>
      <c r="P789" s="178"/>
      <c r="Q789" s="157"/>
      <c r="R789" s="157"/>
      <c r="S789" s="178"/>
      <c r="T789" s="157"/>
      <c r="U789" s="178"/>
      <c r="V789" s="191"/>
      <c r="W789" s="191"/>
      <c r="X789" s="191"/>
      <c r="Y789" s="191"/>
      <c r="Z789" s="191"/>
      <c r="AA789" s="191"/>
      <c r="AB789" s="191"/>
    </row>
    <row r="790" ht="15.75" customHeight="1">
      <c r="A790" s="288"/>
      <c r="B790" s="224"/>
      <c r="C790" s="224"/>
      <c r="D790" s="212"/>
      <c r="E790" s="221"/>
      <c r="F790" s="222"/>
      <c r="G790" s="223"/>
      <c r="H790" s="164"/>
      <c r="I790" s="164"/>
      <c r="J790" s="164"/>
      <c r="K790" s="164"/>
      <c r="L790" s="174"/>
      <c r="M790" s="164"/>
      <c r="N790" s="174"/>
      <c r="O790" s="157"/>
      <c r="P790" s="178"/>
      <c r="Q790" s="157"/>
      <c r="R790" s="157"/>
      <c r="S790" s="178"/>
      <c r="T790" s="157"/>
      <c r="U790" s="178"/>
      <c r="V790" s="191"/>
      <c r="W790" s="191"/>
      <c r="X790" s="191"/>
      <c r="Y790" s="191"/>
      <c r="Z790" s="191"/>
      <c r="AA790" s="191"/>
      <c r="AB790" s="191"/>
    </row>
    <row r="791" ht="15.75" customHeight="1">
      <c r="A791" s="288"/>
      <c r="B791" s="224"/>
      <c r="C791" s="224"/>
      <c r="D791" s="212"/>
      <c r="E791" s="221"/>
      <c r="F791" s="222"/>
      <c r="G791" s="223"/>
      <c r="H791" s="164"/>
      <c r="I791" s="164"/>
      <c r="J791" s="164"/>
      <c r="K791" s="164"/>
      <c r="L791" s="174"/>
      <c r="M791" s="164"/>
      <c r="N791" s="174"/>
      <c r="O791" s="157"/>
      <c r="P791" s="178"/>
      <c r="Q791" s="157"/>
      <c r="R791" s="157"/>
      <c r="S791" s="178"/>
      <c r="T791" s="157"/>
      <c r="U791" s="178"/>
      <c r="V791" s="191"/>
      <c r="W791" s="191"/>
      <c r="X791" s="191"/>
      <c r="Y791" s="191"/>
      <c r="Z791" s="191"/>
      <c r="AA791" s="191"/>
      <c r="AB791" s="191"/>
    </row>
    <row r="792" ht="15.75" customHeight="1">
      <c r="A792" s="288"/>
      <c r="B792" s="224"/>
      <c r="C792" s="224"/>
      <c r="D792" s="212"/>
      <c r="E792" s="221"/>
      <c r="F792" s="222"/>
      <c r="G792" s="223"/>
      <c r="H792" s="164"/>
      <c r="I792" s="164"/>
      <c r="J792" s="164"/>
      <c r="K792" s="164"/>
      <c r="L792" s="174"/>
      <c r="M792" s="164"/>
      <c r="N792" s="174"/>
      <c r="O792" s="157"/>
      <c r="P792" s="178"/>
      <c r="Q792" s="157"/>
      <c r="R792" s="157"/>
      <c r="S792" s="178"/>
      <c r="T792" s="157"/>
      <c r="U792" s="178"/>
      <c r="V792" s="191"/>
      <c r="W792" s="191"/>
      <c r="X792" s="191"/>
      <c r="Y792" s="191"/>
      <c r="Z792" s="191"/>
      <c r="AA792" s="191"/>
      <c r="AB792" s="191"/>
    </row>
    <row r="793" ht="15.75" customHeight="1">
      <c r="A793" s="288"/>
      <c r="B793" s="224"/>
      <c r="C793" s="224"/>
      <c r="D793" s="212"/>
      <c r="E793" s="221"/>
      <c r="F793" s="222"/>
      <c r="G793" s="223"/>
      <c r="H793" s="164"/>
      <c r="I793" s="164"/>
      <c r="J793" s="164"/>
      <c r="K793" s="164"/>
      <c r="L793" s="174"/>
      <c r="M793" s="164"/>
      <c r="N793" s="174"/>
      <c r="O793" s="157"/>
      <c r="P793" s="178"/>
      <c r="Q793" s="157"/>
      <c r="R793" s="157"/>
      <c r="S793" s="178"/>
      <c r="T793" s="157"/>
      <c r="U793" s="178"/>
      <c r="V793" s="191"/>
      <c r="W793" s="191"/>
      <c r="X793" s="191"/>
      <c r="Y793" s="191"/>
      <c r="Z793" s="191"/>
      <c r="AA793" s="191"/>
      <c r="AB793" s="191"/>
    </row>
    <row r="794" ht="15.75" customHeight="1">
      <c r="A794" s="288"/>
      <c r="B794" s="224"/>
      <c r="C794" s="224"/>
      <c r="D794" s="212"/>
      <c r="E794" s="221"/>
      <c r="F794" s="222"/>
      <c r="G794" s="223"/>
      <c r="H794" s="164"/>
      <c r="I794" s="164"/>
      <c r="J794" s="164"/>
      <c r="K794" s="164"/>
      <c r="L794" s="174"/>
      <c r="M794" s="164"/>
      <c r="N794" s="174"/>
      <c r="O794" s="157"/>
      <c r="P794" s="178"/>
      <c r="Q794" s="157"/>
      <c r="R794" s="157"/>
      <c r="S794" s="178"/>
      <c r="T794" s="157"/>
      <c r="U794" s="178"/>
      <c r="V794" s="191"/>
      <c r="W794" s="191"/>
      <c r="X794" s="191"/>
      <c r="Y794" s="191"/>
      <c r="Z794" s="191"/>
      <c r="AA794" s="191"/>
      <c r="AB794" s="191"/>
    </row>
    <row r="795" ht="15.75" customHeight="1">
      <c r="A795" s="288"/>
      <c r="B795" s="224"/>
      <c r="C795" s="224"/>
      <c r="D795" s="212"/>
      <c r="E795" s="221"/>
      <c r="F795" s="222"/>
      <c r="G795" s="223"/>
      <c r="H795" s="164"/>
      <c r="I795" s="164"/>
      <c r="J795" s="164"/>
      <c r="K795" s="164"/>
      <c r="L795" s="174"/>
      <c r="M795" s="164"/>
      <c r="N795" s="174"/>
      <c r="O795" s="157"/>
      <c r="P795" s="178"/>
      <c r="Q795" s="157"/>
      <c r="R795" s="157"/>
      <c r="S795" s="178"/>
      <c r="T795" s="157"/>
      <c r="U795" s="178"/>
      <c r="V795" s="191"/>
      <c r="W795" s="191"/>
      <c r="X795" s="191"/>
      <c r="Y795" s="191"/>
      <c r="Z795" s="191"/>
      <c r="AA795" s="191"/>
      <c r="AB795" s="191"/>
    </row>
    <row r="796" ht="15.75" customHeight="1">
      <c r="A796" s="288"/>
      <c r="B796" s="224"/>
      <c r="C796" s="224"/>
      <c r="D796" s="212"/>
      <c r="E796" s="221"/>
      <c r="F796" s="222"/>
      <c r="G796" s="223"/>
      <c r="H796" s="164"/>
      <c r="I796" s="164"/>
      <c r="J796" s="164"/>
      <c r="K796" s="164"/>
      <c r="L796" s="174"/>
      <c r="M796" s="164"/>
      <c r="N796" s="174"/>
      <c r="O796" s="157"/>
      <c r="P796" s="178"/>
      <c r="Q796" s="157"/>
      <c r="R796" s="157"/>
      <c r="S796" s="178"/>
      <c r="T796" s="157"/>
      <c r="U796" s="178"/>
      <c r="V796" s="191"/>
      <c r="W796" s="191"/>
      <c r="X796" s="191"/>
      <c r="Y796" s="191"/>
      <c r="Z796" s="191"/>
      <c r="AA796" s="191"/>
      <c r="AB796" s="191"/>
    </row>
    <row r="797" ht="15.75" customHeight="1">
      <c r="A797" s="288"/>
      <c r="B797" s="224"/>
      <c r="C797" s="224"/>
      <c r="D797" s="212"/>
      <c r="E797" s="221"/>
      <c r="F797" s="222"/>
      <c r="G797" s="223"/>
      <c r="H797" s="164"/>
      <c r="I797" s="164"/>
      <c r="J797" s="164"/>
      <c r="K797" s="164"/>
      <c r="L797" s="174"/>
      <c r="M797" s="164"/>
      <c r="N797" s="174"/>
      <c r="O797" s="157"/>
      <c r="P797" s="178"/>
      <c r="Q797" s="157"/>
      <c r="R797" s="157"/>
      <c r="S797" s="178"/>
      <c r="T797" s="157"/>
      <c r="U797" s="178"/>
      <c r="V797" s="191"/>
      <c r="W797" s="191"/>
      <c r="X797" s="191"/>
      <c r="Y797" s="191"/>
      <c r="Z797" s="191"/>
      <c r="AA797" s="191"/>
      <c r="AB797" s="191"/>
    </row>
    <row r="798" ht="15.75" customHeight="1">
      <c r="A798" s="288"/>
      <c r="B798" s="224"/>
      <c r="C798" s="224"/>
      <c r="D798" s="212"/>
      <c r="E798" s="221"/>
      <c r="F798" s="222"/>
      <c r="G798" s="223"/>
      <c r="H798" s="164"/>
      <c r="I798" s="164"/>
      <c r="J798" s="164"/>
      <c r="K798" s="164"/>
      <c r="L798" s="174"/>
      <c r="M798" s="164"/>
      <c r="N798" s="174"/>
      <c r="O798" s="157"/>
      <c r="P798" s="178"/>
      <c r="Q798" s="157"/>
      <c r="R798" s="157"/>
      <c r="S798" s="178"/>
      <c r="T798" s="157"/>
      <c r="U798" s="178"/>
      <c r="V798" s="191"/>
      <c r="W798" s="191"/>
      <c r="X798" s="191"/>
      <c r="Y798" s="191"/>
      <c r="Z798" s="191"/>
      <c r="AA798" s="191"/>
      <c r="AB798" s="191"/>
    </row>
    <row r="799" ht="15.75" customHeight="1">
      <c r="A799" s="288"/>
      <c r="B799" s="224"/>
      <c r="C799" s="224"/>
      <c r="D799" s="212"/>
      <c r="E799" s="221"/>
      <c r="F799" s="222"/>
      <c r="G799" s="223"/>
      <c r="H799" s="164"/>
      <c r="I799" s="164"/>
      <c r="J799" s="164"/>
      <c r="K799" s="164"/>
      <c r="L799" s="174"/>
      <c r="M799" s="164"/>
      <c r="N799" s="174"/>
      <c r="O799" s="157"/>
      <c r="P799" s="178"/>
      <c r="Q799" s="157"/>
      <c r="R799" s="157"/>
      <c r="S799" s="178"/>
      <c r="T799" s="157"/>
      <c r="U799" s="178"/>
      <c r="V799" s="191"/>
      <c r="W799" s="191"/>
      <c r="X799" s="191"/>
      <c r="Y799" s="191"/>
      <c r="Z799" s="191"/>
      <c r="AA799" s="191"/>
      <c r="AB799" s="191"/>
    </row>
    <row r="800" ht="15.75" customHeight="1">
      <c r="A800" s="288"/>
      <c r="B800" s="224"/>
      <c r="C800" s="224"/>
      <c r="D800" s="212"/>
      <c r="E800" s="221"/>
      <c r="F800" s="222"/>
      <c r="G800" s="223"/>
      <c r="H800" s="164"/>
      <c r="I800" s="164"/>
      <c r="J800" s="164"/>
      <c r="K800" s="164"/>
      <c r="L800" s="174"/>
      <c r="M800" s="164"/>
      <c r="N800" s="174"/>
      <c r="O800" s="157"/>
      <c r="P800" s="178"/>
      <c r="Q800" s="157"/>
      <c r="R800" s="157"/>
      <c r="S800" s="178"/>
      <c r="T800" s="157"/>
      <c r="U800" s="178"/>
      <c r="V800" s="191"/>
      <c r="W800" s="191"/>
      <c r="X800" s="191"/>
      <c r="Y800" s="191"/>
      <c r="Z800" s="191"/>
      <c r="AA800" s="191"/>
      <c r="AB800" s="191"/>
    </row>
    <row r="801" ht="15.75" customHeight="1">
      <c r="A801" s="288"/>
      <c r="B801" s="224"/>
      <c r="C801" s="224"/>
      <c r="D801" s="212"/>
      <c r="E801" s="221"/>
      <c r="F801" s="222"/>
      <c r="G801" s="223"/>
      <c r="H801" s="164"/>
      <c r="I801" s="164"/>
      <c r="J801" s="164"/>
      <c r="K801" s="164"/>
      <c r="L801" s="174"/>
      <c r="M801" s="164"/>
      <c r="N801" s="174"/>
      <c r="O801" s="157"/>
      <c r="P801" s="178"/>
      <c r="Q801" s="157"/>
      <c r="R801" s="157"/>
      <c r="S801" s="178"/>
      <c r="T801" s="157"/>
      <c r="U801" s="178"/>
      <c r="V801" s="191"/>
      <c r="W801" s="191"/>
      <c r="X801" s="191"/>
      <c r="Y801" s="191"/>
      <c r="Z801" s="191"/>
      <c r="AA801" s="191"/>
      <c r="AB801" s="191"/>
    </row>
    <row r="802" ht="15.75" customHeight="1">
      <c r="A802" s="288"/>
      <c r="B802" s="224"/>
      <c r="C802" s="224"/>
      <c r="D802" s="212"/>
      <c r="E802" s="221"/>
      <c r="F802" s="222"/>
      <c r="G802" s="223"/>
      <c r="H802" s="164"/>
      <c r="I802" s="164"/>
      <c r="J802" s="164"/>
      <c r="K802" s="164"/>
      <c r="L802" s="174"/>
      <c r="M802" s="164"/>
      <c r="N802" s="174"/>
      <c r="O802" s="157"/>
      <c r="P802" s="178"/>
      <c r="Q802" s="157"/>
      <c r="R802" s="157"/>
      <c r="S802" s="178"/>
      <c r="T802" s="157"/>
      <c r="U802" s="178"/>
      <c r="V802" s="191"/>
      <c r="W802" s="191"/>
      <c r="X802" s="191"/>
      <c r="Y802" s="191"/>
      <c r="Z802" s="191"/>
      <c r="AA802" s="191"/>
      <c r="AB802" s="191"/>
    </row>
    <row r="803" ht="15.75" customHeight="1">
      <c r="A803" s="288"/>
      <c r="B803" s="224"/>
      <c r="C803" s="224"/>
      <c r="D803" s="212"/>
      <c r="E803" s="221"/>
      <c r="F803" s="222"/>
      <c r="G803" s="223"/>
      <c r="H803" s="164"/>
      <c r="I803" s="164"/>
      <c r="J803" s="164"/>
      <c r="K803" s="164"/>
      <c r="L803" s="174"/>
      <c r="M803" s="164"/>
      <c r="N803" s="174"/>
      <c r="O803" s="157"/>
      <c r="P803" s="178"/>
      <c r="Q803" s="157"/>
      <c r="R803" s="157"/>
      <c r="S803" s="178"/>
      <c r="T803" s="157"/>
      <c r="U803" s="178"/>
      <c r="V803" s="191"/>
      <c r="W803" s="191"/>
      <c r="X803" s="191"/>
      <c r="Y803" s="191"/>
      <c r="Z803" s="191"/>
      <c r="AA803" s="191"/>
      <c r="AB803" s="191"/>
    </row>
    <row r="804" ht="15.75" customHeight="1">
      <c r="A804" s="288"/>
      <c r="B804" s="224"/>
      <c r="C804" s="224"/>
      <c r="D804" s="212"/>
      <c r="E804" s="221"/>
      <c r="F804" s="222"/>
      <c r="G804" s="223"/>
      <c r="H804" s="164"/>
      <c r="I804" s="164"/>
      <c r="J804" s="164"/>
      <c r="K804" s="164"/>
      <c r="L804" s="174"/>
      <c r="M804" s="164"/>
      <c r="N804" s="174"/>
      <c r="O804" s="157"/>
      <c r="P804" s="178"/>
      <c r="Q804" s="157"/>
      <c r="R804" s="157"/>
      <c r="S804" s="178"/>
      <c r="T804" s="157"/>
      <c r="U804" s="178"/>
      <c r="V804" s="191"/>
      <c r="W804" s="191"/>
      <c r="X804" s="191"/>
      <c r="Y804" s="191"/>
      <c r="Z804" s="191"/>
      <c r="AA804" s="191"/>
      <c r="AB804" s="191"/>
    </row>
    <row r="805" ht="15.75" customHeight="1">
      <c r="A805" s="288"/>
      <c r="B805" s="224"/>
      <c r="C805" s="224"/>
      <c r="D805" s="212"/>
      <c r="E805" s="221"/>
      <c r="F805" s="222"/>
      <c r="G805" s="223"/>
      <c r="H805" s="164"/>
      <c r="I805" s="164"/>
      <c r="J805" s="164"/>
      <c r="K805" s="164"/>
      <c r="L805" s="174"/>
      <c r="M805" s="164"/>
      <c r="N805" s="174"/>
      <c r="O805" s="157"/>
      <c r="P805" s="178"/>
      <c r="Q805" s="157"/>
      <c r="R805" s="157"/>
      <c r="S805" s="178"/>
      <c r="T805" s="157"/>
      <c r="U805" s="178"/>
      <c r="V805" s="191"/>
      <c r="W805" s="191"/>
      <c r="X805" s="191"/>
      <c r="Y805" s="191"/>
      <c r="Z805" s="191"/>
      <c r="AA805" s="191"/>
      <c r="AB805" s="191"/>
    </row>
    <row r="806" ht="15.75" customHeight="1">
      <c r="A806" s="288"/>
      <c r="B806" s="224"/>
      <c r="C806" s="224"/>
      <c r="D806" s="212"/>
      <c r="E806" s="221"/>
      <c r="F806" s="222"/>
      <c r="G806" s="223"/>
      <c r="H806" s="164"/>
      <c r="I806" s="164"/>
      <c r="J806" s="164"/>
      <c r="K806" s="164"/>
      <c r="L806" s="174"/>
      <c r="M806" s="164"/>
      <c r="N806" s="174"/>
      <c r="O806" s="157"/>
      <c r="P806" s="178"/>
      <c r="Q806" s="157"/>
      <c r="R806" s="157"/>
      <c r="S806" s="178"/>
      <c r="T806" s="157"/>
      <c r="U806" s="178"/>
      <c r="V806" s="191"/>
      <c r="W806" s="191"/>
      <c r="X806" s="191"/>
      <c r="Y806" s="191"/>
      <c r="Z806" s="191"/>
      <c r="AA806" s="191"/>
      <c r="AB806" s="191"/>
    </row>
    <row r="807" ht="15.75" customHeight="1">
      <c r="A807" s="288"/>
      <c r="B807" s="224"/>
      <c r="C807" s="224"/>
      <c r="D807" s="212"/>
      <c r="E807" s="221"/>
      <c r="F807" s="222"/>
      <c r="G807" s="223"/>
      <c r="H807" s="164"/>
      <c r="I807" s="164"/>
      <c r="J807" s="164"/>
      <c r="K807" s="164"/>
      <c r="L807" s="174"/>
      <c r="M807" s="164"/>
      <c r="N807" s="174"/>
      <c r="O807" s="157"/>
      <c r="P807" s="178"/>
      <c r="Q807" s="157"/>
      <c r="R807" s="157"/>
      <c r="S807" s="178"/>
      <c r="T807" s="157"/>
      <c r="U807" s="178"/>
      <c r="V807" s="191"/>
      <c r="W807" s="191"/>
      <c r="X807" s="191"/>
      <c r="Y807" s="191"/>
      <c r="Z807" s="191"/>
      <c r="AA807" s="191"/>
      <c r="AB807" s="191"/>
    </row>
    <row r="808" ht="15.75" customHeight="1">
      <c r="A808" s="288"/>
      <c r="B808" s="224"/>
      <c r="C808" s="224"/>
      <c r="D808" s="212"/>
      <c r="E808" s="221"/>
      <c r="F808" s="222"/>
      <c r="G808" s="223"/>
      <c r="H808" s="164"/>
      <c r="I808" s="164"/>
      <c r="J808" s="164"/>
      <c r="K808" s="164"/>
      <c r="L808" s="174"/>
      <c r="M808" s="164"/>
      <c r="N808" s="174"/>
      <c r="O808" s="157"/>
      <c r="P808" s="178"/>
      <c r="Q808" s="157"/>
      <c r="R808" s="157"/>
      <c r="S808" s="178"/>
      <c r="T808" s="157"/>
      <c r="U808" s="178"/>
      <c r="V808" s="191"/>
      <c r="W808" s="191"/>
      <c r="X808" s="191"/>
      <c r="Y808" s="191"/>
      <c r="Z808" s="191"/>
      <c r="AA808" s="191"/>
      <c r="AB808" s="191"/>
    </row>
    <row r="809" ht="15.75" customHeight="1">
      <c r="A809" s="288"/>
      <c r="B809" s="224"/>
      <c r="C809" s="224"/>
      <c r="D809" s="212"/>
      <c r="E809" s="221"/>
      <c r="F809" s="222"/>
      <c r="G809" s="223"/>
      <c r="H809" s="164"/>
      <c r="I809" s="164"/>
      <c r="J809" s="164"/>
      <c r="K809" s="164"/>
      <c r="L809" s="174"/>
      <c r="M809" s="164"/>
      <c r="N809" s="174"/>
      <c r="O809" s="157"/>
      <c r="P809" s="178"/>
      <c r="Q809" s="157"/>
      <c r="R809" s="157"/>
      <c r="S809" s="178"/>
      <c r="T809" s="157"/>
      <c r="U809" s="178"/>
      <c r="V809" s="191"/>
      <c r="W809" s="191"/>
      <c r="X809" s="191"/>
      <c r="Y809" s="191"/>
      <c r="Z809" s="191"/>
      <c r="AA809" s="191"/>
      <c r="AB809" s="191"/>
    </row>
    <row r="810" ht="15.75" customHeight="1">
      <c r="A810" s="288"/>
      <c r="B810" s="224"/>
      <c r="C810" s="224"/>
      <c r="D810" s="212"/>
      <c r="E810" s="221"/>
      <c r="F810" s="222"/>
      <c r="G810" s="223"/>
      <c r="H810" s="164"/>
      <c r="I810" s="164"/>
      <c r="J810" s="164"/>
      <c r="K810" s="164"/>
      <c r="L810" s="174"/>
      <c r="M810" s="164"/>
      <c r="N810" s="174"/>
      <c r="O810" s="157"/>
      <c r="P810" s="178"/>
      <c r="Q810" s="157"/>
      <c r="R810" s="157"/>
      <c r="S810" s="178"/>
      <c r="T810" s="157"/>
      <c r="U810" s="178"/>
      <c r="V810" s="191"/>
      <c r="W810" s="191"/>
      <c r="X810" s="191"/>
      <c r="Y810" s="191"/>
      <c r="Z810" s="191"/>
      <c r="AA810" s="191"/>
      <c r="AB810" s="191"/>
    </row>
    <row r="811" ht="15.75" customHeight="1">
      <c r="A811" s="288"/>
      <c r="B811" s="224"/>
      <c r="C811" s="224"/>
      <c r="D811" s="212"/>
      <c r="E811" s="221"/>
      <c r="F811" s="222"/>
      <c r="G811" s="223"/>
      <c r="H811" s="164"/>
      <c r="I811" s="164"/>
      <c r="J811" s="164"/>
      <c r="K811" s="164"/>
      <c r="L811" s="174"/>
      <c r="M811" s="164"/>
      <c r="N811" s="174"/>
      <c r="O811" s="157"/>
      <c r="P811" s="178"/>
      <c r="Q811" s="157"/>
      <c r="R811" s="157"/>
      <c r="S811" s="178"/>
      <c r="T811" s="157"/>
      <c r="U811" s="178"/>
      <c r="V811" s="191"/>
      <c r="W811" s="191"/>
      <c r="X811" s="191"/>
      <c r="Y811" s="191"/>
      <c r="Z811" s="191"/>
      <c r="AA811" s="191"/>
      <c r="AB811" s="191"/>
    </row>
    <row r="812" ht="15.75" customHeight="1">
      <c r="A812" s="288"/>
      <c r="B812" s="224"/>
      <c r="C812" s="224"/>
      <c r="D812" s="212"/>
      <c r="E812" s="221"/>
      <c r="F812" s="222"/>
      <c r="G812" s="223"/>
      <c r="H812" s="164"/>
      <c r="I812" s="164"/>
      <c r="J812" s="164"/>
      <c r="K812" s="164"/>
      <c r="L812" s="174"/>
      <c r="M812" s="164"/>
      <c r="N812" s="174"/>
      <c r="O812" s="157"/>
      <c r="P812" s="178"/>
      <c r="Q812" s="157"/>
      <c r="R812" s="157"/>
      <c r="S812" s="178"/>
      <c r="T812" s="157"/>
      <c r="U812" s="178"/>
      <c r="V812" s="191"/>
      <c r="W812" s="191"/>
      <c r="X812" s="191"/>
      <c r="Y812" s="191"/>
      <c r="Z812" s="191"/>
      <c r="AA812" s="191"/>
      <c r="AB812" s="191"/>
    </row>
    <row r="813" ht="15.75" customHeight="1">
      <c r="A813" s="288"/>
      <c r="B813" s="224"/>
      <c r="C813" s="224"/>
      <c r="D813" s="212"/>
      <c r="E813" s="221"/>
      <c r="F813" s="222"/>
      <c r="G813" s="223"/>
      <c r="H813" s="164"/>
      <c r="I813" s="164"/>
      <c r="J813" s="164"/>
      <c r="K813" s="164"/>
      <c r="L813" s="174"/>
      <c r="M813" s="164"/>
      <c r="N813" s="174"/>
      <c r="O813" s="157"/>
      <c r="P813" s="178"/>
      <c r="Q813" s="157"/>
      <c r="R813" s="157"/>
      <c r="S813" s="178"/>
      <c r="T813" s="157"/>
      <c r="U813" s="178"/>
      <c r="V813" s="191"/>
      <c r="W813" s="191"/>
      <c r="X813" s="191"/>
      <c r="Y813" s="191"/>
      <c r="Z813" s="191"/>
      <c r="AA813" s="191"/>
      <c r="AB813" s="191"/>
    </row>
    <row r="814" ht="15.75" customHeight="1">
      <c r="A814" s="288"/>
      <c r="B814" s="224"/>
      <c r="C814" s="224"/>
      <c r="D814" s="212"/>
      <c r="E814" s="221"/>
      <c r="F814" s="222"/>
      <c r="G814" s="223"/>
      <c r="H814" s="164"/>
      <c r="I814" s="164"/>
      <c r="J814" s="164"/>
      <c r="K814" s="164"/>
      <c r="L814" s="174"/>
      <c r="M814" s="164"/>
      <c r="N814" s="174"/>
      <c r="O814" s="157"/>
      <c r="P814" s="178"/>
      <c r="Q814" s="157"/>
      <c r="R814" s="157"/>
      <c r="S814" s="178"/>
      <c r="T814" s="157"/>
      <c r="U814" s="178"/>
      <c r="V814" s="191"/>
      <c r="W814" s="191"/>
      <c r="X814" s="191"/>
      <c r="Y814" s="191"/>
      <c r="Z814" s="191"/>
      <c r="AA814" s="191"/>
      <c r="AB814" s="191"/>
    </row>
    <row r="815" ht="15.75" customHeight="1">
      <c r="A815" s="288"/>
      <c r="B815" s="224"/>
      <c r="C815" s="224"/>
      <c r="D815" s="212"/>
      <c r="E815" s="221"/>
      <c r="F815" s="222"/>
      <c r="G815" s="223"/>
      <c r="H815" s="164"/>
      <c r="I815" s="164"/>
      <c r="J815" s="164"/>
      <c r="K815" s="164"/>
      <c r="L815" s="174"/>
      <c r="M815" s="164"/>
      <c r="N815" s="174"/>
      <c r="O815" s="157"/>
      <c r="P815" s="178"/>
      <c r="Q815" s="157"/>
      <c r="R815" s="157"/>
      <c r="S815" s="178"/>
      <c r="T815" s="157"/>
      <c r="U815" s="178"/>
      <c r="V815" s="191"/>
      <c r="W815" s="191"/>
      <c r="X815" s="191"/>
      <c r="Y815" s="191"/>
      <c r="Z815" s="191"/>
      <c r="AA815" s="191"/>
      <c r="AB815" s="191"/>
    </row>
    <row r="816" ht="15.75" customHeight="1">
      <c r="A816" s="288"/>
      <c r="B816" s="224"/>
      <c r="C816" s="224"/>
      <c r="D816" s="212"/>
      <c r="E816" s="221"/>
      <c r="F816" s="222"/>
      <c r="G816" s="223"/>
      <c r="H816" s="164"/>
      <c r="I816" s="164"/>
      <c r="J816" s="164"/>
      <c r="K816" s="164"/>
      <c r="L816" s="174"/>
      <c r="M816" s="164"/>
      <c r="N816" s="174"/>
      <c r="O816" s="157"/>
      <c r="P816" s="178"/>
      <c r="Q816" s="157"/>
      <c r="R816" s="157"/>
      <c r="S816" s="178"/>
      <c r="T816" s="157"/>
      <c r="U816" s="178"/>
      <c r="V816" s="191"/>
      <c r="W816" s="191"/>
      <c r="X816" s="191"/>
      <c r="Y816" s="191"/>
      <c r="Z816" s="191"/>
      <c r="AA816" s="191"/>
      <c r="AB816" s="191"/>
    </row>
    <row r="817" ht="15.75" customHeight="1">
      <c r="A817" s="288"/>
      <c r="B817" s="224"/>
      <c r="C817" s="224"/>
      <c r="D817" s="212"/>
      <c r="E817" s="221"/>
      <c r="F817" s="222"/>
      <c r="G817" s="223"/>
      <c r="H817" s="164"/>
      <c r="I817" s="164"/>
      <c r="J817" s="164"/>
      <c r="K817" s="164"/>
      <c r="L817" s="174"/>
      <c r="M817" s="164"/>
      <c r="N817" s="174"/>
      <c r="O817" s="157"/>
      <c r="P817" s="178"/>
      <c r="Q817" s="157"/>
      <c r="R817" s="157"/>
      <c r="S817" s="178"/>
      <c r="T817" s="157"/>
      <c r="U817" s="178"/>
      <c r="V817" s="191"/>
      <c r="W817" s="191"/>
      <c r="X817" s="191"/>
      <c r="Y817" s="191"/>
      <c r="Z817" s="191"/>
      <c r="AA817" s="191"/>
      <c r="AB817" s="191"/>
    </row>
    <row r="818" ht="15.75" customHeight="1">
      <c r="A818" s="288"/>
      <c r="B818" s="224"/>
      <c r="C818" s="224"/>
      <c r="D818" s="212"/>
      <c r="E818" s="221"/>
      <c r="F818" s="222"/>
      <c r="G818" s="223"/>
      <c r="H818" s="164"/>
      <c r="I818" s="164"/>
      <c r="J818" s="164"/>
      <c r="K818" s="164"/>
      <c r="L818" s="174"/>
      <c r="M818" s="164"/>
      <c r="N818" s="174"/>
      <c r="O818" s="157"/>
      <c r="P818" s="178"/>
      <c r="Q818" s="157"/>
      <c r="R818" s="157"/>
      <c r="S818" s="178"/>
      <c r="T818" s="157"/>
      <c r="U818" s="178"/>
      <c r="V818" s="191"/>
      <c r="W818" s="191"/>
      <c r="X818" s="191"/>
      <c r="Y818" s="191"/>
      <c r="Z818" s="191"/>
      <c r="AA818" s="191"/>
      <c r="AB818" s="191"/>
    </row>
    <row r="819" ht="15.75" customHeight="1">
      <c r="A819" s="288"/>
      <c r="B819" s="224"/>
      <c r="C819" s="224"/>
      <c r="D819" s="212"/>
      <c r="E819" s="221"/>
      <c r="F819" s="222"/>
      <c r="G819" s="223"/>
      <c r="H819" s="164"/>
      <c r="I819" s="164"/>
      <c r="J819" s="164"/>
      <c r="K819" s="164"/>
      <c r="L819" s="174"/>
      <c r="M819" s="164"/>
      <c r="N819" s="174"/>
      <c r="O819" s="157"/>
      <c r="P819" s="178"/>
      <c r="Q819" s="157"/>
      <c r="R819" s="157"/>
      <c r="S819" s="178"/>
      <c r="T819" s="157"/>
      <c r="U819" s="178"/>
      <c r="V819" s="191"/>
      <c r="W819" s="191"/>
      <c r="X819" s="191"/>
      <c r="Y819" s="191"/>
      <c r="Z819" s="191"/>
      <c r="AA819" s="191"/>
      <c r="AB819" s="191"/>
    </row>
    <row r="820" ht="15.75" customHeight="1">
      <c r="A820" s="288"/>
      <c r="B820" s="224"/>
      <c r="C820" s="224"/>
      <c r="D820" s="212"/>
      <c r="E820" s="221"/>
      <c r="F820" s="222"/>
      <c r="G820" s="223"/>
      <c r="H820" s="164"/>
      <c r="I820" s="164"/>
      <c r="J820" s="164"/>
      <c r="K820" s="164"/>
      <c r="L820" s="174"/>
      <c r="M820" s="164"/>
      <c r="N820" s="174"/>
      <c r="O820" s="157"/>
      <c r="P820" s="178"/>
      <c r="Q820" s="157"/>
      <c r="R820" s="157"/>
      <c r="S820" s="178"/>
      <c r="T820" s="157"/>
      <c r="U820" s="178"/>
      <c r="V820" s="191"/>
      <c r="W820" s="191"/>
      <c r="X820" s="191"/>
      <c r="Y820" s="191"/>
      <c r="Z820" s="191"/>
      <c r="AA820" s="191"/>
      <c r="AB820" s="191"/>
    </row>
    <row r="821" ht="15.75" customHeight="1">
      <c r="A821" s="288"/>
      <c r="B821" s="224"/>
      <c r="C821" s="224"/>
      <c r="D821" s="212"/>
      <c r="E821" s="221"/>
      <c r="F821" s="222"/>
      <c r="G821" s="223"/>
      <c r="H821" s="164"/>
      <c r="I821" s="164"/>
      <c r="J821" s="164"/>
      <c r="K821" s="164"/>
      <c r="L821" s="174"/>
      <c r="M821" s="164"/>
      <c r="N821" s="174"/>
      <c r="O821" s="157"/>
      <c r="P821" s="178"/>
      <c r="Q821" s="157"/>
      <c r="R821" s="157"/>
      <c r="S821" s="178"/>
      <c r="T821" s="157"/>
      <c r="U821" s="178"/>
      <c r="V821" s="191"/>
      <c r="W821" s="191"/>
      <c r="X821" s="191"/>
      <c r="Y821" s="191"/>
      <c r="Z821" s="191"/>
      <c r="AA821" s="191"/>
      <c r="AB821" s="191"/>
    </row>
    <row r="822" ht="15.75" customHeight="1">
      <c r="A822" s="288"/>
      <c r="B822" s="224"/>
      <c r="C822" s="224"/>
      <c r="D822" s="212"/>
      <c r="E822" s="221"/>
      <c r="F822" s="222"/>
      <c r="G822" s="223"/>
      <c r="H822" s="164"/>
      <c r="I822" s="164"/>
      <c r="J822" s="164"/>
      <c r="K822" s="164"/>
      <c r="L822" s="174"/>
      <c r="M822" s="164"/>
      <c r="N822" s="174"/>
      <c r="O822" s="157"/>
      <c r="P822" s="178"/>
      <c r="Q822" s="157"/>
      <c r="R822" s="157"/>
      <c r="S822" s="178"/>
      <c r="T822" s="157"/>
      <c r="U822" s="178"/>
      <c r="V822" s="191"/>
      <c r="W822" s="191"/>
      <c r="X822" s="191"/>
      <c r="Y822" s="191"/>
      <c r="Z822" s="191"/>
      <c r="AA822" s="191"/>
      <c r="AB822" s="191"/>
    </row>
    <row r="823" ht="15.75" customHeight="1">
      <c r="A823" s="288"/>
      <c r="B823" s="224"/>
      <c r="C823" s="224"/>
      <c r="D823" s="212"/>
      <c r="E823" s="221"/>
      <c r="F823" s="222"/>
      <c r="G823" s="223"/>
      <c r="H823" s="164"/>
      <c r="I823" s="164"/>
      <c r="J823" s="164"/>
      <c r="K823" s="164"/>
      <c r="L823" s="174"/>
      <c r="M823" s="164"/>
      <c r="N823" s="174"/>
      <c r="O823" s="157"/>
      <c r="P823" s="178"/>
      <c r="Q823" s="157"/>
      <c r="R823" s="157"/>
      <c r="S823" s="178"/>
      <c r="T823" s="157"/>
      <c r="U823" s="178"/>
      <c r="V823" s="191"/>
      <c r="W823" s="191"/>
      <c r="X823" s="191"/>
      <c r="Y823" s="191"/>
      <c r="Z823" s="191"/>
      <c r="AA823" s="191"/>
      <c r="AB823" s="191"/>
    </row>
    <row r="824" ht="15.75" customHeight="1">
      <c r="A824" s="288"/>
      <c r="B824" s="224"/>
      <c r="C824" s="224"/>
      <c r="D824" s="212"/>
      <c r="E824" s="221"/>
      <c r="F824" s="222"/>
      <c r="G824" s="223"/>
      <c r="H824" s="164"/>
      <c r="I824" s="164"/>
      <c r="J824" s="164"/>
      <c r="K824" s="164"/>
      <c r="L824" s="174"/>
      <c r="M824" s="164"/>
      <c r="N824" s="174"/>
      <c r="O824" s="157"/>
      <c r="P824" s="178"/>
      <c r="Q824" s="157"/>
      <c r="R824" s="157"/>
      <c r="S824" s="178"/>
      <c r="T824" s="157"/>
      <c r="U824" s="178"/>
      <c r="V824" s="191"/>
      <c r="W824" s="191"/>
      <c r="X824" s="191"/>
      <c r="Y824" s="191"/>
      <c r="Z824" s="191"/>
      <c r="AA824" s="191"/>
      <c r="AB824" s="191"/>
    </row>
    <row r="825" ht="15.75" customHeight="1">
      <c r="A825" s="288"/>
      <c r="B825" s="224"/>
      <c r="C825" s="224"/>
      <c r="D825" s="212"/>
      <c r="E825" s="221"/>
      <c r="F825" s="222"/>
      <c r="G825" s="223"/>
      <c r="H825" s="164"/>
      <c r="I825" s="164"/>
      <c r="J825" s="164"/>
      <c r="K825" s="164"/>
      <c r="L825" s="174"/>
      <c r="M825" s="164"/>
      <c r="N825" s="174"/>
      <c r="O825" s="157"/>
      <c r="P825" s="178"/>
      <c r="Q825" s="157"/>
      <c r="R825" s="157"/>
      <c r="S825" s="178"/>
      <c r="T825" s="157"/>
      <c r="U825" s="178"/>
      <c r="V825" s="191"/>
      <c r="W825" s="191"/>
      <c r="X825" s="191"/>
      <c r="Y825" s="191"/>
      <c r="Z825" s="191"/>
      <c r="AA825" s="191"/>
      <c r="AB825" s="191"/>
    </row>
    <row r="826" ht="15.75" customHeight="1">
      <c r="A826" s="288"/>
      <c r="B826" s="224"/>
      <c r="C826" s="224"/>
      <c r="D826" s="212"/>
      <c r="E826" s="221"/>
      <c r="F826" s="222"/>
      <c r="G826" s="223"/>
      <c r="H826" s="164"/>
      <c r="I826" s="164"/>
      <c r="J826" s="164"/>
      <c r="K826" s="164"/>
      <c r="L826" s="174"/>
      <c r="M826" s="164"/>
      <c r="N826" s="174"/>
      <c r="O826" s="157"/>
      <c r="P826" s="178"/>
      <c r="Q826" s="157"/>
      <c r="R826" s="157"/>
      <c r="S826" s="178"/>
      <c r="T826" s="157"/>
      <c r="U826" s="178"/>
      <c r="V826" s="191"/>
      <c r="W826" s="191"/>
      <c r="X826" s="191"/>
      <c r="Y826" s="191"/>
      <c r="Z826" s="191"/>
      <c r="AA826" s="191"/>
      <c r="AB826" s="191"/>
    </row>
    <row r="827" ht="15.75" customHeight="1">
      <c r="A827" s="288"/>
      <c r="B827" s="224"/>
      <c r="C827" s="224"/>
      <c r="D827" s="212"/>
      <c r="E827" s="221"/>
      <c r="F827" s="222"/>
      <c r="G827" s="223"/>
      <c r="H827" s="164"/>
      <c r="I827" s="164"/>
      <c r="J827" s="164"/>
      <c r="K827" s="164"/>
      <c r="L827" s="174"/>
      <c r="M827" s="164"/>
      <c r="N827" s="174"/>
      <c r="O827" s="157"/>
      <c r="P827" s="178"/>
      <c r="Q827" s="157"/>
      <c r="R827" s="157"/>
      <c r="S827" s="178"/>
      <c r="T827" s="157"/>
      <c r="U827" s="178"/>
      <c r="V827" s="191"/>
      <c r="W827" s="191"/>
      <c r="X827" s="191"/>
      <c r="Y827" s="191"/>
      <c r="Z827" s="191"/>
      <c r="AA827" s="191"/>
      <c r="AB827" s="191"/>
    </row>
    <row r="828" ht="15.75" customHeight="1">
      <c r="A828" s="288"/>
      <c r="B828" s="224"/>
      <c r="C828" s="224"/>
      <c r="D828" s="212"/>
      <c r="E828" s="221"/>
      <c r="F828" s="222"/>
      <c r="G828" s="223"/>
      <c r="H828" s="164"/>
      <c r="I828" s="164"/>
      <c r="J828" s="164"/>
      <c r="K828" s="164"/>
      <c r="L828" s="174"/>
      <c r="M828" s="164"/>
      <c r="N828" s="174"/>
      <c r="O828" s="157"/>
      <c r="P828" s="178"/>
      <c r="Q828" s="157"/>
      <c r="R828" s="157"/>
      <c r="S828" s="178"/>
      <c r="T828" s="157"/>
      <c r="U828" s="178"/>
      <c r="V828" s="191"/>
      <c r="W828" s="191"/>
      <c r="X828" s="191"/>
      <c r="Y828" s="191"/>
      <c r="Z828" s="191"/>
      <c r="AA828" s="191"/>
      <c r="AB828" s="191"/>
    </row>
    <row r="829" ht="15.75" customHeight="1">
      <c r="A829" s="288"/>
      <c r="B829" s="224"/>
      <c r="C829" s="224"/>
      <c r="D829" s="212"/>
      <c r="E829" s="221"/>
      <c r="F829" s="222"/>
      <c r="G829" s="223"/>
      <c r="H829" s="164"/>
      <c r="I829" s="164"/>
      <c r="J829" s="164"/>
      <c r="K829" s="164"/>
      <c r="L829" s="174"/>
      <c r="M829" s="164"/>
      <c r="N829" s="174"/>
      <c r="O829" s="157"/>
      <c r="P829" s="178"/>
      <c r="Q829" s="157"/>
      <c r="R829" s="157"/>
      <c r="S829" s="178"/>
      <c r="T829" s="157"/>
      <c r="U829" s="178"/>
      <c r="V829" s="191"/>
      <c r="W829" s="191"/>
      <c r="X829" s="191"/>
      <c r="Y829" s="191"/>
      <c r="Z829" s="191"/>
      <c r="AA829" s="191"/>
      <c r="AB829" s="191"/>
    </row>
    <row r="830" ht="15.75" customHeight="1">
      <c r="A830" s="288"/>
      <c r="B830" s="224"/>
      <c r="C830" s="224"/>
      <c r="D830" s="212"/>
      <c r="E830" s="221"/>
      <c r="F830" s="222"/>
      <c r="G830" s="223"/>
      <c r="H830" s="164"/>
      <c r="I830" s="164"/>
      <c r="J830" s="164"/>
      <c r="K830" s="164"/>
      <c r="L830" s="174"/>
      <c r="M830" s="164"/>
      <c r="N830" s="174"/>
      <c r="O830" s="157"/>
      <c r="P830" s="178"/>
      <c r="Q830" s="157"/>
      <c r="R830" s="157"/>
      <c r="S830" s="178"/>
      <c r="T830" s="157"/>
      <c r="U830" s="178"/>
      <c r="V830" s="191"/>
      <c r="W830" s="191"/>
      <c r="X830" s="191"/>
      <c r="Y830" s="191"/>
      <c r="Z830" s="191"/>
      <c r="AA830" s="191"/>
      <c r="AB830" s="191"/>
    </row>
    <row r="831" ht="15.75" customHeight="1">
      <c r="A831" s="288"/>
      <c r="B831" s="224"/>
      <c r="C831" s="224"/>
      <c r="D831" s="212"/>
      <c r="E831" s="221"/>
      <c r="F831" s="222"/>
      <c r="G831" s="223"/>
      <c r="H831" s="164"/>
      <c r="I831" s="164"/>
      <c r="J831" s="164"/>
      <c r="K831" s="164"/>
      <c r="L831" s="174"/>
      <c r="M831" s="164"/>
      <c r="N831" s="174"/>
      <c r="O831" s="157"/>
      <c r="P831" s="178"/>
      <c r="Q831" s="157"/>
      <c r="R831" s="157"/>
      <c r="S831" s="178"/>
      <c r="T831" s="157"/>
      <c r="U831" s="178"/>
      <c r="V831" s="191"/>
      <c r="W831" s="191"/>
      <c r="X831" s="191"/>
      <c r="Y831" s="191"/>
      <c r="Z831" s="191"/>
      <c r="AA831" s="191"/>
      <c r="AB831" s="191"/>
    </row>
    <row r="832" ht="15.75" customHeight="1">
      <c r="A832" s="288"/>
      <c r="B832" s="224"/>
      <c r="C832" s="224"/>
      <c r="D832" s="212"/>
      <c r="E832" s="221"/>
      <c r="F832" s="222"/>
      <c r="G832" s="223"/>
      <c r="H832" s="164"/>
      <c r="I832" s="164"/>
      <c r="J832" s="164"/>
      <c r="K832" s="164"/>
      <c r="L832" s="174"/>
      <c r="M832" s="164"/>
      <c r="N832" s="174"/>
      <c r="O832" s="157"/>
      <c r="P832" s="178"/>
      <c r="Q832" s="157"/>
      <c r="R832" s="157"/>
      <c r="S832" s="178"/>
      <c r="T832" s="157"/>
      <c r="U832" s="178"/>
      <c r="V832" s="191"/>
      <c r="W832" s="191"/>
      <c r="X832" s="191"/>
      <c r="Y832" s="191"/>
      <c r="Z832" s="191"/>
      <c r="AA832" s="191"/>
      <c r="AB832" s="191"/>
    </row>
    <row r="833" ht="15.75" customHeight="1">
      <c r="A833" s="288"/>
      <c r="B833" s="224"/>
      <c r="C833" s="224"/>
      <c r="D833" s="212"/>
      <c r="E833" s="221"/>
      <c r="F833" s="222"/>
      <c r="G833" s="223"/>
      <c r="H833" s="164"/>
      <c r="I833" s="164"/>
      <c r="J833" s="164"/>
      <c r="K833" s="164"/>
      <c r="L833" s="174"/>
      <c r="M833" s="164"/>
      <c r="N833" s="174"/>
      <c r="O833" s="157"/>
      <c r="P833" s="178"/>
      <c r="Q833" s="157"/>
      <c r="R833" s="157"/>
      <c r="S833" s="178"/>
      <c r="T833" s="157"/>
      <c r="U833" s="178"/>
      <c r="V833" s="191"/>
      <c r="W833" s="191"/>
      <c r="X833" s="191"/>
      <c r="Y833" s="191"/>
      <c r="Z833" s="191"/>
      <c r="AA833" s="191"/>
      <c r="AB833" s="191"/>
    </row>
    <row r="834" ht="15.75" customHeight="1">
      <c r="A834" s="288"/>
      <c r="B834" s="224"/>
      <c r="C834" s="224"/>
      <c r="D834" s="212"/>
      <c r="E834" s="221"/>
      <c r="F834" s="222"/>
      <c r="G834" s="223"/>
      <c r="H834" s="164"/>
      <c r="I834" s="164"/>
      <c r="J834" s="164"/>
      <c r="K834" s="164"/>
      <c r="L834" s="174"/>
      <c r="M834" s="164"/>
      <c r="N834" s="174"/>
      <c r="O834" s="157"/>
      <c r="P834" s="178"/>
      <c r="Q834" s="157"/>
      <c r="R834" s="157"/>
      <c r="S834" s="178"/>
      <c r="T834" s="157"/>
      <c r="U834" s="178"/>
      <c r="V834" s="191"/>
      <c r="W834" s="191"/>
      <c r="X834" s="191"/>
      <c r="Y834" s="191"/>
      <c r="Z834" s="191"/>
      <c r="AA834" s="191"/>
      <c r="AB834" s="191"/>
    </row>
    <row r="835" ht="15.75" customHeight="1">
      <c r="A835" s="288"/>
      <c r="B835" s="224"/>
      <c r="C835" s="224"/>
      <c r="D835" s="212"/>
      <c r="E835" s="221"/>
      <c r="F835" s="222"/>
      <c r="G835" s="223"/>
      <c r="H835" s="164"/>
      <c r="I835" s="164"/>
      <c r="J835" s="164"/>
      <c r="K835" s="164"/>
      <c r="L835" s="174"/>
      <c r="M835" s="164"/>
      <c r="N835" s="174"/>
      <c r="O835" s="157"/>
      <c r="P835" s="178"/>
      <c r="Q835" s="157"/>
      <c r="R835" s="157"/>
      <c r="S835" s="178"/>
      <c r="T835" s="157"/>
      <c r="U835" s="178"/>
      <c r="V835" s="191"/>
      <c r="W835" s="191"/>
      <c r="X835" s="191"/>
      <c r="Y835" s="191"/>
      <c r="Z835" s="191"/>
      <c r="AA835" s="191"/>
      <c r="AB835" s="191"/>
    </row>
    <row r="836" ht="15.75" customHeight="1">
      <c r="A836" s="288"/>
      <c r="B836" s="224"/>
      <c r="C836" s="224"/>
      <c r="D836" s="212"/>
      <c r="E836" s="221"/>
      <c r="F836" s="222"/>
      <c r="G836" s="223"/>
      <c r="H836" s="164"/>
      <c r="I836" s="164"/>
      <c r="J836" s="164"/>
      <c r="K836" s="164"/>
      <c r="L836" s="174"/>
      <c r="M836" s="164"/>
      <c r="N836" s="174"/>
      <c r="O836" s="157"/>
      <c r="P836" s="178"/>
      <c r="Q836" s="157"/>
      <c r="R836" s="157"/>
      <c r="S836" s="178"/>
      <c r="T836" s="157"/>
      <c r="U836" s="178"/>
      <c r="V836" s="191"/>
      <c r="W836" s="191"/>
      <c r="X836" s="191"/>
      <c r="Y836" s="191"/>
      <c r="Z836" s="191"/>
      <c r="AA836" s="191"/>
      <c r="AB836" s="191"/>
    </row>
    <row r="837" ht="15.75" customHeight="1">
      <c r="A837" s="288"/>
      <c r="B837" s="224"/>
      <c r="C837" s="224"/>
      <c r="D837" s="212"/>
      <c r="E837" s="221"/>
      <c r="F837" s="222"/>
      <c r="G837" s="223"/>
      <c r="H837" s="164"/>
      <c r="I837" s="164"/>
      <c r="J837" s="164"/>
      <c r="K837" s="164"/>
      <c r="L837" s="174"/>
      <c r="M837" s="164"/>
      <c r="N837" s="174"/>
      <c r="O837" s="157"/>
      <c r="P837" s="178"/>
      <c r="Q837" s="157"/>
      <c r="R837" s="157"/>
      <c r="S837" s="178"/>
      <c r="T837" s="157"/>
      <c r="U837" s="178"/>
      <c r="V837" s="191"/>
      <c r="W837" s="191"/>
      <c r="X837" s="191"/>
      <c r="Y837" s="191"/>
      <c r="Z837" s="191"/>
      <c r="AA837" s="191"/>
      <c r="AB837" s="191"/>
    </row>
    <row r="838" ht="15.75" customHeight="1">
      <c r="A838" s="288"/>
      <c r="B838" s="224"/>
      <c r="C838" s="224"/>
      <c r="D838" s="212"/>
      <c r="E838" s="221"/>
      <c r="F838" s="222"/>
      <c r="G838" s="223"/>
      <c r="H838" s="164"/>
      <c r="I838" s="164"/>
      <c r="J838" s="164"/>
      <c r="K838" s="164"/>
      <c r="L838" s="174"/>
      <c r="M838" s="164"/>
      <c r="N838" s="174"/>
      <c r="O838" s="157"/>
      <c r="P838" s="178"/>
      <c r="Q838" s="157"/>
      <c r="R838" s="157"/>
      <c r="S838" s="178"/>
      <c r="T838" s="157"/>
      <c r="U838" s="178"/>
      <c r="V838" s="191"/>
      <c r="W838" s="191"/>
      <c r="X838" s="191"/>
      <c r="Y838" s="191"/>
      <c r="Z838" s="191"/>
      <c r="AA838" s="191"/>
      <c r="AB838" s="191"/>
    </row>
    <row r="839" ht="15.75" customHeight="1">
      <c r="A839" s="288"/>
      <c r="B839" s="224"/>
      <c r="C839" s="224"/>
      <c r="D839" s="212"/>
      <c r="E839" s="221"/>
      <c r="F839" s="222"/>
      <c r="G839" s="223"/>
      <c r="H839" s="164"/>
      <c r="I839" s="164"/>
      <c r="J839" s="164"/>
      <c r="K839" s="164"/>
      <c r="L839" s="174"/>
      <c r="M839" s="164"/>
      <c r="N839" s="174"/>
      <c r="O839" s="157"/>
      <c r="P839" s="178"/>
      <c r="Q839" s="157"/>
      <c r="R839" s="157"/>
      <c r="S839" s="178"/>
      <c r="T839" s="157"/>
      <c r="U839" s="178"/>
      <c r="V839" s="191"/>
      <c r="W839" s="191"/>
      <c r="X839" s="191"/>
      <c r="Y839" s="191"/>
      <c r="Z839" s="191"/>
      <c r="AA839" s="191"/>
      <c r="AB839" s="191"/>
    </row>
    <row r="840" ht="15.75" customHeight="1">
      <c r="A840" s="288"/>
      <c r="B840" s="224"/>
      <c r="C840" s="224"/>
      <c r="D840" s="212"/>
      <c r="E840" s="221"/>
      <c r="F840" s="222"/>
      <c r="G840" s="223"/>
      <c r="H840" s="164"/>
      <c r="I840" s="164"/>
      <c r="J840" s="164"/>
      <c r="K840" s="164"/>
      <c r="L840" s="174"/>
      <c r="M840" s="164"/>
      <c r="N840" s="174"/>
      <c r="O840" s="157"/>
      <c r="P840" s="178"/>
      <c r="Q840" s="157"/>
      <c r="R840" s="157"/>
      <c r="S840" s="178"/>
      <c r="T840" s="157"/>
      <c r="U840" s="178"/>
      <c r="V840" s="191"/>
      <c r="W840" s="191"/>
      <c r="X840" s="191"/>
      <c r="Y840" s="191"/>
      <c r="Z840" s="191"/>
      <c r="AA840" s="191"/>
      <c r="AB840" s="191"/>
    </row>
    <row r="841" ht="15.75" customHeight="1">
      <c r="A841" s="288"/>
      <c r="B841" s="224"/>
      <c r="C841" s="224"/>
      <c r="D841" s="212"/>
      <c r="E841" s="221"/>
      <c r="F841" s="222"/>
      <c r="G841" s="223"/>
      <c r="H841" s="164"/>
      <c r="I841" s="164"/>
      <c r="J841" s="164"/>
      <c r="K841" s="164"/>
      <c r="L841" s="174"/>
      <c r="M841" s="164"/>
      <c r="N841" s="174"/>
      <c r="O841" s="157"/>
      <c r="P841" s="178"/>
      <c r="Q841" s="157"/>
      <c r="R841" s="157"/>
      <c r="S841" s="178"/>
      <c r="T841" s="157"/>
      <c r="U841" s="178"/>
      <c r="V841" s="191"/>
      <c r="W841" s="191"/>
      <c r="X841" s="191"/>
      <c r="Y841" s="191"/>
      <c r="Z841" s="191"/>
      <c r="AA841" s="191"/>
      <c r="AB841" s="191"/>
    </row>
    <row r="842" ht="15.75" customHeight="1">
      <c r="A842" s="288"/>
      <c r="B842" s="224"/>
      <c r="C842" s="224"/>
      <c r="D842" s="212"/>
      <c r="E842" s="221"/>
      <c r="F842" s="222"/>
      <c r="G842" s="223"/>
      <c r="H842" s="164"/>
      <c r="I842" s="164"/>
      <c r="J842" s="164"/>
      <c r="K842" s="164"/>
      <c r="L842" s="174"/>
      <c r="M842" s="164"/>
      <c r="N842" s="174"/>
      <c r="O842" s="157"/>
      <c r="P842" s="178"/>
      <c r="Q842" s="157"/>
      <c r="R842" s="157"/>
      <c r="S842" s="178"/>
      <c r="T842" s="157"/>
      <c r="U842" s="178"/>
      <c r="V842" s="191"/>
      <c r="W842" s="191"/>
      <c r="X842" s="191"/>
      <c r="Y842" s="191"/>
      <c r="Z842" s="191"/>
      <c r="AA842" s="191"/>
      <c r="AB842" s="191"/>
    </row>
    <row r="843" ht="15.75" customHeight="1">
      <c r="A843" s="288"/>
      <c r="B843" s="224"/>
      <c r="C843" s="224"/>
      <c r="D843" s="212"/>
      <c r="E843" s="221"/>
      <c r="F843" s="222"/>
      <c r="G843" s="223"/>
      <c r="H843" s="164"/>
      <c r="I843" s="164"/>
      <c r="J843" s="164"/>
      <c r="K843" s="164"/>
      <c r="L843" s="174"/>
      <c r="M843" s="164"/>
      <c r="N843" s="174"/>
      <c r="O843" s="157"/>
      <c r="P843" s="178"/>
      <c r="Q843" s="157"/>
      <c r="R843" s="157"/>
      <c r="S843" s="178"/>
      <c r="T843" s="157"/>
      <c r="U843" s="178"/>
      <c r="V843" s="191"/>
      <c r="W843" s="191"/>
      <c r="X843" s="191"/>
      <c r="Y843" s="191"/>
      <c r="Z843" s="191"/>
      <c r="AA843" s="191"/>
      <c r="AB843" s="191"/>
    </row>
    <row r="844" ht="15.75" customHeight="1">
      <c r="A844" s="288"/>
      <c r="B844" s="224"/>
      <c r="C844" s="224"/>
      <c r="D844" s="212"/>
      <c r="E844" s="221"/>
      <c r="F844" s="222"/>
      <c r="G844" s="223"/>
      <c r="H844" s="164"/>
      <c r="I844" s="164"/>
      <c r="J844" s="164"/>
      <c r="K844" s="164"/>
      <c r="L844" s="174"/>
      <c r="M844" s="164"/>
      <c r="N844" s="174"/>
      <c r="O844" s="157"/>
      <c r="P844" s="178"/>
      <c r="Q844" s="157"/>
      <c r="R844" s="157"/>
      <c r="S844" s="178"/>
      <c r="T844" s="157"/>
      <c r="U844" s="178"/>
      <c r="V844" s="191"/>
      <c r="W844" s="191"/>
      <c r="X844" s="191"/>
      <c r="Y844" s="191"/>
      <c r="Z844" s="191"/>
      <c r="AA844" s="191"/>
      <c r="AB844" s="191"/>
    </row>
    <row r="845" ht="15.75" customHeight="1">
      <c r="A845" s="288"/>
      <c r="B845" s="224"/>
      <c r="C845" s="224"/>
      <c r="D845" s="212"/>
      <c r="E845" s="221"/>
      <c r="F845" s="222"/>
      <c r="G845" s="223"/>
      <c r="H845" s="164"/>
      <c r="I845" s="164"/>
      <c r="J845" s="164"/>
      <c r="K845" s="164"/>
      <c r="L845" s="174"/>
      <c r="M845" s="164"/>
      <c r="N845" s="174"/>
      <c r="O845" s="157"/>
      <c r="P845" s="178"/>
      <c r="Q845" s="157"/>
      <c r="R845" s="157"/>
      <c r="S845" s="178"/>
      <c r="T845" s="157"/>
      <c r="U845" s="178"/>
      <c r="V845" s="191"/>
      <c r="W845" s="191"/>
      <c r="X845" s="191"/>
      <c r="Y845" s="191"/>
      <c r="Z845" s="191"/>
      <c r="AA845" s="191"/>
      <c r="AB845" s="191"/>
    </row>
    <row r="846" ht="15.75" customHeight="1">
      <c r="A846" s="288"/>
      <c r="B846" s="224"/>
      <c r="C846" s="224"/>
      <c r="D846" s="212"/>
      <c r="E846" s="221"/>
      <c r="F846" s="222"/>
      <c r="G846" s="223"/>
      <c r="H846" s="164"/>
      <c r="I846" s="164"/>
      <c r="J846" s="164"/>
      <c r="K846" s="164"/>
      <c r="L846" s="174"/>
      <c r="M846" s="164"/>
      <c r="N846" s="174"/>
      <c r="O846" s="157"/>
      <c r="P846" s="178"/>
      <c r="Q846" s="157"/>
      <c r="R846" s="157"/>
      <c r="S846" s="178"/>
      <c r="T846" s="157"/>
      <c r="U846" s="178"/>
      <c r="V846" s="191"/>
      <c r="W846" s="191"/>
      <c r="X846" s="191"/>
      <c r="Y846" s="191"/>
      <c r="Z846" s="191"/>
      <c r="AA846" s="191"/>
      <c r="AB846" s="191"/>
    </row>
    <row r="847" ht="15.75" customHeight="1">
      <c r="A847" s="288"/>
      <c r="B847" s="224"/>
      <c r="C847" s="224"/>
      <c r="D847" s="212"/>
      <c r="E847" s="221"/>
      <c r="F847" s="222"/>
      <c r="G847" s="223"/>
      <c r="H847" s="164"/>
      <c r="I847" s="164"/>
      <c r="J847" s="164"/>
      <c r="K847" s="164"/>
      <c r="L847" s="174"/>
      <c r="M847" s="164"/>
      <c r="N847" s="174"/>
      <c r="O847" s="157"/>
      <c r="P847" s="178"/>
      <c r="Q847" s="157"/>
      <c r="R847" s="157"/>
      <c r="S847" s="178"/>
      <c r="T847" s="157"/>
      <c r="U847" s="178"/>
      <c r="V847" s="191"/>
      <c r="W847" s="191"/>
      <c r="X847" s="191"/>
      <c r="Y847" s="191"/>
      <c r="Z847" s="191"/>
      <c r="AA847" s="191"/>
      <c r="AB847" s="191"/>
    </row>
    <row r="848" ht="15.75" customHeight="1">
      <c r="A848" s="288"/>
      <c r="B848" s="224"/>
      <c r="C848" s="224"/>
      <c r="D848" s="212"/>
      <c r="E848" s="221"/>
      <c r="F848" s="222"/>
      <c r="G848" s="223"/>
      <c r="H848" s="164"/>
      <c r="I848" s="164"/>
      <c r="J848" s="164"/>
      <c r="K848" s="164"/>
      <c r="L848" s="174"/>
      <c r="M848" s="164"/>
      <c r="N848" s="174"/>
      <c r="O848" s="157"/>
      <c r="P848" s="178"/>
      <c r="Q848" s="157"/>
      <c r="R848" s="157"/>
      <c r="S848" s="178"/>
      <c r="T848" s="157"/>
      <c r="U848" s="178"/>
      <c r="V848" s="191"/>
      <c r="W848" s="191"/>
      <c r="X848" s="191"/>
      <c r="Y848" s="191"/>
      <c r="Z848" s="191"/>
      <c r="AA848" s="191"/>
      <c r="AB848" s="191"/>
    </row>
    <row r="849" ht="15.75" customHeight="1">
      <c r="A849" s="288"/>
      <c r="B849" s="224"/>
      <c r="C849" s="224"/>
      <c r="D849" s="212"/>
      <c r="E849" s="221"/>
      <c r="F849" s="222"/>
      <c r="G849" s="223"/>
      <c r="H849" s="164"/>
      <c r="I849" s="164"/>
      <c r="J849" s="164"/>
      <c r="K849" s="164"/>
      <c r="L849" s="174"/>
      <c r="M849" s="164"/>
      <c r="N849" s="174"/>
      <c r="O849" s="157"/>
      <c r="P849" s="178"/>
      <c r="Q849" s="157"/>
      <c r="R849" s="157"/>
      <c r="S849" s="178"/>
      <c r="T849" s="157"/>
      <c r="U849" s="178"/>
      <c r="V849" s="191"/>
      <c r="W849" s="191"/>
      <c r="X849" s="191"/>
      <c r="Y849" s="191"/>
      <c r="Z849" s="191"/>
      <c r="AA849" s="191"/>
      <c r="AB849" s="191"/>
    </row>
    <row r="850" ht="15.75" customHeight="1">
      <c r="A850" s="288"/>
      <c r="B850" s="224"/>
      <c r="C850" s="224"/>
      <c r="D850" s="212"/>
      <c r="E850" s="221"/>
      <c r="F850" s="222"/>
      <c r="G850" s="223"/>
      <c r="H850" s="164"/>
      <c r="I850" s="164"/>
      <c r="J850" s="164"/>
      <c r="K850" s="164"/>
      <c r="L850" s="174"/>
      <c r="M850" s="164"/>
      <c r="N850" s="174"/>
      <c r="O850" s="157"/>
      <c r="P850" s="178"/>
      <c r="Q850" s="157"/>
      <c r="R850" s="157"/>
      <c r="S850" s="178"/>
      <c r="T850" s="157"/>
      <c r="U850" s="178"/>
      <c r="V850" s="191"/>
      <c r="W850" s="191"/>
      <c r="X850" s="191"/>
      <c r="Y850" s="191"/>
      <c r="Z850" s="191"/>
      <c r="AA850" s="191"/>
      <c r="AB850" s="191"/>
    </row>
    <row r="851" ht="15.75" customHeight="1">
      <c r="A851" s="288"/>
      <c r="B851" s="224"/>
      <c r="C851" s="224"/>
      <c r="D851" s="212"/>
      <c r="E851" s="221"/>
      <c r="F851" s="222"/>
      <c r="G851" s="223"/>
      <c r="H851" s="164"/>
      <c r="I851" s="164"/>
      <c r="J851" s="164"/>
      <c r="K851" s="164"/>
      <c r="L851" s="174"/>
      <c r="M851" s="164"/>
      <c r="N851" s="174"/>
      <c r="O851" s="157"/>
      <c r="P851" s="178"/>
      <c r="Q851" s="157"/>
      <c r="R851" s="157"/>
      <c r="S851" s="178"/>
      <c r="T851" s="157"/>
      <c r="U851" s="178"/>
      <c r="V851" s="191"/>
      <c r="W851" s="191"/>
      <c r="X851" s="191"/>
      <c r="Y851" s="191"/>
      <c r="Z851" s="191"/>
      <c r="AA851" s="191"/>
      <c r="AB851" s="191"/>
    </row>
    <row r="852" ht="15.75" customHeight="1">
      <c r="A852" s="288"/>
      <c r="B852" s="224"/>
      <c r="C852" s="224"/>
      <c r="D852" s="212"/>
      <c r="E852" s="221"/>
      <c r="F852" s="222"/>
      <c r="G852" s="223"/>
      <c r="H852" s="164"/>
      <c r="I852" s="164"/>
      <c r="J852" s="164"/>
      <c r="K852" s="164"/>
      <c r="L852" s="174"/>
      <c r="M852" s="164"/>
      <c r="N852" s="174"/>
      <c r="O852" s="157"/>
      <c r="P852" s="178"/>
      <c r="Q852" s="157"/>
      <c r="R852" s="157"/>
      <c r="S852" s="178"/>
      <c r="T852" s="157"/>
      <c r="U852" s="178"/>
      <c r="V852" s="191"/>
      <c r="W852" s="191"/>
      <c r="X852" s="191"/>
      <c r="Y852" s="191"/>
      <c r="Z852" s="191"/>
      <c r="AA852" s="191"/>
      <c r="AB852" s="191"/>
    </row>
    <row r="853" ht="15.75" customHeight="1">
      <c r="A853" s="288"/>
      <c r="B853" s="224"/>
      <c r="C853" s="224"/>
      <c r="D853" s="212"/>
      <c r="E853" s="221"/>
      <c r="F853" s="222"/>
      <c r="G853" s="223"/>
      <c r="H853" s="164"/>
      <c r="I853" s="164"/>
      <c r="J853" s="164"/>
      <c r="K853" s="164"/>
      <c r="L853" s="174"/>
      <c r="M853" s="164"/>
      <c r="N853" s="174"/>
      <c r="O853" s="157"/>
      <c r="P853" s="178"/>
      <c r="Q853" s="157"/>
      <c r="R853" s="157"/>
      <c r="S853" s="178"/>
      <c r="T853" s="157"/>
      <c r="U853" s="178"/>
      <c r="V853" s="191"/>
      <c r="W853" s="191"/>
      <c r="X853" s="191"/>
      <c r="Y853" s="191"/>
      <c r="Z853" s="191"/>
      <c r="AA853" s="191"/>
      <c r="AB853" s="191"/>
    </row>
    <row r="854" ht="15.75" customHeight="1">
      <c r="A854" s="288"/>
      <c r="B854" s="224"/>
      <c r="C854" s="224"/>
      <c r="D854" s="212"/>
      <c r="E854" s="221"/>
      <c r="F854" s="222"/>
      <c r="G854" s="223"/>
      <c r="H854" s="164"/>
      <c r="I854" s="164"/>
      <c r="J854" s="164"/>
      <c r="K854" s="164"/>
      <c r="L854" s="174"/>
      <c r="M854" s="164"/>
      <c r="N854" s="174"/>
      <c r="O854" s="157"/>
      <c r="P854" s="178"/>
      <c r="Q854" s="157"/>
      <c r="R854" s="157"/>
      <c r="S854" s="178"/>
      <c r="T854" s="157"/>
      <c r="U854" s="178"/>
      <c r="V854" s="191"/>
      <c r="W854" s="191"/>
      <c r="X854" s="191"/>
      <c r="Y854" s="191"/>
      <c r="Z854" s="191"/>
      <c r="AA854" s="191"/>
      <c r="AB854" s="191"/>
    </row>
    <row r="855" ht="15.75" customHeight="1">
      <c r="A855" s="288"/>
      <c r="B855" s="224"/>
      <c r="C855" s="224"/>
      <c r="D855" s="212"/>
      <c r="E855" s="221"/>
      <c r="F855" s="222"/>
      <c r="G855" s="223"/>
      <c r="H855" s="164"/>
      <c r="I855" s="164"/>
      <c r="J855" s="164"/>
      <c r="K855" s="164"/>
      <c r="L855" s="174"/>
      <c r="M855" s="164"/>
      <c r="N855" s="174"/>
      <c r="O855" s="157"/>
      <c r="P855" s="178"/>
      <c r="Q855" s="157"/>
      <c r="R855" s="157"/>
      <c r="S855" s="178"/>
      <c r="T855" s="157"/>
      <c r="U855" s="178"/>
      <c r="V855" s="191"/>
      <c r="W855" s="191"/>
      <c r="X855" s="191"/>
      <c r="Y855" s="191"/>
      <c r="Z855" s="191"/>
      <c r="AA855" s="191"/>
      <c r="AB855" s="191"/>
    </row>
    <row r="856" ht="15.75" customHeight="1">
      <c r="A856" s="288"/>
      <c r="B856" s="224"/>
      <c r="C856" s="224"/>
      <c r="D856" s="212"/>
      <c r="E856" s="221"/>
      <c r="F856" s="222"/>
      <c r="G856" s="223"/>
      <c r="H856" s="164"/>
      <c r="I856" s="164"/>
      <c r="J856" s="164"/>
      <c r="K856" s="164"/>
      <c r="L856" s="174"/>
      <c r="M856" s="164"/>
      <c r="N856" s="174"/>
      <c r="O856" s="157"/>
      <c r="P856" s="178"/>
      <c r="Q856" s="157"/>
      <c r="R856" s="157"/>
      <c r="S856" s="178"/>
      <c r="T856" s="157"/>
      <c r="U856" s="178"/>
      <c r="V856" s="191"/>
      <c r="W856" s="191"/>
      <c r="X856" s="191"/>
      <c r="Y856" s="191"/>
      <c r="Z856" s="191"/>
      <c r="AA856" s="191"/>
      <c r="AB856" s="191"/>
    </row>
    <row r="857" ht="15.75" customHeight="1">
      <c r="A857" s="288"/>
      <c r="B857" s="224"/>
      <c r="C857" s="224"/>
      <c r="D857" s="212"/>
      <c r="E857" s="221"/>
      <c r="F857" s="222"/>
      <c r="G857" s="223"/>
      <c r="H857" s="164"/>
      <c r="I857" s="164"/>
      <c r="J857" s="164"/>
      <c r="K857" s="164"/>
      <c r="L857" s="174"/>
      <c r="M857" s="164"/>
      <c r="N857" s="174"/>
      <c r="O857" s="157"/>
      <c r="P857" s="178"/>
      <c r="Q857" s="157"/>
      <c r="R857" s="157"/>
      <c r="S857" s="178"/>
      <c r="T857" s="157"/>
      <c r="U857" s="178"/>
      <c r="V857" s="191"/>
      <c r="W857" s="191"/>
      <c r="X857" s="191"/>
      <c r="Y857" s="191"/>
      <c r="Z857" s="191"/>
      <c r="AA857" s="191"/>
      <c r="AB857" s="191"/>
    </row>
    <row r="858" ht="15.75" customHeight="1">
      <c r="A858" s="288"/>
      <c r="B858" s="224"/>
      <c r="C858" s="224"/>
      <c r="D858" s="212"/>
      <c r="E858" s="221"/>
      <c r="F858" s="222"/>
      <c r="G858" s="223"/>
      <c r="H858" s="164"/>
      <c r="I858" s="164"/>
      <c r="J858" s="164"/>
      <c r="K858" s="164"/>
      <c r="L858" s="174"/>
      <c r="M858" s="164"/>
      <c r="N858" s="174"/>
      <c r="O858" s="157"/>
      <c r="P858" s="178"/>
      <c r="Q858" s="157"/>
      <c r="R858" s="157"/>
      <c r="S858" s="178"/>
      <c r="T858" s="157"/>
      <c r="U858" s="178"/>
      <c r="V858" s="191"/>
      <c r="W858" s="191"/>
      <c r="X858" s="191"/>
      <c r="Y858" s="191"/>
      <c r="Z858" s="191"/>
      <c r="AA858" s="191"/>
      <c r="AB858" s="191"/>
    </row>
    <row r="859" ht="15.75" customHeight="1">
      <c r="A859" s="288"/>
      <c r="B859" s="224"/>
      <c r="C859" s="224"/>
      <c r="D859" s="212"/>
      <c r="E859" s="221"/>
      <c r="F859" s="222"/>
      <c r="G859" s="223"/>
      <c r="H859" s="164"/>
      <c r="I859" s="164"/>
      <c r="J859" s="164"/>
      <c r="K859" s="164"/>
      <c r="L859" s="174"/>
      <c r="M859" s="164"/>
      <c r="N859" s="174"/>
      <c r="O859" s="157"/>
      <c r="P859" s="178"/>
      <c r="Q859" s="157"/>
      <c r="R859" s="157"/>
      <c r="S859" s="178"/>
      <c r="T859" s="157"/>
      <c r="U859" s="178"/>
      <c r="V859" s="191"/>
      <c r="W859" s="191"/>
      <c r="X859" s="191"/>
      <c r="Y859" s="191"/>
      <c r="Z859" s="191"/>
      <c r="AA859" s="191"/>
      <c r="AB859" s="191"/>
    </row>
    <row r="860" ht="15.75" customHeight="1">
      <c r="A860" s="288"/>
      <c r="B860" s="224"/>
      <c r="C860" s="224"/>
      <c r="D860" s="212"/>
      <c r="E860" s="221"/>
      <c r="F860" s="222"/>
      <c r="G860" s="223"/>
      <c r="H860" s="164"/>
      <c r="I860" s="164"/>
      <c r="J860" s="164"/>
      <c r="K860" s="164"/>
      <c r="L860" s="174"/>
      <c r="M860" s="164"/>
      <c r="N860" s="174"/>
      <c r="O860" s="157"/>
      <c r="P860" s="178"/>
      <c r="Q860" s="157"/>
      <c r="R860" s="157"/>
      <c r="S860" s="178"/>
      <c r="T860" s="157"/>
      <c r="U860" s="178"/>
      <c r="V860" s="191"/>
      <c r="W860" s="191"/>
      <c r="X860" s="191"/>
      <c r="Y860" s="191"/>
      <c r="Z860" s="191"/>
      <c r="AA860" s="191"/>
      <c r="AB860" s="191"/>
    </row>
    <row r="861" ht="15.75" customHeight="1">
      <c r="A861" s="288"/>
      <c r="B861" s="224"/>
      <c r="C861" s="224"/>
      <c r="D861" s="212"/>
      <c r="E861" s="221"/>
      <c r="F861" s="222"/>
      <c r="G861" s="223"/>
      <c r="H861" s="164"/>
      <c r="I861" s="164"/>
      <c r="J861" s="164"/>
      <c r="K861" s="164"/>
      <c r="L861" s="174"/>
      <c r="M861" s="164"/>
      <c r="N861" s="174"/>
      <c r="O861" s="157"/>
      <c r="P861" s="178"/>
      <c r="Q861" s="157"/>
      <c r="R861" s="157"/>
      <c r="S861" s="178"/>
      <c r="T861" s="157"/>
      <c r="U861" s="178"/>
      <c r="V861" s="191"/>
      <c r="W861" s="191"/>
      <c r="X861" s="191"/>
      <c r="Y861" s="191"/>
      <c r="Z861" s="191"/>
      <c r="AA861" s="191"/>
      <c r="AB861" s="191"/>
    </row>
    <row r="862" ht="15.75" customHeight="1">
      <c r="A862" s="288"/>
      <c r="B862" s="224"/>
      <c r="C862" s="224"/>
      <c r="D862" s="212"/>
      <c r="E862" s="221"/>
      <c r="F862" s="222"/>
      <c r="G862" s="223"/>
      <c r="H862" s="164"/>
      <c r="I862" s="164"/>
      <c r="J862" s="164"/>
      <c r="K862" s="164"/>
      <c r="L862" s="174"/>
      <c r="M862" s="164"/>
      <c r="N862" s="174"/>
      <c r="O862" s="157"/>
      <c r="P862" s="178"/>
      <c r="Q862" s="157"/>
      <c r="R862" s="157"/>
      <c r="S862" s="178"/>
      <c r="T862" s="157"/>
      <c r="U862" s="178"/>
      <c r="V862" s="191"/>
      <c r="W862" s="191"/>
      <c r="X862" s="191"/>
      <c r="Y862" s="191"/>
      <c r="Z862" s="191"/>
      <c r="AA862" s="191"/>
      <c r="AB862" s="191"/>
    </row>
    <row r="863" ht="15.75" customHeight="1">
      <c r="A863" s="288"/>
      <c r="B863" s="224"/>
      <c r="C863" s="224"/>
      <c r="D863" s="212"/>
      <c r="E863" s="221"/>
      <c r="F863" s="222"/>
      <c r="G863" s="223"/>
      <c r="H863" s="164"/>
      <c r="I863" s="164"/>
      <c r="J863" s="164"/>
      <c r="K863" s="164"/>
      <c r="L863" s="174"/>
      <c r="M863" s="164"/>
      <c r="N863" s="174"/>
      <c r="O863" s="157"/>
      <c r="P863" s="178"/>
      <c r="Q863" s="157"/>
      <c r="R863" s="157"/>
      <c r="S863" s="178"/>
      <c r="T863" s="157"/>
      <c r="U863" s="178"/>
      <c r="V863" s="191"/>
      <c r="W863" s="191"/>
      <c r="X863" s="191"/>
      <c r="Y863" s="191"/>
      <c r="Z863" s="191"/>
      <c r="AA863" s="191"/>
      <c r="AB863" s="191"/>
    </row>
    <row r="864" ht="15.75" customHeight="1">
      <c r="A864" s="288"/>
      <c r="B864" s="224"/>
      <c r="C864" s="224"/>
      <c r="D864" s="212"/>
      <c r="E864" s="221"/>
      <c r="F864" s="222"/>
      <c r="G864" s="223"/>
      <c r="H864" s="164"/>
      <c r="I864" s="164"/>
      <c r="J864" s="164"/>
      <c r="K864" s="164"/>
      <c r="L864" s="174"/>
      <c r="M864" s="164"/>
      <c r="N864" s="174"/>
      <c r="O864" s="157"/>
      <c r="P864" s="178"/>
      <c r="Q864" s="157"/>
      <c r="R864" s="157"/>
      <c r="S864" s="178"/>
      <c r="T864" s="157"/>
      <c r="U864" s="178"/>
      <c r="V864" s="191"/>
      <c r="W864" s="191"/>
      <c r="X864" s="191"/>
      <c r="Y864" s="191"/>
      <c r="Z864" s="191"/>
      <c r="AA864" s="191"/>
      <c r="AB864" s="191"/>
    </row>
    <row r="865" ht="15.75" customHeight="1">
      <c r="A865" s="288"/>
      <c r="B865" s="224"/>
      <c r="C865" s="224"/>
      <c r="D865" s="212"/>
      <c r="E865" s="221"/>
      <c r="F865" s="222"/>
      <c r="G865" s="223"/>
      <c r="H865" s="164"/>
      <c r="I865" s="164"/>
      <c r="J865" s="164"/>
      <c r="K865" s="164"/>
      <c r="L865" s="174"/>
      <c r="M865" s="164"/>
      <c r="N865" s="174"/>
      <c r="O865" s="157"/>
      <c r="P865" s="178"/>
      <c r="Q865" s="157"/>
      <c r="R865" s="157"/>
      <c r="S865" s="178"/>
      <c r="T865" s="157"/>
      <c r="U865" s="178"/>
      <c r="V865" s="191"/>
      <c r="W865" s="191"/>
      <c r="X865" s="191"/>
      <c r="Y865" s="191"/>
      <c r="Z865" s="191"/>
      <c r="AA865" s="191"/>
      <c r="AB865" s="191"/>
    </row>
    <row r="866" ht="15.75" customHeight="1">
      <c r="A866" s="288"/>
      <c r="B866" s="224"/>
      <c r="C866" s="224"/>
      <c r="D866" s="212"/>
      <c r="E866" s="221"/>
      <c r="F866" s="222"/>
      <c r="G866" s="223"/>
      <c r="H866" s="164"/>
      <c r="I866" s="164"/>
      <c r="J866" s="164"/>
      <c r="K866" s="164"/>
      <c r="L866" s="174"/>
      <c r="M866" s="164"/>
      <c r="N866" s="174"/>
      <c r="O866" s="157"/>
      <c r="P866" s="178"/>
      <c r="Q866" s="157"/>
      <c r="R866" s="157"/>
      <c r="S866" s="178"/>
      <c r="T866" s="157"/>
      <c r="U866" s="178"/>
      <c r="V866" s="191"/>
      <c r="W866" s="191"/>
      <c r="X866" s="191"/>
      <c r="Y866" s="191"/>
      <c r="Z866" s="191"/>
      <c r="AA866" s="191"/>
      <c r="AB866" s="191"/>
    </row>
    <row r="867" ht="15.75" customHeight="1">
      <c r="A867" s="288"/>
      <c r="B867" s="224"/>
      <c r="C867" s="224"/>
      <c r="D867" s="212"/>
      <c r="E867" s="221"/>
      <c r="F867" s="222"/>
      <c r="G867" s="223"/>
      <c r="H867" s="164"/>
      <c r="I867" s="164"/>
      <c r="J867" s="164"/>
      <c r="K867" s="164"/>
      <c r="L867" s="174"/>
      <c r="M867" s="164"/>
      <c r="N867" s="174"/>
      <c r="O867" s="157"/>
      <c r="P867" s="178"/>
      <c r="Q867" s="157"/>
      <c r="R867" s="157"/>
      <c r="S867" s="178"/>
      <c r="T867" s="157"/>
      <c r="U867" s="178"/>
      <c r="V867" s="191"/>
      <c r="W867" s="191"/>
      <c r="X867" s="191"/>
      <c r="Y867" s="191"/>
      <c r="Z867" s="191"/>
      <c r="AA867" s="191"/>
      <c r="AB867" s="191"/>
    </row>
    <row r="868" ht="15.75" customHeight="1">
      <c r="A868" s="288"/>
      <c r="B868" s="224"/>
      <c r="C868" s="224"/>
      <c r="D868" s="212"/>
      <c r="E868" s="221"/>
      <c r="F868" s="222"/>
      <c r="G868" s="223"/>
      <c r="H868" s="164"/>
      <c r="I868" s="164"/>
      <c r="J868" s="164"/>
      <c r="K868" s="164"/>
      <c r="L868" s="174"/>
      <c r="M868" s="164"/>
      <c r="N868" s="174"/>
      <c r="O868" s="157"/>
      <c r="P868" s="178"/>
      <c r="Q868" s="157"/>
      <c r="R868" s="157"/>
      <c r="S868" s="178"/>
      <c r="T868" s="157"/>
      <c r="U868" s="178"/>
      <c r="V868" s="191"/>
      <c r="W868" s="191"/>
      <c r="X868" s="191"/>
      <c r="Y868" s="191"/>
      <c r="Z868" s="191"/>
      <c r="AA868" s="191"/>
      <c r="AB868" s="191"/>
    </row>
    <row r="869" ht="15.75" customHeight="1">
      <c r="A869" s="288"/>
      <c r="B869" s="224"/>
      <c r="C869" s="224"/>
      <c r="D869" s="212"/>
      <c r="E869" s="221"/>
      <c r="F869" s="222"/>
      <c r="G869" s="223"/>
      <c r="H869" s="164"/>
      <c r="I869" s="164"/>
      <c r="J869" s="164"/>
      <c r="K869" s="164"/>
      <c r="L869" s="174"/>
      <c r="M869" s="164"/>
      <c r="N869" s="174"/>
      <c r="O869" s="157"/>
      <c r="P869" s="178"/>
      <c r="Q869" s="157"/>
      <c r="R869" s="157"/>
      <c r="S869" s="178"/>
      <c r="T869" s="157"/>
      <c r="U869" s="178"/>
      <c r="V869" s="191"/>
      <c r="W869" s="191"/>
      <c r="X869" s="191"/>
      <c r="Y869" s="191"/>
      <c r="Z869" s="191"/>
      <c r="AA869" s="191"/>
      <c r="AB869" s="191"/>
    </row>
    <row r="870" ht="15.75" customHeight="1">
      <c r="A870" s="288"/>
      <c r="B870" s="224"/>
      <c r="C870" s="224"/>
      <c r="D870" s="212"/>
      <c r="E870" s="221"/>
      <c r="F870" s="222"/>
      <c r="G870" s="223"/>
      <c r="H870" s="164"/>
      <c r="I870" s="164"/>
      <c r="J870" s="164"/>
      <c r="K870" s="164"/>
      <c r="L870" s="174"/>
      <c r="M870" s="164"/>
      <c r="N870" s="174"/>
      <c r="O870" s="157"/>
      <c r="P870" s="178"/>
      <c r="Q870" s="157"/>
      <c r="R870" s="157"/>
      <c r="S870" s="178"/>
      <c r="T870" s="157"/>
      <c r="U870" s="178"/>
      <c r="V870" s="191"/>
      <c r="W870" s="191"/>
      <c r="X870" s="191"/>
      <c r="Y870" s="191"/>
      <c r="Z870" s="191"/>
      <c r="AA870" s="191"/>
      <c r="AB870" s="191"/>
    </row>
    <row r="871" ht="15.75" customHeight="1">
      <c r="A871" s="288"/>
      <c r="B871" s="224"/>
      <c r="C871" s="224"/>
      <c r="D871" s="212"/>
      <c r="E871" s="221"/>
      <c r="F871" s="222"/>
      <c r="G871" s="223"/>
      <c r="H871" s="164"/>
      <c r="I871" s="164"/>
      <c r="J871" s="164"/>
      <c r="K871" s="164"/>
      <c r="L871" s="174"/>
      <c r="M871" s="164"/>
      <c r="N871" s="174"/>
      <c r="O871" s="157"/>
      <c r="P871" s="178"/>
      <c r="Q871" s="157"/>
      <c r="R871" s="157"/>
      <c r="S871" s="178"/>
      <c r="T871" s="157"/>
      <c r="U871" s="178"/>
      <c r="V871" s="191"/>
      <c r="W871" s="191"/>
      <c r="X871" s="191"/>
      <c r="Y871" s="191"/>
      <c r="Z871" s="191"/>
      <c r="AA871" s="191"/>
      <c r="AB871" s="191"/>
    </row>
    <row r="872" ht="15.75" customHeight="1">
      <c r="A872" s="288"/>
      <c r="B872" s="224"/>
      <c r="C872" s="224"/>
      <c r="D872" s="212"/>
      <c r="E872" s="221"/>
      <c r="F872" s="222"/>
      <c r="G872" s="223"/>
      <c r="H872" s="164"/>
      <c r="I872" s="164"/>
      <c r="J872" s="164"/>
      <c r="K872" s="164"/>
      <c r="L872" s="174"/>
      <c r="M872" s="164"/>
      <c r="N872" s="174"/>
      <c r="O872" s="157"/>
      <c r="P872" s="178"/>
      <c r="Q872" s="157"/>
      <c r="R872" s="157"/>
      <c r="S872" s="178"/>
      <c r="T872" s="157"/>
      <c r="U872" s="178"/>
      <c r="V872" s="191"/>
      <c r="W872" s="191"/>
      <c r="X872" s="191"/>
      <c r="Y872" s="191"/>
      <c r="Z872" s="191"/>
      <c r="AA872" s="191"/>
      <c r="AB872" s="191"/>
    </row>
    <row r="873" ht="15.75" customHeight="1">
      <c r="A873" s="288"/>
      <c r="B873" s="224"/>
      <c r="C873" s="224"/>
      <c r="D873" s="212"/>
      <c r="E873" s="221"/>
      <c r="F873" s="222"/>
      <c r="G873" s="223"/>
      <c r="H873" s="164"/>
      <c r="I873" s="164"/>
      <c r="J873" s="164"/>
      <c r="K873" s="164"/>
      <c r="L873" s="174"/>
      <c r="M873" s="164"/>
      <c r="N873" s="174"/>
      <c r="O873" s="157"/>
      <c r="P873" s="178"/>
      <c r="Q873" s="157"/>
      <c r="R873" s="157"/>
      <c r="S873" s="178"/>
      <c r="T873" s="157"/>
      <c r="U873" s="178"/>
      <c r="V873" s="191"/>
      <c r="W873" s="191"/>
      <c r="X873" s="191"/>
      <c r="Y873" s="191"/>
      <c r="Z873" s="191"/>
      <c r="AA873" s="191"/>
      <c r="AB873" s="191"/>
    </row>
    <row r="874" ht="15.75" customHeight="1">
      <c r="A874" s="288"/>
      <c r="B874" s="224"/>
      <c r="C874" s="224"/>
      <c r="D874" s="212"/>
      <c r="E874" s="221"/>
      <c r="F874" s="222"/>
      <c r="G874" s="223"/>
      <c r="H874" s="164"/>
      <c r="I874" s="164"/>
      <c r="J874" s="164"/>
      <c r="K874" s="164"/>
      <c r="L874" s="174"/>
      <c r="M874" s="164"/>
      <c r="N874" s="174"/>
      <c r="O874" s="157"/>
      <c r="P874" s="178"/>
      <c r="Q874" s="157"/>
      <c r="R874" s="157"/>
      <c r="S874" s="178"/>
      <c r="T874" s="157"/>
      <c r="U874" s="178"/>
      <c r="V874" s="191"/>
      <c r="W874" s="191"/>
      <c r="X874" s="191"/>
      <c r="Y874" s="191"/>
      <c r="Z874" s="191"/>
      <c r="AA874" s="191"/>
      <c r="AB874" s="191"/>
    </row>
    <row r="875" ht="15.75" customHeight="1">
      <c r="A875" s="288"/>
      <c r="B875" s="224"/>
      <c r="C875" s="224"/>
      <c r="D875" s="212"/>
      <c r="E875" s="221"/>
      <c r="F875" s="222"/>
      <c r="G875" s="223"/>
      <c r="H875" s="164"/>
      <c r="I875" s="164"/>
      <c r="J875" s="164"/>
      <c r="K875" s="164"/>
      <c r="L875" s="174"/>
      <c r="M875" s="164"/>
      <c r="N875" s="174"/>
      <c r="O875" s="157"/>
      <c r="P875" s="178"/>
      <c r="Q875" s="157"/>
      <c r="R875" s="157"/>
      <c r="S875" s="178"/>
      <c r="T875" s="157"/>
      <c r="U875" s="178"/>
      <c r="V875" s="191"/>
      <c r="W875" s="191"/>
      <c r="X875" s="191"/>
      <c r="Y875" s="191"/>
      <c r="Z875" s="191"/>
      <c r="AA875" s="191"/>
      <c r="AB875" s="191"/>
    </row>
    <row r="876" ht="15.75" customHeight="1">
      <c r="A876" s="288"/>
      <c r="B876" s="224"/>
      <c r="C876" s="224"/>
      <c r="D876" s="212"/>
      <c r="E876" s="221"/>
      <c r="F876" s="222"/>
      <c r="G876" s="223"/>
      <c r="H876" s="164"/>
      <c r="I876" s="164"/>
      <c r="J876" s="164"/>
      <c r="K876" s="164"/>
      <c r="L876" s="174"/>
      <c r="M876" s="164"/>
      <c r="N876" s="174"/>
      <c r="O876" s="157"/>
      <c r="P876" s="178"/>
      <c r="Q876" s="157"/>
      <c r="R876" s="157"/>
      <c r="S876" s="178"/>
      <c r="T876" s="157"/>
      <c r="U876" s="178"/>
      <c r="V876" s="191"/>
      <c r="W876" s="191"/>
      <c r="X876" s="191"/>
      <c r="Y876" s="191"/>
      <c r="Z876" s="191"/>
      <c r="AA876" s="191"/>
      <c r="AB876" s="191"/>
    </row>
    <row r="877" ht="15.75" customHeight="1">
      <c r="A877" s="288"/>
      <c r="B877" s="224"/>
      <c r="C877" s="224"/>
      <c r="D877" s="212"/>
      <c r="E877" s="221"/>
      <c r="F877" s="222"/>
      <c r="G877" s="223"/>
      <c r="H877" s="164"/>
      <c r="I877" s="164"/>
      <c r="J877" s="164"/>
      <c r="K877" s="164"/>
      <c r="L877" s="174"/>
      <c r="M877" s="164"/>
      <c r="N877" s="174"/>
      <c r="O877" s="157"/>
      <c r="P877" s="178"/>
      <c r="Q877" s="157"/>
      <c r="R877" s="157"/>
      <c r="S877" s="178"/>
      <c r="T877" s="157"/>
      <c r="U877" s="178"/>
      <c r="V877" s="191"/>
      <c r="W877" s="191"/>
      <c r="X877" s="191"/>
      <c r="Y877" s="191"/>
      <c r="Z877" s="191"/>
      <c r="AA877" s="191"/>
      <c r="AB877" s="191"/>
    </row>
    <row r="878" ht="15.75" customHeight="1">
      <c r="A878" s="288"/>
      <c r="B878" s="224"/>
      <c r="C878" s="224"/>
      <c r="D878" s="212"/>
      <c r="E878" s="221"/>
      <c r="F878" s="222"/>
      <c r="G878" s="223"/>
      <c r="H878" s="164"/>
      <c r="I878" s="164"/>
      <c r="J878" s="164"/>
      <c r="K878" s="164"/>
      <c r="L878" s="174"/>
      <c r="M878" s="164"/>
      <c r="N878" s="174"/>
      <c r="O878" s="157"/>
      <c r="P878" s="178"/>
      <c r="Q878" s="157"/>
      <c r="R878" s="157"/>
      <c r="S878" s="178"/>
      <c r="T878" s="157"/>
      <c r="U878" s="178"/>
      <c r="V878" s="191"/>
      <c r="W878" s="191"/>
      <c r="X878" s="191"/>
      <c r="Y878" s="191"/>
      <c r="Z878" s="191"/>
      <c r="AA878" s="191"/>
      <c r="AB878" s="191"/>
    </row>
    <row r="879" ht="15.75" customHeight="1">
      <c r="A879" s="288"/>
      <c r="B879" s="224"/>
      <c r="C879" s="224"/>
      <c r="D879" s="212"/>
      <c r="E879" s="221"/>
      <c r="F879" s="222"/>
      <c r="G879" s="223"/>
      <c r="H879" s="164"/>
      <c r="I879" s="164"/>
      <c r="J879" s="164"/>
      <c r="K879" s="164"/>
      <c r="L879" s="174"/>
      <c r="M879" s="164"/>
      <c r="N879" s="174"/>
      <c r="O879" s="157"/>
      <c r="P879" s="178"/>
      <c r="Q879" s="157"/>
      <c r="R879" s="157"/>
      <c r="S879" s="178"/>
      <c r="T879" s="157"/>
      <c r="U879" s="178"/>
      <c r="V879" s="191"/>
      <c r="W879" s="191"/>
      <c r="X879" s="191"/>
      <c r="Y879" s="191"/>
      <c r="Z879" s="191"/>
      <c r="AA879" s="191"/>
      <c r="AB879" s="191"/>
    </row>
    <row r="880" ht="15.75" customHeight="1">
      <c r="A880" s="288"/>
      <c r="B880" s="224"/>
      <c r="C880" s="224"/>
      <c r="D880" s="212"/>
      <c r="E880" s="221"/>
      <c r="F880" s="222"/>
      <c r="G880" s="223"/>
      <c r="H880" s="164"/>
      <c r="I880" s="164"/>
      <c r="J880" s="164"/>
      <c r="K880" s="164"/>
      <c r="L880" s="174"/>
      <c r="M880" s="164"/>
      <c r="N880" s="174"/>
      <c r="O880" s="157"/>
      <c r="P880" s="178"/>
      <c r="Q880" s="157"/>
      <c r="R880" s="157"/>
      <c r="S880" s="178"/>
      <c r="T880" s="157"/>
      <c r="U880" s="178"/>
      <c r="V880" s="191"/>
      <c r="W880" s="191"/>
      <c r="X880" s="191"/>
      <c r="Y880" s="191"/>
      <c r="Z880" s="191"/>
      <c r="AA880" s="191"/>
      <c r="AB880" s="191"/>
    </row>
    <row r="881" ht="15.75" customHeight="1">
      <c r="A881" s="288"/>
      <c r="B881" s="224"/>
      <c r="C881" s="224"/>
      <c r="D881" s="212"/>
      <c r="E881" s="221"/>
      <c r="F881" s="222"/>
      <c r="G881" s="223"/>
      <c r="H881" s="164"/>
      <c r="I881" s="164"/>
      <c r="J881" s="164"/>
      <c r="K881" s="164"/>
      <c r="L881" s="174"/>
      <c r="M881" s="164"/>
      <c r="N881" s="174"/>
      <c r="O881" s="157"/>
      <c r="P881" s="178"/>
      <c r="Q881" s="157"/>
      <c r="R881" s="157"/>
      <c r="S881" s="178"/>
      <c r="T881" s="157"/>
      <c r="U881" s="178"/>
      <c r="V881" s="191"/>
      <c r="W881" s="191"/>
      <c r="X881" s="191"/>
      <c r="Y881" s="191"/>
      <c r="Z881" s="191"/>
      <c r="AA881" s="191"/>
      <c r="AB881" s="191"/>
    </row>
    <row r="882" ht="15.75" customHeight="1">
      <c r="A882" s="288"/>
      <c r="B882" s="224"/>
      <c r="C882" s="224"/>
      <c r="D882" s="212"/>
      <c r="E882" s="221"/>
      <c r="F882" s="222"/>
      <c r="G882" s="223"/>
      <c r="H882" s="164"/>
      <c r="I882" s="164"/>
      <c r="J882" s="164"/>
      <c r="K882" s="164"/>
      <c r="L882" s="174"/>
      <c r="M882" s="164"/>
      <c r="N882" s="174"/>
      <c r="O882" s="157"/>
      <c r="P882" s="178"/>
      <c r="Q882" s="157"/>
      <c r="R882" s="157"/>
      <c r="S882" s="178"/>
      <c r="T882" s="157"/>
      <c r="U882" s="178"/>
      <c r="V882" s="191"/>
      <c r="W882" s="191"/>
      <c r="X882" s="191"/>
      <c r="Y882" s="191"/>
      <c r="Z882" s="191"/>
      <c r="AA882" s="191"/>
      <c r="AB882" s="191"/>
    </row>
    <row r="883" ht="15.75" customHeight="1">
      <c r="A883" s="288"/>
      <c r="B883" s="224"/>
      <c r="C883" s="224"/>
      <c r="D883" s="212"/>
      <c r="E883" s="221"/>
      <c r="F883" s="222"/>
      <c r="G883" s="223"/>
      <c r="H883" s="164"/>
      <c r="I883" s="164"/>
      <c r="J883" s="164"/>
      <c r="K883" s="164"/>
      <c r="L883" s="174"/>
      <c r="M883" s="164"/>
      <c r="N883" s="174"/>
      <c r="O883" s="157"/>
      <c r="P883" s="178"/>
      <c r="Q883" s="157"/>
      <c r="R883" s="157"/>
      <c r="S883" s="178"/>
      <c r="T883" s="157"/>
      <c r="U883" s="178"/>
      <c r="V883" s="191"/>
      <c r="W883" s="191"/>
      <c r="X883" s="191"/>
      <c r="Y883" s="191"/>
      <c r="Z883" s="191"/>
      <c r="AA883" s="191"/>
      <c r="AB883" s="191"/>
    </row>
    <row r="884" ht="15.75" customHeight="1">
      <c r="A884" s="288"/>
      <c r="B884" s="224"/>
      <c r="C884" s="224"/>
      <c r="D884" s="212"/>
      <c r="E884" s="221"/>
      <c r="F884" s="222"/>
      <c r="G884" s="223"/>
      <c r="H884" s="164"/>
      <c r="I884" s="164"/>
      <c r="J884" s="164"/>
      <c r="K884" s="164"/>
      <c r="L884" s="174"/>
      <c r="M884" s="164"/>
      <c r="N884" s="174"/>
      <c r="O884" s="157"/>
      <c r="P884" s="178"/>
      <c r="Q884" s="157"/>
      <c r="R884" s="157"/>
      <c r="S884" s="178"/>
      <c r="T884" s="157"/>
      <c r="U884" s="178"/>
      <c r="V884" s="191"/>
      <c r="W884" s="191"/>
      <c r="X884" s="191"/>
      <c r="Y884" s="191"/>
      <c r="Z884" s="191"/>
      <c r="AA884" s="191"/>
      <c r="AB884" s="191"/>
    </row>
    <row r="885" ht="15.75" customHeight="1">
      <c r="A885" s="288"/>
      <c r="B885" s="224"/>
      <c r="C885" s="224"/>
      <c r="D885" s="212"/>
      <c r="E885" s="221"/>
      <c r="F885" s="222"/>
      <c r="G885" s="223"/>
      <c r="H885" s="164"/>
      <c r="I885" s="164"/>
      <c r="J885" s="164"/>
      <c r="K885" s="164"/>
      <c r="L885" s="174"/>
      <c r="M885" s="164"/>
      <c r="N885" s="174"/>
      <c r="O885" s="157"/>
      <c r="P885" s="178"/>
      <c r="Q885" s="157"/>
      <c r="R885" s="157"/>
      <c r="S885" s="178"/>
      <c r="T885" s="157"/>
      <c r="U885" s="178"/>
      <c r="V885" s="191"/>
      <c r="W885" s="191"/>
      <c r="X885" s="191"/>
      <c r="Y885" s="191"/>
      <c r="Z885" s="191"/>
      <c r="AA885" s="191"/>
      <c r="AB885" s="191"/>
    </row>
    <row r="886" ht="15.75" customHeight="1">
      <c r="A886" s="288"/>
      <c r="B886" s="224"/>
      <c r="C886" s="224"/>
      <c r="D886" s="212"/>
      <c r="E886" s="221"/>
      <c r="F886" s="222"/>
      <c r="G886" s="223"/>
      <c r="H886" s="164"/>
      <c r="I886" s="164"/>
      <c r="J886" s="164"/>
      <c r="K886" s="164"/>
      <c r="L886" s="174"/>
      <c r="M886" s="164"/>
      <c r="N886" s="174"/>
      <c r="O886" s="157"/>
      <c r="P886" s="178"/>
      <c r="Q886" s="157"/>
      <c r="R886" s="157"/>
      <c r="S886" s="178"/>
      <c r="T886" s="157"/>
      <c r="U886" s="178"/>
      <c r="V886" s="191"/>
      <c r="W886" s="191"/>
      <c r="X886" s="191"/>
      <c r="Y886" s="191"/>
      <c r="Z886" s="191"/>
      <c r="AA886" s="191"/>
      <c r="AB886" s="191"/>
    </row>
    <row r="887" ht="15.75" customHeight="1">
      <c r="A887" s="288"/>
      <c r="B887" s="224"/>
      <c r="C887" s="224"/>
      <c r="D887" s="212"/>
      <c r="E887" s="221"/>
      <c r="F887" s="222"/>
      <c r="G887" s="223"/>
      <c r="H887" s="164"/>
      <c r="I887" s="164"/>
      <c r="J887" s="164"/>
      <c r="K887" s="164"/>
      <c r="L887" s="174"/>
      <c r="M887" s="164"/>
      <c r="N887" s="174"/>
      <c r="O887" s="157"/>
      <c r="P887" s="178"/>
      <c r="Q887" s="157"/>
      <c r="R887" s="157"/>
      <c r="S887" s="178"/>
      <c r="T887" s="157"/>
      <c r="U887" s="178"/>
      <c r="V887" s="191"/>
      <c r="W887" s="191"/>
      <c r="X887" s="191"/>
      <c r="Y887" s="191"/>
      <c r="Z887" s="191"/>
      <c r="AA887" s="191"/>
      <c r="AB887" s="191"/>
    </row>
    <row r="888" ht="15.75" customHeight="1">
      <c r="A888" s="288"/>
      <c r="B888" s="224"/>
      <c r="C888" s="224"/>
      <c r="D888" s="212"/>
      <c r="E888" s="221"/>
      <c r="F888" s="222"/>
      <c r="G888" s="223"/>
      <c r="H888" s="164"/>
      <c r="I888" s="164"/>
      <c r="J888" s="164"/>
      <c r="K888" s="164"/>
      <c r="L888" s="174"/>
      <c r="M888" s="164"/>
      <c r="N888" s="174"/>
      <c r="O888" s="157"/>
      <c r="P888" s="178"/>
      <c r="Q888" s="157"/>
      <c r="R888" s="157"/>
      <c r="S888" s="178"/>
      <c r="T888" s="157"/>
      <c r="U888" s="178"/>
      <c r="V888" s="191"/>
      <c r="W888" s="191"/>
      <c r="X888" s="191"/>
      <c r="Y888" s="191"/>
      <c r="Z888" s="191"/>
      <c r="AA888" s="191"/>
      <c r="AB888" s="191"/>
    </row>
    <row r="889" ht="15.75" customHeight="1">
      <c r="A889" s="288"/>
      <c r="B889" s="224"/>
      <c r="C889" s="224"/>
      <c r="D889" s="212"/>
      <c r="E889" s="221"/>
      <c r="F889" s="222"/>
      <c r="G889" s="223"/>
      <c r="H889" s="164"/>
      <c r="I889" s="164"/>
      <c r="J889" s="164"/>
      <c r="K889" s="164"/>
      <c r="L889" s="174"/>
      <c r="M889" s="164"/>
      <c r="N889" s="174"/>
      <c r="O889" s="157"/>
      <c r="P889" s="178"/>
      <c r="Q889" s="157"/>
      <c r="R889" s="157"/>
      <c r="S889" s="178"/>
      <c r="T889" s="157"/>
      <c r="U889" s="178"/>
      <c r="V889" s="191"/>
      <c r="W889" s="191"/>
      <c r="X889" s="191"/>
      <c r="Y889" s="191"/>
      <c r="Z889" s="191"/>
      <c r="AA889" s="191"/>
      <c r="AB889" s="191"/>
    </row>
    <row r="890" ht="15.75" customHeight="1">
      <c r="A890" s="288"/>
      <c r="B890" s="224"/>
      <c r="C890" s="224"/>
      <c r="D890" s="212"/>
      <c r="E890" s="221"/>
      <c r="F890" s="222"/>
      <c r="G890" s="223"/>
      <c r="H890" s="164"/>
      <c r="I890" s="164"/>
      <c r="J890" s="164"/>
      <c r="K890" s="164"/>
      <c r="L890" s="174"/>
      <c r="M890" s="164"/>
      <c r="N890" s="174"/>
      <c r="O890" s="157"/>
      <c r="P890" s="178"/>
      <c r="Q890" s="157"/>
      <c r="R890" s="157"/>
      <c r="S890" s="178"/>
      <c r="T890" s="157"/>
      <c r="U890" s="178"/>
      <c r="V890" s="191"/>
      <c r="W890" s="191"/>
      <c r="X890" s="191"/>
      <c r="Y890" s="191"/>
      <c r="Z890" s="191"/>
      <c r="AA890" s="191"/>
      <c r="AB890" s="191"/>
    </row>
    <row r="891" ht="15.75" customHeight="1">
      <c r="A891" s="288"/>
      <c r="B891" s="224"/>
      <c r="C891" s="224"/>
      <c r="D891" s="212"/>
      <c r="E891" s="221"/>
      <c r="F891" s="222"/>
      <c r="G891" s="223"/>
      <c r="H891" s="164"/>
      <c r="I891" s="164"/>
      <c r="J891" s="164"/>
      <c r="K891" s="164"/>
      <c r="L891" s="174"/>
      <c r="M891" s="164"/>
      <c r="N891" s="174"/>
      <c r="O891" s="157"/>
      <c r="P891" s="178"/>
      <c r="Q891" s="157"/>
      <c r="R891" s="157"/>
      <c r="S891" s="178"/>
      <c r="T891" s="157"/>
      <c r="U891" s="178"/>
      <c r="V891" s="191"/>
      <c r="W891" s="191"/>
      <c r="X891" s="191"/>
      <c r="Y891" s="191"/>
      <c r="Z891" s="191"/>
      <c r="AA891" s="191"/>
      <c r="AB891" s="191"/>
    </row>
    <row r="892" ht="15.75" customHeight="1">
      <c r="A892" s="288"/>
      <c r="B892" s="224"/>
      <c r="C892" s="224"/>
      <c r="D892" s="212"/>
      <c r="E892" s="221"/>
      <c r="F892" s="222"/>
      <c r="G892" s="223"/>
      <c r="H892" s="164"/>
      <c r="I892" s="164"/>
      <c r="J892" s="164"/>
      <c r="K892" s="164"/>
      <c r="L892" s="174"/>
      <c r="M892" s="164"/>
      <c r="N892" s="174"/>
      <c r="O892" s="157"/>
      <c r="P892" s="178"/>
      <c r="Q892" s="157"/>
      <c r="R892" s="157"/>
      <c r="S892" s="178"/>
      <c r="T892" s="157"/>
      <c r="U892" s="178"/>
      <c r="V892" s="191"/>
      <c r="W892" s="191"/>
      <c r="X892" s="191"/>
      <c r="Y892" s="191"/>
      <c r="Z892" s="191"/>
      <c r="AA892" s="191"/>
      <c r="AB892" s="191"/>
    </row>
    <row r="893" ht="15.75" customHeight="1">
      <c r="A893" s="288"/>
      <c r="B893" s="224"/>
      <c r="C893" s="224"/>
      <c r="D893" s="212"/>
      <c r="E893" s="221"/>
      <c r="F893" s="222"/>
      <c r="G893" s="223"/>
      <c r="H893" s="164"/>
      <c r="I893" s="164"/>
      <c r="J893" s="164"/>
      <c r="K893" s="164"/>
      <c r="L893" s="174"/>
      <c r="M893" s="164"/>
      <c r="N893" s="174"/>
      <c r="O893" s="157"/>
      <c r="P893" s="178"/>
      <c r="Q893" s="157"/>
      <c r="R893" s="157"/>
      <c r="S893" s="178"/>
      <c r="T893" s="157"/>
      <c r="U893" s="178"/>
      <c r="V893" s="191"/>
      <c r="W893" s="191"/>
      <c r="X893" s="191"/>
      <c r="Y893" s="191"/>
      <c r="Z893" s="191"/>
      <c r="AA893" s="191"/>
      <c r="AB893" s="191"/>
    </row>
    <row r="894" ht="15.75" customHeight="1">
      <c r="A894" s="288"/>
      <c r="B894" s="224"/>
      <c r="C894" s="224"/>
      <c r="D894" s="212"/>
      <c r="E894" s="221"/>
      <c r="F894" s="222"/>
      <c r="G894" s="223"/>
      <c r="H894" s="164"/>
      <c r="I894" s="164"/>
      <c r="J894" s="164"/>
      <c r="K894" s="164"/>
      <c r="L894" s="174"/>
      <c r="M894" s="164"/>
      <c r="N894" s="174"/>
      <c r="O894" s="157"/>
      <c r="P894" s="178"/>
      <c r="Q894" s="157"/>
      <c r="R894" s="157"/>
      <c r="S894" s="178"/>
      <c r="T894" s="157"/>
      <c r="U894" s="178"/>
      <c r="V894" s="191"/>
      <c r="W894" s="191"/>
      <c r="X894" s="191"/>
      <c r="Y894" s="191"/>
      <c r="Z894" s="191"/>
      <c r="AA894" s="191"/>
      <c r="AB894" s="191"/>
    </row>
    <row r="895" ht="15.75" customHeight="1">
      <c r="A895" s="288"/>
      <c r="B895" s="224"/>
      <c r="C895" s="224"/>
      <c r="D895" s="212"/>
      <c r="E895" s="221"/>
      <c r="F895" s="222"/>
      <c r="G895" s="223"/>
      <c r="H895" s="164"/>
      <c r="I895" s="164"/>
      <c r="J895" s="164"/>
      <c r="K895" s="164"/>
      <c r="L895" s="174"/>
      <c r="M895" s="164"/>
      <c r="N895" s="174"/>
      <c r="O895" s="157"/>
      <c r="P895" s="178"/>
      <c r="Q895" s="157"/>
      <c r="R895" s="157"/>
      <c r="S895" s="178"/>
      <c r="T895" s="157"/>
      <c r="U895" s="178"/>
      <c r="V895" s="191"/>
      <c r="W895" s="191"/>
      <c r="X895" s="191"/>
      <c r="Y895" s="191"/>
      <c r="Z895" s="191"/>
      <c r="AA895" s="191"/>
      <c r="AB895" s="191"/>
    </row>
    <row r="896" ht="15.75" customHeight="1">
      <c r="A896" s="288"/>
      <c r="B896" s="224"/>
      <c r="C896" s="224"/>
      <c r="D896" s="212"/>
      <c r="E896" s="221"/>
      <c r="F896" s="222"/>
      <c r="G896" s="223"/>
      <c r="H896" s="164"/>
      <c r="I896" s="164"/>
      <c r="J896" s="164"/>
      <c r="K896" s="164"/>
      <c r="L896" s="174"/>
      <c r="M896" s="164"/>
      <c r="N896" s="174"/>
      <c r="O896" s="157"/>
      <c r="P896" s="178"/>
      <c r="Q896" s="157"/>
      <c r="R896" s="157"/>
      <c r="S896" s="178"/>
      <c r="T896" s="157"/>
      <c r="U896" s="178"/>
      <c r="V896" s="191"/>
      <c r="W896" s="191"/>
      <c r="X896" s="191"/>
      <c r="Y896" s="191"/>
      <c r="Z896" s="191"/>
      <c r="AA896" s="191"/>
      <c r="AB896" s="191"/>
    </row>
    <row r="897" ht="15.75" customHeight="1">
      <c r="A897" s="288"/>
      <c r="B897" s="224"/>
      <c r="C897" s="224"/>
      <c r="D897" s="212"/>
      <c r="E897" s="221"/>
      <c r="F897" s="222"/>
      <c r="G897" s="223"/>
      <c r="H897" s="164"/>
      <c r="I897" s="164"/>
      <c r="J897" s="164"/>
      <c r="K897" s="164"/>
      <c r="L897" s="174"/>
      <c r="M897" s="164"/>
      <c r="N897" s="174"/>
      <c r="O897" s="157"/>
      <c r="P897" s="178"/>
      <c r="Q897" s="157"/>
      <c r="R897" s="157"/>
      <c r="S897" s="178"/>
      <c r="T897" s="157"/>
      <c r="U897" s="178"/>
      <c r="V897" s="191"/>
      <c r="W897" s="191"/>
      <c r="X897" s="191"/>
      <c r="Y897" s="191"/>
      <c r="Z897" s="191"/>
      <c r="AA897" s="191"/>
      <c r="AB897" s="191"/>
    </row>
    <row r="898" ht="15.75" customHeight="1">
      <c r="A898" s="288"/>
      <c r="B898" s="224"/>
      <c r="C898" s="224"/>
      <c r="D898" s="212"/>
      <c r="E898" s="221"/>
      <c r="F898" s="222"/>
      <c r="G898" s="223"/>
      <c r="H898" s="164"/>
      <c r="I898" s="164"/>
      <c r="J898" s="164"/>
      <c r="K898" s="164"/>
      <c r="L898" s="174"/>
      <c r="M898" s="164"/>
      <c r="N898" s="174"/>
      <c r="O898" s="157"/>
      <c r="P898" s="178"/>
      <c r="Q898" s="157"/>
      <c r="R898" s="157"/>
      <c r="S898" s="178"/>
      <c r="T898" s="157"/>
      <c r="U898" s="178"/>
      <c r="V898" s="191"/>
      <c r="W898" s="191"/>
      <c r="X898" s="191"/>
      <c r="Y898" s="191"/>
      <c r="Z898" s="191"/>
      <c r="AA898" s="191"/>
      <c r="AB898" s="191"/>
    </row>
    <row r="899" ht="15.75" customHeight="1">
      <c r="A899" s="288"/>
      <c r="B899" s="224"/>
      <c r="C899" s="224"/>
      <c r="D899" s="212"/>
      <c r="E899" s="221"/>
      <c r="F899" s="222"/>
      <c r="G899" s="223"/>
      <c r="H899" s="164"/>
      <c r="I899" s="164"/>
      <c r="J899" s="164"/>
      <c r="K899" s="164"/>
      <c r="L899" s="174"/>
      <c r="M899" s="164"/>
      <c r="N899" s="174"/>
      <c r="O899" s="157"/>
      <c r="P899" s="178"/>
      <c r="Q899" s="157"/>
      <c r="R899" s="157"/>
      <c r="S899" s="178"/>
      <c r="T899" s="157"/>
      <c r="U899" s="178"/>
      <c r="V899" s="191"/>
      <c r="W899" s="191"/>
      <c r="X899" s="191"/>
      <c r="Y899" s="191"/>
      <c r="Z899" s="191"/>
      <c r="AA899" s="191"/>
      <c r="AB899" s="191"/>
    </row>
    <row r="900" ht="15.75" customHeight="1">
      <c r="A900" s="288"/>
      <c r="B900" s="224"/>
      <c r="C900" s="224"/>
      <c r="D900" s="212"/>
      <c r="E900" s="221"/>
      <c r="F900" s="222"/>
      <c r="G900" s="223"/>
      <c r="H900" s="164"/>
      <c r="I900" s="164"/>
      <c r="J900" s="164"/>
      <c r="K900" s="164"/>
      <c r="L900" s="174"/>
      <c r="M900" s="164"/>
      <c r="N900" s="174"/>
      <c r="O900" s="157"/>
      <c r="P900" s="178"/>
      <c r="Q900" s="157"/>
      <c r="R900" s="157"/>
      <c r="S900" s="178"/>
      <c r="T900" s="157"/>
      <c r="U900" s="178"/>
      <c r="V900" s="191"/>
      <c r="W900" s="191"/>
      <c r="X900" s="191"/>
      <c r="Y900" s="191"/>
      <c r="Z900" s="191"/>
      <c r="AA900" s="191"/>
      <c r="AB900" s="191"/>
    </row>
    <row r="901" ht="15.75" customHeight="1">
      <c r="A901" s="288"/>
      <c r="B901" s="224"/>
      <c r="C901" s="224"/>
      <c r="D901" s="212"/>
      <c r="E901" s="221"/>
      <c r="F901" s="222"/>
      <c r="G901" s="223"/>
      <c r="H901" s="164"/>
      <c r="I901" s="164"/>
      <c r="J901" s="164"/>
      <c r="K901" s="164"/>
      <c r="L901" s="174"/>
      <c r="M901" s="164"/>
      <c r="N901" s="174"/>
      <c r="O901" s="157"/>
      <c r="P901" s="178"/>
      <c r="Q901" s="157"/>
      <c r="R901" s="157"/>
      <c r="S901" s="178"/>
      <c r="T901" s="157"/>
      <c r="U901" s="178"/>
      <c r="V901" s="191"/>
      <c r="W901" s="191"/>
      <c r="X901" s="191"/>
      <c r="Y901" s="191"/>
      <c r="Z901" s="191"/>
      <c r="AA901" s="191"/>
      <c r="AB901" s="191"/>
    </row>
    <row r="902" ht="15.75" customHeight="1">
      <c r="A902" s="288"/>
      <c r="B902" s="224"/>
      <c r="C902" s="224"/>
      <c r="D902" s="212"/>
      <c r="E902" s="221"/>
      <c r="F902" s="222"/>
      <c r="G902" s="223"/>
      <c r="H902" s="164"/>
      <c r="I902" s="164"/>
      <c r="J902" s="164"/>
      <c r="K902" s="164"/>
      <c r="L902" s="174"/>
      <c r="M902" s="164"/>
      <c r="N902" s="174"/>
      <c r="O902" s="157"/>
      <c r="P902" s="178"/>
      <c r="Q902" s="157"/>
      <c r="R902" s="157"/>
      <c r="S902" s="178"/>
      <c r="T902" s="157"/>
      <c r="U902" s="178"/>
      <c r="V902" s="191"/>
      <c r="W902" s="191"/>
      <c r="X902" s="191"/>
      <c r="Y902" s="191"/>
      <c r="Z902" s="191"/>
      <c r="AA902" s="191"/>
      <c r="AB902" s="191"/>
    </row>
    <row r="903" ht="15.75" customHeight="1">
      <c r="A903" s="288"/>
      <c r="B903" s="224"/>
      <c r="C903" s="224"/>
      <c r="D903" s="212"/>
      <c r="E903" s="221"/>
      <c r="F903" s="222"/>
      <c r="G903" s="223"/>
      <c r="H903" s="164"/>
      <c r="I903" s="164"/>
      <c r="J903" s="164"/>
      <c r="K903" s="164"/>
      <c r="L903" s="174"/>
      <c r="M903" s="164"/>
      <c r="N903" s="174"/>
      <c r="O903" s="157"/>
      <c r="P903" s="178"/>
      <c r="Q903" s="157"/>
      <c r="R903" s="157"/>
      <c r="S903" s="178"/>
      <c r="T903" s="157"/>
      <c r="U903" s="178"/>
      <c r="V903" s="191"/>
      <c r="W903" s="191"/>
      <c r="X903" s="191"/>
      <c r="Y903" s="191"/>
      <c r="Z903" s="191"/>
      <c r="AA903" s="191"/>
      <c r="AB903" s="191"/>
    </row>
    <row r="904" ht="15.75" customHeight="1">
      <c r="A904" s="288"/>
      <c r="B904" s="224"/>
      <c r="C904" s="224"/>
      <c r="D904" s="212"/>
      <c r="E904" s="221"/>
      <c r="F904" s="222"/>
      <c r="G904" s="223"/>
      <c r="H904" s="164"/>
      <c r="I904" s="164"/>
      <c r="J904" s="164"/>
      <c r="K904" s="164"/>
      <c r="L904" s="174"/>
      <c r="M904" s="164"/>
      <c r="N904" s="174"/>
      <c r="O904" s="157"/>
      <c r="P904" s="178"/>
      <c r="Q904" s="157"/>
      <c r="R904" s="157"/>
      <c r="S904" s="178"/>
      <c r="T904" s="157"/>
      <c r="U904" s="178"/>
      <c r="V904" s="191"/>
      <c r="W904" s="191"/>
      <c r="X904" s="191"/>
      <c r="Y904" s="191"/>
      <c r="Z904" s="191"/>
      <c r="AA904" s="191"/>
      <c r="AB904" s="191"/>
    </row>
    <row r="905" ht="15.75" customHeight="1">
      <c r="A905" s="288"/>
      <c r="B905" s="224"/>
      <c r="C905" s="224"/>
      <c r="D905" s="212"/>
      <c r="E905" s="221"/>
      <c r="F905" s="222"/>
      <c r="G905" s="223"/>
      <c r="H905" s="164"/>
      <c r="I905" s="164"/>
      <c r="J905" s="164"/>
      <c r="K905" s="164"/>
      <c r="L905" s="174"/>
      <c r="M905" s="164"/>
      <c r="N905" s="174"/>
      <c r="O905" s="157"/>
      <c r="P905" s="178"/>
      <c r="Q905" s="157"/>
      <c r="R905" s="157"/>
      <c r="S905" s="178"/>
      <c r="T905" s="157"/>
      <c r="U905" s="178"/>
      <c r="V905" s="191"/>
      <c r="W905" s="191"/>
      <c r="X905" s="191"/>
      <c r="Y905" s="191"/>
      <c r="Z905" s="191"/>
      <c r="AA905" s="191"/>
      <c r="AB905" s="191"/>
    </row>
    <row r="906" ht="15.75" customHeight="1">
      <c r="A906" s="288"/>
      <c r="B906" s="224"/>
      <c r="C906" s="224"/>
      <c r="D906" s="212"/>
      <c r="E906" s="221"/>
      <c r="F906" s="222"/>
      <c r="G906" s="223"/>
      <c r="H906" s="164"/>
      <c r="I906" s="164"/>
      <c r="J906" s="164"/>
      <c r="K906" s="164"/>
      <c r="L906" s="174"/>
      <c r="M906" s="164"/>
      <c r="N906" s="174"/>
      <c r="O906" s="157"/>
      <c r="P906" s="178"/>
      <c r="Q906" s="157"/>
      <c r="R906" s="157"/>
      <c r="S906" s="178"/>
      <c r="T906" s="157"/>
      <c r="U906" s="178"/>
      <c r="V906" s="191"/>
      <c r="W906" s="191"/>
      <c r="X906" s="191"/>
      <c r="Y906" s="191"/>
      <c r="Z906" s="191"/>
      <c r="AA906" s="191"/>
      <c r="AB906" s="191"/>
    </row>
    <row r="907" ht="15.75" customHeight="1">
      <c r="A907" s="288"/>
      <c r="B907" s="224"/>
      <c r="C907" s="224"/>
      <c r="D907" s="212"/>
      <c r="E907" s="221"/>
      <c r="F907" s="222"/>
      <c r="G907" s="223"/>
      <c r="H907" s="164"/>
      <c r="I907" s="164"/>
      <c r="J907" s="164"/>
      <c r="K907" s="164"/>
      <c r="L907" s="174"/>
      <c r="M907" s="164"/>
      <c r="N907" s="174"/>
      <c r="O907" s="157"/>
      <c r="P907" s="178"/>
      <c r="Q907" s="157"/>
      <c r="R907" s="157"/>
      <c r="S907" s="178"/>
      <c r="T907" s="157"/>
      <c r="U907" s="178"/>
      <c r="V907" s="191"/>
      <c r="W907" s="191"/>
      <c r="X907" s="191"/>
      <c r="Y907" s="191"/>
      <c r="Z907" s="191"/>
      <c r="AA907" s="191"/>
      <c r="AB907" s="191"/>
    </row>
    <row r="908" ht="15.75" customHeight="1">
      <c r="A908" s="288"/>
      <c r="B908" s="224"/>
      <c r="C908" s="224"/>
      <c r="D908" s="212"/>
      <c r="E908" s="221"/>
      <c r="F908" s="222"/>
      <c r="G908" s="223"/>
      <c r="H908" s="164"/>
      <c r="I908" s="164"/>
      <c r="J908" s="164"/>
      <c r="K908" s="164"/>
      <c r="L908" s="174"/>
      <c r="M908" s="164"/>
      <c r="N908" s="174"/>
      <c r="O908" s="157"/>
      <c r="P908" s="178"/>
      <c r="Q908" s="157"/>
      <c r="R908" s="157"/>
      <c r="S908" s="178"/>
      <c r="T908" s="157"/>
      <c r="U908" s="178"/>
      <c r="V908" s="191"/>
      <c r="W908" s="191"/>
      <c r="X908" s="191"/>
      <c r="Y908" s="191"/>
      <c r="Z908" s="191"/>
      <c r="AA908" s="191"/>
      <c r="AB908" s="191"/>
    </row>
    <row r="909" ht="15.75" customHeight="1">
      <c r="A909" s="288"/>
      <c r="B909" s="224"/>
      <c r="C909" s="224"/>
      <c r="D909" s="212"/>
      <c r="E909" s="221"/>
      <c r="F909" s="222"/>
      <c r="G909" s="223"/>
      <c r="H909" s="164"/>
      <c r="I909" s="164"/>
      <c r="J909" s="164"/>
      <c r="K909" s="164"/>
      <c r="L909" s="174"/>
      <c r="M909" s="164"/>
      <c r="N909" s="174"/>
      <c r="O909" s="157"/>
      <c r="P909" s="178"/>
      <c r="Q909" s="157"/>
      <c r="R909" s="157"/>
      <c r="S909" s="178"/>
      <c r="T909" s="157"/>
      <c r="U909" s="178"/>
      <c r="V909" s="191"/>
      <c r="W909" s="191"/>
      <c r="X909" s="191"/>
      <c r="Y909" s="191"/>
      <c r="Z909" s="191"/>
      <c r="AA909" s="191"/>
      <c r="AB909" s="191"/>
    </row>
    <row r="910" ht="15.75" customHeight="1">
      <c r="A910" s="288"/>
      <c r="B910" s="224"/>
      <c r="C910" s="224"/>
      <c r="D910" s="212"/>
      <c r="E910" s="221"/>
      <c r="F910" s="222"/>
      <c r="G910" s="223"/>
      <c r="H910" s="164"/>
      <c r="I910" s="164"/>
      <c r="J910" s="164"/>
      <c r="K910" s="164"/>
      <c r="L910" s="174"/>
      <c r="M910" s="164"/>
      <c r="N910" s="174"/>
      <c r="O910" s="157"/>
      <c r="P910" s="178"/>
      <c r="Q910" s="157"/>
      <c r="R910" s="157"/>
      <c r="S910" s="178"/>
      <c r="T910" s="157"/>
      <c r="U910" s="178"/>
      <c r="V910" s="191"/>
      <c r="W910" s="191"/>
      <c r="X910" s="191"/>
      <c r="Y910" s="191"/>
      <c r="Z910" s="191"/>
      <c r="AA910" s="191"/>
      <c r="AB910" s="191"/>
    </row>
    <row r="911" ht="15.75" customHeight="1">
      <c r="A911" s="288"/>
      <c r="B911" s="224"/>
      <c r="C911" s="224"/>
      <c r="D911" s="212"/>
      <c r="E911" s="221"/>
      <c r="F911" s="222"/>
      <c r="G911" s="223"/>
      <c r="H911" s="164"/>
      <c r="I911" s="164"/>
      <c r="J911" s="164"/>
      <c r="K911" s="164"/>
      <c r="L911" s="174"/>
      <c r="M911" s="164"/>
      <c r="N911" s="174"/>
      <c r="O911" s="157"/>
      <c r="P911" s="178"/>
      <c r="Q911" s="157"/>
      <c r="R911" s="157"/>
      <c r="S911" s="178"/>
      <c r="T911" s="157"/>
      <c r="U911" s="178"/>
      <c r="V911" s="191"/>
      <c r="W911" s="191"/>
      <c r="X911" s="191"/>
      <c r="Y911" s="191"/>
      <c r="Z911" s="191"/>
      <c r="AA911" s="191"/>
      <c r="AB911" s="191"/>
    </row>
    <row r="912" ht="15.75" customHeight="1">
      <c r="A912" s="288"/>
      <c r="B912" s="224"/>
      <c r="C912" s="224"/>
      <c r="D912" s="212"/>
      <c r="E912" s="221"/>
      <c r="F912" s="222"/>
      <c r="G912" s="223"/>
      <c r="H912" s="164"/>
      <c r="I912" s="164"/>
      <c r="J912" s="164"/>
      <c r="K912" s="164"/>
      <c r="L912" s="174"/>
      <c r="M912" s="164"/>
      <c r="N912" s="174"/>
      <c r="O912" s="157"/>
      <c r="P912" s="178"/>
      <c r="Q912" s="157"/>
      <c r="R912" s="157"/>
      <c r="S912" s="178"/>
      <c r="T912" s="157"/>
      <c r="U912" s="178"/>
      <c r="V912" s="191"/>
      <c r="W912" s="191"/>
      <c r="X912" s="191"/>
      <c r="Y912" s="191"/>
      <c r="Z912" s="191"/>
      <c r="AA912" s="191"/>
      <c r="AB912" s="191"/>
    </row>
    <row r="913" ht="15.75" customHeight="1">
      <c r="A913" s="288"/>
      <c r="B913" s="224"/>
      <c r="C913" s="224"/>
      <c r="D913" s="212"/>
      <c r="E913" s="221"/>
      <c r="F913" s="222"/>
      <c r="G913" s="223"/>
      <c r="H913" s="164"/>
      <c r="I913" s="164"/>
      <c r="J913" s="164"/>
      <c r="K913" s="164"/>
      <c r="L913" s="174"/>
      <c r="M913" s="164"/>
      <c r="N913" s="174"/>
      <c r="O913" s="157"/>
      <c r="P913" s="178"/>
      <c r="Q913" s="157"/>
      <c r="R913" s="157"/>
      <c r="S913" s="178"/>
      <c r="T913" s="157"/>
      <c r="U913" s="178"/>
      <c r="V913" s="191"/>
      <c r="W913" s="191"/>
      <c r="X913" s="191"/>
      <c r="Y913" s="191"/>
      <c r="Z913" s="191"/>
      <c r="AA913" s="191"/>
      <c r="AB913" s="191"/>
    </row>
    <row r="914" ht="15.75" customHeight="1">
      <c r="A914" s="288"/>
      <c r="B914" s="224"/>
      <c r="C914" s="224"/>
      <c r="D914" s="212"/>
      <c r="E914" s="221"/>
      <c r="F914" s="222"/>
      <c r="G914" s="223"/>
      <c r="H914" s="164"/>
      <c r="I914" s="164"/>
      <c r="J914" s="164"/>
      <c r="K914" s="164"/>
      <c r="L914" s="174"/>
      <c r="M914" s="164"/>
      <c r="N914" s="174"/>
      <c r="O914" s="157"/>
      <c r="P914" s="178"/>
      <c r="Q914" s="157"/>
      <c r="R914" s="157"/>
      <c r="S914" s="178"/>
      <c r="T914" s="157"/>
      <c r="U914" s="178"/>
      <c r="V914" s="191"/>
      <c r="W914" s="191"/>
      <c r="X914" s="191"/>
      <c r="Y914" s="191"/>
      <c r="Z914" s="191"/>
      <c r="AA914" s="191"/>
      <c r="AB914" s="191"/>
    </row>
    <row r="915" ht="15.75" customHeight="1">
      <c r="A915" s="288"/>
      <c r="B915" s="224"/>
      <c r="C915" s="224"/>
      <c r="D915" s="212"/>
      <c r="E915" s="221"/>
      <c r="F915" s="222"/>
      <c r="G915" s="223"/>
      <c r="H915" s="164"/>
      <c r="I915" s="164"/>
      <c r="J915" s="164"/>
      <c r="K915" s="164"/>
      <c r="L915" s="174"/>
      <c r="M915" s="164"/>
      <c r="N915" s="174"/>
      <c r="O915" s="157"/>
      <c r="P915" s="178"/>
      <c r="Q915" s="157"/>
      <c r="R915" s="157"/>
      <c r="S915" s="178"/>
      <c r="T915" s="157"/>
      <c r="U915" s="178"/>
      <c r="V915" s="191"/>
      <c r="W915" s="191"/>
      <c r="X915" s="191"/>
      <c r="Y915" s="191"/>
      <c r="Z915" s="191"/>
      <c r="AA915" s="191"/>
      <c r="AB915" s="191"/>
    </row>
    <row r="916" ht="15.75" customHeight="1">
      <c r="A916" s="288"/>
      <c r="B916" s="224"/>
      <c r="C916" s="224"/>
      <c r="D916" s="212"/>
      <c r="E916" s="221"/>
      <c r="F916" s="222"/>
      <c r="G916" s="223"/>
      <c r="H916" s="164"/>
      <c r="I916" s="164"/>
      <c r="J916" s="164"/>
      <c r="K916" s="164"/>
      <c r="L916" s="174"/>
      <c r="M916" s="164"/>
      <c r="N916" s="174"/>
      <c r="O916" s="157"/>
      <c r="P916" s="178"/>
      <c r="Q916" s="157"/>
      <c r="R916" s="157"/>
      <c r="S916" s="178"/>
      <c r="T916" s="157"/>
      <c r="U916" s="178"/>
      <c r="V916" s="191"/>
      <c r="W916" s="191"/>
      <c r="X916" s="191"/>
      <c r="Y916" s="191"/>
      <c r="Z916" s="191"/>
      <c r="AA916" s="191"/>
      <c r="AB916" s="191"/>
    </row>
    <row r="917" ht="15.75" customHeight="1">
      <c r="A917" s="288"/>
      <c r="B917" s="224"/>
      <c r="C917" s="224"/>
      <c r="D917" s="212"/>
      <c r="E917" s="221"/>
      <c r="F917" s="222"/>
      <c r="G917" s="223"/>
      <c r="H917" s="164"/>
      <c r="I917" s="164"/>
      <c r="J917" s="164"/>
      <c r="K917" s="164"/>
      <c r="L917" s="174"/>
      <c r="M917" s="164"/>
      <c r="N917" s="174"/>
      <c r="O917" s="157"/>
      <c r="P917" s="178"/>
      <c r="Q917" s="157"/>
      <c r="R917" s="157"/>
      <c r="S917" s="178"/>
      <c r="T917" s="157"/>
      <c r="U917" s="178"/>
      <c r="V917" s="191"/>
      <c r="W917" s="191"/>
      <c r="X917" s="191"/>
      <c r="Y917" s="191"/>
      <c r="Z917" s="191"/>
      <c r="AA917" s="191"/>
      <c r="AB917" s="191"/>
    </row>
    <row r="918" ht="15.75" customHeight="1">
      <c r="A918" s="288"/>
      <c r="B918" s="224"/>
      <c r="C918" s="224"/>
      <c r="D918" s="212"/>
      <c r="E918" s="221"/>
      <c r="F918" s="222"/>
      <c r="G918" s="223"/>
      <c r="H918" s="164"/>
      <c r="I918" s="164"/>
      <c r="J918" s="164"/>
      <c r="K918" s="164"/>
      <c r="L918" s="174"/>
      <c r="M918" s="164"/>
      <c r="N918" s="174"/>
      <c r="O918" s="157"/>
      <c r="P918" s="178"/>
      <c r="Q918" s="157"/>
      <c r="R918" s="157"/>
      <c r="S918" s="178"/>
      <c r="T918" s="157"/>
      <c r="U918" s="178"/>
      <c r="V918" s="191"/>
      <c r="W918" s="191"/>
      <c r="X918" s="191"/>
      <c r="Y918" s="191"/>
      <c r="Z918" s="191"/>
      <c r="AA918" s="191"/>
      <c r="AB918" s="191"/>
    </row>
    <row r="919" ht="15.75" customHeight="1">
      <c r="A919" s="288"/>
      <c r="B919" s="224"/>
      <c r="C919" s="224"/>
      <c r="D919" s="212"/>
      <c r="E919" s="221"/>
      <c r="F919" s="222"/>
      <c r="G919" s="223"/>
      <c r="H919" s="164"/>
      <c r="I919" s="164"/>
      <c r="J919" s="164"/>
      <c r="K919" s="164"/>
      <c r="L919" s="174"/>
      <c r="M919" s="164"/>
      <c r="N919" s="174"/>
      <c r="O919" s="157"/>
      <c r="P919" s="178"/>
      <c r="Q919" s="157"/>
      <c r="R919" s="157"/>
      <c r="S919" s="178"/>
      <c r="T919" s="157"/>
      <c r="U919" s="178"/>
      <c r="V919" s="191"/>
      <c r="W919" s="191"/>
      <c r="X919" s="191"/>
      <c r="Y919" s="191"/>
      <c r="Z919" s="191"/>
      <c r="AA919" s="191"/>
      <c r="AB919" s="191"/>
    </row>
    <row r="920" ht="15.75" customHeight="1">
      <c r="A920" s="288"/>
      <c r="B920" s="224"/>
      <c r="C920" s="224"/>
      <c r="D920" s="212"/>
      <c r="E920" s="221"/>
      <c r="F920" s="222"/>
      <c r="G920" s="223"/>
      <c r="H920" s="164"/>
      <c r="I920" s="164"/>
      <c r="J920" s="164"/>
      <c r="K920" s="164"/>
      <c r="L920" s="174"/>
      <c r="M920" s="164"/>
      <c r="N920" s="174"/>
      <c r="O920" s="157"/>
      <c r="P920" s="178"/>
      <c r="Q920" s="157"/>
      <c r="R920" s="157"/>
      <c r="S920" s="178"/>
      <c r="T920" s="157"/>
      <c r="U920" s="178"/>
      <c r="V920" s="191"/>
      <c r="W920" s="191"/>
      <c r="X920" s="191"/>
      <c r="Y920" s="191"/>
      <c r="Z920" s="191"/>
      <c r="AA920" s="191"/>
      <c r="AB920" s="191"/>
    </row>
    <row r="921" ht="15.75" customHeight="1">
      <c r="A921" s="288"/>
      <c r="B921" s="224"/>
      <c r="C921" s="224"/>
      <c r="D921" s="212"/>
      <c r="E921" s="221"/>
      <c r="F921" s="222"/>
      <c r="G921" s="223"/>
      <c r="H921" s="164"/>
      <c r="I921" s="164"/>
      <c r="J921" s="164"/>
      <c r="K921" s="164"/>
      <c r="L921" s="174"/>
      <c r="M921" s="164"/>
      <c r="N921" s="174"/>
      <c r="O921" s="157"/>
      <c r="P921" s="178"/>
      <c r="Q921" s="157"/>
      <c r="R921" s="157"/>
      <c r="S921" s="178"/>
      <c r="T921" s="157"/>
      <c r="U921" s="178"/>
      <c r="V921" s="191"/>
      <c r="W921" s="191"/>
      <c r="X921" s="191"/>
      <c r="Y921" s="191"/>
      <c r="Z921" s="191"/>
      <c r="AA921" s="191"/>
      <c r="AB921" s="191"/>
    </row>
    <row r="922" ht="15.75" customHeight="1">
      <c r="A922" s="288"/>
      <c r="B922" s="224"/>
      <c r="C922" s="224"/>
      <c r="D922" s="212"/>
      <c r="E922" s="221"/>
      <c r="F922" s="222"/>
      <c r="G922" s="223"/>
      <c r="H922" s="164"/>
      <c r="I922" s="164"/>
      <c r="J922" s="164"/>
      <c r="K922" s="164"/>
      <c r="L922" s="174"/>
      <c r="M922" s="164"/>
      <c r="N922" s="174"/>
      <c r="O922" s="157"/>
      <c r="P922" s="178"/>
      <c r="Q922" s="157"/>
      <c r="R922" s="157"/>
      <c r="S922" s="178"/>
      <c r="T922" s="157"/>
      <c r="U922" s="178"/>
      <c r="V922" s="191"/>
      <c r="W922" s="191"/>
      <c r="X922" s="191"/>
      <c r="Y922" s="191"/>
      <c r="Z922" s="191"/>
      <c r="AA922" s="191"/>
      <c r="AB922" s="191"/>
    </row>
    <row r="923" ht="15.75" customHeight="1">
      <c r="A923" s="288"/>
      <c r="B923" s="224"/>
      <c r="C923" s="224"/>
      <c r="D923" s="212"/>
      <c r="E923" s="221"/>
      <c r="F923" s="222"/>
      <c r="G923" s="223"/>
      <c r="H923" s="164"/>
      <c r="I923" s="164"/>
      <c r="J923" s="164"/>
      <c r="K923" s="164"/>
      <c r="L923" s="174"/>
      <c r="M923" s="164"/>
      <c r="N923" s="174"/>
      <c r="O923" s="157"/>
      <c r="P923" s="178"/>
      <c r="Q923" s="157"/>
      <c r="R923" s="157"/>
      <c r="S923" s="178"/>
      <c r="T923" s="157"/>
      <c r="U923" s="178"/>
      <c r="V923" s="191"/>
      <c r="W923" s="191"/>
      <c r="X923" s="191"/>
      <c r="Y923" s="191"/>
      <c r="Z923" s="191"/>
      <c r="AA923" s="191"/>
      <c r="AB923" s="191"/>
    </row>
    <row r="924" ht="15.75" customHeight="1">
      <c r="A924" s="288"/>
      <c r="B924" s="224"/>
      <c r="C924" s="224"/>
      <c r="D924" s="212"/>
      <c r="E924" s="221"/>
      <c r="F924" s="222"/>
      <c r="G924" s="223"/>
      <c r="H924" s="164"/>
      <c r="I924" s="164"/>
      <c r="J924" s="164"/>
      <c r="K924" s="164"/>
      <c r="L924" s="174"/>
      <c r="M924" s="164"/>
      <c r="N924" s="174"/>
      <c r="O924" s="157"/>
      <c r="P924" s="178"/>
      <c r="Q924" s="157"/>
      <c r="R924" s="157"/>
      <c r="S924" s="178"/>
      <c r="T924" s="157"/>
      <c r="U924" s="178"/>
      <c r="V924" s="191"/>
      <c r="W924" s="191"/>
      <c r="X924" s="191"/>
      <c r="Y924" s="191"/>
      <c r="Z924" s="191"/>
      <c r="AA924" s="191"/>
      <c r="AB924" s="191"/>
    </row>
    <row r="925" ht="15.75" customHeight="1">
      <c r="A925" s="288"/>
      <c r="B925" s="224"/>
      <c r="C925" s="224"/>
      <c r="D925" s="212"/>
      <c r="E925" s="221"/>
      <c r="F925" s="222"/>
      <c r="G925" s="223"/>
      <c r="H925" s="164"/>
      <c r="I925" s="164"/>
      <c r="J925" s="164"/>
      <c r="K925" s="164"/>
      <c r="L925" s="174"/>
      <c r="M925" s="164"/>
      <c r="N925" s="174"/>
      <c r="O925" s="157"/>
      <c r="P925" s="178"/>
      <c r="Q925" s="157"/>
      <c r="R925" s="157"/>
      <c r="S925" s="178"/>
      <c r="T925" s="157"/>
      <c r="U925" s="178"/>
      <c r="V925" s="191"/>
      <c r="W925" s="191"/>
      <c r="X925" s="191"/>
      <c r="Y925" s="191"/>
      <c r="Z925" s="191"/>
      <c r="AA925" s="191"/>
      <c r="AB925" s="191"/>
    </row>
    <row r="926" ht="15.75" customHeight="1">
      <c r="A926" s="288"/>
      <c r="B926" s="224"/>
      <c r="C926" s="224"/>
      <c r="D926" s="212"/>
      <c r="E926" s="221"/>
      <c r="F926" s="222"/>
      <c r="G926" s="223"/>
      <c r="H926" s="164"/>
      <c r="I926" s="164"/>
      <c r="J926" s="164"/>
      <c r="K926" s="164"/>
      <c r="L926" s="174"/>
      <c r="M926" s="164"/>
      <c r="N926" s="174"/>
      <c r="O926" s="157"/>
      <c r="P926" s="178"/>
      <c r="Q926" s="157"/>
      <c r="R926" s="157"/>
      <c r="S926" s="178"/>
      <c r="T926" s="157"/>
      <c r="U926" s="178"/>
      <c r="V926" s="191"/>
      <c r="W926" s="191"/>
      <c r="X926" s="191"/>
      <c r="Y926" s="191"/>
      <c r="Z926" s="191"/>
      <c r="AA926" s="191"/>
      <c r="AB926" s="191"/>
    </row>
    <row r="927" ht="15.75" customHeight="1">
      <c r="A927" s="288"/>
      <c r="B927" s="224"/>
      <c r="C927" s="224"/>
      <c r="D927" s="212"/>
      <c r="E927" s="221"/>
      <c r="F927" s="222"/>
      <c r="G927" s="223"/>
      <c r="H927" s="164"/>
      <c r="I927" s="164"/>
      <c r="J927" s="164"/>
      <c r="K927" s="164"/>
      <c r="L927" s="174"/>
      <c r="M927" s="164"/>
      <c r="N927" s="174"/>
      <c r="O927" s="157"/>
      <c r="P927" s="178"/>
      <c r="Q927" s="157"/>
      <c r="R927" s="157"/>
      <c r="S927" s="178"/>
      <c r="T927" s="157"/>
      <c r="U927" s="178"/>
      <c r="V927" s="191"/>
      <c r="W927" s="191"/>
      <c r="X927" s="191"/>
      <c r="Y927" s="191"/>
      <c r="Z927" s="191"/>
      <c r="AA927" s="191"/>
      <c r="AB927" s="191"/>
    </row>
    <row r="928" ht="15.75" customHeight="1">
      <c r="A928" s="288"/>
      <c r="B928" s="224"/>
      <c r="C928" s="224"/>
      <c r="D928" s="212"/>
      <c r="E928" s="221"/>
      <c r="F928" s="222"/>
      <c r="G928" s="223"/>
      <c r="H928" s="164"/>
      <c r="I928" s="164"/>
      <c r="J928" s="164"/>
      <c r="K928" s="164"/>
      <c r="L928" s="174"/>
      <c r="M928" s="164"/>
      <c r="N928" s="174"/>
      <c r="O928" s="157"/>
      <c r="P928" s="178"/>
      <c r="Q928" s="157"/>
      <c r="R928" s="157"/>
      <c r="S928" s="178"/>
      <c r="T928" s="157"/>
      <c r="U928" s="178"/>
      <c r="V928" s="191"/>
      <c r="W928" s="191"/>
      <c r="X928" s="191"/>
      <c r="Y928" s="191"/>
      <c r="Z928" s="191"/>
      <c r="AA928" s="191"/>
      <c r="AB928" s="191"/>
    </row>
    <row r="929" ht="15.75" customHeight="1">
      <c r="A929" s="288"/>
      <c r="B929" s="224"/>
      <c r="C929" s="224"/>
      <c r="D929" s="212"/>
      <c r="E929" s="221"/>
      <c r="F929" s="222"/>
      <c r="G929" s="223"/>
      <c r="H929" s="164"/>
      <c r="I929" s="164"/>
      <c r="J929" s="164"/>
      <c r="K929" s="164"/>
      <c r="L929" s="174"/>
      <c r="M929" s="164"/>
      <c r="N929" s="174"/>
      <c r="O929" s="157"/>
      <c r="P929" s="178"/>
      <c r="Q929" s="157"/>
      <c r="R929" s="157"/>
      <c r="S929" s="178"/>
      <c r="T929" s="157"/>
      <c r="U929" s="178"/>
      <c r="V929" s="191"/>
      <c r="W929" s="191"/>
      <c r="X929" s="191"/>
      <c r="Y929" s="191"/>
      <c r="Z929" s="191"/>
      <c r="AA929" s="191"/>
      <c r="AB929" s="191"/>
    </row>
    <row r="930" ht="15.75" customHeight="1">
      <c r="A930" s="288"/>
      <c r="B930" s="224"/>
      <c r="C930" s="224"/>
      <c r="D930" s="212"/>
      <c r="E930" s="221"/>
      <c r="F930" s="222"/>
      <c r="G930" s="223"/>
      <c r="H930" s="164"/>
      <c r="I930" s="164"/>
      <c r="J930" s="164"/>
      <c r="K930" s="164"/>
      <c r="L930" s="174"/>
      <c r="M930" s="164"/>
      <c r="N930" s="174"/>
      <c r="O930" s="157"/>
      <c r="P930" s="178"/>
      <c r="Q930" s="157"/>
      <c r="R930" s="157"/>
      <c r="S930" s="178"/>
      <c r="T930" s="157"/>
      <c r="U930" s="178"/>
      <c r="V930" s="191"/>
      <c r="W930" s="191"/>
      <c r="X930" s="191"/>
      <c r="Y930" s="191"/>
      <c r="Z930" s="191"/>
      <c r="AA930" s="191"/>
      <c r="AB930" s="191"/>
    </row>
    <row r="931" ht="15.75" customHeight="1">
      <c r="A931" s="288"/>
      <c r="B931" s="224"/>
      <c r="C931" s="224"/>
      <c r="D931" s="212"/>
      <c r="E931" s="221"/>
      <c r="F931" s="222"/>
      <c r="G931" s="223"/>
      <c r="H931" s="164"/>
      <c r="I931" s="164"/>
      <c r="J931" s="164"/>
      <c r="K931" s="164"/>
      <c r="L931" s="174"/>
      <c r="M931" s="164"/>
      <c r="N931" s="174"/>
      <c r="O931" s="157"/>
      <c r="P931" s="178"/>
      <c r="Q931" s="157"/>
      <c r="R931" s="157"/>
      <c r="S931" s="178"/>
      <c r="T931" s="157"/>
      <c r="U931" s="178"/>
      <c r="V931" s="191"/>
      <c r="W931" s="191"/>
      <c r="X931" s="191"/>
      <c r="Y931" s="191"/>
      <c r="Z931" s="191"/>
      <c r="AA931" s="191"/>
      <c r="AB931" s="191"/>
    </row>
    <row r="932" ht="15.75" customHeight="1">
      <c r="A932" s="288"/>
      <c r="B932" s="224"/>
      <c r="C932" s="224"/>
      <c r="D932" s="212"/>
      <c r="E932" s="221"/>
      <c r="F932" s="222"/>
      <c r="G932" s="223"/>
      <c r="H932" s="164"/>
      <c r="I932" s="164"/>
      <c r="J932" s="164"/>
      <c r="K932" s="164"/>
      <c r="L932" s="174"/>
      <c r="M932" s="164"/>
      <c r="N932" s="174"/>
      <c r="O932" s="157"/>
      <c r="P932" s="178"/>
      <c r="Q932" s="157"/>
      <c r="R932" s="157"/>
      <c r="S932" s="178"/>
      <c r="T932" s="157"/>
      <c r="U932" s="178"/>
      <c r="V932" s="191"/>
      <c r="W932" s="191"/>
      <c r="X932" s="191"/>
      <c r="Y932" s="191"/>
      <c r="Z932" s="191"/>
      <c r="AA932" s="191"/>
      <c r="AB932" s="191"/>
    </row>
    <row r="933" ht="15.75" customHeight="1">
      <c r="A933" s="288"/>
      <c r="B933" s="224"/>
      <c r="C933" s="224"/>
      <c r="D933" s="212"/>
      <c r="E933" s="221"/>
      <c r="F933" s="222"/>
      <c r="G933" s="223"/>
      <c r="H933" s="164"/>
      <c r="I933" s="164"/>
      <c r="J933" s="164"/>
      <c r="K933" s="164"/>
      <c r="L933" s="174"/>
      <c r="M933" s="164"/>
      <c r="N933" s="174"/>
      <c r="O933" s="157"/>
      <c r="P933" s="178"/>
      <c r="Q933" s="157"/>
      <c r="R933" s="157"/>
      <c r="S933" s="178"/>
      <c r="T933" s="157"/>
      <c r="U933" s="178"/>
      <c r="V933" s="191"/>
      <c r="W933" s="191"/>
      <c r="X933" s="191"/>
      <c r="Y933" s="191"/>
      <c r="Z933" s="191"/>
      <c r="AA933" s="191"/>
      <c r="AB933" s="191"/>
    </row>
    <row r="934" ht="15.75" customHeight="1">
      <c r="A934" s="288"/>
      <c r="B934" s="224"/>
      <c r="C934" s="224"/>
      <c r="D934" s="212"/>
      <c r="E934" s="221"/>
      <c r="F934" s="222"/>
      <c r="G934" s="223"/>
      <c r="H934" s="164"/>
      <c r="I934" s="164"/>
      <c r="J934" s="164"/>
      <c r="K934" s="164"/>
      <c r="L934" s="174"/>
      <c r="M934" s="164"/>
      <c r="N934" s="174"/>
      <c r="O934" s="157"/>
      <c r="P934" s="178"/>
      <c r="Q934" s="157"/>
      <c r="R934" s="157"/>
      <c r="S934" s="178"/>
      <c r="T934" s="157"/>
      <c r="U934" s="178"/>
      <c r="V934" s="191"/>
      <c r="W934" s="191"/>
      <c r="X934" s="191"/>
      <c r="Y934" s="191"/>
      <c r="Z934" s="191"/>
      <c r="AA934" s="191"/>
      <c r="AB934" s="191"/>
    </row>
    <row r="935" ht="15.75" customHeight="1">
      <c r="A935" s="288"/>
      <c r="B935" s="224"/>
      <c r="C935" s="224"/>
      <c r="D935" s="212"/>
      <c r="E935" s="221"/>
      <c r="F935" s="222"/>
      <c r="G935" s="223"/>
      <c r="H935" s="164"/>
      <c r="I935" s="164"/>
      <c r="J935" s="164"/>
      <c r="K935" s="164"/>
      <c r="L935" s="174"/>
      <c r="M935" s="164"/>
      <c r="N935" s="174"/>
      <c r="O935" s="157"/>
      <c r="P935" s="178"/>
      <c r="Q935" s="157"/>
      <c r="R935" s="157"/>
      <c r="S935" s="178"/>
      <c r="T935" s="157"/>
      <c r="U935" s="178"/>
      <c r="V935" s="191"/>
      <c r="W935" s="191"/>
      <c r="X935" s="191"/>
      <c r="Y935" s="191"/>
      <c r="Z935" s="191"/>
      <c r="AA935" s="191"/>
      <c r="AB935" s="191"/>
    </row>
    <row r="936" ht="15.75" customHeight="1">
      <c r="A936" s="288"/>
      <c r="B936" s="224"/>
      <c r="C936" s="224"/>
      <c r="D936" s="212"/>
      <c r="E936" s="221"/>
      <c r="F936" s="222"/>
      <c r="G936" s="223"/>
      <c r="H936" s="164"/>
      <c r="I936" s="164"/>
      <c r="J936" s="164"/>
      <c r="K936" s="164"/>
      <c r="L936" s="174"/>
      <c r="M936" s="164"/>
      <c r="N936" s="174"/>
      <c r="O936" s="157"/>
      <c r="P936" s="178"/>
      <c r="Q936" s="157"/>
      <c r="R936" s="157"/>
      <c r="S936" s="178"/>
      <c r="T936" s="157"/>
      <c r="U936" s="178"/>
      <c r="V936" s="191"/>
      <c r="W936" s="191"/>
      <c r="X936" s="191"/>
      <c r="Y936" s="191"/>
      <c r="Z936" s="191"/>
      <c r="AA936" s="191"/>
      <c r="AB936" s="191"/>
    </row>
    <row r="937" ht="15.75" customHeight="1">
      <c r="A937" s="288"/>
      <c r="B937" s="224"/>
      <c r="C937" s="224"/>
      <c r="D937" s="212"/>
      <c r="E937" s="221"/>
      <c r="F937" s="222"/>
      <c r="G937" s="223"/>
      <c r="H937" s="164"/>
      <c r="I937" s="164"/>
      <c r="J937" s="164"/>
      <c r="K937" s="164"/>
      <c r="L937" s="174"/>
      <c r="M937" s="164"/>
      <c r="N937" s="174"/>
      <c r="O937" s="157"/>
      <c r="P937" s="178"/>
      <c r="Q937" s="157"/>
      <c r="R937" s="157"/>
      <c r="S937" s="178"/>
      <c r="T937" s="157"/>
      <c r="U937" s="178"/>
      <c r="V937" s="191"/>
      <c r="W937" s="191"/>
      <c r="X937" s="191"/>
      <c r="Y937" s="191"/>
      <c r="Z937" s="191"/>
      <c r="AA937" s="191"/>
      <c r="AB937" s="191"/>
    </row>
    <row r="938" ht="15.75" customHeight="1">
      <c r="A938" s="288"/>
      <c r="B938" s="224"/>
      <c r="C938" s="224"/>
      <c r="D938" s="212"/>
      <c r="E938" s="221"/>
      <c r="F938" s="222"/>
      <c r="G938" s="223"/>
      <c r="H938" s="164"/>
      <c r="I938" s="164"/>
      <c r="J938" s="164"/>
      <c r="K938" s="164"/>
      <c r="L938" s="174"/>
      <c r="M938" s="164"/>
      <c r="N938" s="174"/>
      <c r="O938" s="157"/>
      <c r="P938" s="178"/>
      <c r="Q938" s="157"/>
      <c r="R938" s="157"/>
      <c r="S938" s="178"/>
      <c r="T938" s="157"/>
      <c r="U938" s="178"/>
      <c r="V938" s="191"/>
      <c r="W938" s="191"/>
      <c r="X938" s="191"/>
      <c r="Y938" s="191"/>
      <c r="Z938" s="191"/>
      <c r="AA938" s="191"/>
      <c r="AB938" s="191"/>
    </row>
    <row r="939" ht="15.75" customHeight="1">
      <c r="A939" s="288"/>
      <c r="B939" s="224"/>
      <c r="C939" s="224"/>
      <c r="D939" s="212"/>
      <c r="E939" s="221"/>
      <c r="F939" s="222"/>
      <c r="G939" s="223"/>
      <c r="H939" s="164"/>
      <c r="I939" s="164"/>
      <c r="J939" s="164"/>
      <c r="K939" s="164"/>
      <c r="L939" s="174"/>
      <c r="M939" s="164"/>
      <c r="N939" s="174"/>
      <c r="O939" s="157"/>
      <c r="P939" s="178"/>
      <c r="Q939" s="157"/>
      <c r="R939" s="157"/>
      <c r="S939" s="178"/>
      <c r="T939" s="157"/>
      <c r="U939" s="178"/>
      <c r="V939" s="191"/>
      <c r="W939" s="191"/>
      <c r="X939" s="191"/>
      <c r="Y939" s="191"/>
      <c r="Z939" s="191"/>
      <c r="AA939" s="191"/>
      <c r="AB939" s="191"/>
    </row>
    <row r="940" ht="15.75" customHeight="1">
      <c r="A940" s="288"/>
      <c r="B940" s="224"/>
      <c r="C940" s="224"/>
      <c r="D940" s="212"/>
      <c r="E940" s="221"/>
      <c r="F940" s="222"/>
      <c r="G940" s="223"/>
      <c r="H940" s="164"/>
      <c r="I940" s="164"/>
      <c r="J940" s="164"/>
      <c r="K940" s="164"/>
      <c r="L940" s="174"/>
      <c r="M940" s="164"/>
      <c r="N940" s="174"/>
      <c r="O940" s="157"/>
      <c r="P940" s="178"/>
      <c r="Q940" s="157"/>
      <c r="R940" s="157"/>
      <c r="S940" s="178"/>
      <c r="T940" s="157"/>
      <c r="U940" s="178"/>
      <c r="V940" s="191"/>
      <c r="W940" s="191"/>
      <c r="X940" s="191"/>
      <c r="Y940" s="191"/>
      <c r="Z940" s="191"/>
      <c r="AA940" s="191"/>
      <c r="AB940" s="191"/>
    </row>
    <row r="941" ht="15.75" customHeight="1">
      <c r="A941" s="288"/>
      <c r="B941" s="224"/>
      <c r="C941" s="224"/>
      <c r="D941" s="212"/>
      <c r="E941" s="221"/>
      <c r="F941" s="222"/>
      <c r="G941" s="223"/>
      <c r="H941" s="164"/>
      <c r="I941" s="164"/>
      <c r="J941" s="164"/>
      <c r="K941" s="164"/>
      <c r="L941" s="174"/>
      <c r="M941" s="164"/>
      <c r="N941" s="174"/>
      <c r="O941" s="157"/>
      <c r="P941" s="178"/>
      <c r="Q941" s="157"/>
      <c r="R941" s="157"/>
      <c r="S941" s="178"/>
      <c r="T941" s="157"/>
      <c r="U941" s="178"/>
      <c r="V941" s="191"/>
      <c r="W941" s="191"/>
      <c r="X941" s="191"/>
      <c r="Y941" s="191"/>
      <c r="Z941" s="191"/>
      <c r="AA941" s="191"/>
      <c r="AB941" s="191"/>
    </row>
    <row r="942" ht="15.75" customHeight="1">
      <c r="A942" s="288"/>
      <c r="B942" s="224"/>
      <c r="C942" s="224"/>
      <c r="D942" s="212"/>
      <c r="E942" s="221"/>
      <c r="F942" s="222"/>
      <c r="G942" s="223"/>
      <c r="H942" s="164"/>
      <c r="I942" s="164"/>
      <c r="J942" s="164"/>
      <c r="K942" s="164"/>
      <c r="L942" s="174"/>
      <c r="M942" s="164"/>
      <c r="N942" s="174"/>
      <c r="O942" s="157"/>
      <c r="P942" s="178"/>
      <c r="Q942" s="157"/>
      <c r="R942" s="157"/>
      <c r="S942" s="178"/>
      <c r="T942" s="157"/>
      <c r="U942" s="178"/>
      <c r="V942" s="191"/>
      <c r="W942" s="191"/>
      <c r="X942" s="191"/>
      <c r="Y942" s="191"/>
      <c r="Z942" s="191"/>
      <c r="AA942" s="191"/>
      <c r="AB942" s="191"/>
    </row>
    <row r="943" ht="15.75" customHeight="1">
      <c r="A943" s="288"/>
      <c r="B943" s="224"/>
      <c r="C943" s="224"/>
      <c r="D943" s="212"/>
      <c r="E943" s="221"/>
      <c r="F943" s="222"/>
      <c r="G943" s="223"/>
      <c r="H943" s="164"/>
      <c r="I943" s="164"/>
      <c r="J943" s="164"/>
      <c r="K943" s="164"/>
      <c r="L943" s="174"/>
      <c r="M943" s="164"/>
      <c r="N943" s="174"/>
      <c r="O943" s="157"/>
      <c r="P943" s="178"/>
      <c r="Q943" s="157"/>
      <c r="R943" s="157"/>
      <c r="S943" s="178"/>
      <c r="T943" s="157"/>
      <c r="U943" s="178"/>
      <c r="V943" s="191"/>
      <c r="W943" s="191"/>
      <c r="X943" s="191"/>
      <c r="Y943" s="191"/>
      <c r="Z943" s="191"/>
      <c r="AA943" s="191"/>
      <c r="AB943" s="191"/>
    </row>
    <row r="944" ht="15.75" customHeight="1">
      <c r="A944" s="288"/>
      <c r="B944" s="224"/>
      <c r="C944" s="224"/>
      <c r="D944" s="212"/>
      <c r="E944" s="221"/>
      <c r="F944" s="222"/>
      <c r="G944" s="223"/>
      <c r="H944" s="164"/>
      <c r="I944" s="164"/>
      <c r="J944" s="164"/>
      <c r="K944" s="164"/>
      <c r="L944" s="174"/>
      <c r="M944" s="164"/>
      <c r="N944" s="174"/>
      <c r="O944" s="157"/>
      <c r="P944" s="178"/>
      <c r="Q944" s="157"/>
      <c r="R944" s="157"/>
      <c r="S944" s="178"/>
      <c r="T944" s="157"/>
      <c r="U944" s="178"/>
      <c r="V944" s="191"/>
      <c r="W944" s="191"/>
      <c r="X944" s="191"/>
      <c r="Y944" s="191"/>
      <c r="Z944" s="191"/>
      <c r="AA944" s="191"/>
      <c r="AB944" s="191"/>
    </row>
    <row r="945" ht="15.75" customHeight="1">
      <c r="A945" s="288"/>
      <c r="B945" s="224"/>
      <c r="C945" s="224"/>
      <c r="D945" s="212"/>
      <c r="E945" s="221"/>
      <c r="F945" s="222"/>
      <c r="G945" s="223"/>
      <c r="H945" s="164"/>
      <c r="I945" s="164"/>
      <c r="J945" s="164"/>
      <c r="K945" s="164"/>
      <c r="L945" s="174"/>
      <c r="M945" s="164"/>
      <c r="N945" s="174"/>
      <c r="O945" s="157"/>
      <c r="P945" s="178"/>
      <c r="Q945" s="157"/>
      <c r="R945" s="157"/>
      <c r="S945" s="178"/>
      <c r="T945" s="157"/>
      <c r="U945" s="178"/>
      <c r="V945" s="191"/>
      <c r="W945" s="191"/>
      <c r="X945" s="191"/>
      <c r="Y945" s="191"/>
      <c r="Z945" s="191"/>
      <c r="AA945" s="191"/>
      <c r="AB945" s="191"/>
    </row>
    <row r="946" ht="15.75" customHeight="1">
      <c r="A946" s="288"/>
      <c r="B946" s="224"/>
      <c r="C946" s="224"/>
      <c r="D946" s="212"/>
      <c r="E946" s="221"/>
      <c r="F946" s="222"/>
      <c r="G946" s="223"/>
      <c r="H946" s="164"/>
      <c r="I946" s="164"/>
      <c r="J946" s="164"/>
      <c r="K946" s="164"/>
      <c r="L946" s="174"/>
      <c r="M946" s="164"/>
      <c r="N946" s="174"/>
      <c r="O946" s="157"/>
      <c r="P946" s="178"/>
      <c r="Q946" s="157"/>
      <c r="R946" s="157"/>
      <c r="S946" s="178"/>
      <c r="T946" s="157"/>
      <c r="U946" s="178"/>
      <c r="V946" s="191"/>
      <c r="W946" s="191"/>
      <c r="X946" s="191"/>
      <c r="Y946" s="191"/>
      <c r="Z946" s="191"/>
      <c r="AA946" s="191"/>
      <c r="AB946" s="191"/>
    </row>
    <row r="947" ht="15.75" customHeight="1">
      <c r="A947" s="288"/>
      <c r="B947" s="224"/>
      <c r="C947" s="224"/>
      <c r="D947" s="212"/>
      <c r="E947" s="221"/>
      <c r="F947" s="222"/>
      <c r="G947" s="223"/>
      <c r="H947" s="164"/>
      <c r="I947" s="164"/>
      <c r="J947" s="164"/>
      <c r="K947" s="164"/>
      <c r="L947" s="174"/>
      <c r="M947" s="164"/>
      <c r="N947" s="174"/>
      <c r="O947" s="157"/>
      <c r="P947" s="178"/>
      <c r="Q947" s="157"/>
      <c r="R947" s="157"/>
      <c r="S947" s="178"/>
      <c r="T947" s="157"/>
      <c r="U947" s="178"/>
      <c r="V947" s="191"/>
      <c r="W947" s="191"/>
      <c r="X947" s="191"/>
      <c r="Y947" s="191"/>
      <c r="Z947" s="191"/>
      <c r="AA947" s="191"/>
      <c r="AB947" s="191"/>
    </row>
    <row r="948" ht="15.75" customHeight="1">
      <c r="A948" s="288"/>
      <c r="B948" s="224"/>
      <c r="C948" s="224"/>
      <c r="D948" s="212"/>
      <c r="E948" s="221"/>
      <c r="F948" s="222"/>
      <c r="G948" s="223"/>
      <c r="H948" s="164"/>
      <c r="I948" s="164"/>
      <c r="J948" s="164"/>
      <c r="K948" s="164"/>
      <c r="L948" s="174"/>
      <c r="M948" s="164"/>
      <c r="N948" s="174"/>
      <c r="O948" s="157"/>
      <c r="P948" s="178"/>
      <c r="Q948" s="157"/>
      <c r="R948" s="157"/>
      <c r="S948" s="178"/>
      <c r="T948" s="157"/>
      <c r="U948" s="178"/>
      <c r="V948" s="191"/>
      <c r="W948" s="191"/>
      <c r="X948" s="191"/>
      <c r="Y948" s="191"/>
      <c r="Z948" s="191"/>
      <c r="AA948" s="191"/>
      <c r="AB948" s="191"/>
    </row>
    <row r="949" ht="15.75" customHeight="1">
      <c r="A949" s="288"/>
      <c r="B949" s="224"/>
      <c r="C949" s="224"/>
      <c r="D949" s="212"/>
      <c r="E949" s="221"/>
      <c r="F949" s="222"/>
      <c r="G949" s="223"/>
      <c r="H949" s="164"/>
      <c r="I949" s="164"/>
      <c r="J949" s="164"/>
      <c r="K949" s="164"/>
      <c r="L949" s="174"/>
      <c r="M949" s="164"/>
      <c r="N949" s="174"/>
      <c r="O949" s="157"/>
      <c r="P949" s="178"/>
      <c r="Q949" s="157"/>
      <c r="R949" s="157"/>
      <c r="S949" s="178"/>
      <c r="T949" s="157"/>
      <c r="U949" s="178"/>
      <c r="V949" s="191"/>
      <c r="W949" s="191"/>
      <c r="X949" s="191"/>
      <c r="Y949" s="191"/>
      <c r="Z949" s="191"/>
      <c r="AA949" s="191"/>
      <c r="AB949" s="191"/>
    </row>
    <row r="950" ht="15.75" customHeight="1">
      <c r="A950" s="288"/>
      <c r="B950" s="224"/>
      <c r="C950" s="224"/>
      <c r="D950" s="212"/>
      <c r="E950" s="221"/>
      <c r="F950" s="222"/>
      <c r="G950" s="223"/>
      <c r="H950" s="164"/>
      <c r="I950" s="164"/>
      <c r="J950" s="164"/>
      <c r="K950" s="164"/>
      <c r="L950" s="174"/>
      <c r="M950" s="164"/>
      <c r="N950" s="174"/>
      <c r="O950" s="157"/>
      <c r="P950" s="178"/>
      <c r="Q950" s="157"/>
      <c r="R950" s="157"/>
      <c r="S950" s="178"/>
      <c r="T950" s="157"/>
      <c r="U950" s="178"/>
      <c r="V950" s="191"/>
      <c r="W950" s="191"/>
      <c r="X950" s="191"/>
      <c r="Y950" s="191"/>
      <c r="Z950" s="191"/>
      <c r="AA950" s="191"/>
      <c r="AB950" s="191"/>
    </row>
    <row r="951" ht="15.75" customHeight="1">
      <c r="A951" s="288"/>
      <c r="B951" s="224"/>
      <c r="C951" s="224"/>
      <c r="D951" s="212"/>
      <c r="E951" s="221"/>
      <c r="F951" s="222"/>
      <c r="G951" s="223"/>
      <c r="H951" s="164"/>
      <c r="I951" s="164"/>
      <c r="J951" s="164"/>
      <c r="K951" s="164"/>
      <c r="L951" s="174"/>
      <c r="M951" s="164"/>
      <c r="N951" s="174"/>
      <c r="O951" s="157"/>
      <c r="P951" s="178"/>
      <c r="Q951" s="157"/>
      <c r="R951" s="157"/>
      <c r="S951" s="178"/>
      <c r="T951" s="157"/>
      <c r="U951" s="178"/>
      <c r="V951" s="191"/>
      <c r="W951" s="191"/>
      <c r="X951" s="191"/>
      <c r="Y951" s="191"/>
      <c r="Z951" s="191"/>
      <c r="AA951" s="191"/>
      <c r="AB951" s="191"/>
    </row>
    <row r="952" ht="15.75" customHeight="1">
      <c r="A952" s="288"/>
      <c r="B952" s="224"/>
      <c r="C952" s="224"/>
      <c r="D952" s="212"/>
      <c r="E952" s="221"/>
      <c r="F952" s="222"/>
      <c r="G952" s="223"/>
      <c r="H952" s="164"/>
      <c r="I952" s="164"/>
      <c r="J952" s="164"/>
      <c r="K952" s="164"/>
      <c r="L952" s="174"/>
      <c r="M952" s="164"/>
      <c r="N952" s="174"/>
      <c r="O952" s="157"/>
      <c r="P952" s="178"/>
      <c r="Q952" s="157"/>
      <c r="R952" s="157"/>
      <c r="S952" s="178"/>
      <c r="T952" s="157"/>
      <c r="U952" s="178"/>
      <c r="V952" s="191"/>
      <c r="W952" s="191"/>
      <c r="X952" s="191"/>
      <c r="Y952" s="191"/>
      <c r="Z952" s="191"/>
      <c r="AA952" s="191"/>
      <c r="AB952" s="191"/>
    </row>
    <row r="953" ht="15.75" customHeight="1">
      <c r="A953" s="288"/>
      <c r="B953" s="224"/>
      <c r="C953" s="224"/>
      <c r="D953" s="212"/>
      <c r="E953" s="221"/>
      <c r="F953" s="222"/>
      <c r="G953" s="223"/>
      <c r="H953" s="164"/>
      <c r="I953" s="164"/>
      <c r="J953" s="164"/>
      <c r="K953" s="164"/>
      <c r="L953" s="174"/>
      <c r="M953" s="164"/>
      <c r="N953" s="174"/>
      <c r="O953" s="157"/>
      <c r="P953" s="178"/>
      <c r="Q953" s="157"/>
      <c r="R953" s="157"/>
      <c r="S953" s="178"/>
      <c r="T953" s="157"/>
      <c r="U953" s="178"/>
      <c r="V953" s="191"/>
      <c r="W953" s="191"/>
      <c r="X953" s="191"/>
      <c r="Y953" s="191"/>
      <c r="Z953" s="191"/>
      <c r="AA953" s="191"/>
      <c r="AB953" s="191"/>
    </row>
    <row r="954" ht="15.75" customHeight="1">
      <c r="A954" s="288"/>
      <c r="B954" s="224"/>
      <c r="C954" s="224"/>
      <c r="D954" s="212"/>
      <c r="E954" s="221"/>
      <c r="F954" s="222"/>
      <c r="G954" s="223"/>
      <c r="H954" s="164"/>
      <c r="I954" s="164"/>
      <c r="J954" s="164"/>
      <c r="K954" s="164"/>
      <c r="L954" s="174"/>
      <c r="M954" s="164"/>
      <c r="N954" s="174"/>
      <c r="O954" s="157"/>
      <c r="P954" s="178"/>
      <c r="Q954" s="157"/>
      <c r="R954" s="157"/>
      <c r="S954" s="178"/>
      <c r="T954" s="157"/>
      <c r="U954" s="178"/>
      <c r="V954" s="191"/>
      <c r="W954" s="191"/>
      <c r="X954" s="191"/>
      <c r="Y954" s="191"/>
      <c r="Z954" s="191"/>
      <c r="AA954" s="191"/>
      <c r="AB954" s="191"/>
    </row>
    <row r="955" ht="15.75" customHeight="1">
      <c r="A955" s="288"/>
      <c r="B955" s="224"/>
      <c r="C955" s="224"/>
      <c r="D955" s="212"/>
      <c r="E955" s="221"/>
      <c r="F955" s="222"/>
      <c r="G955" s="223"/>
      <c r="H955" s="164"/>
      <c r="I955" s="164"/>
      <c r="J955" s="164"/>
      <c r="K955" s="164"/>
      <c r="L955" s="174"/>
      <c r="M955" s="164"/>
      <c r="N955" s="174"/>
      <c r="O955" s="157"/>
      <c r="P955" s="178"/>
      <c r="Q955" s="157"/>
      <c r="R955" s="157"/>
      <c r="S955" s="178"/>
      <c r="T955" s="157"/>
      <c r="U955" s="178"/>
      <c r="V955" s="191"/>
      <c r="W955" s="191"/>
      <c r="X955" s="191"/>
      <c r="Y955" s="191"/>
      <c r="Z955" s="191"/>
      <c r="AA955" s="191"/>
      <c r="AB955" s="191"/>
    </row>
    <row r="956" ht="15.75" customHeight="1">
      <c r="A956" s="288"/>
      <c r="B956" s="224"/>
      <c r="C956" s="224"/>
      <c r="D956" s="212"/>
      <c r="E956" s="221"/>
      <c r="F956" s="222"/>
      <c r="G956" s="223"/>
      <c r="H956" s="164"/>
      <c r="I956" s="164"/>
      <c r="J956" s="164"/>
      <c r="K956" s="164"/>
      <c r="L956" s="174"/>
      <c r="M956" s="164"/>
      <c r="N956" s="174"/>
      <c r="O956" s="157"/>
      <c r="P956" s="178"/>
      <c r="Q956" s="157"/>
      <c r="R956" s="157"/>
      <c r="S956" s="178"/>
      <c r="T956" s="157"/>
      <c r="U956" s="178"/>
      <c r="V956" s="191"/>
      <c r="W956" s="191"/>
      <c r="X956" s="191"/>
      <c r="Y956" s="191"/>
      <c r="Z956" s="191"/>
      <c r="AA956" s="191"/>
      <c r="AB956" s="191"/>
    </row>
    <row r="957" ht="15.75" customHeight="1">
      <c r="A957" s="288"/>
      <c r="B957" s="224"/>
      <c r="C957" s="224"/>
      <c r="D957" s="212"/>
      <c r="E957" s="221"/>
      <c r="F957" s="222"/>
      <c r="G957" s="223"/>
      <c r="H957" s="164"/>
      <c r="I957" s="164"/>
      <c r="J957" s="164"/>
      <c r="K957" s="164"/>
      <c r="L957" s="174"/>
      <c r="M957" s="164"/>
      <c r="N957" s="174"/>
      <c r="O957" s="157"/>
      <c r="P957" s="178"/>
      <c r="Q957" s="157"/>
      <c r="R957" s="157"/>
      <c r="S957" s="178"/>
      <c r="T957" s="157"/>
      <c r="U957" s="178"/>
      <c r="V957" s="191"/>
      <c r="W957" s="191"/>
      <c r="X957" s="191"/>
      <c r="Y957" s="191"/>
      <c r="Z957" s="191"/>
      <c r="AA957" s="191"/>
      <c r="AB957" s="191"/>
    </row>
    <row r="958" ht="15.75" customHeight="1">
      <c r="A958" s="288"/>
      <c r="B958" s="224"/>
      <c r="C958" s="224"/>
      <c r="D958" s="212"/>
      <c r="E958" s="221"/>
      <c r="F958" s="222"/>
      <c r="G958" s="223"/>
      <c r="H958" s="164"/>
      <c r="I958" s="164"/>
      <c r="J958" s="164"/>
      <c r="K958" s="164"/>
      <c r="L958" s="174"/>
      <c r="M958" s="164"/>
      <c r="N958" s="174"/>
      <c r="O958" s="157"/>
      <c r="P958" s="178"/>
      <c r="Q958" s="157"/>
      <c r="R958" s="157"/>
      <c r="S958" s="178"/>
      <c r="T958" s="157"/>
      <c r="U958" s="178"/>
      <c r="V958" s="191"/>
      <c r="W958" s="191"/>
      <c r="X958" s="191"/>
      <c r="Y958" s="191"/>
      <c r="Z958" s="191"/>
      <c r="AA958" s="191"/>
      <c r="AB958" s="191"/>
    </row>
    <row r="959" ht="15.75" customHeight="1">
      <c r="A959" s="288"/>
      <c r="B959" s="224"/>
      <c r="C959" s="224"/>
      <c r="D959" s="212"/>
      <c r="E959" s="221"/>
      <c r="F959" s="222"/>
      <c r="G959" s="223"/>
      <c r="H959" s="164"/>
      <c r="I959" s="164"/>
      <c r="J959" s="164"/>
      <c r="K959" s="164"/>
      <c r="L959" s="174"/>
      <c r="M959" s="164"/>
      <c r="N959" s="174"/>
      <c r="O959" s="157"/>
      <c r="P959" s="178"/>
      <c r="Q959" s="157"/>
      <c r="R959" s="157"/>
      <c r="S959" s="178"/>
      <c r="T959" s="157"/>
      <c r="U959" s="178"/>
      <c r="V959" s="191"/>
      <c r="W959" s="191"/>
      <c r="X959" s="191"/>
      <c r="Y959" s="191"/>
      <c r="Z959" s="191"/>
      <c r="AA959" s="191"/>
      <c r="AB959" s="191"/>
    </row>
    <row r="960" ht="15.75" customHeight="1">
      <c r="A960" s="288"/>
      <c r="B960" s="224"/>
      <c r="C960" s="224"/>
      <c r="D960" s="212"/>
      <c r="E960" s="221"/>
      <c r="F960" s="222"/>
      <c r="G960" s="223"/>
      <c r="H960" s="164"/>
      <c r="I960" s="164"/>
      <c r="J960" s="164"/>
      <c r="K960" s="164"/>
      <c r="L960" s="174"/>
      <c r="M960" s="164"/>
      <c r="N960" s="174"/>
      <c r="O960" s="157"/>
      <c r="P960" s="178"/>
      <c r="Q960" s="157"/>
      <c r="R960" s="157"/>
      <c r="S960" s="178"/>
      <c r="T960" s="157"/>
      <c r="U960" s="178"/>
      <c r="V960" s="191"/>
      <c r="W960" s="191"/>
      <c r="X960" s="191"/>
      <c r="Y960" s="191"/>
      <c r="Z960" s="191"/>
      <c r="AA960" s="191"/>
      <c r="AB960" s="191"/>
    </row>
    <row r="961" ht="15.75" customHeight="1">
      <c r="A961" s="288"/>
      <c r="B961" s="224"/>
      <c r="C961" s="224"/>
      <c r="D961" s="212"/>
      <c r="E961" s="221"/>
      <c r="F961" s="222"/>
      <c r="G961" s="223"/>
      <c r="H961" s="164"/>
      <c r="I961" s="164"/>
      <c r="J961" s="164"/>
      <c r="K961" s="164"/>
      <c r="L961" s="174"/>
      <c r="M961" s="164"/>
      <c r="N961" s="174"/>
      <c r="O961" s="157"/>
      <c r="P961" s="178"/>
      <c r="Q961" s="157"/>
      <c r="R961" s="157"/>
      <c r="S961" s="178"/>
      <c r="T961" s="157"/>
      <c r="U961" s="178"/>
      <c r="V961" s="191"/>
      <c r="W961" s="191"/>
      <c r="X961" s="191"/>
      <c r="Y961" s="191"/>
      <c r="Z961" s="191"/>
      <c r="AA961" s="191"/>
      <c r="AB961" s="191"/>
    </row>
    <row r="962" ht="15.75" customHeight="1">
      <c r="A962" s="288"/>
      <c r="B962" s="224"/>
      <c r="C962" s="224"/>
      <c r="D962" s="212"/>
      <c r="E962" s="221"/>
      <c r="F962" s="222"/>
      <c r="G962" s="223"/>
      <c r="H962" s="164"/>
      <c r="I962" s="164"/>
      <c r="J962" s="164"/>
      <c r="K962" s="164"/>
      <c r="L962" s="174"/>
      <c r="M962" s="164"/>
      <c r="N962" s="174"/>
      <c r="O962" s="157"/>
      <c r="P962" s="178"/>
      <c r="Q962" s="157"/>
      <c r="R962" s="157"/>
      <c r="S962" s="178"/>
      <c r="T962" s="157"/>
      <c r="U962" s="178"/>
      <c r="V962" s="191"/>
      <c r="W962" s="191"/>
      <c r="X962" s="191"/>
      <c r="Y962" s="191"/>
      <c r="Z962" s="191"/>
      <c r="AA962" s="191"/>
      <c r="AB962" s="191"/>
    </row>
    <row r="963" ht="15.75" customHeight="1">
      <c r="A963" s="288"/>
      <c r="B963" s="224"/>
      <c r="C963" s="224"/>
      <c r="D963" s="212"/>
      <c r="E963" s="221"/>
      <c r="F963" s="222"/>
      <c r="G963" s="223"/>
      <c r="H963" s="164"/>
      <c r="I963" s="164"/>
      <c r="J963" s="164"/>
      <c r="K963" s="164"/>
      <c r="L963" s="174"/>
      <c r="M963" s="164"/>
      <c r="N963" s="174"/>
      <c r="O963" s="157"/>
      <c r="P963" s="178"/>
      <c r="Q963" s="157"/>
      <c r="R963" s="157"/>
      <c r="S963" s="178"/>
      <c r="T963" s="157"/>
      <c r="U963" s="178"/>
      <c r="V963" s="191"/>
      <c r="W963" s="191"/>
      <c r="X963" s="191"/>
      <c r="Y963" s="191"/>
      <c r="Z963" s="191"/>
      <c r="AA963" s="191"/>
      <c r="AB963" s="191"/>
    </row>
    <row r="964" ht="15.75" customHeight="1">
      <c r="A964" s="288"/>
      <c r="B964" s="224"/>
      <c r="C964" s="224"/>
      <c r="D964" s="212"/>
      <c r="E964" s="221"/>
      <c r="F964" s="222"/>
      <c r="G964" s="223"/>
      <c r="H964" s="164"/>
      <c r="I964" s="164"/>
      <c r="J964" s="164"/>
      <c r="K964" s="164"/>
      <c r="L964" s="174"/>
      <c r="M964" s="164"/>
      <c r="N964" s="174"/>
      <c r="O964" s="157"/>
      <c r="P964" s="178"/>
      <c r="Q964" s="157"/>
      <c r="R964" s="157"/>
      <c r="S964" s="178"/>
      <c r="T964" s="157"/>
      <c r="U964" s="178"/>
      <c r="V964" s="191"/>
      <c r="W964" s="191"/>
      <c r="X964" s="191"/>
      <c r="Y964" s="191"/>
      <c r="Z964" s="191"/>
      <c r="AA964" s="191"/>
      <c r="AB964" s="191"/>
    </row>
    <row r="965" ht="15.75" customHeight="1">
      <c r="A965" s="288"/>
      <c r="B965" s="224"/>
      <c r="C965" s="224"/>
      <c r="D965" s="212"/>
      <c r="E965" s="221"/>
      <c r="F965" s="222"/>
      <c r="G965" s="223"/>
      <c r="H965" s="164"/>
      <c r="I965" s="164"/>
      <c r="J965" s="164"/>
      <c r="K965" s="164"/>
      <c r="L965" s="174"/>
      <c r="M965" s="164"/>
      <c r="N965" s="174"/>
      <c r="O965" s="157"/>
      <c r="P965" s="178"/>
      <c r="Q965" s="157"/>
      <c r="R965" s="157"/>
      <c r="S965" s="178"/>
      <c r="T965" s="157"/>
      <c r="U965" s="178"/>
      <c r="V965" s="191"/>
      <c r="W965" s="191"/>
      <c r="X965" s="191"/>
      <c r="Y965" s="191"/>
      <c r="Z965" s="191"/>
      <c r="AA965" s="191"/>
      <c r="AB965" s="191"/>
    </row>
    <row r="966" ht="15.75" customHeight="1">
      <c r="A966" s="288"/>
      <c r="B966" s="224"/>
      <c r="C966" s="224"/>
      <c r="D966" s="212"/>
      <c r="E966" s="221"/>
      <c r="F966" s="222"/>
      <c r="G966" s="223"/>
      <c r="H966" s="164"/>
      <c r="I966" s="164"/>
      <c r="J966" s="164"/>
      <c r="K966" s="164"/>
      <c r="L966" s="174"/>
      <c r="M966" s="164"/>
      <c r="N966" s="174"/>
      <c r="O966" s="157"/>
      <c r="P966" s="178"/>
      <c r="Q966" s="157"/>
      <c r="R966" s="157"/>
      <c r="S966" s="178"/>
      <c r="T966" s="157"/>
      <c r="U966" s="178"/>
      <c r="V966" s="191"/>
      <c r="W966" s="191"/>
      <c r="X966" s="191"/>
      <c r="Y966" s="191"/>
      <c r="Z966" s="191"/>
      <c r="AA966" s="191"/>
      <c r="AB966" s="191"/>
    </row>
    <row r="967" ht="15.75" customHeight="1">
      <c r="A967" s="288"/>
      <c r="B967" s="224"/>
      <c r="C967" s="224"/>
      <c r="D967" s="212"/>
      <c r="E967" s="221"/>
      <c r="F967" s="222"/>
      <c r="G967" s="223"/>
      <c r="H967" s="164"/>
      <c r="I967" s="164"/>
      <c r="J967" s="164"/>
      <c r="K967" s="164"/>
      <c r="L967" s="174"/>
      <c r="M967" s="164"/>
      <c r="N967" s="174"/>
      <c r="O967" s="157"/>
      <c r="P967" s="178"/>
      <c r="Q967" s="157"/>
      <c r="R967" s="157"/>
      <c r="S967" s="178"/>
      <c r="T967" s="157"/>
      <c r="U967" s="178"/>
      <c r="V967" s="191"/>
      <c r="W967" s="191"/>
      <c r="X967" s="191"/>
      <c r="Y967" s="191"/>
      <c r="Z967" s="191"/>
      <c r="AA967" s="191"/>
      <c r="AB967" s="191"/>
    </row>
    <row r="968" ht="15.75" customHeight="1">
      <c r="A968" s="288"/>
      <c r="B968" s="224"/>
      <c r="C968" s="224"/>
      <c r="D968" s="212"/>
      <c r="E968" s="221"/>
      <c r="F968" s="222"/>
      <c r="G968" s="223"/>
      <c r="H968" s="164"/>
      <c r="I968" s="164"/>
      <c r="J968" s="164"/>
      <c r="K968" s="164"/>
      <c r="L968" s="174"/>
      <c r="M968" s="164"/>
      <c r="N968" s="174"/>
      <c r="O968" s="157"/>
      <c r="P968" s="178"/>
      <c r="Q968" s="157"/>
      <c r="R968" s="157"/>
      <c r="S968" s="178"/>
      <c r="T968" s="157"/>
      <c r="U968" s="178"/>
      <c r="V968" s="191"/>
      <c r="W968" s="191"/>
      <c r="X968" s="191"/>
      <c r="Y968" s="191"/>
      <c r="Z968" s="191"/>
      <c r="AA968" s="191"/>
      <c r="AB968" s="191"/>
    </row>
    <row r="969" ht="15.75" customHeight="1">
      <c r="A969" s="288"/>
      <c r="B969" s="224"/>
      <c r="C969" s="224"/>
      <c r="D969" s="212"/>
      <c r="E969" s="221"/>
      <c r="F969" s="222"/>
      <c r="G969" s="223"/>
      <c r="H969" s="164"/>
      <c r="I969" s="164"/>
      <c r="J969" s="164"/>
      <c r="K969" s="164"/>
      <c r="L969" s="174"/>
      <c r="M969" s="164"/>
      <c r="N969" s="174"/>
      <c r="O969" s="157"/>
      <c r="P969" s="178"/>
      <c r="Q969" s="157"/>
      <c r="R969" s="157"/>
      <c r="S969" s="178"/>
      <c r="T969" s="157"/>
      <c r="U969" s="178"/>
      <c r="V969" s="191"/>
      <c r="W969" s="191"/>
      <c r="X969" s="191"/>
      <c r="Y969" s="191"/>
      <c r="Z969" s="191"/>
      <c r="AA969" s="191"/>
      <c r="AB969" s="191"/>
    </row>
    <row r="970" ht="15.75" customHeight="1">
      <c r="A970" s="288"/>
      <c r="B970" s="224"/>
      <c r="C970" s="224"/>
      <c r="D970" s="212"/>
      <c r="E970" s="221"/>
      <c r="F970" s="222"/>
      <c r="G970" s="223"/>
      <c r="H970" s="164"/>
      <c r="I970" s="164"/>
      <c r="J970" s="164"/>
      <c r="K970" s="164"/>
      <c r="L970" s="174"/>
      <c r="M970" s="164"/>
      <c r="N970" s="174"/>
      <c r="O970" s="157"/>
      <c r="P970" s="178"/>
      <c r="Q970" s="157"/>
      <c r="R970" s="157"/>
      <c r="S970" s="178"/>
      <c r="T970" s="157"/>
      <c r="U970" s="178"/>
      <c r="V970" s="191"/>
      <c r="W970" s="191"/>
      <c r="X970" s="191"/>
      <c r="Y970" s="191"/>
      <c r="Z970" s="191"/>
      <c r="AA970" s="191"/>
      <c r="AB970" s="191"/>
    </row>
    <row r="971" ht="15.75" customHeight="1">
      <c r="A971" s="288"/>
      <c r="B971" s="224"/>
      <c r="C971" s="224"/>
      <c r="D971" s="212"/>
      <c r="E971" s="221"/>
      <c r="F971" s="222"/>
      <c r="G971" s="223"/>
      <c r="H971" s="164"/>
      <c r="I971" s="164"/>
      <c r="J971" s="164"/>
      <c r="K971" s="164"/>
      <c r="L971" s="174"/>
      <c r="M971" s="164"/>
      <c r="N971" s="174"/>
      <c r="O971" s="157"/>
      <c r="P971" s="178"/>
      <c r="Q971" s="157"/>
      <c r="R971" s="157"/>
      <c r="S971" s="178"/>
      <c r="T971" s="157"/>
      <c r="U971" s="178"/>
      <c r="V971" s="191"/>
      <c r="W971" s="191"/>
      <c r="X971" s="191"/>
      <c r="Y971" s="191"/>
      <c r="Z971" s="191"/>
      <c r="AA971" s="191"/>
      <c r="AB971" s="191"/>
    </row>
    <row r="972" ht="15.75" customHeight="1">
      <c r="A972" s="288"/>
      <c r="B972" s="224"/>
      <c r="C972" s="224"/>
      <c r="D972" s="212"/>
      <c r="E972" s="221"/>
      <c r="F972" s="222"/>
      <c r="G972" s="223"/>
      <c r="H972" s="164"/>
      <c r="I972" s="164"/>
      <c r="J972" s="164"/>
      <c r="K972" s="164"/>
      <c r="L972" s="174"/>
      <c r="M972" s="164"/>
      <c r="N972" s="174"/>
      <c r="O972" s="157"/>
      <c r="P972" s="178"/>
      <c r="Q972" s="157"/>
      <c r="R972" s="157"/>
      <c r="S972" s="178"/>
      <c r="T972" s="157"/>
      <c r="U972" s="178"/>
      <c r="V972" s="191"/>
      <c r="W972" s="191"/>
      <c r="X972" s="191"/>
      <c r="Y972" s="191"/>
      <c r="Z972" s="191"/>
      <c r="AA972" s="191"/>
      <c r="AB972" s="191"/>
    </row>
    <row r="973" ht="15.75" customHeight="1">
      <c r="A973" s="288"/>
      <c r="B973" s="224"/>
      <c r="C973" s="224"/>
      <c r="D973" s="212"/>
      <c r="E973" s="221"/>
      <c r="F973" s="222"/>
      <c r="G973" s="223"/>
      <c r="H973" s="164"/>
      <c r="I973" s="164"/>
      <c r="J973" s="164"/>
      <c r="K973" s="164"/>
      <c r="L973" s="174"/>
      <c r="M973" s="164"/>
      <c r="N973" s="174"/>
      <c r="O973" s="157"/>
      <c r="P973" s="178"/>
      <c r="Q973" s="157"/>
      <c r="R973" s="157"/>
      <c r="S973" s="178"/>
      <c r="T973" s="157"/>
      <c r="U973" s="178"/>
      <c r="V973" s="191"/>
      <c r="W973" s="191"/>
      <c r="X973" s="191"/>
      <c r="Y973" s="191"/>
      <c r="Z973" s="191"/>
      <c r="AA973" s="191"/>
      <c r="AB973" s="191"/>
    </row>
    <row r="974" ht="15.75" customHeight="1">
      <c r="A974" s="288"/>
      <c r="B974" s="224"/>
      <c r="C974" s="224"/>
      <c r="D974" s="212"/>
      <c r="E974" s="221"/>
      <c r="F974" s="222"/>
      <c r="G974" s="223"/>
      <c r="H974" s="164"/>
      <c r="I974" s="164"/>
      <c r="J974" s="164"/>
      <c r="K974" s="164"/>
      <c r="L974" s="174"/>
      <c r="M974" s="164"/>
      <c r="N974" s="174"/>
      <c r="O974" s="157"/>
      <c r="P974" s="178"/>
      <c r="Q974" s="157"/>
      <c r="R974" s="157"/>
      <c r="S974" s="178"/>
      <c r="T974" s="157"/>
      <c r="U974" s="178"/>
      <c r="V974" s="191"/>
      <c r="W974" s="191"/>
      <c r="X974" s="191"/>
      <c r="Y974" s="191"/>
      <c r="Z974" s="191"/>
      <c r="AA974" s="191"/>
      <c r="AB974" s="191"/>
    </row>
    <row r="975" ht="15.75" customHeight="1">
      <c r="A975" s="288"/>
      <c r="B975" s="224"/>
      <c r="C975" s="224"/>
      <c r="D975" s="212"/>
      <c r="E975" s="221"/>
      <c r="F975" s="222"/>
      <c r="G975" s="223"/>
      <c r="H975" s="164"/>
      <c r="I975" s="164"/>
      <c r="J975" s="164"/>
      <c r="K975" s="164"/>
      <c r="L975" s="174"/>
      <c r="M975" s="164"/>
      <c r="N975" s="174"/>
      <c r="O975" s="157"/>
      <c r="P975" s="178"/>
      <c r="Q975" s="157"/>
      <c r="R975" s="157"/>
      <c r="S975" s="178"/>
      <c r="T975" s="157"/>
      <c r="U975" s="178"/>
      <c r="V975" s="191"/>
      <c r="W975" s="191"/>
      <c r="X975" s="191"/>
      <c r="Y975" s="191"/>
      <c r="Z975" s="191"/>
      <c r="AA975" s="191"/>
      <c r="AB975" s="191"/>
    </row>
    <row r="976" ht="15.75" customHeight="1">
      <c r="A976" s="288"/>
      <c r="B976" s="224"/>
      <c r="C976" s="224"/>
      <c r="D976" s="212"/>
      <c r="E976" s="221"/>
      <c r="F976" s="222"/>
      <c r="G976" s="223"/>
      <c r="H976" s="164"/>
      <c r="I976" s="164"/>
      <c r="J976" s="164"/>
      <c r="K976" s="164"/>
      <c r="L976" s="174"/>
      <c r="M976" s="164"/>
      <c r="N976" s="174"/>
      <c r="O976" s="157"/>
      <c r="P976" s="178"/>
      <c r="Q976" s="157"/>
      <c r="R976" s="157"/>
      <c r="S976" s="178"/>
      <c r="T976" s="157"/>
      <c r="U976" s="178"/>
      <c r="V976" s="191"/>
      <c r="W976" s="191"/>
      <c r="X976" s="191"/>
      <c r="Y976" s="191"/>
      <c r="Z976" s="191"/>
      <c r="AA976" s="191"/>
      <c r="AB976" s="191"/>
    </row>
    <row r="977" ht="15.75" customHeight="1">
      <c r="A977" s="288"/>
      <c r="B977" s="224"/>
      <c r="C977" s="224"/>
      <c r="D977" s="212"/>
      <c r="E977" s="221"/>
      <c r="F977" s="222"/>
      <c r="G977" s="223"/>
      <c r="H977" s="164"/>
      <c r="I977" s="164"/>
      <c r="J977" s="164"/>
      <c r="K977" s="164"/>
      <c r="L977" s="174"/>
      <c r="M977" s="164"/>
      <c r="N977" s="174"/>
      <c r="O977" s="157"/>
      <c r="P977" s="178"/>
      <c r="Q977" s="157"/>
      <c r="R977" s="157"/>
      <c r="S977" s="178"/>
      <c r="T977" s="157"/>
      <c r="U977" s="178"/>
      <c r="V977" s="191"/>
      <c r="W977" s="191"/>
      <c r="X977" s="191"/>
      <c r="Y977" s="191"/>
      <c r="Z977" s="191"/>
      <c r="AA977" s="191"/>
      <c r="AB977" s="191"/>
    </row>
    <row r="978" ht="15.75" customHeight="1">
      <c r="A978" s="288"/>
      <c r="B978" s="224"/>
      <c r="C978" s="224"/>
      <c r="D978" s="212"/>
      <c r="E978" s="221"/>
      <c r="F978" s="222"/>
      <c r="G978" s="223"/>
      <c r="H978" s="164"/>
      <c r="I978" s="164"/>
      <c r="J978" s="164"/>
      <c r="K978" s="164"/>
      <c r="L978" s="174"/>
      <c r="M978" s="164"/>
      <c r="N978" s="174"/>
      <c r="O978" s="157"/>
      <c r="P978" s="178"/>
      <c r="Q978" s="157"/>
      <c r="R978" s="157"/>
      <c r="S978" s="178"/>
      <c r="T978" s="157"/>
      <c r="U978" s="178"/>
      <c r="V978" s="191"/>
      <c r="W978" s="191"/>
      <c r="X978" s="191"/>
      <c r="Y978" s="191"/>
      <c r="Z978" s="191"/>
      <c r="AA978" s="191"/>
      <c r="AB978" s="191"/>
    </row>
    <row r="979" ht="15.75" customHeight="1">
      <c r="A979" s="288"/>
      <c r="B979" s="224"/>
      <c r="C979" s="224"/>
      <c r="D979" s="212"/>
      <c r="E979" s="221"/>
      <c r="F979" s="222"/>
      <c r="G979" s="223"/>
      <c r="H979" s="164"/>
      <c r="I979" s="164"/>
      <c r="J979" s="164"/>
      <c r="K979" s="164"/>
      <c r="L979" s="174"/>
      <c r="M979" s="164"/>
      <c r="N979" s="174"/>
      <c r="O979" s="157"/>
      <c r="P979" s="178"/>
      <c r="Q979" s="157"/>
      <c r="R979" s="157"/>
      <c r="S979" s="178"/>
      <c r="T979" s="157"/>
      <c r="U979" s="178"/>
      <c r="V979" s="191"/>
      <c r="W979" s="191"/>
      <c r="X979" s="191"/>
      <c r="Y979" s="191"/>
      <c r="Z979" s="191"/>
      <c r="AA979" s="191"/>
      <c r="AB979" s="191"/>
    </row>
    <row r="980" ht="15.75" customHeight="1">
      <c r="A980" s="288"/>
      <c r="B980" s="224"/>
      <c r="C980" s="224"/>
      <c r="D980" s="212"/>
      <c r="E980" s="221"/>
      <c r="F980" s="222"/>
      <c r="G980" s="223"/>
      <c r="H980" s="164"/>
      <c r="I980" s="164"/>
      <c r="J980" s="164"/>
      <c r="K980" s="164"/>
      <c r="L980" s="174"/>
      <c r="M980" s="164"/>
      <c r="N980" s="174"/>
      <c r="O980" s="157"/>
      <c r="P980" s="178"/>
      <c r="Q980" s="157"/>
      <c r="R980" s="157"/>
      <c r="S980" s="178"/>
      <c r="T980" s="157"/>
      <c r="U980" s="178"/>
      <c r="V980" s="191"/>
      <c r="W980" s="191"/>
      <c r="X980" s="191"/>
      <c r="Y980" s="191"/>
      <c r="Z980" s="191"/>
      <c r="AA980" s="191"/>
      <c r="AB980" s="191"/>
    </row>
    <row r="981" ht="15.75" customHeight="1">
      <c r="A981" s="288"/>
      <c r="B981" s="224"/>
      <c r="C981" s="224"/>
      <c r="D981" s="212"/>
      <c r="E981" s="221"/>
      <c r="F981" s="222"/>
      <c r="G981" s="223"/>
      <c r="H981" s="164"/>
      <c r="I981" s="164"/>
      <c r="J981" s="164"/>
      <c r="K981" s="164"/>
      <c r="L981" s="174"/>
      <c r="M981" s="164"/>
      <c r="N981" s="174"/>
      <c r="O981" s="157"/>
      <c r="P981" s="178"/>
      <c r="Q981" s="157"/>
      <c r="R981" s="157"/>
      <c r="S981" s="178"/>
      <c r="T981" s="157"/>
      <c r="U981" s="178"/>
      <c r="V981" s="191"/>
      <c r="W981" s="191"/>
      <c r="X981" s="191"/>
      <c r="Y981" s="191"/>
      <c r="Z981" s="191"/>
      <c r="AA981" s="191"/>
      <c r="AB981" s="191"/>
    </row>
    <row r="982" ht="15.75" customHeight="1">
      <c r="A982" s="288"/>
      <c r="B982" s="224"/>
      <c r="C982" s="224"/>
      <c r="D982" s="212"/>
      <c r="E982" s="221"/>
      <c r="F982" s="222"/>
      <c r="G982" s="223"/>
      <c r="H982" s="164"/>
      <c r="I982" s="164"/>
      <c r="J982" s="164"/>
      <c r="K982" s="164"/>
      <c r="L982" s="174"/>
      <c r="M982" s="164"/>
      <c r="N982" s="174"/>
      <c r="O982" s="157"/>
      <c r="P982" s="178"/>
      <c r="Q982" s="157"/>
      <c r="R982" s="157"/>
      <c r="S982" s="178"/>
      <c r="T982" s="157"/>
      <c r="U982" s="178"/>
      <c r="V982" s="191"/>
      <c r="W982" s="191"/>
      <c r="X982" s="191"/>
      <c r="Y982" s="191"/>
      <c r="Z982" s="191"/>
      <c r="AA982" s="191"/>
      <c r="AB982" s="191"/>
    </row>
    <row r="983" ht="15.75" customHeight="1">
      <c r="A983" s="288"/>
      <c r="B983" s="224"/>
      <c r="C983" s="224"/>
      <c r="D983" s="212"/>
      <c r="E983" s="221"/>
      <c r="F983" s="222"/>
      <c r="G983" s="223"/>
      <c r="H983" s="164"/>
      <c r="I983" s="164"/>
      <c r="J983" s="164"/>
      <c r="K983" s="164"/>
      <c r="L983" s="174"/>
      <c r="M983" s="164"/>
      <c r="N983" s="174"/>
      <c r="O983" s="157"/>
      <c r="P983" s="178"/>
      <c r="Q983" s="157"/>
      <c r="R983" s="157"/>
      <c r="S983" s="178"/>
      <c r="T983" s="157"/>
      <c r="U983" s="178"/>
      <c r="V983" s="191"/>
      <c r="W983" s="191"/>
      <c r="X983" s="191"/>
      <c r="Y983" s="191"/>
      <c r="Z983" s="191"/>
      <c r="AA983" s="191"/>
      <c r="AB983" s="191"/>
    </row>
    <row r="984" ht="15.75" customHeight="1">
      <c r="A984" s="288"/>
      <c r="B984" s="224"/>
      <c r="C984" s="224"/>
      <c r="D984" s="212"/>
      <c r="E984" s="221"/>
      <c r="F984" s="222"/>
      <c r="G984" s="223"/>
      <c r="H984" s="164"/>
      <c r="I984" s="164"/>
      <c r="J984" s="164"/>
      <c r="K984" s="164"/>
      <c r="L984" s="174"/>
      <c r="M984" s="164"/>
      <c r="N984" s="174"/>
      <c r="O984" s="157"/>
      <c r="P984" s="178"/>
      <c r="Q984" s="157"/>
      <c r="R984" s="157"/>
      <c r="S984" s="178"/>
      <c r="T984" s="157"/>
      <c r="U984" s="178"/>
      <c r="V984" s="191"/>
      <c r="W984" s="191"/>
      <c r="X984" s="191"/>
      <c r="Y984" s="191"/>
      <c r="Z984" s="191"/>
      <c r="AA984" s="191"/>
      <c r="AB984" s="191"/>
    </row>
    <row r="985" ht="15.75" customHeight="1">
      <c r="A985" s="288"/>
      <c r="B985" s="224"/>
      <c r="C985" s="224"/>
      <c r="D985" s="212"/>
      <c r="E985" s="221"/>
      <c r="F985" s="222"/>
      <c r="G985" s="223"/>
      <c r="H985" s="164"/>
      <c r="I985" s="164"/>
      <c r="J985" s="164"/>
      <c r="K985" s="164"/>
      <c r="L985" s="174"/>
      <c r="M985" s="164"/>
      <c r="N985" s="174"/>
      <c r="O985" s="157"/>
      <c r="P985" s="178"/>
      <c r="Q985" s="157"/>
      <c r="R985" s="157"/>
      <c r="S985" s="178"/>
      <c r="T985" s="157"/>
      <c r="U985" s="178"/>
      <c r="V985" s="191"/>
      <c r="W985" s="191"/>
      <c r="X985" s="191"/>
      <c r="Y985" s="191"/>
      <c r="Z985" s="191"/>
      <c r="AA985" s="191"/>
      <c r="AB985" s="191"/>
    </row>
    <row r="986" ht="15.75" customHeight="1">
      <c r="A986" s="288"/>
      <c r="B986" s="224"/>
      <c r="C986" s="224"/>
      <c r="D986" s="212"/>
      <c r="E986" s="221"/>
      <c r="F986" s="222"/>
      <c r="G986" s="223"/>
      <c r="H986" s="164"/>
      <c r="I986" s="164"/>
      <c r="J986" s="164"/>
      <c r="K986" s="164"/>
      <c r="L986" s="174"/>
      <c r="M986" s="164"/>
      <c r="N986" s="174"/>
      <c r="O986" s="157"/>
      <c r="P986" s="178"/>
      <c r="Q986" s="157"/>
      <c r="R986" s="157"/>
      <c r="S986" s="178"/>
      <c r="T986" s="157"/>
      <c r="U986" s="178"/>
      <c r="V986" s="191"/>
      <c r="W986" s="191"/>
      <c r="X986" s="191"/>
      <c r="Y986" s="191"/>
      <c r="Z986" s="191"/>
      <c r="AA986" s="191"/>
      <c r="AB986" s="191"/>
    </row>
    <row r="987" ht="15.75" customHeight="1">
      <c r="A987" s="288"/>
      <c r="B987" s="224"/>
      <c r="C987" s="224"/>
      <c r="D987" s="212"/>
      <c r="E987" s="221"/>
      <c r="F987" s="222"/>
      <c r="G987" s="223"/>
      <c r="H987" s="164"/>
      <c r="I987" s="164"/>
      <c r="J987" s="164"/>
      <c r="K987" s="164"/>
      <c r="L987" s="174"/>
      <c r="M987" s="164"/>
      <c r="N987" s="174"/>
      <c r="O987" s="157"/>
      <c r="P987" s="178"/>
      <c r="Q987" s="157"/>
      <c r="R987" s="157"/>
      <c r="S987" s="178"/>
      <c r="T987" s="157"/>
      <c r="U987" s="178"/>
      <c r="V987" s="191"/>
      <c r="W987" s="191"/>
      <c r="X987" s="191"/>
      <c r="Y987" s="191"/>
      <c r="Z987" s="191"/>
      <c r="AA987" s="191"/>
      <c r="AB987" s="191"/>
    </row>
    <row r="988" ht="15.75" customHeight="1">
      <c r="A988" s="288"/>
      <c r="B988" s="224"/>
      <c r="C988" s="224"/>
      <c r="D988" s="212"/>
      <c r="E988" s="221"/>
      <c r="F988" s="222"/>
      <c r="G988" s="223"/>
      <c r="H988" s="164"/>
      <c r="I988" s="164"/>
      <c r="J988" s="164"/>
      <c r="K988" s="164"/>
      <c r="L988" s="174"/>
      <c r="M988" s="164"/>
      <c r="N988" s="174"/>
      <c r="O988" s="157"/>
      <c r="P988" s="178"/>
      <c r="Q988" s="157"/>
      <c r="R988" s="157"/>
      <c r="S988" s="178"/>
      <c r="T988" s="157"/>
      <c r="U988" s="178"/>
      <c r="V988" s="191"/>
      <c r="W988" s="191"/>
      <c r="X988" s="191"/>
      <c r="Y988" s="191"/>
      <c r="Z988" s="191"/>
      <c r="AA988" s="191"/>
      <c r="AB988" s="191"/>
    </row>
    <row r="989" ht="15.75" customHeight="1">
      <c r="A989" s="288"/>
      <c r="B989" s="224"/>
      <c r="C989" s="224"/>
      <c r="D989" s="212"/>
      <c r="E989" s="221"/>
      <c r="F989" s="222"/>
      <c r="G989" s="223"/>
      <c r="H989" s="164"/>
      <c r="I989" s="164"/>
      <c r="J989" s="164"/>
      <c r="K989" s="164"/>
      <c r="L989" s="174"/>
      <c r="M989" s="164"/>
      <c r="N989" s="174"/>
      <c r="O989" s="157"/>
      <c r="P989" s="178"/>
      <c r="Q989" s="157"/>
      <c r="R989" s="157"/>
      <c r="S989" s="178"/>
      <c r="T989" s="157"/>
      <c r="U989" s="178"/>
      <c r="V989" s="191"/>
      <c r="W989" s="191"/>
      <c r="X989" s="191"/>
      <c r="Y989" s="191"/>
      <c r="Z989" s="191"/>
      <c r="AA989" s="191"/>
      <c r="AB989" s="191"/>
    </row>
    <row r="990" ht="15.75" customHeight="1">
      <c r="A990" s="288"/>
      <c r="B990" s="224"/>
      <c r="C990" s="224"/>
      <c r="D990" s="212"/>
      <c r="E990" s="221"/>
      <c r="F990" s="222"/>
      <c r="G990" s="223"/>
      <c r="H990" s="164"/>
      <c r="I990" s="164"/>
      <c r="J990" s="164"/>
      <c r="K990" s="164"/>
      <c r="L990" s="174"/>
      <c r="M990" s="164"/>
      <c r="N990" s="174"/>
      <c r="O990" s="157"/>
      <c r="P990" s="178"/>
      <c r="Q990" s="157"/>
      <c r="R990" s="157"/>
      <c r="S990" s="178"/>
      <c r="T990" s="157"/>
      <c r="U990" s="178"/>
      <c r="V990" s="191"/>
      <c r="W990" s="191"/>
      <c r="X990" s="191"/>
      <c r="Y990" s="191"/>
      <c r="Z990" s="191"/>
      <c r="AA990" s="191"/>
      <c r="AB990" s="191"/>
    </row>
    <row r="991" ht="15.75" customHeight="1">
      <c r="A991" s="288"/>
      <c r="B991" s="224"/>
      <c r="C991" s="224"/>
      <c r="D991" s="212"/>
      <c r="E991" s="221"/>
      <c r="F991" s="222"/>
      <c r="G991" s="223"/>
      <c r="H991" s="164"/>
      <c r="I991" s="164"/>
      <c r="J991" s="164"/>
      <c r="K991" s="164"/>
      <c r="L991" s="174"/>
      <c r="M991" s="164"/>
      <c r="N991" s="174"/>
      <c r="O991" s="157"/>
      <c r="P991" s="178"/>
      <c r="Q991" s="157"/>
      <c r="R991" s="157"/>
      <c r="S991" s="178"/>
      <c r="T991" s="157"/>
      <c r="U991" s="178"/>
      <c r="V991" s="191"/>
      <c r="W991" s="191"/>
      <c r="X991" s="191"/>
      <c r="Y991" s="191"/>
      <c r="Z991" s="191"/>
      <c r="AA991" s="191"/>
      <c r="AB991" s="191"/>
    </row>
    <row r="992" ht="15.75" customHeight="1">
      <c r="A992" s="288"/>
      <c r="B992" s="224"/>
      <c r="C992" s="224"/>
      <c r="D992" s="212"/>
      <c r="E992" s="221"/>
      <c r="F992" s="222"/>
      <c r="G992" s="223"/>
      <c r="H992" s="164"/>
      <c r="I992" s="164"/>
      <c r="J992" s="164"/>
      <c r="K992" s="164"/>
      <c r="L992" s="174"/>
      <c r="M992" s="164"/>
      <c r="N992" s="174"/>
      <c r="O992" s="157"/>
      <c r="P992" s="178"/>
      <c r="Q992" s="157"/>
      <c r="R992" s="157"/>
      <c r="S992" s="178"/>
      <c r="T992" s="157"/>
      <c r="U992" s="178"/>
      <c r="V992" s="191"/>
      <c r="W992" s="191"/>
      <c r="X992" s="191"/>
      <c r="Y992" s="191"/>
      <c r="Z992" s="191"/>
      <c r="AA992" s="191"/>
      <c r="AB992" s="191"/>
    </row>
    <row r="993" ht="15.75" customHeight="1">
      <c r="A993" s="288"/>
      <c r="B993" s="224"/>
      <c r="C993" s="224"/>
      <c r="D993" s="212"/>
      <c r="E993" s="221"/>
      <c r="F993" s="222"/>
      <c r="G993" s="223"/>
      <c r="H993" s="164"/>
      <c r="I993" s="164"/>
      <c r="J993" s="164"/>
      <c r="K993" s="164"/>
      <c r="L993" s="174"/>
      <c r="M993" s="164"/>
      <c r="N993" s="174"/>
      <c r="O993" s="157"/>
      <c r="P993" s="178"/>
      <c r="Q993" s="157"/>
      <c r="R993" s="157"/>
      <c r="S993" s="178"/>
      <c r="T993" s="157"/>
      <c r="U993" s="178"/>
      <c r="V993" s="191"/>
      <c r="W993" s="191"/>
      <c r="X993" s="191"/>
      <c r="Y993" s="191"/>
      <c r="Z993" s="191"/>
      <c r="AA993" s="191"/>
      <c r="AB993" s="191"/>
    </row>
    <row r="994" ht="15.75" customHeight="1">
      <c r="A994" s="288"/>
      <c r="B994" s="224"/>
      <c r="C994" s="224"/>
      <c r="D994" s="212"/>
      <c r="E994" s="221"/>
      <c r="F994" s="222"/>
      <c r="G994" s="223"/>
      <c r="H994" s="164"/>
      <c r="I994" s="164"/>
      <c r="J994" s="164"/>
      <c r="K994" s="164"/>
      <c r="L994" s="174"/>
      <c r="M994" s="164"/>
      <c r="N994" s="174"/>
      <c r="O994" s="157"/>
      <c r="P994" s="178"/>
      <c r="Q994" s="157"/>
      <c r="R994" s="157"/>
      <c r="S994" s="178"/>
      <c r="T994" s="157"/>
      <c r="U994" s="178"/>
      <c r="V994" s="191"/>
      <c r="W994" s="191"/>
      <c r="X994" s="191"/>
      <c r="Y994" s="191"/>
      <c r="Z994" s="191"/>
      <c r="AA994" s="191"/>
      <c r="AB994" s="191"/>
    </row>
    <row r="995" ht="15.75" customHeight="1">
      <c r="A995" s="288"/>
      <c r="B995" s="224"/>
      <c r="C995" s="224"/>
      <c r="D995" s="212"/>
      <c r="E995" s="221"/>
      <c r="F995" s="222"/>
      <c r="G995" s="223"/>
      <c r="H995" s="164"/>
      <c r="I995" s="164"/>
      <c r="J995" s="164"/>
      <c r="K995" s="164"/>
      <c r="L995" s="174"/>
      <c r="M995" s="164"/>
      <c r="N995" s="174"/>
      <c r="O995" s="157"/>
      <c r="P995" s="178"/>
      <c r="Q995" s="157"/>
      <c r="R995" s="157"/>
      <c r="S995" s="178"/>
      <c r="T995" s="157"/>
      <c r="U995" s="178"/>
      <c r="V995" s="191"/>
      <c r="W995" s="191"/>
      <c r="X995" s="191"/>
      <c r="Y995" s="191"/>
      <c r="Z995" s="191"/>
      <c r="AA995" s="191"/>
      <c r="AB995" s="191"/>
    </row>
    <row r="996" ht="15.75" customHeight="1">
      <c r="A996" s="288"/>
      <c r="B996" s="224"/>
      <c r="C996" s="224"/>
      <c r="D996" s="212"/>
      <c r="E996" s="221"/>
      <c r="F996" s="222"/>
      <c r="G996" s="223"/>
      <c r="H996" s="164"/>
      <c r="I996" s="164"/>
      <c r="J996" s="164"/>
      <c r="K996" s="164"/>
      <c r="L996" s="174"/>
      <c r="M996" s="164"/>
      <c r="N996" s="174"/>
      <c r="O996" s="157"/>
      <c r="P996" s="178"/>
      <c r="Q996" s="157"/>
      <c r="R996" s="157"/>
      <c r="S996" s="178"/>
      <c r="T996" s="157"/>
      <c r="U996" s="178"/>
      <c r="V996" s="191"/>
      <c r="W996" s="191"/>
      <c r="X996" s="191"/>
      <c r="Y996" s="191"/>
      <c r="Z996" s="191"/>
      <c r="AA996" s="191"/>
      <c r="AB996" s="191"/>
    </row>
    <row r="997" ht="15.75" customHeight="1">
      <c r="A997" s="288"/>
      <c r="B997" s="224"/>
      <c r="C997" s="224"/>
      <c r="D997" s="212"/>
      <c r="E997" s="221"/>
      <c r="F997" s="222"/>
      <c r="G997" s="223"/>
      <c r="H997" s="164"/>
      <c r="I997" s="164"/>
      <c r="J997" s="164"/>
      <c r="K997" s="164"/>
      <c r="L997" s="174"/>
      <c r="M997" s="164"/>
      <c r="N997" s="174"/>
      <c r="O997" s="157"/>
      <c r="P997" s="178"/>
      <c r="Q997" s="157"/>
      <c r="R997" s="157"/>
      <c r="S997" s="178"/>
      <c r="T997" s="157"/>
      <c r="U997" s="178"/>
      <c r="V997" s="191"/>
      <c r="W997" s="191"/>
      <c r="X997" s="191"/>
      <c r="Y997" s="191"/>
      <c r="Z997" s="191"/>
      <c r="AA997" s="191"/>
      <c r="AB997" s="191"/>
    </row>
    <row r="998" ht="15.75" customHeight="1">
      <c r="A998" s="288"/>
      <c r="B998" s="224"/>
      <c r="C998" s="224"/>
      <c r="D998" s="212"/>
      <c r="E998" s="221"/>
      <c r="F998" s="222"/>
      <c r="G998" s="223"/>
      <c r="H998" s="164"/>
      <c r="I998" s="164"/>
      <c r="J998" s="164"/>
      <c r="K998" s="164"/>
      <c r="L998" s="174"/>
      <c r="M998" s="164"/>
      <c r="N998" s="174"/>
      <c r="O998" s="157"/>
      <c r="P998" s="178"/>
      <c r="Q998" s="157"/>
      <c r="R998" s="157"/>
      <c r="S998" s="178"/>
      <c r="T998" s="157"/>
      <c r="U998" s="178"/>
      <c r="V998" s="191"/>
      <c r="W998" s="191"/>
      <c r="X998" s="191"/>
      <c r="Y998" s="191"/>
      <c r="Z998" s="191"/>
      <c r="AA998" s="191"/>
      <c r="AB998" s="191"/>
    </row>
    <row r="999" ht="15.75" customHeight="1">
      <c r="A999" s="288"/>
      <c r="B999" s="224"/>
      <c r="C999" s="224"/>
      <c r="D999" s="212"/>
      <c r="E999" s="221"/>
      <c r="F999" s="222"/>
      <c r="G999" s="223"/>
      <c r="H999" s="164"/>
      <c r="I999" s="164"/>
      <c r="J999" s="164"/>
      <c r="K999" s="164"/>
      <c r="L999" s="174"/>
      <c r="M999" s="164"/>
      <c r="N999" s="174"/>
      <c r="O999" s="157"/>
      <c r="P999" s="178"/>
      <c r="Q999" s="157"/>
      <c r="R999" s="157"/>
      <c r="S999" s="178"/>
      <c r="T999" s="157"/>
      <c r="U999" s="178"/>
      <c r="V999" s="191"/>
      <c r="W999" s="191"/>
      <c r="X999" s="191"/>
      <c r="Y999" s="191"/>
      <c r="Z999" s="191"/>
      <c r="AA999" s="191"/>
      <c r="AB999" s="191"/>
    </row>
    <row r="1000" ht="15.75" customHeight="1">
      <c r="A1000" s="288"/>
      <c r="B1000" s="224"/>
      <c r="C1000" s="224"/>
      <c r="D1000" s="212"/>
      <c r="E1000" s="221"/>
      <c r="F1000" s="222"/>
      <c r="G1000" s="223"/>
      <c r="H1000" s="164"/>
      <c r="I1000" s="164"/>
      <c r="J1000" s="164"/>
      <c r="K1000" s="164"/>
      <c r="L1000" s="174"/>
      <c r="M1000" s="164"/>
      <c r="N1000" s="174"/>
      <c r="O1000" s="157"/>
      <c r="P1000" s="178"/>
      <c r="Q1000" s="157"/>
      <c r="R1000" s="157"/>
      <c r="S1000" s="178"/>
      <c r="T1000" s="157"/>
      <c r="U1000" s="178"/>
      <c r="V1000" s="191"/>
      <c r="W1000" s="191"/>
      <c r="X1000" s="191"/>
      <c r="Y1000" s="191"/>
      <c r="Z1000" s="191"/>
      <c r="AA1000" s="191"/>
      <c r="AB1000" s="191"/>
    </row>
  </sheetData>
  <customSheetViews>
    <customSheetView guid="{91BB1310-0C7F-4C0B-AE0A-E630CF6D8A87}" filter="1" showAutoFilter="1">
      <autoFilter ref="$A$2:$AB$1000">
        <filterColumn colId="4">
          <filters>
            <filter val="Especializado"/>
            <filter val="Gestão própria"/>
          </filters>
        </filterColumn>
      </autoFilter>
    </customSheetView>
    <customSheetView guid="{8B2F7A20-70CD-4AC8-9CD2-2B3F91660B47}" filter="1" showAutoFilter="1">
      <autoFilter ref="$A$2:$U$32">
        <filterColumn colId="4">
          <filters blank="1">
            <filter val="Especializado"/>
            <filter val="OSS"/>
          </filters>
        </filterColumn>
      </autoFilter>
    </customSheetView>
  </customSheetViews>
  <dataValidations>
    <dataValidation type="list" allowBlank="1" showErrorMessage="1" sqref="C3:C31">
      <formula1>"EM FUNCIONAMENTO,EM CONSTRUÇÃO"</formula1>
    </dataValidation>
    <dataValidation type="list" allowBlank="1" showErrorMessage="1" sqref="E3:E31">
      <formula1>"OS,Gestão própria,OSS,Sem informaçao,Especializado"</formula1>
    </dataValidation>
    <dataValidation type="list" allowBlank="1" showErrorMessage="1" sqref="F3:F31">
      <formula1>"I,II,III,IV,V,VI,VII,VII,VIII,IX,X,XI,XII,Sem informação"</formula1>
    </dataValidation>
  </dataValidations>
  <printOptions gridLines="1"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0"/>
  <cols>
    <col customWidth="1" min="1" max="1" width="13.63"/>
    <col customWidth="1" min="2" max="2" width="16.0"/>
    <col customWidth="1" min="3" max="3" width="9.13"/>
    <col customWidth="1" min="4" max="4" width="20.75"/>
    <col customWidth="1" min="5" max="5" width="19.13"/>
    <col customWidth="1" min="6" max="6" width="17.13"/>
    <col customWidth="1" min="7" max="8" width="17.0"/>
    <col customWidth="1" min="9" max="11" width="18.0"/>
    <col customWidth="1" min="12" max="12" width="14.25"/>
    <col customWidth="1" min="13" max="13" width="17.88"/>
    <col customWidth="1" min="14" max="16" width="16.88"/>
    <col customWidth="1" min="17" max="17" width="16.63"/>
    <col customWidth="1" min="18" max="18" width="15.88"/>
    <col customWidth="1" min="19" max="19" width="16.63"/>
    <col customWidth="1" min="20" max="20" width="16.88"/>
    <col customWidth="1" min="21" max="21" width="15.75"/>
    <col customWidth="1" min="22" max="22" width="15.88"/>
    <col customWidth="1" min="23" max="24" width="13.63"/>
    <col customWidth="1" min="25" max="25" width="18.13"/>
    <col customWidth="1" min="26" max="29" width="13.63"/>
    <col customWidth="1" min="30" max="30" width="15.75"/>
    <col customWidth="1" min="31" max="31" width="27.13"/>
    <col customWidth="1" min="32" max="32" width="16.88"/>
    <col customWidth="1" min="33" max="33" width="19.25"/>
    <col customWidth="1" min="34" max="35" width="18.25"/>
    <col customWidth="1" min="36" max="36" width="15.63"/>
    <col customWidth="1" min="37" max="37" width="17.5"/>
    <col customWidth="1" min="38" max="41" width="13.63"/>
    <col customWidth="1" min="42" max="42" width="45.0"/>
    <col customWidth="1" min="43" max="43" width="29.63"/>
    <col customWidth="1" min="44" max="44" width="13.63"/>
  </cols>
  <sheetData>
    <row r="1" ht="89.25" customHeight="1">
      <c r="A1" s="3"/>
      <c r="B1" s="3"/>
      <c r="C1" s="3"/>
      <c r="D1" s="6"/>
      <c r="E1" s="3"/>
      <c r="F1" s="3"/>
      <c r="G1" s="6"/>
      <c r="H1" s="6"/>
      <c r="I1" s="6"/>
      <c r="J1" s="12"/>
      <c r="K1" s="12"/>
      <c r="L1" s="6"/>
      <c r="M1" s="6"/>
      <c r="N1" s="6"/>
      <c r="O1" s="6"/>
      <c r="P1" s="6"/>
      <c r="Q1" s="6"/>
      <c r="R1" s="6"/>
      <c r="S1" s="6"/>
      <c r="T1" s="6"/>
      <c r="U1" s="6"/>
      <c r="V1" s="6"/>
      <c r="W1" s="3"/>
      <c r="X1" s="3"/>
      <c r="Y1" s="3"/>
      <c r="Z1" s="3"/>
      <c r="AA1" s="3"/>
      <c r="AB1" s="20"/>
      <c r="AC1" s="3"/>
      <c r="AD1" s="3"/>
      <c r="AE1" s="3"/>
      <c r="AF1" s="3"/>
      <c r="AG1" s="3"/>
      <c r="AH1" s="3"/>
      <c r="AI1" s="3"/>
      <c r="AJ1" s="3"/>
      <c r="AK1" s="3"/>
      <c r="AL1" s="3"/>
      <c r="AM1" s="3"/>
      <c r="AN1" s="3"/>
      <c r="AO1" s="3"/>
      <c r="AP1" s="3"/>
      <c r="AQ1" s="3"/>
      <c r="AR1" s="3"/>
    </row>
    <row r="2">
      <c r="A2" s="28" t="s">
        <v>7</v>
      </c>
      <c r="B2" s="28" t="s">
        <v>12</v>
      </c>
      <c r="C2" s="33" t="s">
        <v>14</v>
      </c>
      <c r="D2" s="37" t="s">
        <v>21</v>
      </c>
      <c r="E2" s="39" t="s">
        <v>26</v>
      </c>
      <c r="F2" s="28" t="s">
        <v>30</v>
      </c>
      <c r="G2" s="37" t="s">
        <v>32</v>
      </c>
      <c r="H2" s="37" t="s">
        <v>34</v>
      </c>
      <c r="I2" s="37" t="s">
        <v>36</v>
      </c>
      <c r="J2" s="37" t="s">
        <v>38</v>
      </c>
      <c r="K2" s="37" t="s">
        <v>40</v>
      </c>
      <c r="L2" s="37" t="s">
        <v>42</v>
      </c>
      <c r="M2" s="37" t="s">
        <v>44</v>
      </c>
      <c r="N2" s="37" t="s">
        <v>45</v>
      </c>
      <c r="O2" s="37" t="s">
        <v>46</v>
      </c>
      <c r="P2" s="37" t="s">
        <v>47</v>
      </c>
      <c r="Q2" s="37" t="s">
        <v>48</v>
      </c>
      <c r="R2" s="37" t="s">
        <v>50</v>
      </c>
      <c r="S2" s="37" t="s">
        <v>51</v>
      </c>
      <c r="T2" s="37" t="s">
        <v>53</v>
      </c>
      <c r="U2" s="37" t="s">
        <v>55</v>
      </c>
      <c r="V2" s="37" t="s">
        <v>58</v>
      </c>
      <c r="W2" s="39" t="s">
        <v>59</v>
      </c>
      <c r="X2" s="43" t="s">
        <v>61</v>
      </c>
      <c r="Y2" s="43" t="s">
        <v>65</v>
      </c>
      <c r="Z2" s="43" t="s">
        <v>5</v>
      </c>
      <c r="AA2" s="48" t="s">
        <v>67</v>
      </c>
      <c r="AB2" s="51" t="s">
        <v>69</v>
      </c>
      <c r="AC2" s="48" t="s">
        <v>71</v>
      </c>
      <c r="AD2" s="48" t="s">
        <v>72</v>
      </c>
      <c r="AE2" s="48" t="s">
        <v>74</v>
      </c>
      <c r="AF2" s="55" t="s">
        <v>76</v>
      </c>
      <c r="AG2" s="55" t="s">
        <v>77</v>
      </c>
      <c r="AH2" s="56" t="s">
        <v>78</v>
      </c>
      <c r="AI2" s="56" t="s">
        <v>79</v>
      </c>
      <c r="AJ2" s="56" t="s">
        <v>80</v>
      </c>
      <c r="AK2" s="56" t="s">
        <v>81</v>
      </c>
      <c r="AL2" s="56" t="s">
        <v>82</v>
      </c>
      <c r="AM2" s="56" t="s">
        <v>83</v>
      </c>
      <c r="AN2" s="56" t="s">
        <v>84</v>
      </c>
      <c r="AO2" s="57" t="s">
        <v>86</v>
      </c>
      <c r="AP2" s="57" t="s">
        <v>87</v>
      </c>
      <c r="AQ2" s="57" t="s">
        <v>88</v>
      </c>
      <c r="AR2" s="60" t="s">
        <v>89</v>
      </c>
    </row>
    <row r="3">
      <c r="A3" s="62">
        <v>1.0</v>
      </c>
      <c r="B3" s="62" t="s">
        <v>73</v>
      </c>
      <c r="C3" s="67">
        <v>2611606.0</v>
      </c>
      <c r="D3" s="72" t="s">
        <v>96</v>
      </c>
      <c r="E3" s="62" t="s">
        <v>104</v>
      </c>
      <c r="F3" s="62" t="s">
        <v>109</v>
      </c>
      <c r="G3" s="90">
        <f t="shared" ref="G3:G99" si="1">SUM(L3:R3)</f>
        <v>199166096.5</v>
      </c>
      <c r="H3" s="90">
        <f t="shared" ref="H3:H99" si="2">SUM(S3:V3)</f>
        <v>610547004.2</v>
      </c>
      <c r="I3" s="96">
        <v>1.2215394479E8</v>
      </c>
      <c r="J3" s="96">
        <v>1.5592776346E8</v>
      </c>
      <c r="K3" s="100">
        <f t="shared" ref="K3:K10" si="3">(J3-I3)/I3</f>
        <v>0.2764856978</v>
      </c>
      <c r="L3" s="101">
        <v>1.270399198E8</v>
      </c>
      <c r="M3" s="101">
        <v>1.538784508E7</v>
      </c>
      <c r="N3" s="101">
        <v>2.825730361E7</v>
      </c>
      <c r="O3" s="101">
        <v>3282001.14</v>
      </c>
      <c r="P3" s="102">
        <v>3820000.0</v>
      </c>
      <c r="Q3" s="104">
        <v>2.137902686E7</v>
      </c>
      <c r="R3" s="101"/>
      <c r="S3" s="105">
        <v>7.501160628E7</v>
      </c>
      <c r="T3" s="106">
        <v>1.1797559945E8</v>
      </c>
      <c r="U3" s="108">
        <v>4.175597985E8</v>
      </c>
      <c r="V3" s="105"/>
      <c r="W3" s="62" t="s">
        <v>75</v>
      </c>
      <c r="X3" s="62" t="s">
        <v>68</v>
      </c>
      <c r="Y3" s="96" t="s">
        <v>95</v>
      </c>
      <c r="Z3" s="113" t="s">
        <v>85</v>
      </c>
      <c r="AA3" s="115">
        <v>835.0</v>
      </c>
      <c r="AB3" s="115">
        <v>12.0</v>
      </c>
      <c r="AC3" s="96" t="s">
        <v>100</v>
      </c>
      <c r="AD3" s="115" t="s">
        <v>68</v>
      </c>
      <c r="AE3" s="96" t="s">
        <v>156</v>
      </c>
      <c r="AF3" s="119">
        <v>5510.0</v>
      </c>
      <c r="AG3" s="120">
        <v>2206.0</v>
      </c>
      <c r="AH3" s="120">
        <v>2965.0</v>
      </c>
      <c r="AI3" s="121"/>
      <c r="AJ3" s="121"/>
      <c r="AK3" s="121"/>
      <c r="AL3" s="120">
        <v>982.0</v>
      </c>
      <c r="AM3" s="121"/>
      <c r="AN3" s="120">
        <v>1563.0</v>
      </c>
      <c r="AO3" s="124"/>
      <c r="AP3" s="125" t="s">
        <v>173</v>
      </c>
      <c r="AQ3" s="126"/>
      <c r="AR3" s="127"/>
    </row>
    <row r="4">
      <c r="A4" s="62">
        <v>2.0</v>
      </c>
      <c r="B4" s="62" t="s">
        <v>139</v>
      </c>
      <c r="C4" s="67">
        <v>2611606.0</v>
      </c>
      <c r="D4" s="72" t="s">
        <v>96</v>
      </c>
      <c r="E4" s="62" t="s">
        <v>104</v>
      </c>
      <c r="F4" s="62" t="s">
        <v>109</v>
      </c>
      <c r="G4" s="90">
        <f t="shared" si="1"/>
        <v>106381764</v>
      </c>
      <c r="H4" s="90">
        <f t="shared" si="2"/>
        <v>427876073.3</v>
      </c>
      <c r="I4" s="131">
        <v>5.169331391E7</v>
      </c>
      <c r="J4" s="131">
        <v>6.766050429E7</v>
      </c>
      <c r="K4" s="133">
        <f t="shared" si="3"/>
        <v>0.308883087</v>
      </c>
      <c r="L4" s="135">
        <v>4.855412142E7</v>
      </c>
      <c r="M4" s="135">
        <v>2.866260154E7</v>
      </c>
      <c r="N4" s="135">
        <v>2.371587591E7</v>
      </c>
      <c r="O4" s="135">
        <v>1179165.1</v>
      </c>
      <c r="P4" s="137">
        <v>870000.0</v>
      </c>
      <c r="Q4" s="138">
        <v>3400000.0</v>
      </c>
      <c r="R4" s="135"/>
      <c r="S4" s="140">
        <v>7.272477992999999E7</v>
      </c>
      <c r="T4" s="106">
        <v>6.543050321E7</v>
      </c>
      <c r="U4" s="108">
        <v>2.8972079019E8</v>
      </c>
      <c r="V4" s="105"/>
      <c r="W4" s="62" t="s">
        <v>75</v>
      </c>
      <c r="X4" s="62" t="s">
        <v>68</v>
      </c>
      <c r="Y4" s="131" t="s">
        <v>142</v>
      </c>
      <c r="Z4" s="113" t="s">
        <v>85</v>
      </c>
      <c r="AA4" s="141">
        <v>380.0</v>
      </c>
      <c r="AB4" s="141" t="s">
        <v>68</v>
      </c>
      <c r="AC4" s="131" t="s">
        <v>68</v>
      </c>
      <c r="AD4" s="142">
        <v>38.0</v>
      </c>
      <c r="AE4" s="131" t="s">
        <v>203</v>
      </c>
      <c r="AF4" s="143">
        <v>3408.0</v>
      </c>
      <c r="AG4" s="144">
        <v>968.0</v>
      </c>
      <c r="AH4" s="144">
        <v>2189.0</v>
      </c>
      <c r="AI4" s="146"/>
      <c r="AJ4" s="146"/>
      <c r="AK4" s="146"/>
      <c r="AL4" s="144">
        <v>580.0</v>
      </c>
      <c r="AM4" s="146"/>
      <c r="AN4" s="144">
        <v>639.0</v>
      </c>
      <c r="AO4" s="147"/>
      <c r="AP4" s="149" t="s">
        <v>220</v>
      </c>
      <c r="AQ4" s="126"/>
      <c r="AR4" s="127"/>
    </row>
    <row r="5">
      <c r="A5" s="62">
        <v>3.0</v>
      </c>
      <c r="B5" s="62" t="s">
        <v>164</v>
      </c>
      <c r="C5" s="67">
        <v>2611606.0</v>
      </c>
      <c r="D5" s="72" t="s">
        <v>96</v>
      </c>
      <c r="E5" s="62" t="s">
        <v>104</v>
      </c>
      <c r="F5" s="62" t="s">
        <v>109</v>
      </c>
      <c r="G5" s="90">
        <f t="shared" si="1"/>
        <v>136129041.2</v>
      </c>
      <c r="H5" s="90">
        <f t="shared" si="2"/>
        <v>407241679.8</v>
      </c>
      <c r="I5" s="96">
        <v>4.534676427E7</v>
      </c>
      <c r="J5" s="96">
        <v>8.485525519E7</v>
      </c>
      <c r="K5" s="100">
        <f t="shared" si="3"/>
        <v>0.8712527025</v>
      </c>
      <c r="L5" s="101">
        <v>7.517776427E7</v>
      </c>
      <c r="M5" s="101">
        <v>3.046463015E7</v>
      </c>
      <c r="N5" s="101">
        <v>1.693220892E7</v>
      </c>
      <c r="O5" s="101">
        <v>923885.85</v>
      </c>
      <c r="P5" s="102">
        <v>2378200.0</v>
      </c>
      <c r="Q5" s="104">
        <v>1.0252352E7</v>
      </c>
      <c r="R5" s="101"/>
      <c r="S5" s="105">
        <v>4.081481128E7</v>
      </c>
      <c r="T5" s="106">
        <v>8.002173731E7</v>
      </c>
      <c r="U5" s="108">
        <v>2.8640513122E8</v>
      </c>
      <c r="V5" s="105"/>
      <c r="W5" s="62" t="s">
        <v>75</v>
      </c>
      <c r="X5" s="62" t="s">
        <v>68</v>
      </c>
      <c r="Y5" s="96" t="s">
        <v>169</v>
      </c>
      <c r="Z5" s="113" t="s">
        <v>85</v>
      </c>
      <c r="AA5" s="115">
        <v>379.0</v>
      </c>
      <c r="AB5" s="115">
        <v>25.0</v>
      </c>
      <c r="AC5" s="96" t="s">
        <v>172</v>
      </c>
      <c r="AD5" s="115">
        <v>71.0</v>
      </c>
      <c r="AE5" s="96" t="s">
        <v>247</v>
      </c>
      <c r="AF5" s="119">
        <v>3154.0</v>
      </c>
      <c r="AG5" s="120">
        <v>1272.0</v>
      </c>
      <c r="AH5" s="120">
        <v>1971.0</v>
      </c>
      <c r="AI5" s="120">
        <v>6.0</v>
      </c>
      <c r="AJ5" s="121"/>
      <c r="AK5" s="121"/>
      <c r="AL5" s="120">
        <v>262.0</v>
      </c>
      <c r="AM5" s="121"/>
      <c r="AN5" s="120">
        <v>857.0</v>
      </c>
      <c r="AO5" s="151">
        <v>58.0</v>
      </c>
      <c r="AP5" s="155" t="s">
        <v>254</v>
      </c>
      <c r="AQ5" s="126"/>
      <c r="AR5" s="127"/>
    </row>
    <row r="6">
      <c r="A6" s="62">
        <v>4.0</v>
      </c>
      <c r="B6" s="62" t="s">
        <v>193</v>
      </c>
      <c r="C6" s="67">
        <v>2611606.0</v>
      </c>
      <c r="D6" s="72" t="s">
        <v>96</v>
      </c>
      <c r="E6" s="62" t="s">
        <v>104</v>
      </c>
      <c r="F6" s="62" t="s">
        <v>109</v>
      </c>
      <c r="G6" s="90">
        <f t="shared" si="1"/>
        <v>82353764.95</v>
      </c>
      <c r="H6" s="90">
        <f t="shared" si="2"/>
        <v>350961088.4</v>
      </c>
      <c r="I6" s="131">
        <v>5.839664023E7</v>
      </c>
      <c r="J6" s="131">
        <v>7.154786016E7</v>
      </c>
      <c r="K6" s="133">
        <f t="shared" si="3"/>
        <v>0.2252050782</v>
      </c>
      <c r="L6" s="135">
        <v>2.67187182E7</v>
      </c>
      <c r="M6" s="135">
        <v>3.518634897E7</v>
      </c>
      <c r="N6" s="135">
        <v>1.468185443E7</v>
      </c>
      <c r="O6" s="135">
        <v>1061673.35</v>
      </c>
      <c r="P6" s="137">
        <v>1140044.0</v>
      </c>
      <c r="Q6" s="138">
        <v>3565126.0</v>
      </c>
      <c r="R6" s="135"/>
      <c r="S6" s="140">
        <v>5.0585359E7</v>
      </c>
      <c r="T6" s="106">
        <v>6.385824323E7</v>
      </c>
      <c r="U6" s="108">
        <v>2.3651748614000002E8</v>
      </c>
      <c r="V6" s="105"/>
      <c r="W6" s="62" t="s">
        <v>75</v>
      </c>
      <c r="X6" s="62" t="s">
        <v>68</v>
      </c>
      <c r="Y6" s="131" t="s">
        <v>196</v>
      </c>
      <c r="Z6" s="113" t="s">
        <v>85</v>
      </c>
      <c r="AA6" s="141">
        <v>412.0</v>
      </c>
      <c r="AB6" s="141" t="s">
        <v>68</v>
      </c>
      <c r="AC6" s="131" t="s">
        <v>68</v>
      </c>
      <c r="AD6" s="141" t="s">
        <v>68</v>
      </c>
      <c r="AE6" s="131" t="s">
        <v>269</v>
      </c>
      <c r="AF6" s="143">
        <v>2853.0</v>
      </c>
      <c r="AG6" s="144">
        <v>925.0</v>
      </c>
      <c r="AH6" s="144">
        <v>1798.0</v>
      </c>
      <c r="AI6" s="146"/>
      <c r="AJ6" s="146"/>
      <c r="AK6" s="146"/>
      <c r="AL6" s="144">
        <v>380.0</v>
      </c>
      <c r="AM6" s="146"/>
      <c r="AN6" s="144">
        <v>675.0</v>
      </c>
      <c r="AO6" s="147"/>
      <c r="AP6" s="149" t="s">
        <v>277</v>
      </c>
      <c r="AQ6" s="126"/>
      <c r="AR6" s="127"/>
    </row>
    <row r="7">
      <c r="A7" s="62">
        <v>5.0</v>
      </c>
      <c r="B7" s="62" t="s">
        <v>212</v>
      </c>
      <c r="C7" s="67">
        <v>2611606.0</v>
      </c>
      <c r="D7" s="72" t="s">
        <v>96</v>
      </c>
      <c r="E7" s="62" t="s">
        <v>104</v>
      </c>
      <c r="F7" s="62" t="s">
        <v>109</v>
      </c>
      <c r="G7" s="90">
        <f t="shared" si="1"/>
        <v>189079725.4</v>
      </c>
      <c r="H7" s="90">
        <f t="shared" si="2"/>
        <v>393032506.7</v>
      </c>
      <c r="I7" s="96">
        <v>5.766677934E7</v>
      </c>
      <c r="J7" s="96">
        <v>1.1845326357E8</v>
      </c>
      <c r="K7" s="100">
        <f t="shared" si="3"/>
        <v>1.054098823</v>
      </c>
      <c r="L7" s="101">
        <v>1.044254639E8</v>
      </c>
      <c r="M7" s="101">
        <v>4.775936148E7</v>
      </c>
      <c r="N7" s="101">
        <v>2.428582888E7</v>
      </c>
      <c r="O7" s="101">
        <v>1086582.17</v>
      </c>
      <c r="P7" s="102">
        <v>400000.0</v>
      </c>
      <c r="Q7" s="104">
        <v>1.1122489E7</v>
      </c>
      <c r="R7" s="101"/>
      <c r="S7" s="105">
        <v>5.895529204E7</v>
      </c>
      <c r="T7" s="167">
        <v>8.721592838E7</v>
      </c>
      <c r="U7" s="108">
        <v>2.4686128623000002E8</v>
      </c>
      <c r="V7" s="105"/>
      <c r="W7" s="62" t="s">
        <v>75</v>
      </c>
      <c r="X7" s="62" t="s">
        <v>68</v>
      </c>
      <c r="Y7" s="96" t="s">
        <v>215</v>
      </c>
      <c r="Z7" s="113" t="s">
        <v>85</v>
      </c>
      <c r="AA7" s="115">
        <v>511.0</v>
      </c>
      <c r="AB7" s="115" t="s">
        <v>68</v>
      </c>
      <c r="AC7" s="169"/>
      <c r="AD7" s="115">
        <v>146.0</v>
      </c>
      <c r="AE7" s="96" t="s">
        <v>303</v>
      </c>
      <c r="AF7" s="119">
        <v>3275.0</v>
      </c>
      <c r="AG7" s="120">
        <v>1221.0</v>
      </c>
      <c r="AH7" s="120">
        <v>1785.0</v>
      </c>
      <c r="AI7" s="121"/>
      <c r="AJ7" s="121"/>
      <c r="AK7" s="121"/>
      <c r="AL7" s="120">
        <v>532.0</v>
      </c>
      <c r="AM7" s="121"/>
      <c r="AN7" s="120">
        <v>958.0</v>
      </c>
      <c r="AO7" s="124"/>
      <c r="AP7" s="125" t="s">
        <v>309</v>
      </c>
      <c r="AQ7" s="173"/>
      <c r="AR7" s="175"/>
    </row>
    <row r="8">
      <c r="A8" s="62">
        <v>6.0</v>
      </c>
      <c r="B8" s="62" t="s">
        <v>233</v>
      </c>
      <c r="C8" s="67">
        <v>2604106.0</v>
      </c>
      <c r="D8" s="72" t="s">
        <v>315</v>
      </c>
      <c r="E8" s="62" t="s">
        <v>317</v>
      </c>
      <c r="F8" s="62" t="s">
        <v>109</v>
      </c>
      <c r="G8" s="90">
        <f t="shared" si="1"/>
        <v>147973170.5</v>
      </c>
      <c r="H8" s="90">
        <f t="shared" si="2"/>
        <v>238057676</v>
      </c>
      <c r="I8" s="131">
        <v>4.714932149E7</v>
      </c>
      <c r="J8" s="131">
        <v>5.220581304E7</v>
      </c>
      <c r="K8" s="133">
        <f t="shared" si="3"/>
        <v>0.1072442061</v>
      </c>
      <c r="L8" s="135">
        <v>1.198438566E8</v>
      </c>
      <c r="M8" s="135">
        <v>5833352.41</v>
      </c>
      <c r="N8" s="135">
        <v>1.868047106E7</v>
      </c>
      <c r="O8" s="135">
        <v>698963.44</v>
      </c>
      <c r="P8" s="137">
        <v>180000.0</v>
      </c>
      <c r="Q8" s="138">
        <v>2736527.0</v>
      </c>
      <c r="R8" s="135"/>
      <c r="S8" s="140">
        <v>3.654319544E7</v>
      </c>
      <c r="T8" s="106">
        <v>5.076575758E7</v>
      </c>
      <c r="U8" s="108">
        <v>1.5074872293E8</v>
      </c>
      <c r="V8" s="105"/>
      <c r="W8" s="62" t="s">
        <v>75</v>
      </c>
      <c r="X8" s="62" t="s">
        <v>68</v>
      </c>
      <c r="Y8" s="131" t="s">
        <v>237</v>
      </c>
      <c r="Z8" s="113" t="s">
        <v>153</v>
      </c>
      <c r="AA8" s="141">
        <v>182.0</v>
      </c>
      <c r="AB8" s="141" t="s">
        <v>68</v>
      </c>
      <c r="AC8" s="131" t="s">
        <v>68</v>
      </c>
      <c r="AD8" s="141">
        <v>288.0</v>
      </c>
      <c r="AE8" s="131" t="s">
        <v>330</v>
      </c>
      <c r="AF8" s="143">
        <v>1786.0</v>
      </c>
      <c r="AG8" s="144">
        <v>367.0</v>
      </c>
      <c r="AH8" s="144">
        <v>1166.0</v>
      </c>
      <c r="AI8" s="146"/>
      <c r="AJ8" s="146"/>
      <c r="AK8" s="146"/>
      <c r="AL8" s="144">
        <v>393.0</v>
      </c>
      <c r="AM8" s="146"/>
      <c r="AN8" s="144">
        <v>227.0</v>
      </c>
      <c r="AO8" s="147"/>
      <c r="AP8" s="149" t="s">
        <v>336</v>
      </c>
      <c r="AQ8" s="126"/>
      <c r="AR8" s="127"/>
    </row>
    <row r="9">
      <c r="A9" s="62">
        <v>7.0</v>
      </c>
      <c r="B9" s="62" t="s">
        <v>62</v>
      </c>
      <c r="C9" s="67">
        <v>2610707.0</v>
      </c>
      <c r="D9" s="72" t="s">
        <v>339</v>
      </c>
      <c r="E9" s="62" t="s">
        <v>104</v>
      </c>
      <c r="F9" s="62" t="s">
        <v>1</v>
      </c>
      <c r="G9" s="90">
        <f t="shared" si="1"/>
        <v>15634516.87</v>
      </c>
      <c r="H9" s="90">
        <f t="shared" si="2"/>
        <v>42374115.3</v>
      </c>
      <c r="I9" s="184">
        <v>2542612.0</v>
      </c>
      <c r="J9" s="184">
        <v>2886030.4</v>
      </c>
      <c r="K9" s="186">
        <f t="shared" si="3"/>
        <v>0.1350652007</v>
      </c>
      <c r="L9" s="101">
        <v>5872923.97</v>
      </c>
      <c r="M9" s="101">
        <v>199657.01</v>
      </c>
      <c r="N9" s="101">
        <v>9561935.89</v>
      </c>
      <c r="O9" s="101">
        <v>0.0</v>
      </c>
      <c r="P9" s="102">
        <v>0.0</v>
      </c>
      <c r="Q9" s="104">
        <v>0.0</v>
      </c>
      <c r="R9" s="101"/>
      <c r="S9" s="105">
        <v>505324.19999999995</v>
      </c>
      <c r="T9" s="167">
        <v>1.690232334E7</v>
      </c>
      <c r="U9" s="108">
        <v>2.496646776E7</v>
      </c>
      <c r="V9" s="187"/>
      <c r="W9" s="62" t="s">
        <v>75</v>
      </c>
      <c r="X9" s="187" t="s">
        <v>68</v>
      </c>
      <c r="Y9" s="184" t="s">
        <v>90</v>
      </c>
      <c r="Z9" s="190" t="s">
        <v>85</v>
      </c>
      <c r="AA9" s="192">
        <v>102.0</v>
      </c>
      <c r="AB9" s="192">
        <v>12.0</v>
      </c>
      <c r="AC9" s="184" t="s">
        <v>92</v>
      </c>
      <c r="AD9" s="192" t="s">
        <v>68</v>
      </c>
      <c r="AE9" s="184" t="s">
        <v>94</v>
      </c>
      <c r="AF9" s="119">
        <v>386.0</v>
      </c>
      <c r="AG9" s="120">
        <v>132.0</v>
      </c>
      <c r="AH9" s="120">
        <v>218.0</v>
      </c>
      <c r="AI9" s="121"/>
      <c r="AJ9" s="121"/>
      <c r="AK9" s="121"/>
      <c r="AL9" s="121"/>
      <c r="AM9" s="120">
        <v>77.0</v>
      </c>
      <c r="AN9" s="120">
        <v>91.0</v>
      </c>
      <c r="AO9" s="124"/>
      <c r="AP9" s="193" t="s">
        <v>374</v>
      </c>
      <c r="AQ9" s="126"/>
      <c r="AR9" s="127"/>
    </row>
    <row r="10">
      <c r="A10" s="62">
        <v>8.0</v>
      </c>
      <c r="B10" s="62" t="s">
        <v>113</v>
      </c>
      <c r="C10" s="67">
        <v>2611606.0</v>
      </c>
      <c r="D10" s="72" t="s">
        <v>96</v>
      </c>
      <c r="E10" s="62" t="s">
        <v>104</v>
      </c>
      <c r="F10" s="62" t="s">
        <v>1</v>
      </c>
      <c r="G10" s="90">
        <f t="shared" si="1"/>
        <v>20150105.11</v>
      </c>
      <c r="H10" s="90">
        <f t="shared" si="2"/>
        <v>97331394.28</v>
      </c>
      <c r="I10" s="187">
        <v>3292000.0</v>
      </c>
      <c r="J10" s="187">
        <v>7635659.8</v>
      </c>
      <c r="K10" s="194">
        <f t="shared" si="3"/>
        <v>1.319459235</v>
      </c>
      <c r="L10" s="135">
        <v>7263804.38</v>
      </c>
      <c r="M10" s="135">
        <v>4000355.66</v>
      </c>
      <c r="N10" s="135">
        <v>8405937.89</v>
      </c>
      <c r="O10" s="135">
        <v>380007.18</v>
      </c>
      <c r="P10" s="137">
        <v>100000.0</v>
      </c>
      <c r="Q10" s="138">
        <v>0.0</v>
      </c>
      <c r="R10" s="135"/>
      <c r="S10" s="140">
        <v>1.1622252580000002E7</v>
      </c>
      <c r="T10" s="106">
        <v>2.6816413E7</v>
      </c>
      <c r="U10" s="108">
        <v>5.8892728699999996E7</v>
      </c>
      <c r="V10" s="184"/>
      <c r="W10" s="62" t="s">
        <v>75</v>
      </c>
      <c r="X10" s="184" t="s">
        <v>68</v>
      </c>
      <c r="Y10" s="187" t="s">
        <v>114</v>
      </c>
      <c r="Z10" s="190" t="s">
        <v>85</v>
      </c>
      <c r="AA10" s="197">
        <v>103.0</v>
      </c>
      <c r="AB10" s="197" t="s">
        <v>68</v>
      </c>
      <c r="AC10" s="187" t="s">
        <v>68</v>
      </c>
      <c r="AD10" s="197" t="s">
        <v>68</v>
      </c>
      <c r="AE10" s="187" t="s">
        <v>115</v>
      </c>
      <c r="AF10" s="143">
        <v>832.0</v>
      </c>
      <c r="AG10" s="144">
        <v>516.0</v>
      </c>
      <c r="AH10" s="144">
        <v>419.0</v>
      </c>
      <c r="AI10" s="146"/>
      <c r="AJ10" s="146"/>
      <c r="AK10" s="146"/>
      <c r="AL10" s="146"/>
      <c r="AM10" s="144">
        <v>169.0</v>
      </c>
      <c r="AN10" s="144">
        <v>244.0</v>
      </c>
      <c r="AO10" s="147"/>
      <c r="AP10" s="202" t="s">
        <v>117</v>
      </c>
      <c r="AQ10" s="203"/>
      <c r="AR10" s="206"/>
    </row>
    <row r="11">
      <c r="A11" s="62">
        <v>9.0</v>
      </c>
      <c r="B11" s="62" t="s">
        <v>119</v>
      </c>
      <c r="C11" s="67">
        <v>2610707.0</v>
      </c>
      <c r="D11" s="72" t="s">
        <v>339</v>
      </c>
      <c r="E11" s="62" t="s">
        <v>104</v>
      </c>
      <c r="F11" s="62" t="s">
        <v>1</v>
      </c>
      <c r="G11" s="90">
        <f t="shared" si="1"/>
        <v>0</v>
      </c>
      <c r="H11" s="90">
        <f t="shared" si="2"/>
        <v>1244618.77</v>
      </c>
      <c r="I11" s="184" t="s">
        <v>68</v>
      </c>
      <c r="J11" s="184" t="s">
        <v>68</v>
      </c>
      <c r="K11" s="210"/>
      <c r="L11" s="101"/>
      <c r="M11" s="101"/>
      <c r="N11" s="101"/>
      <c r="O11" s="135">
        <v>0.0</v>
      </c>
      <c r="P11" s="102">
        <v>0.0</v>
      </c>
      <c r="Q11" s="104">
        <v>0.0</v>
      </c>
      <c r="R11" s="101"/>
      <c r="S11" s="105">
        <v>0.0</v>
      </c>
      <c r="T11" s="167">
        <v>1244618.77</v>
      </c>
      <c r="U11" s="90"/>
      <c r="V11" s="187"/>
      <c r="W11" s="62" t="s">
        <v>4</v>
      </c>
      <c r="X11" s="187" t="s">
        <v>121</v>
      </c>
      <c r="Y11" s="184" t="s">
        <v>123</v>
      </c>
      <c r="Z11" s="190" t="s">
        <v>85</v>
      </c>
      <c r="AA11" s="192">
        <v>114.0</v>
      </c>
      <c r="AB11" s="192" t="s">
        <v>68</v>
      </c>
      <c r="AC11" s="184" t="s">
        <v>68</v>
      </c>
      <c r="AD11" s="192">
        <v>99.0</v>
      </c>
      <c r="AE11" s="184" t="s">
        <v>125</v>
      </c>
      <c r="AF11" s="119">
        <v>626.0</v>
      </c>
      <c r="AG11" s="120" t="s">
        <v>68</v>
      </c>
      <c r="AH11" s="121"/>
      <c r="AI11" s="121"/>
      <c r="AJ11" s="120">
        <v>493.0</v>
      </c>
      <c r="AK11" s="120">
        <v>133.0</v>
      </c>
      <c r="AL11" s="121"/>
      <c r="AM11" s="121"/>
      <c r="AN11" s="121"/>
      <c r="AO11" s="124"/>
      <c r="AP11" s="193" t="s">
        <v>128</v>
      </c>
      <c r="AQ11" s="126"/>
      <c r="AR11" s="127"/>
    </row>
    <row r="12">
      <c r="A12" s="62">
        <v>10.0</v>
      </c>
      <c r="B12" s="62" t="s">
        <v>129</v>
      </c>
      <c r="C12" s="67">
        <v>2611606.0</v>
      </c>
      <c r="D12" s="72" t="s">
        <v>96</v>
      </c>
      <c r="E12" s="62" t="s">
        <v>104</v>
      </c>
      <c r="F12" s="62" t="s">
        <v>1</v>
      </c>
      <c r="G12" s="90">
        <f t="shared" si="1"/>
        <v>10621675.88</v>
      </c>
      <c r="H12" s="90">
        <f t="shared" si="2"/>
        <v>83295666.49</v>
      </c>
      <c r="I12" s="187">
        <v>4831232.71</v>
      </c>
      <c r="J12" s="187">
        <v>8283645.51</v>
      </c>
      <c r="K12" s="194">
        <f t="shared" ref="K12:K13" si="4">(J12-I12)/I12</f>
        <v>0.7146028782</v>
      </c>
      <c r="L12" s="135">
        <v>3218689.12</v>
      </c>
      <c r="M12" s="135">
        <v>951259.13</v>
      </c>
      <c r="N12" s="135">
        <v>6399684.39</v>
      </c>
      <c r="O12" s="135">
        <v>52043.24</v>
      </c>
      <c r="P12" s="137">
        <v>0.0</v>
      </c>
      <c r="Q12" s="138">
        <v>0.0</v>
      </c>
      <c r="R12" s="135"/>
      <c r="S12" s="140">
        <v>1.1083978530000001E7</v>
      </c>
      <c r="T12" s="106">
        <v>2.145253874E7</v>
      </c>
      <c r="U12" s="108">
        <v>5.075914922E7</v>
      </c>
      <c r="V12" s="184"/>
      <c r="W12" s="62" t="s">
        <v>75</v>
      </c>
      <c r="X12" s="184" t="s">
        <v>68</v>
      </c>
      <c r="Y12" s="187" t="s">
        <v>133</v>
      </c>
      <c r="Z12" s="190" t="s">
        <v>85</v>
      </c>
      <c r="AA12" s="197">
        <v>77.0</v>
      </c>
      <c r="AB12" s="197" t="s">
        <v>68</v>
      </c>
      <c r="AC12" s="187" t="s">
        <v>68</v>
      </c>
      <c r="AD12" s="197" t="s">
        <v>68</v>
      </c>
      <c r="AE12" s="187" t="s">
        <v>136</v>
      </c>
      <c r="AF12" s="143">
        <v>628.0</v>
      </c>
      <c r="AG12" s="144">
        <v>132.0</v>
      </c>
      <c r="AH12" s="144">
        <v>441.0</v>
      </c>
      <c r="AI12" s="146"/>
      <c r="AJ12" s="146"/>
      <c r="AK12" s="146"/>
      <c r="AL12" s="146"/>
      <c r="AM12" s="144">
        <v>120.0</v>
      </c>
      <c r="AN12" s="144">
        <v>67.0</v>
      </c>
      <c r="AO12" s="147"/>
      <c r="AP12" s="202" t="s">
        <v>141</v>
      </c>
      <c r="AQ12" s="203"/>
      <c r="AR12" s="206"/>
    </row>
    <row r="13">
      <c r="A13" s="62">
        <v>11.0</v>
      </c>
      <c r="B13" s="62" t="s">
        <v>144</v>
      </c>
      <c r="C13" s="67">
        <v>2611606.0</v>
      </c>
      <c r="D13" s="72" t="s">
        <v>96</v>
      </c>
      <c r="E13" s="62" t="s">
        <v>104</v>
      </c>
      <c r="F13" s="62" t="s">
        <v>1</v>
      </c>
      <c r="G13" s="90">
        <f t="shared" si="1"/>
        <v>20943023.2</v>
      </c>
      <c r="H13" s="90">
        <f t="shared" si="2"/>
        <v>67239263.15</v>
      </c>
      <c r="I13" s="184">
        <v>1857244.95</v>
      </c>
      <c r="J13" s="184">
        <v>3738387.41</v>
      </c>
      <c r="K13" s="186">
        <f t="shared" si="4"/>
        <v>1.012867183</v>
      </c>
      <c r="L13" s="101">
        <v>1.047958049E7</v>
      </c>
      <c r="M13" s="101">
        <v>549326.78</v>
      </c>
      <c r="N13" s="101">
        <v>9599526.58</v>
      </c>
      <c r="O13" s="101">
        <v>114589.35</v>
      </c>
      <c r="P13" s="102">
        <v>200000.0</v>
      </c>
      <c r="Q13" s="104">
        <v>0.0</v>
      </c>
      <c r="R13" s="101"/>
      <c r="S13" s="105">
        <v>1.252684771E7</v>
      </c>
      <c r="T13" s="167">
        <v>2.274854038E7</v>
      </c>
      <c r="U13" s="108">
        <v>3.196387506E7</v>
      </c>
      <c r="V13" s="187"/>
      <c r="W13" s="62" t="s">
        <v>75</v>
      </c>
      <c r="X13" s="187" t="s">
        <v>68</v>
      </c>
      <c r="Y13" s="184" t="s">
        <v>133</v>
      </c>
      <c r="Z13" s="190" t="s">
        <v>85</v>
      </c>
      <c r="AA13" s="192">
        <v>115.0</v>
      </c>
      <c r="AB13" s="192" t="s">
        <v>68</v>
      </c>
      <c r="AC13" s="184" t="s">
        <v>68</v>
      </c>
      <c r="AD13" s="192" t="s">
        <v>68</v>
      </c>
      <c r="AE13" s="184" t="s">
        <v>147</v>
      </c>
      <c r="AF13" s="119">
        <v>499.0</v>
      </c>
      <c r="AG13" s="120">
        <v>204.0</v>
      </c>
      <c r="AH13" s="120">
        <v>249.0</v>
      </c>
      <c r="AI13" s="120">
        <v>2.0</v>
      </c>
      <c r="AJ13" s="121"/>
      <c r="AK13" s="121"/>
      <c r="AL13" s="121"/>
      <c r="AM13" s="120">
        <v>127.0</v>
      </c>
      <c r="AN13" s="120">
        <v>121.0</v>
      </c>
      <c r="AO13" s="124"/>
      <c r="AP13" s="193" t="s">
        <v>149</v>
      </c>
      <c r="AQ13" s="126"/>
      <c r="AR13" s="127"/>
    </row>
    <row r="14">
      <c r="A14" s="62">
        <v>12.0</v>
      </c>
      <c r="B14" s="62" t="s">
        <v>151</v>
      </c>
      <c r="C14" s="67">
        <v>2605459.0</v>
      </c>
      <c r="D14" s="72" t="s">
        <v>409</v>
      </c>
      <c r="E14" s="62" t="s">
        <v>104</v>
      </c>
      <c r="F14" s="62" t="s">
        <v>1</v>
      </c>
      <c r="G14" s="90">
        <f t="shared" si="1"/>
        <v>1126359.68</v>
      </c>
      <c r="H14" s="90">
        <f t="shared" si="2"/>
        <v>0</v>
      </c>
      <c r="I14" s="187" t="s">
        <v>68</v>
      </c>
      <c r="J14" s="187" t="s">
        <v>68</v>
      </c>
      <c r="K14" s="187" t="s">
        <v>68</v>
      </c>
      <c r="L14" s="135"/>
      <c r="M14" s="135">
        <v>794334.91</v>
      </c>
      <c r="N14" s="135"/>
      <c r="O14" s="135">
        <v>182024.77</v>
      </c>
      <c r="P14" s="137">
        <v>150000.0</v>
      </c>
      <c r="Q14" s="138">
        <v>0.0</v>
      </c>
      <c r="R14" s="135"/>
      <c r="S14" s="140">
        <v>0.0</v>
      </c>
      <c r="T14" s="106">
        <v>0.0</v>
      </c>
      <c r="U14" s="90"/>
      <c r="V14" s="184"/>
      <c r="W14" s="62" t="s">
        <v>75</v>
      </c>
      <c r="X14" s="184" t="s">
        <v>68</v>
      </c>
      <c r="Y14" s="187" t="s">
        <v>159</v>
      </c>
      <c r="Z14" s="190" t="s">
        <v>85</v>
      </c>
      <c r="AA14" s="197">
        <v>10.0</v>
      </c>
      <c r="AB14" s="197" t="s">
        <v>68</v>
      </c>
      <c r="AC14" s="187" t="s">
        <v>68</v>
      </c>
      <c r="AD14" s="197" t="s">
        <v>68</v>
      </c>
      <c r="AE14" s="187" t="s">
        <v>162</v>
      </c>
      <c r="AF14" s="143">
        <v>13.0</v>
      </c>
      <c r="AG14" s="144">
        <v>3.0</v>
      </c>
      <c r="AH14" s="146"/>
      <c r="AI14" s="146"/>
      <c r="AJ14" s="146"/>
      <c r="AK14" s="146"/>
      <c r="AL14" s="146"/>
      <c r="AM14" s="146"/>
      <c r="AN14" s="146"/>
      <c r="AO14" s="147"/>
      <c r="AP14" s="225" t="s">
        <v>410</v>
      </c>
      <c r="AQ14" s="126"/>
      <c r="AR14" s="127"/>
    </row>
    <row r="15">
      <c r="A15" s="62">
        <v>13.0</v>
      </c>
      <c r="B15" s="62" t="s">
        <v>171</v>
      </c>
      <c r="C15" s="67">
        <v>2607901.0</v>
      </c>
      <c r="D15" s="72" t="s">
        <v>411</v>
      </c>
      <c r="E15" s="62" t="s">
        <v>104</v>
      </c>
      <c r="F15" s="62" t="s">
        <v>1</v>
      </c>
      <c r="G15" s="90">
        <f t="shared" si="1"/>
        <v>16151398.39</v>
      </c>
      <c r="H15" s="90">
        <f t="shared" si="2"/>
        <v>68719491.79</v>
      </c>
      <c r="I15" s="184">
        <v>2985642.0</v>
      </c>
      <c r="J15" s="184">
        <v>3597132.0</v>
      </c>
      <c r="K15" s="186">
        <f>(J15-I15)/I15</f>
        <v>0.2048102217</v>
      </c>
      <c r="L15" s="101">
        <v>5169614.1</v>
      </c>
      <c r="M15" s="101">
        <v>2885974.81</v>
      </c>
      <c r="N15" s="101">
        <v>7761937.89</v>
      </c>
      <c r="O15" s="101">
        <v>45671.59</v>
      </c>
      <c r="P15" s="102">
        <v>288200.0</v>
      </c>
      <c r="Q15" s="104">
        <v>0.0</v>
      </c>
      <c r="R15" s="101"/>
      <c r="S15" s="105">
        <v>7838164.01</v>
      </c>
      <c r="T15" s="167">
        <v>1.828542807E7</v>
      </c>
      <c r="U15" s="108">
        <v>4.259589971E7</v>
      </c>
      <c r="V15" s="187"/>
      <c r="W15" s="62" t="s">
        <v>75</v>
      </c>
      <c r="X15" s="187" t="s">
        <v>68</v>
      </c>
      <c r="Y15" s="184" t="s">
        <v>175</v>
      </c>
      <c r="Z15" s="190" t="s">
        <v>85</v>
      </c>
      <c r="AA15" s="192">
        <v>77.0</v>
      </c>
      <c r="AB15" s="192" t="s">
        <v>68</v>
      </c>
      <c r="AC15" s="184" t="s">
        <v>68</v>
      </c>
      <c r="AD15" s="192" t="s">
        <v>68</v>
      </c>
      <c r="AE15" s="184" t="s">
        <v>178</v>
      </c>
      <c r="AF15" s="119">
        <v>525.0</v>
      </c>
      <c r="AG15" s="120">
        <v>192.0</v>
      </c>
      <c r="AH15" s="120">
        <v>400.0</v>
      </c>
      <c r="AI15" s="121"/>
      <c r="AJ15" s="121"/>
      <c r="AK15" s="121"/>
      <c r="AL15" s="121"/>
      <c r="AM15" s="121"/>
      <c r="AN15" s="120">
        <v>125.0</v>
      </c>
      <c r="AO15" s="124"/>
      <c r="AP15" s="193" t="s">
        <v>182</v>
      </c>
      <c r="AQ15" s="126"/>
      <c r="AR15" s="127"/>
    </row>
    <row r="16">
      <c r="A16" s="62">
        <v>14.0</v>
      </c>
      <c r="B16" s="62" t="s">
        <v>185</v>
      </c>
      <c r="C16" s="67">
        <v>2611606.0</v>
      </c>
      <c r="D16" s="72" t="s">
        <v>96</v>
      </c>
      <c r="E16" s="62" t="s">
        <v>104</v>
      </c>
      <c r="F16" s="62" t="s">
        <v>1</v>
      </c>
      <c r="G16" s="90">
        <f t="shared" si="1"/>
        <v>20954523.53</v>
      </c>
      <c r="H16" s="90">
        <f t="shared" si="2"/>
        <v>159982486.4</v>
      </c>
      <c r="I16" s="187" t="s">
        <v>68</v>
      </c>
      <c r="J16" s="187" t="s">
        <v>68</v>
      </c>
      <c r="K16" s="197" t="s">
        <v>68</v>
      </c>
      <c r="L16" s="135"/>
      <c r="M16" s="135"/>
      <c r="N16" s="135"/>
      <c r="O16" s="135">
        <v>0.0</v>
      </c>
      <c r="P16" s="137">
        <v>0.0</v>
      </c>
      <c r="Q16" s="138">
        <v>0.0</v>
      </c>
      <c r="R16" s="135">
        <v>2.095452353E7</v>
      </c>
      <c r="S16" s="140">
        <v>0.0</v>
      </c>
      <c r="T16" s="106">
        <v>0.0</v>
      </c>
      <c r="U16" s="90"/>
      <c r="V16" s="184">
        <v>1.5998248639E8</v>
      </c>
      <c r="W16" s="62" t="s">
        <v>4</v>
      </c>
      <c r="X16" s="184" t="s">
        <v>186</v>
      </c>
      <c r="Y16" s="187" t="s">
        <v>189</v>
      </c>
      <c r="Z16" s="190" t="s">
        <v>85</v>
      </c>
      <c r="AA16" s="197">
        <v>290.0</v>
      </c>
      <c r="AB16" s="197">
        <v>30.0</v>
      </c>
      <c r="AC16" s="187" t="s">
        <v>190</v>
      </c>
      <c r="AD16" s="197" t="s">
        <v>68</v>
      </c>
      <c r="AE16" s="187" t="s">
        <v>191</v>
      </c>
      <c r="AF16" s="143">
        <v>1791.0</v>
      </c>
      <c r="AG16" s="144" t="s">
        <v>68</v>
      </c>
      <c r="AH16" s="146"/>
      <c r="AI16" s="146"/>
      <c r="AJ16" s="144">
        <v>1469.0</v>
      </c>
      <c r="AK16" s="144">
        <v>336.0</v>
      </c>
      <c r="AL16" s="146"/>
      <c r="AM16" s="146"/>
      <c r="AN16" s="146"/>
      <c r="AO16" s="147"/>
      <c r="AP16" s="225" t="s">
        <v>195</v>
      </c>
      <c r="AQ16" s="126"/>
      <c r="AR16" s="127"/>
    </row>
    <row r="17">
      <c r="A17" s="62">
        <v>15.0</v>
      </c>
      <c r="B17" s="62" t="s">
        <v>197</v>
      </c>
      <c r="C17" s="67">
        <v>2609600.0</v>
      </c>
      <c r="D17" s="72" t="s">
        <v>412</v>
      </c>
      <c r="E17" s="62" t="s">
        <v>104</v>
      </c>
      <c r="F17" s="62" t="s">
        <v>1</v>
      </c>
      <c r="G17" s="90">
        <f t="shared" si="1"/>
        <v>2563587.28</v>
      </c>
      <c r="H17" s="90">
        <f t="shared" si="2"/>
        <v>62645434.42</v>
      </c>
      <c r="I17" s="184" t="s">
        <v>68</v>
      </c>
      <c r="J17" s="184" t="s">
        <v>68</v>
      </c>
      <c r="K17" s="184" t="s">
        <v>68</v>
      </c>
      <c r="L17" s="101"/>
      <c r="M17" s="101">
        <v>1238197.74</v>
      </c>
      <c r="N17" s="101"/>
      <c r="O17" s="101">
        <v>87191.8</v>
      </c>
      <c r="P17" s="102">
        <v>0.0</v>
      </c>
      <c r="Q17" s="104">
        <v>0.0</v>
      </c>
      <c r="R17" s="101">
        <v>1238197.74</v>
      </c>
      <c r="S17" s="105">
        <v>0.0</v>
      </c>
      <c r="T17" s="167">
        <v>0.0</v>
      </c>
      <c r="U17" s="90"/>
      <c r="V17" s="187">
        <v>6.264543442E7</v>
      </c>
      <c r="W17" s="62" t="s">
        <v>4</v>
      </c>
      <c r="X17" s="187" t="s">
        <v>121</v>
      </c>
      <c r="Y17" s="184" t="s">
        <v>199</v>
      </c>
      <c r="Z17" s="190" t="s">
        <v>85</v>
      </c>
      <c r="AA17" s="192">
        <v>150.0</v>
      </c>
      <c r="AB17" s="192" t="s">
        <v>200</v>
      </c>
      <c r="AC17" s="184" t="s">
        <v>68</v>
      </c>
      <c r="AD17" s="192" t="s">
        <v>68</v>
      </c>
      <c r="AE17" s="184" t="s">
        <v>201</v>
      </c>
      <c r="AF17" s="119">
        <v>780.0</v>
      </c>
      <c r="AG17" s="120" t="s">
        <v>68</v>
      </c>
      <c r="AH17" s="121"/>
      <c r="AI17" s="121"/>
      <c r="AJ17" s="120">
        <v>704.0</v>
      </c>
      <c r="AK17" s="120">
        <v>76.0</v>
      </c>
      <c r="AL17" s="121"/>
      <c r="AM17" s="121"/>
      <c r="AN17" s="121"/>
      <c r="AO17" s="124"/>
      <c r="AP17" s="193" t="s">
        <v>202</v>
      </c>
      <c r="AQ17" s="126"/>
      <c r="AR17" s="127"/>
    </row>
    <row r="18">
      <c r="A18" s="62">
        <v>16.0</v>
      </c>
      <c r="B18" s="62" t="s">
        <v>204</v>
      </c>
      <c r="C18" s="67">
        <v>2602902.0</v>
      </c>
      <c r="D18" s="72" t="s">
        <v>413</v>
      </c>
      <c r="E18" s="62" t="s">
        <v>104</v>
      </c>
      <c r="F18" s="62" t="s">
        <v>1</v>
      </c>
      <c r="G18" s="90">
        <f t="shared" si="1"/>
        <v>28823088.31</v>
      </c>
      <c r="H18" s="90">
        <f t="shared" si="2"/>
        <v>116687774.6</v>
      </c>
      <c r="I18" s="187" t="s">
        <v>68</v>
      </c>
      <c r="J18" s="187" t="s">
        <v>68</v>
      </c>
      <c r="K18" s="187" t="s">
        <v>68</v>
      </c>
      <c r="L18" s="135"/>
      <c r="M18" s="135">
        <v>1.358345646E7</v>
      </c>
      <c r="N18" s="135"/>
      <c r="O18" s="135">
        <v>28098.0</v>
      </c>
      <c r="P18" s="137">
        <v>400000.0</v>
      </c>
      <c r="Q18" s="138">
        <v>300000.0</v>
      </c>
      <c r="R18" s="135">
        <v>1.451153385E7</v>
      </c>
      <c r="S18" s="140">
        <v>242328.86</v>
      </c>
      <c r="T18" s="106">
        <v>0.0</v>
      </c>
      <c r="U18" s="90"/>
      <c r="V18" s="184">
        <v>1.1644544571E8</v>
      </c>
      <c r="W18" s="62" t="s">
        <v>4</v>
      </c>
      <c r="X18" s="184" t="s">
        <v>186</v>
      </c>
      <c r="Y18" s="226" t="s">
        <v>207</v>
      </c>
      <c r="Z18" s="190" t="s">
        <v>85</v>
      </c>
      <c r="AA18" s="197">
        <v>157.0</v>
      </c>
      <c r="AB18" s="197">
        <v>10.0</v>
      </c>
      <c r="AC18" s="187" t="s">
        <v>209</v>
      </c>
      <c r="AD18" s="197" t="s">
        <v>68</v>
      </c>
      <c r="AE18" s="187" t="s">
        <v>211</v>
      </c>
      <c r="AF18" s="143">
        <v>1205.0</v>
      </c>
      <c r="AG18" s="144" t="s">
        <v>68</v>
      </c>
      <c r="AH18" s="146"/>
      <c r="AI18" s="146"/>
      <c r="AJ18" s="146"/>
      <c r="AK18" s="146"/>
      <c r="AL18" s="146"/>
      <c r="AM18" s="146"/>
      <c r="AN18" s="146"/>
      <c r="AO18" s="147"/>
      <c r="AP18" s="225" t="s">
        <v>216</v>
      </c>
      <c r="AQ18" s="126"/>
      <c r="AR18" s="127"/>
    </row>
    <row r="19">
      <c r="A19" s="62">
        <v>17.0</v>
      </c>
      <c r="B19" s="62" t="s">
        <v>218</v>
      </c>
      <c r="C19" s="67">
        <v>2610707.0</v>
      </c>
      <c r="D19" s="72" t="s">
        <v>339</v>
      </c>
      <c r="E19" s="62" t="s">
        <v>104</v>
      </c>
      <c r="F19" s="62" t="s">
        <v>1</v>
      </c>
      <c r="G19" s="90">
        <f t="shared" si="1"/>
        <v>10262149.66</v>
      </c>
      <c r="H19" s="90">
        <f t="shared" si="2"/>
        <v>102353066.8</v>
      </c>
      <c r="I19" s="184" t="s">
        <v>68</v>
      </c>
      <c r="J19" s="184" t="s">
        <v>68</v>
      </c>
      <c r="K19" s="184" t="s">
        <v>68</v>
      </c>
      <c r="L19" s="101"/>
      <c r="M19" s="101"/>
      <c r="N19" s="101"/>
      <c r="O19" s="101">
        <v>0.0</v>
      </c>
      <c r="P19" s="102">
        <v>0.0</v>
      </c>
      <c r="Q19" s="104">
        <v>0.0</v>
      </c>
      <c r="R19" s="101">
        <v>1.026214966E7</v>
      </c>
      <c r="S19" s="105">
        <v>242328.86</v>
      </c>
      <c r="T19" s="167">
        <v>0.0</v>
      </c>
      <c r="U19" s="90"/>
      <c r="V19" s="187">
        <v>1.0211073789E8</v>
      </c>
      <c r="W19" s="62" t="s">
        <v>4</v>
      </c>
      <c r="X19" s="187" t="s">
        <v>186</v>
      </c>
      <c r="Y19" s="229" t="s">
        <v>221</v>
      </c>
      <c r="Z19" s="190" t="s">
        <v>85</v>
      </c>
      <c r="AA19" s="192">
        <v>181.0</v>
      </c>
      <c r="AB19" s="192">
        <v>1.0</v>
      </c>
      <c r="AC19" s="184" t="s">
        <v>209</v>
      </c>
      <c r="AD19" s="192" t="s">
        <v>68</v>
      </c>
      <c r="AE19" s="184" t="s">
        <v>223</v>
      </c>
      <c r="AF19" s="119">
        <v>1254.0</v>
      </c>
      <c r="AG19" s="120" t="s">
        <v>68</v>
      </c>
      <c r="AH19" s="121"/>
      <c r="AI19" s="121"/>
      <c r="AJ19" s="121"/>
      <c r="AK19" s="121"/>
      <c r="AL19" s="121"/>
      <c r="AM19" s="121"/>
      <c r="AN19" s="121"/>
      <c r="AO19" s="124"/>
      <c r="AP19" s="230" t="s">
        <v>228</v>
      </c>
      <c r="AQ19" s="203"/>
      <c r="AR19" s="206"/>
    </row>
    <row r="20">
      <c r="A20" s="62">
        <v>18.0</v>
      </c>
      <c r="B20" s="62" t="s">
        <v>230</v>
      </c>
      <c r="C20" s="67">
        <v>2611606.0</v>
      </c>
      <c r="D20" s="72" t="s">
        <v>96</v>
      </c>
      <c r="E20" s="62" t="s">
        <v>104</v>
      </c>
      <c r="F20" s="62" t="s">
        <v>1</v>
      </c>
      <c r="G20" s="90">
        <f t="shared" si="1"/>
        <v>17064785.08</v>
      </c>
      <c r="H20" s="90">
        <f t="shared" si="2"/>
        <v>108732394.1</v>
      </c>
      <c r="I20" s="187" t="s">
        <v>68</v>
      </c>
      <c r="J20" s="187" t="s">
        <v>68</v>
      </c>
      <c r="K20" s="197" t="s">
        <v>68</v>
      </c>
      <c r="L20" s="135"/>
      <c r="M20" s="135">
        <v>8378313.62</v>
      </c>
      <c r="N20" s="135"/>
      <c r="O20" s="135">
        <v>10927.0</v>
      </c>
      <c r="P20" s="137">
        <v>0.0</v>
      </c>
      <c r="Q20" s="138">
        <v>0.0</v>
      </c>
      <c r="R20" s="135">
        <v>8675544.46</v>
      </c>
      <c r="S20" s="140">
        <v>830816.1100000001</v>
      </c>
      <c r="T20" s="106">
        <v>584721.17</v>
      </c>
      <c r="U20" s="90"/>
      <c r="V20" s="184">
        <v>1.0731685679E8</v>
      </c>
      <c r="W20" s="62" t="s">
        <v>4</v>
      </c>
      <c r="X20" s="184" t="s">
        <v>186</v>
      </c>
      <c r="Y20" s="187" t="s">
        <v>232</v>
      </c>
      <c r="Z20" s="190" t="s">
        <v>85</v>
      </c>
      <c r="AA20" s="197">
        <v>150.0</v>
      </c>
      <c r="AB20" s="197" t="s">
        <v>68</v>
      </c>
      <c r="AC20" s="187" t="s">
        <v>68</v>
      </c>
      <c r="AD20" s="197" t="s">
        <v>68</v>
      </c>
      <c r="AE20" s="187" t="s">
        <v>234</v>
      </c>
      <c r="AF20" s="143">
        <v>1546.0</v>
      </c>
      <c r="AG20" s="144" t="s">
        <v>68</v>
      </c>
      <c r="AH20" s="146"/>
      <c r="AI20" s="146"/>
      <c r="AJ20" s="144">
        <v>1274.0</v>
      </c>
      <c r="AK20" s="144">
        <v>272.0</v>
      </c>
      <c r="AL20" s="146"/>
      <c r="AM20" s="146"/>
      <c r="AN20" s="146"/>
      <c r="AO20" s="147"/>
      <c r="AP20" s="225" t="s">
        <v>239</v>
      </c>
      <c r="AQ20" s="126"/>
      <c r="AR20" s="127"/>
    </row>
    <row r="21">
      <c r="A21" s="62">
        <v>19.0</v>
      </c>
      <c r="B21" s="62" t="s">
        <v>242</v>
      </c>
      <c r="C21" s="67">
        <v>2606200.0</v>
      </c>
      <c r="D21" s="72" t="s">
        <v>414</v>
      </c>
      <c r="E21" s="62" t="s">
        <v>415</v>
      </c>
      <c r="F21" s="62" t="s">
        <v>1</v>
      </c>
      <c r="G21" s="90">
        <f t="shared" si="1"/>
        <v>15459405.22</v>
      </c>
      <c r="H21" s="90">
        <f t="shared" si="2"/>
        <v>96308641.04</v>
      </c>
      <c r="I21" s="184">
        <v>2828257.2</v>
      </c>
      <c r="J21" s="184">
        <v>1.26795196E7</v>
      </c>
      <c r="K21" s="186">
        <f>(J21-I21)/I21</f>
        <v>3.483156482</v>
      </c>
      <c r="L21" s="101">
        <v>3889951.58</v>
      </c>
      <c r="M21" s="101">
        <v>4994278.12</v>
      </c>
      <c r="N21" s="101">
        <v>5521251.51</v>
      </c>
      <c r="O21" s="101">
        <v>173924.01</v>
      </c>
      <c r="P21" s="102">
        <v>880000.0</v>
      </c>
      <c r="Q21" s="104">
        <v>0.0</v>
      </c>
      <c r="R21" s="101"/>
      <c r="S21" s="105">
        <v>1.4840877649999999E7</v>
      </c>
      <c r="T21" s="106">
        <v>2.054026143E7</v>
      </c>
      <c r="U21" s="108">
        <v>6.092750196E7</v>
      </c>
      <c r="V21" s="187"/>
      <c r="W21" s="62" t="s">
        <v>75</v>
      </c>
      <c r="X21" s="187" t="s">
        <v>68</v>
      </c>
      <c r="Y21" s="184" t="s">
        <v>243</v>
      </c>
      <c r="Z21" s="190" t="s">
        <v>108</v>
      </c>
      <c r="AA21" s="192">
        <v>69.0</v>
      </c>
      <c r="AB21" s="192" t="s">
        <v>68</v>
      </c>
      <c r="AC21" s="184" t="s">
        <v>68</v>
      </c>
      <c r="AD21" s="192" t="s">
        <v>68</v>
      </c>
      <c r="AE21" s="184" t="s">
        <v>245</v>
      </c>
      <c r="AF21" s="119">
        <v>655.0</v>
      </c>
      <c r="AG21" s="120">
        <v>68.0</v>
      </c>
      <c r="AH21" s="120">
        <v>423.0</v>
      </c>
      <c r="AI21" s="121"/>
      <c r="AJ21" s="121"/>
      <c r="AK21" s="121"/>
      <c r="AL21" s="121"/>
      <c r="AM21" s="120">
        <v>105.0</v>
      </c>
      <c r="AN21" s="120">
        <v>127.0</v>
      </c>
      <c r="AO21" s="124"/>
      <c r="AP21" s="193" t="s">
        <v>256</v>
      </c>
      <c r="AQ21" s="126"/>
      <c r="AR21" s="127"/>
    </row>
    <row r="22">
      <c r="A22" s="62">
        <v>20.0</v>
      </c>
      <c r="B22" s="62" t="s">
        <v>257</v>
      </c>
      <c r="C22" s="67">
        <v>2609501.0</v>
      </c>
      <c r="D22" s="72" t="s">
        <v>416</v>
      </c>
      <c r="E22" s="62" t="s">
        <v>415</v>
      </c>
      <c r="F22" s="62" t="s">
        <v>1</v>
      </c>
      <c r="G22" s="90">
        <f t="shared" si="1"/>
        <v>5197644.95</v>
      </c>
      <c r="H22" s="90">
        <f t="shared" si="2"/>
        <v>32797212.6</v>
      </c>
      <c r="I22" s="187" t="s">
        <v>68</v>
      </c>
      <c r="J22" s="187" t="s">
        <v>68</v>
      </c>
      <c r="K22" s="187" t="s">
        <v>68</v>
      </c>
      <c r="L22" s="135">
        <v>1516227.45</v>
      </c>
      <c r="M22" s="135">
        <v>876821.53</v>
      </c>
      <c r="N22" s="135"/>
      <c r="O22" s="135">
        <v>1534.2</v>
      </c>
      <c r="P22" s="137">
        <v>133050.0</v>
      </c>
      <c r="Q22" s="138">
        <v>0.0</v>
      </c>
      <c r="R22" s="135">
        <v>2670011.77</v>
      </c>
      <c r="S22" s="140">
        <v>828680.19</v>
      </c>
      <c r="T22" s="106">
        <v>551553.04</v>
      </c>
      <c r="U22" s="90"/>
      <c r="V22" s="184">
        <v>3.141697937E7</v>
      </c>
      <c r="W22" s="62" t="s">
        <v>4</v>
      </c>
      <c r="X22" s="184" t="s">
        <v>258</v>
      </c>
      <c r="Y22" s="187" t="s">
        <v>259</v>
      </c>
      <c r="Z22" s="190" t="s">
        <v>99</v>
      </c>
      <c r="AA22" s="197">
        <v>57.0</v>
      </c>
      <c r="AB22" s="197" t="s">
        <v>68</v>
      </c>
      <c r="AC22" s="187" t="s">
        <v>68</v>
      </c>
      <c r="AD22" s="197" t="s">
        <v>68</v>
      </c>
      <c r="AE22" s="187" t="s">
        <v>260</v>
      </c>
      <c r="AF22" s="143">
        <v>473.0</v>
      </c>
      <c r="AG22" s="144" t="s">
        <v>68</v>
      </c>
      <c r="AH22" s="146"/>
      <c r="AI22" s="146"/>
      <c r="AJ22" s="144">
        <v>380.0</v>
      </c>
      <c r="AK22" s="144">
        <v>93.0</v>
      </c>
      <c r="AL22" s="146"/>
      <c r="AM22" s="146"/>
      <c r="AN22" s="146"/>
      <c r="AO22" s="147"/>
      <c r="AP22" s="225" t="s">
        <v>262</v>
      </c>
      <c r="AQ22" s="126"/>
      <c r="AR22" s="127"/>
    </row>
    <row r="23">
      <c r="A23" s="62">
        <v>21.0</v>
      </c>
      <c r="B23" s="62" t="s">
        <v>264</v>
      </c>
      <c r="C23" s="67">
        <v>2616407.0</v>
      </c>
      <c r="D23" s="72" t="s">
        <v>417</v>
      </c>
      <c r="E23" s="62" t="s">
        <v>418</v>
      </c>
      <c r="F23" s="62" t="s">
        <v>1</v>
      </c>
      <c r="G23" s="90">
        <f t="shared" si="1"/>
        <v>3478683.05</v>
      </c>
      <c r="H23" s="90">
        <f t="shared" si="2"/>
        <v>59827977.19</v>
      </c>
      <c r="I23" s="184" t="s">
        <v>68</v>
      </c>
      <c r="J23" s="184" t="s">
        <v>68</v>
      </c>
      <c r="K23" s="184" t="s">
        <v>68</v>
      </c>
      <c r="L23" s="101"/>
      <c r="M23" s="101">
        <v>193946.0</v>
      </c>
      <c r="N23" s="101"/>
      <c r="O23" s="101">
        <v>157218.0</v>
      </c>
      <c r="P23" s="102">
        <v>473050.0</v>
      </c>
      <c r="Q23" s="104">
        <v>900000.0</v>
      </c>
      <c r="R23" s="101">
        <v>1754469.05</v>
      </c>
      <c r="S23" s="105">
        <v>441071.62</v>
      </c>
      <c r="T23" s="167">
        <v>0.0</v>
      </c>
      <c r="U23" s="90"/>
      <c r="V23" s="187">
        <v>5.938690557E7</v>
      </c>
      <c r="W23" s="62" t="s">
        <v>4</v>
      </c>
      <c r="X23" s="187" t="s">
        <v>121</v>
      </c>
      <c r="Y23" s="184" t="s">
        <v>265</v>
      </c>
      <c r="Z23" s="190" t="s">
        <v>85</v>
      </c>
      <c r="AA23" s="192">
        <v>129.0</v>
      </c>
      <c r="AB23" s="192" t="s">
        <v>68</v>
      </c>
      <c r="AC23" s="184" t="s">
        <v>68</v>
      </c>
      <c r="AD23" s="192" t="s">
        <v>68</v>
      </c>
      <c r="AE23" s="184" t="s">
        <v>266</v>
      </c>
      <c r="AF23" s="119">
        <v>965.0</v>
      </c>
      <c r="AG23" s="120" t="s">
        <v>68</v>
      </c>
      <c r="AH23" s="121"/>
      <c r="AI23" s="121"/>
      <c r="AJ23" s="121"/>
      <c r="AK23" s="121"/>
      <c r="AL23" s="121"/>
      <c r="AM23" s="121"/>
      <c r="AN23" s="121"/>
      <c r="AO23" s="124"/>
      <c r="AP23" s="193" t="s">
        <v>270</v>
      </c>
      <c r="AQ23" s="126"/>
      <c r="AR23" s="127"/>
    </row>
    <row r="24">
      <c r="A24" s="62">
        <v>22.0</v>
      </c>
      <c r="B24" s="62" t="s">
        <v>271</v>
      </c>
      <c r="C24" s="67">
        <v>2610004.0</v>
      </c>
      <c r="D24" s="72" t="s">
        <v>419</v>
      </c>
      <c r="E24" s="62" t="s">
        <v>418</v>
      </c>
      <c r="F24" s="62" t="s">
        <v>1</v>
      </c>
      <c r="G24" s="90">
        <f t="shared" si="1"/>
        <v>13153470.18</v>
      </c>
      <c r="H24" s="90">
        <f t="shared" si="2"/>
        <v>66834592.78</v>
      </c>
      <c r="I24" s="187" t="s">
        <v>68</v>
      </c>
      <c r="J24" s="187" t="s">
        <v>68</v>
      </c>
      <c r="K24" s="187" t="s">
        <v>68</v>
      </c>
      <c r="L24" s="135">
        <v>3752080.02</v>
      </c>
      <c r="M24" s="135">
        <v>2579736.5</v>
      </c>
      <c r="N24" s="135"/>
      <c r="O24" s="135">
        <v>1431.92</v>
      </c>
      <c r="P24" s="137">
        <v>80000.0</v>
      </c>
      <c r="Q24" s="138">
        <v>0.0</v>
      </c>
      <c r="R24" s="135">
        <v>6740221.74</v>
      </c>
      <c r="S24" s="140">
        <v>1966998.23</v>
      </c>
      <c r="T24" s="106">
        <v>1653070.89</v>
      </c>
      <c r="U24" s="90"/>
      <c r="V24" s="184">
        <v>6.321452366E7</v>
      </c>
      <c r="W24" s="62" t="s">
        <v>4</v>
      </c>
      <c r="X24" s="184" t="s">
        <v>258</v>
      </c>
      <c r="Y24" s="187" t="s">
        <v>273</v>
      </c>
      <c r="Z24" s="190" t="s">
        <v>132</v>
      </c>
      <c r="AA24" s="197">
        <v>184.0</v>
      </c>
      <c r="AB24" s="197" t="s">
        <v>68</v>
      </c>
      <c r="AC24" s="187" t="s">
        <v>68</v>
      </c>
      <c r="AD24" s="197" t="s">
        <v>68</v>
      </c>
      <c r="AE24" s="187" t="s">
        <v>275</v>
      </c>
      <c r="AF24" s="143">
        <v>1400.0</v>
      </c>
      <c r="AG24" s="144" t="s">
        <v>68</v>
      </c>
      <c r="AH24" s="144">
        <v>232.0</v>
      </c>
      <c r="AI24" s="146"/>
      <c r="AJ24" s="144">
        <v>927.0</v>
      </c>
      <c r="AK24" s="146"/>
      <c r="AL24" s="146"/>
      <c r="AM24" s="144">
        <v>241.0</v>
      </c>
      <c r="AN24" s="146"/>
      <c r="AO24" s="147"/>
      <c r="AP24" s="225" t="s">
        <v>278</v>
      </c>
      <c r="AQ24" s="126"/>
      <c r="AR24" s="127"/>
    </row>
    <row r="25">
      <c r="A25" s="62">
        <v>23.0</v>
      </c>
      <c r="B25" s="62" t="s">
        <v>279</v>
      </c>
      <c r="C25" s="67">
        <v>2604106.0</v>
      </c>
      <c r="D25" s="72" t="s">
        <v>315</v>
      </c>
      <c r="E25" s="62" t="s">
        <v>317</v>
      </c>
      <c r="F25" s="62" t="s">
        <v>1</v>
      </c>
      <c r="G25" s="90">
        <f t="shared" si="1"/>
        <v>40204994.76</v>
      </c>
      <c r="H25" s="90">
        <f t="shared" si="2"/>
        <v>243916254.3</v>
      </c>
      <c r="I25" s="184" t="s">
        <v>68</v>
      </c>
      <c r="J25" s="184" t="s">
        <v>68</v>
      </c>
      <c r="K25" s="184" t="s">
        <v>68</v>
      </c>
      <c r="L25" s="101"/>
      <c r="M25" s="101">
        <v>1.864974738E7</v>
      </c>
      <c r="N25" s="101"/>
      <c r="O25" s="101">
        <v>17500.0</v>
      </c>
      <c r="P25" s="102">
        <v>280000.0</v>
      </c>
      <c r="Q25" s="104">
        <v>1314000.0</v>
      </c>
      <c r="R25" s="101">
        <v>1.994374738E7</v>
      </c>
      <c r="S25" s="105">
        <v>539992.5900000001</v>
      </c>
      <c r="T25" s="167">
        <v>0.0</v>
      </c>
      <c r="U25" s="90"/>
      <c r="V25" s="187">
        <v>2.4337626168E8</v>
      </c>
      <c r="W25" s="62" t="s">
        <v>4</v>
      </c>
      <c r="X25" s="187" t="s">
        <v>121</v>
      </c>
      <c r="Y25" s="184" t="s">
        <v>282</v>
      </c>
      <c r="Z25" s="190" t="s">
        <v>153</v>
      </c>
      <c r="AA25" s="192">
        <v>207.0</v>
      </c>
      <c r="AB25" s="192" t="s">
        <v>68</v>
      </c>
      <c r="AC25" s="184" t="s">
        <v>68</v>
      </c>
      <c r="AD25" s="192" t="s">
        <v>68</v>
      </c>
      <c r="AE25" s="184" t="s">
        <v>283</v>
      </c>
      <c r="AF25" s="119">
        <v>2710.0</v>
      </c>
      <c r="AG25" s="120" t="s">
        <v>68</v>
      </c>
      <c r="AH25" s="121"/>
      <c r="AI25" s="121"/>
      <c r="AJ25" s="120">
        <v>2501.0</v>
      </c>
      <c r="AK25" s="120">
        <v>209.0</v>
      </c>
      <c r="AL25" s="121"/>
      <c r="AM25" s="121"/>
      <c r="AN25" s="121"/>
      <c r="AO25" s="124"/>
      <c r="AP25" s="193" t="s">
        <v>285</v>
      </c>
      <c r="AQ25" s="126"/>
      <c r="AR25" s="127"/>
    </row>
    <row r="26">
      <c r="A26" s="62">
        <v>24.0</v>
      </c>
      <c r="B26" s="62" t="s">
        <v>287</v>
      </c>
      <c r="C26" s="67">
        <v>2604106.0</v>
      </c>
      <c r="D26" s="72" t="s">
        <v>315</v>
      </c>
      <c r="E26" s="62" t="s">
        <v>317</v>
      </c>
      <c r="F26" s="62" t="s">
        <v>1</v>
      </c>
      <c r="G26" s="90">
        <f t="shared" si="1"/>
        <v>6011242.51</v>
      </c>
      <c r="H26" s="90">
        <f t="shared" si="2"/>
        <v>17239193.26</v>
      </c>
      <c r="I26" s="187" t="s">
        <v>68</v>
      </c>
      <c r="J26" s="187" t="s">
        <v>68</v>
      </c>
      <c r="K26" s="187" t="s">
        <v>68</v>
      </c>
      <c r="L26" s="135">
        <v>1088288.88</v>
      </c>
      <c r="M26" s="135"/>
      <c r="N26" s="135"/>
      <c r="O26" s="135">
        <v>0.0</v>
      </c>
      <c r="P26" s="137">
        <v>0.0</v>
      </c>
      <c r="Q26" s="138">
        <v>0.0</v>
      </c>
      <c r="R26" s="135">
        <v>4922953.63</v>
      </c>
      <c r="S26" s="140">
        <v>13136.94</v>
      </c>
      <c r="T26" s="106">
        <v>0.0</v>
      </c>
      <c r="U26" s="90"/>
      <c r="V26" s="184">
        <v>1.722605632E7</v>
      </c>
      <c r="W26" s="62" t="s">
        <v>4</v>
      </c>
      <c r="X26" s="184" t="s">
        <v>289</v>
      </c>
      <c r="Y26" s="187" t="s">
        <v>290</v>
      </c>
      <c r="Z26" s="190" t="s">
        <v>153</v>
      </c>
      <c r="AA26" s="197">
        <v>60.0</v>
      </c>
      <c r="AB26" s="197" t="s">
        <v>68</v>
      </c>
      <c r="AC26" s="187" t="s">
        <v>68</v>
      </c>
      <c r="AD26" s="197" t="s">
        <v>68</v>
      </c>
      <c r="AE26" s="187" t="s">
        <v>292</v>
      </c>
      <c r="AF26" s="143">
        <v>217.0</v>
      </c>
      <c r="AG26" s="144" t="s">
        <v>68</v>
      </c>
      <c r="AH26" s="146"/>
      <c r="AI26" s="146"/>
      <c r="AJ26" s="144">
        <v>217.0</v>
      </c>
      <c r="AK26" s="146"/>
      <c r="AL26" s="146"/>
      <c r="AM26" s="146"/>
      <c r="AN26" s="146"/>
      <c r="AO26" s="147"/>
      <c r="AP26" s="225" t="s">
        <v>293</v>
      </c>
      <c r="AQ26" s="126"/>
      <c r="AR26" s="127"/>
    </row>
    <row r="27">
      <c r="A27" s="62">
        <v>25.0</v>
      </c>
      <c r="B27" s="62" t="s">
        <v>295</v>
      </c>
      <c r="C27" s="67">
        <v>2606002.0</v>
      </c>
      <c r="D27" s="72" t="s">
        <v>420</v>
      </c>
      <c r="E27" s="62" t="s">
        <v>421</v>
      </c>
      <c r="F27" s="62" t="s">
        <v>1</v>
      </c>
      <c r="G27" s="90">
        <f t="shared" si="1"/>
        <v>22755249.01</v>
      </c>
      <c r="H27" s="90">
        <f t="shared" si="2"/>
        <v>146262222.4</v>
      </c>
      <c r="I27" s="184">
        <v>8807953.09</v>
      </c>
      <c r="J27" s="184">
        <v>1.391788995E7</v>
      </c>
      <c r="K27" s="186">
        <f t="shared" ref="K27:K28" si="5">(J27-I27)/I27</f>
        <v>0.5801503264</v>
      </c>
      <c r="L27" s="101">
        <v>7640896.53</v>
      </c>
      <c r="M27" s="101">
        <v>1399000.0</v>
      </c>
      <c r="N27" s="101">
        <v>1.101964741E7</v>
      </c>
      <c r="O27" s="101">
        <v>255661.07</v>
      </c>
      <c r="P27" s="102">
        <v>940044.0</v>
      </c>
      <c r="Q27" s="104">
        <v>1500000.0</v>
      </c>
      <c r="R27" s="101"/>
      <c r="S27" s="105">
        <v>2.188403123E7</v>
      </c>
      <c r="T27" s="167">
        <v>2.856724073E7</v>
      </c>
      <c r="U27" s="108">
        <v>9.581095043E7</v>
      </c>
      <c r="V27" s="187"/>
      <c r="W27" s="62" t="s">
        <v>75</v>
      </c>
      <c r="X27" s="187" t="s">
        <v>68</v>
      </c>
      <c r="Y27" s="184" t="s">
        <v>297</v>
      </c>
      <c r="Z27" s="190" t="s">
        <v>183</v>
      </c>
      <c r="AA27" s="192">
        <v>156.0</v>
      </c>
      <c r="AB27" s="192">
        <v>5.0</v>
      </c>
      <c r="AC27" s="184" t="s">
        <v>298</v>
      </c>
      <c r="AD27" s="192" t="s">
        <v>68</v>
      </c>
      <c r="AE27" s="184" t="s">
        <v>299</v>
      </c>
      <c r="AF27" s="119">
        <v>596.0</v>
      </c>
      <c r="AG27" s="120">
        <v>386.0</v>
      </c>
      <c r="AH27" s="120">
        <v>63.0</v>
      </c>
      <c r="AI27" s="121"/>
      <c r="AJ27" s="121"/>
      <c r="AK27" s="121"/>
      <c r="AL27" s="121"/>
      <c r="AM27" s="120">
        <v>164.0</v>
      </c>
      <c r="AN27" s="120">
        <v>369.0</v>
      </c>
      <c r="AO27" s="124"/>
      <c r="AP27" s="193" t="s">
        <v>305</v>
      </c>
      <c r="AQ27" s="126"/>
      <c r="AR27" s="127"/>
    </row>
    <row r="28">
      <c r="A28" s="62">
        <v>26.0</v>
      </c>
      <c r="B28" s="62" t="s">
        <v>306</v>
      </c>
      <c r="C28" s="67">
        <v>2612208.0</v>
      </c>
      <c r="D28" s="72" t="s">
        <v>422</v>
      </c>
      <c r="E28" s="62" t="s">
        <v>423</v>
      </c>
      <c r="F28" s="62" t="s">
        <v>1</v>
      </c>
      <c r="G28" s="90">
        <f t="shared" si="1"/>
        <v>21034626</v>
      </c>
      <c r="H28" s="90">
        <f t="shared" si="2"/>
        <v>109782330.8</v>
      </c>
      <c r="I28" s="187">
        <v>7496505.37</v>
      </c>
      <c r="J28" s="187">
        <v>1.551960895E7</v>
      </c>
      <c r="K28" s="194">
        <f t="shared" si="5"/>
        <v>1.070245826</v>
      </c>
      <c r="L28" s="135">
        <v>4899848.02</v>
      </c>
      <c r="M28" s="135">
        <v>3930458.08</v>
      </c>
      <c r="N28" s="135">
        <v>1.102202672E7</v>
      </c>
      <c r="O28" s="135">
        <v>107293.18</v>
      </c>
      <c r="P28" s="137">
        <v>1075000.0</v>
      </c>
      <c r="Q28" s="138">
        <v>0.0</v>
      </c>
      <c r="R28" s="135"/>
      <c r="S28" s="140">
        <v>2507751.9899999998</v>
      </c>
      <c r="T28" s="106">
        <v>1.656409176E7</v>
      </c>
      <c r="U28" s="108">
        <v>9.071048700999999E7</v>
      </c>
      <c r="V28" s="184"/>
      <c r="W28" s="62" t="s">
        <v>75</v>
      </c>
      <c r="X28" s="184" t="s">
        <v>68</v>
      </c>
      <c r="Y28" s="187" t="s">
        <v>308</v>
      </c>
      <c r="Z28" s="190" t="s">
        <v>213</v>
      </c>
      <c r="AA28" s="197">
        <v>159.0</v>
      </c>
      <c r="AB28" s="197">
        <v>20.0</v>
      </c>
      <c r="AC28" s="187" t="s">
        <v>310</v>
      </c>
      <c r="AD28" s="197" t="s">
        <v>68</v>
      </c>
      <c r="AE28" s="187" t="s">
        <v>311</v>
      </c>
      <c r="AF28" s="143">
        <v>998.0</v>
      </c>
      <c r="AG28" s="144">
        <v>472.0</v>
      </c>
      <c r="AH28" s="144">
        <v>572.0</v>
      </c>
      <c r="AI28" s="146"/>
      <c r="AJ28" s="146"/>
      <c r="AK28" s="146"/>
      <c r="AL28" s="146"/>
      <c r="AM28" s="144">
        <v>76.0</v>
      </c>
      <c r="AN28" s="144">
        <v>350.0</v>
      </c>
      <c r="AO28" s="147"/>
      <c r="AP28" s="225" t="s">
        <v>312</v>
      </c>
      <c r="AQ28" s="126"/>
      <c r="AR28" s="127"/>
    </row>
    <row r="29">
      <c r="A29" s="62">
        <v>27.0</v>
      </c>
      <c r="B29" s="62" t="s">
        <v>314</v>
      </c>
      <c r="C29" s="67">
        <v>2601201.0</v>
      </c>
      <c r="D29" s="72" t="s">
        <v>424</v>
      </c>
      <c r="E29" s="62" t="s">
        <v>425</v>
      </c>
      <c r="F29" s="62" t="s">
        <v>1</v>
      </c>
      <c r="G29" s="90">
        <f t="shared" si="1"/>
        <v>12419593.82</v>
      </c>
      <c r="H29" s="90">
        <f t="shared" si="2"/>
        <v>70960771.96</v>
      </c>
      <c r="I29" s="231" t="s">
        <v>68</v>
      </c>
      <c r="J29" s="231" t="s">
        <v>68</v>
      </c>
      <c r="K29" s="184" t="s">
        <v>68</v>
      </c>
      <c r="L29" s="101">
        <v>1777436.47</v>
      </c>
      <c r="M29" s="101">
        <v>4461567.24</v>
      </c>
      <c r="N29" s="101"/>
      <c r="O29" s="101">
        <v>411586.4</v>
      </c>
      <c r="P29" s="102">
        <v>0.0</v>
      </c>
      <c r="Q29" s="104">
        <v>0.0</v>
      </c>
      <c r="R29" s="101">
        <v>5769003.71</v>
      </c>
      <c r="S29" s="105">
        <v>863915.76</v>
      </c>
      <c r="T29" s="167">
        <v>448202.51</v>
      </c>
      <c r="U29" s="90"/>
      <c r="V29" s="187">
        <v>6.964865369E7</v>
      </c>
      <c r="W29" s="62" t="s">
        <v>4</v>
      </c>
      <c r="X29" s="187" t="s">
        <v>121</v>
      </c>
      <c r="Y29" s="184" t="s">
        <v>318</v>
      </c>
      <c r="Z29" s="190" t="s">
        <v>120</v>
      </c>
      <c r="AA29" s="192">
        <v>165.0</v>
      </c>
      <c r="AB29" s="192">
        <v>4.0</v>
      </c>
      <c r="AC29" s="184" t="s">
        <v>319</v>
      </c>
      <c r="AD29" s="192" t="s">
        <v>68</v>
      </c>
      <c r="AE29" s="184" t="s">
        <v>320</v>
      </c>
      <c r="AF29" s="119">
        <v>1378.0</v>
      </c>
      <c r="AG29" s="120" t="s">
        <v>68</v>
      </c>
      <c r="AH29" s="120">
        <v>208.0</v>
      </c>
      <c r="AI29" s="121"/>
      <c r="AJ29" s="120">
        <v>1080.0</v>
      </c>
      <c r="AK29" s="121"/>
      <c r="AL29" s="121"/>
      <c r="AM29" s="120">
        <v>90.0</v>
      </c>
      <c r="AN29" s="121"/>
      <c r="AO29" s="124"/>
      <c r="AP29" s="193" t="s">
        <v>324</v>
      </c>
      <c r="AQ29" s="126"/>
      <c r="AR29" s="127"/>
    </row>
    <row r="30">
      <c r="A30" s="62">
        <v>28.0</v>
      </c>
      <c r="B30" s="62" t="s">
        <v>326</v>
      </c>
      <c r="C30" s="67">
        <v>2609907.0</v>
      </c>
      <c r="D30" s="72" t="s">
        <v>426</v>
      </c>
      <c r="E30" s="62" t="s">
        <v>427</v>
      </c>
      <c r="F30" s="62" t="s">
        <v>1</v>
      </c>
      <c r="G30" s="90">
        <f t="shared" si="1"/>
        <v>12418734.06</v>
      </c>
      <c r="H30" s="90">
        <f t="shared" si="2"/>
        <v>216620.13</v>
      </c>
      <c r="I30" s="232" t="s">
        <v>68</v>
      </c>
      <c r="J30" s="232" t="s">
        <v>68</v>
      </c>
      <c r="K30" s="187" t="s">
        <v>68</v>
      </c>
      <c r="L30" s="135">
        <v>2848267.8</v>
      </c>
      <c r="M30" s="135"/>
      <c r="N30" s="135"/>
      <c r="O30" s="135">
        <v>0.0</v>
      </c>
      <c r="P30" s="137">
        <v>796400.0</v>
      </c>
      <c r="Q30" s="138">
        <v>1645368.0</v>
      </c>
      <c r="R30" s="135">
        <v>7128698.26</v>
      </c>
      <c r="S30" s="140">
        <v>216620.13</v>
      </c>
      <c r="T30" s="106">
        <v>0.0</v>
      </c>
      <c r="U30" s="90"/>
      <c r="V30" s="233" t="s">
        <v>335</v>
      </c>
      <c r="W30" s="62" t="s">
        <v>4</v>
      </c>
      <c r="X30" s="234" t="s">
        <v>428</v>
      </c>
      <c r="Y30" s="187" t="s">
        <v>329</v>
      </c>
      <c r="Z30" s="190" t="s">
        <v>224</v>
      </c>
      <c r="AA30" s="235">
        <v>126.0</v>
      </c>
      <c r="AB30" s="197">
        <v>10.0</v>
      </c>
      <c r="AC30" s="187" t="s">
        <v>298</v>
      </c>
      <c r="AD30" s="197" t="s">
        <v>68</v>
      </c>
      <c r="AE30" s="187" t="s">
        <v>332</v>
      </c>
      <c r="AF30" s="143">
        <v>794.0</v>
      </c>
      <c r="AG30" s="144" t="s">
        <v>68</v>
      </c>
      <c r="AH30" s="144">
        <v>157.0</v>
      </c>
      <c r="AI30" s="146"/>
      <c r="AJ30" s="144">
        <v>566.0</v>
      </c>
      <c r="AK30" s="144">
        <v>71.0</v>
      </c>
      <c r="AL30" s="146"/>
      <c r="AM30" s="146"/>
      <c r="AN30" s="146"/>
      <c r="AO30" s="147"/>
      <c r="AP30" s="225" t="s">
        <v>338</v>
      </c>
      <c r="AQ30" s="126"/>
      <c r="AR30" s="127"/>
    </row>
    <row r="31">
      <c r="A31" s="62">
        <v>29.0</v>
      </c>
      <c r="B31" s="62" t="s">
        <v>341</v>
      </c>
      <c r="C31" s="67">
        <v>2613909.0</v>
      </c>
      <c r="D31" s="72" t="s">
        <v>429</v>
      </c>
      <c r="E31" s="62" t="s">
        <v>430</v>
      </c>
      <c r="F31" s="62" t="s">
        <v>1</v>
      </c>
      <c r="G31" s="90">
        <f t="shared" si="1"/>
        <v>13357917.16</v>
      </c>
      <c r="H31" s="90">
        <f t="shared" si="2"/>
        <v>75964972.61</v>
      </c>
      <c r="I31" s="184">
        <v>5515170.69</v>
      </c>
      <c r="J31" s="184">
        <v>1.178376069E7</v>
      </c>
      <c r="K31" s="186">
        <f>(J31-I31)/I31</f>
        <v>1.136608521</v>
      </c>
      <c r="L31" s="101">
        <v>2976050.84</v>
      </c>
      <c r="M31" s="101">
        <v>4417190.29</v>
      </c>
      <c r="N31" s="101">
        <v>5574636.37</v>
      </c>
      <c r="O31" s="101">
        <v>24539.66</v>
      </c>
      <c r="P31" s="102">
        <v>365500.0</v>
      </c>
      <c r="Q31" s="104">
        <v>0.0</v>
      </c>
      <c r="R31" s="101"/>
      <c r="S31" s="105">
        <v>1408479.9000000001</v>
      </c>
      <c r="T31" s="167">
        <v>1.290528517E7</v>
      </c>
      <c r="U31" s="108">
        <v>6.165120754E7</v>
      </c>
      <c r="V31" s="187"/>
      <c r="W31" s="62" t="s">
        <v>75</v>
      </c>
      <c r="X31" s="187" t="s">
        <v>68</v>
      </c>
      <c r="Y31" s="184" t="s">
        <v>343</v>
      </c>
      <c r="Z31" s="190" t="s">
        <v>85</v>
      </c>
      <c r="AA31" s="192">
        <v>66.0</v>
      </c>
      <c r="AB31" s="236"/>
      <c r="AC31" s="237"/>
      <c r="AD31" s="236"/>
      <c r="AE31" s="184" t="s">
        <v>345</v>
      </c>
      <c r="AF31" s="119">
        <v>627.0</v>
      </c>
      <c r="AG31" s="120">
        <v>210.0</v>
      </c>
      <c r="AH31" s="120">
        <v>495.0</v>
      </c>
      <c r="AI31" s="121"/>
      <c r="AJ31" s="121"/>
      <c r="AK31" s="121"/>
      <c r="AL31" s="121"/>
      <c r="AM31" s="120">
        <v>48.0</v>
      </c>
      <c r="AN31" s="120">
        <v>84.0</v>
      </c>
      <c r="AO31" s="124"/>
      <c r="AP31" s="193" t="s">
        <v>351</v>
      </c>
      <c r="AQ31" s="126"/>
      <c r="AR31" s="127"/>
    </row>
    <row r="32">
      <c r="A32" s="62">
        <v>30.0</v>
      </c>
      <c r="B32" s="62" t="s">
        <v>354</v>
      </c>
      <c r="C32" s="67">
        <v>2613909.0</v>
      </c>
      <c r="D32" s="72" t="s">
        <v>429</v>
      </c>
      <c r="E32" s="62" t="s">
        <v>430</v>
      </c>
      <c r="F32" s="62" t="s">
        <v>1</v>
      </c>
      <c r="G32" s="90">
        <f t="shared" si="1"/>
        <v>8686722.92</v>
      </c>
      <c r="H32" s="90">
        <f t="shared" si="2"/>
        <v>67386638.14</v>
      </c>
      <c r="I32" s="187" t="s">
        <v>68</v>
      </c>
      <c r="J32" s="187" t="s">
        <v>68</v>
      </c>
      <c r="K32" s="187" t="s">
        <v>68</v>
      </c>
      <c r="L32" s="135"/>
      <c r="M32" s="135">
        <v>2602746.05</v>
      </c>
      <c r="N32" s="135"/>
      <c r="O32" s="135">
        <v>133356.4</v>
      </c>
      <c r="P32" s="137">
        <v>235000.0</v>
      </c>
      <c r="Q32" s="138">
        <v>0.0</v>
      </c>
      <c r="R32" s="135">
        <v>5715620.47</v>
      </c>
      <c r="S32" s="140">
        <v>227690.55</v>
      </c>
      <c r="T32" s="106">
        <v>0.0</v>
      </c>
      <c r="U32" s="90"/>
      <c r="V32" s="184">
        <v>6.715894759E7</v>
      </c>
      <c r="W32" s="62" t="s">
        <v>4</v>
      </c>
      <c r="X32" s="184" t="s">
        <v>121</v>
      </c>
      <c r="Y32" s="187" t="s">
        <v>356</v>
      </c>
      <c r="Z32" s="190" t="s">
        <v>249</v>
      </c>
      <c r="AA32" s="197">
        <f>182+40</f>
        <v>222</v>
      </c>
      <c r="AB32" s="197">
        <v>92.0</v>
      </c>
      <c r="AC32" s="187" t="s">
        <v>362</v>
      </c>
      <c r="AD32" s="197" t="s">
        <v>68</v>
      </c>
      <c r="AE32" s="187" t="s">
        <v>363</v>
      </c>
      <c r="AF32" s="143">
        <v>1154.0</v>
      </c>
      <c r="AG32" s="144" t="s">
        <v>68</v>
      </c>
      <c r="AH32" s="146"/>
      <c r="AI32" s="146"/>
      <c r="AJ32" s="144">
        <v>1071.0</v>
      </c>
      <c r="AK32" s="144">
        <v>83.0</v>
      </c>
      <c r="AL32" s="146"/>
      <c r="AM32" s="146"/>
      <c r="AN32" s="146"/>
      <c r="AO32" s="147"/>
      <c r="AP32" s="202" t="s">
        <v>366</v>
      </c>
      <c r="AQ32" s="203"/>
      <c r="AR32" s="206"/>
    </row>
    <row r="33">
      <c r="A33" s="62">
        <v>31.0</v>
      </c>
      <c r="B33" s="62" t="s">
        <v>368</v>
      </c>
      <c r="C33" s="67">
        <v>2600104.0</v>
      </c>
      <c r="D33" s="72" t="s">
        <v>431</v>
      </c>
      <c r="E33" s="62" t="s">
        <v>430</v>
      </c>
      <c r="F33" s="62" t="s">
        <v>1</v>
      </c>
      <c r="G33" s="90">
        <f t="shared" si="1"/>
        <v>11242742.7</v>
      </c>
      <c r="H33" s="90">
        <f t="shared" si="2"/>
        <v>42725697.26</v>
      </c>
      <c r="I33" s="184" t="s">
        <v>68</v>
      </c>
      <c r="J33" s="184" t="s">
        <v>68</v>
      </c>
      <c r="K33" s="184" t="s">
        <v>68</v>
      </c>
      <c r="L33" s="101"/>
      <c r="M33" s="101">
        <v>4989152.95</v>
      </c>
      <c r="N33" s="101"/>
      <c r="O33" s="101">
        <v>32222.8</v>
      </c>
      <c r="P33" s="102">
        <v>556000.0</v>
      </c>
      <c r="Q33" s="104">
        <v>0.0</v>
      </c>
      <c r="R33" s="101">
        <v>5665366.95</v>
      </c>
      <c r="S33" s="105">
        <v>781161.4</v>
      </c>
      <c r="T33" s="167">
        <v>408426.19</v>
      </c>
      <c r="U33" s="90"/>
      <c r="V33" s="187">
        <v>4.153610967E7</v>
      </c>
      <c r="W33" s="62" t="s">
        <v>4</v>
      </c>
      <c r="X33" s="187" t="s">
        <v>121</v>
      </c>
      <c r="Y33" s="184" t="s">
        <v>370</v>
      </c>
      <c r="Z33" s="190" t="s">
        <v>236</v>
      </c>
      <c r="AA33" s="192">
        <v>125.0</v>
      </c>
      <c r="AB33" s="192">
        <v>10.0</v>
      </c>
      <c r="AC33" s="184" t="s">
        <v>298</v>
      </c>
      <c r="AD33" s="192" t="s">
        <v>68</v>
      </c>
      <c r="AE33" s="184" t="s">
        <v>372</v>
      </c>
      <c r="AF33" s="119">
        <v>688.0</v>
      </c>
      <c r="AG33" s="120" t="s">
        <v>68</v>
      </c>
      <c r="AH33" s="121"/>
      <c r="AI33" s="121"/>
      <c r="AJ33" s="120">
        <v>620.0</v>
      </c>
      <c r="AK33" s="120">
        <v>68.0</v>
      </c>
      <c r="AL33" s="121"/>
      <c r="AM33" s="121"/>
      <c r="AN33" s="121"/>
      <c r="AO33" s="124"/>
      <c r="AP33" s="193" t="s">
        <v>376</v>
      </c>
      <c r="AQ33" s="126"/>
      <c r="AR33" s="127"/>
    </row>
    <row r="34">
      <c r="A34" s="62">
        <v>32.0</v>
      </c>
      <c r="B34" s="62" t="s">
        <v>378</v>
      </c>
      <c r="C34" s="67">
        <v>2611101.0</v>
      </c>
      <c r="D34" s="72" t="s">
        <v>432</v>
      </c>
      <c r="E34" s="62" t="s">
        <v>433</v>
      </c>
      <c r="F34" s="62" t="s">
        <v>1</v>
      </c>
      <c r="G34" s="90">
        <f t="shared" si="1"/>
        <v>15505129.23</v>
      </c>
      <c r="H34" s="90">
        <f t="shared" si="2"/>
        <v>100647207.6</v>
      </c>
      <c r="I34" s="187" t="s">
        <v>68</v>
      </c>
      <c r="J34" s="187" t="s">
        <v>68</v>
      </c>
      <c r="K34" s="187" t="s">
        <v>68</v>
      </c>
      <c r="L34" s="135"/>
      <c r="M34" s="135">
        <v>3990398.33</v>
      </c>
      <c r="N34" s="135"/>
      <c r="O34" s="135">
        <v>236667.14</v>
      </c>
      <c r="P34" s="137">
        <v>810000.0</v>
      </c>
      <c r="Q34" s="138">
        <v>4341958.0</v>
      </c>
      <c r="R34" s="135">
        <v>6126105.76</v>
      </c>
      <c r="S34" s="140">
        <v>227690.55</v>
      </c>
      <c r="T34" s="106">
        <v>0.0</v>
      </c>
      <c r="U34" s="90"/>
      <c r="V34" s="184">
        <v>1.0041951708E8</v>
      </c>
      <c r="W34" s="62" t="s">
        <v>4</v>
      </c>
      <c r="X34" s="234" t="s">
        <v>428</v>
      </c>
      <c r="Y34" s="187" t="s">
        <v>380</v>
      </c>
      <c r="Z34" s="190" t="s">
        <v>263</v>
      </c>
      <c r="AA34" s="197">
        <v>239.0</v>
      </c>
      <c r="AB34" s="197">
        <v>10.0</v>
      </c>
      <c r="AC34" s="187" t="s">
        <v>382</v>
      </c>
      <c r="AD34" s="197" t="s">
        <v>68</v>
      </c>
      <c r="AE34" s="187" t="s">
        <v>384</v>
      </c>
      <c r="AF34" s="143">
        <v>1464.0</v>
      </c>
      <c r="AG34" s="144" t="s">
        <v>68</v>
      </c>
      <c r="AH34" s="146"/>
      <c r="AI34" s="146"/>
      <c r="AJ34" s="144">
        <v>1284.0</v>
      </c>
      <c r="AK34" s="144">
        <v>180.0</v>
      </c>
      <c r="AL34" s="146"/>
      <c r="AM34" s="146"/>
      <c r="AN34" s="146"/>
      <c r="AO34" s="147"/>
      <c r="AP34" s="202" t="s">
        <v>387</v>
      </c>
      <c r="AQ34" s="203"/>
      <c r="AR34" s="206"/>
    </row>
    <row r="35">
      <c r="A35" s="62">
        <v>33.0</v>
      </c>
      <c r="B35" s="62" t="s">
        <v>389</v>
      </c>
      <c r="C35" s="67">
        <v>2604106.0</v>
      </c>
      <c r="D35" s="72" t="s">
        <v>315</v>
      </c>
      <c r="E35" s="62" t="s">
        <v>317</v>
      </c>
      <c r="F35" s="62" t="s">
        <v>1</v>
      </c>
      <c r="G35" s="90">
        <f t="shared" si="1"/>
        <v>22712164.58</v>
      </c>
      <c r="H35" s="90">
        <f t="shared" si="2"/>
        <v>46626648.25</v>
      </c>
      <c r="I35" s="184" t="s">
        <v>68</v>
      </c>
      <c r="J35" s="184" t="s">
        <v>68</v>
      </c>
      <c r="K35" s="184" t="s">
        <v>68</v>
      </c>
      <c r="L35" s="101"/>
      <c r="M35" s="101">
        <v>1.495642105E7</v>
      </c>
      <c r="N35" s="101"/>
      <c r="O35" s="101">
        <v>1910085.35</v>
      </c>
      <c r="P35" s="102">
        <v>0.0</v>
      </c>
      <c r="Q35" s="104">
        <v>0.0</v>
      </c>
      <c r="R35" s="101">
        <v>5845658.18</v>
      </c>
      <c r="S35" s="105">
        <v>7917.49</v>
      </c>
      <c r="T35" s="167">
        <v>1906477.69</v>
      </c>
      <c r="U35" s="90"/>
      <c r="V35" s="187">
        <v>4.471225307E7</v>
      </c>
      <c r="W35" s="62" t="s">
        <v>4</v>
      </c>
      <c r="X35" s="187" t="s">
        <v>289</v>
      </c>
      <c r="Y35" s="184" t="s">
        <v>391</v>
      </c>
      <c r="Z35" s="190" t="s">
        <v>153</v>
      </c>
      <c r="AA35" s="192">
        <v>164.0</v>
      </c>
      <c r="AB35" s="192" t="s">
        <v>393</v>
      </c>
      <c r="AC35" s="237"/>
      <c r="AD35" s="192" t="s">
        <v>68</v>
      </c>
      <c r="AE35" s="184" t="s">
        <v>394</v>
      </c>
      <c r="AF35" s="119">
        <v>1031.0</v>
      </c>
      <c r="AG35" s="120" t="s">
        <v>68</v>
      </c>
      <c r="AH35" s="121"/>
      <c r="AI35" s="121"/>
      <c r="AJ35" s="121"/>
      <c r="AK35" s="121"/>
      <c r="AL35" s="121"/>
      <c r="AM35" s="121"/>
      <c r="AN35" s="121"/>
      <c r="AO35" s="124"/>
      <c r="AP35" s="193" t="s">
        <v>395</v>
      </c>
      <c r="AQ35" s="126"/>
      <c r="AR35" s="127"/>
    </row>
    <row r="36">
      <c r="A36" s="62">
        <v>34.0</v>
      </c>
      <c r="B36" s="62" t="s">
        <v>434</v>
      </c>
      <c r="C36" s="67">
        <v>2611606.0</v>
      </c>
      <c r="D36" s="72" t="s">
        <v>96</v>
      </c>
      <c r="E36" s="62" t="s">
        <v>104</v>
      </c>
      <c r="F36" s="62" t="s">
        <v>435</v>
      </c>
      <c r="G36" s="90">
        <f t="shared" si="1"/>
        <v>22212966.85</v>
      </c>
      <c r="H36" s="90">
        <f t="shared" si="2"/>
        <v>15177.53</v>
      </c>
      <c r="I36" s="187" t="s">
        <v>68</v>
      </c>
      <c r="J36" s="187" t="s">
        <v>68</v>
      </c>
      <c r="K36" s="187" t="s">
        <v>402</v>
      </c>
      <c r="L36" s="135">
        <v>8710792.52</v>
      </c>
      <c r="M36" s="135">
        <v>2612837.92</v>
      </c>
      <c r="N36" s="135">
        <v>9700626.41</v>
      </c>
      <c r="O36" s="135">
        <v>38710.0</v>
      </c>
      <c r="P36" s="137">
        <v>950000.0</v>
      </c>
      <c r="Q36" s="138">
        <v>200000.0</v>
      </c>
      <c r="R36" s="135"/>
      <c r="S36" s="140">
        <v>15177.53</v>
      </c>
      <c r="T36" s="106">
        <v>0.0</v>
      </c>
      <c r="U36" s="90"/>
      <c r="V36" s="184"/>
      <c r="W36" s="126"/>
      <c r="X36" s="184" t="s">
        <v>68</v>
      </c>
      <c r="Y36" s="187" t="s">
        <v>398</v>
      </c>
      <c r="Z36" s="190" t="s">
        <v>85</v>
      </c>
      <c r="AA36" s="197">
        <v>62.0</v>
      </c>
      <c r="AB36" s="197">
        <v>7.0</v>
      </c>
      <c r="AC36" s="187" t="s">
        <v>399</v>
      </c>
      <c r="AD36" s="238"/>
      <c r="AE36" s="187" t="s">
        <v>400</v>
      </c>
      <c r="AF36" s="143">
        <v>194.0</v>
      </c>
      <c r="AG36" s="144" t="s">
        <v>68</v>
      </c>
      <c r="AH36" s="146"/>
      <c r="AI36" s="146"/>
      <c r="AJ36" s="146"/>
      <c r="AK36" s="146"/>
      <c r="AL36" s="146"/>
      <c r="AM36" s="146"/>
      <c r="AN36" s="146"/>
      <c r="AO36" s="147"/>
      <c r="AP36" s="225" t="s">
        <v>403</v>
      </c>
      <c r="AQ36" s="126"/>
      <c r="AR36" s="127"/>
    </row>
    <row r="37">
      <c r="A37" s="62">
        <v>35.0</v>
      </c>
      <c r="B37" s="62" t="s">
        <v>404</v>
      </c>
      <c r="C37" s="67">
        <v>2608909.0</v>
      </c>
      <c r="D37" s="72" t="s">
        <v>436</v>
      </c>
      <c r="E37" s="62" t="s">
        <v>437</v>
      </c>
      <c r="F37" s="62" t="s">
        <v>1</v>
      </c>
      <c r="G37" s="90">
        <f t="shared" si="1"/>
        <v>42182240.18</v>
      </c>
      <c r="H37" s="90">
        <f t="shared" si="2"/>
        <v>73705642.13</v>
      </c>
      <c r="I37" s="184">
        <v>4876623.35</v>
      </c>
      <c r="J37" s="184">
        <v>5433963.22</v>
      </c>
      <c r="K37" s="186">
        <f>(J37-I37)/I37</f>
        <v>0.1142880698</v>
      </c>
      <c r="L37" s="101">
        <v>2.757466202E7</v>
      </c>
      <c r="M37" s="101">
        <v>9243947.02</v>
      </c>
      <c r="N37" s="101">
        <v>3613833.69</v>
      </c>
      <c r="O37" s="101">
        <v>225797.45</v>
      </c>
      <c r="P37" s="102">
        <v>1524000.0</v>
      </c>
      <c r="Q37" s="104">
        <v>0.0</v>
      </c>
      <c r="R37" s="101"/>
      <c r="S37" s="105">
        <v>1389386.1</v>
      </c>
      <c r="T37" s="167">
        <v>1.580368641E7</v>
      </c>
      <c r="U37" s="108">
        <v>5.651256962E7</v>
      </c>
      <c r="V37" s="187"/>
      <c r="W37" s="62" t="s">
        <v>75</v>
      </c>
      <c r="X37" s="187" t="s">
        <v>68</v>
      </c>
      <c r="Y37" s="106" t="s">
        <v>405</v>
      </c>
      <c r="Z37" s="239" t="s">
        <v>99</v>
      </c>
      <c r="AA37" s="120">
        <v>79.0</v>
      </c>
      <c r="AB37" s="121"/>
      <c r="AC37" s="240"/>
      <c r="AD37" s="241"/>
      <c r="AE37" s="184" t="s">
        <v>406</v>
      </c>
      <c r="AF37" s="119">
        <v>841.0</v>
      </c>
      <c r="AG37" s="120">
        <v>319.0</v>
      </c>
      <c r="AH37" s="120">
        <v>457.0</v>
      </c>
      <c r="AI37" s="121"/>
      <c r="AJ37" s="121"/>
      <c r="AK37" s="121"/>
      <c r="AL37" s="121"/>
      <c r="AM37" s="120">
        <v>94.0</v>
      </c>
      <c r="AN37" s="120">
        <v>290.0</v>
      </c>
      <c r="AO37" s="124"/>
      <c r="AP37" s="193" t="s">
        <v>407</v>
      </c>
      <c r="AQ37" s="126"/>
      <c r="AR37" s="127"/>
    </row>
    <row r="38">
      <c r="A38" s="62">
        <v>36.0</v>
      </c>
      <c r="B38" s="62" t="s">
        <v>438</v>
      </c>
      <c r="C38" s="67">
        <v>2606002.0</v>
      </c>
      <c r="D38" s="72" t="s">
        <v>420</v>
      </c>
      <c r="E38" s="62" t="s">
        <v>421</v>
      </c>
      <c r="F38" s="62" t="s">
        <v>106</v>
      </c>
      <c r="G38" s="90">
        <f t="shared" si="1"/>
        <v>68739882.14</v>
      </c>
      <c r="H38" s="90">
        <f t="shared" si="2"/>
        <v>0</v>
      </c>
      <c r="I38" s="242"/>
      <c r="J38" s="243"/>
      <c r="K38" s="244"/>
      <c r="L38" s="135">
        <v>6.873988214E7</v>
      </c>
      <c r="M38" s="135"/>
      <c r="N38" s="135"/>
      <c r="O38" s="135">
        <v>0.0</v>
      </c>
      <c r="P38" s="137">
        <v>0.0</v>
      </c>
      <c r="Q38" s="138">
        <v>0.0</v>
      </c>
      <c r="R38" s="135"/>
      <c r="S38" s="140">
        <v>0.0</v>
      </c>
      <c r="T38" s="106">
        <v>0.0</v>
      </c>
      <c r="U38" s="90"/>
      <c r="V38" s="105"/>
      <c r="W38" s="203"/>
      <c r="X38" s="203"/>
      <c r="Y38" s="245"/>
      <c r="Z38" s="239" t="s">
        <v>183</v>
      </c>
      <c r="AA38" s="246"/>
      <c r="AB38" s="247"/>
      <c r="AC38" s="248"/>
      <c r="AD38" s="249">
        <v>165.0</v>
      </c>
      <c r="AE38" s="250" t="s">
        <v>439</v>
      </c>
      <c r="AF38" s="251"/>
      <c r="AG38" s="251"/>
      <c r="AH38" s="146"/>
      <c r="AI38" s="146"/>
      <c r="AJ38" s="146"/>
      <c r="AK38" s="146"/>
      <c r="AL38" s="146"/>
      <c r="AM38" s="146"/>
      <c r="AN38" s="146"/>
      <c r="AO38" s="147"/>
      <c r="AP38" s="203"/>
      <c r="AQ38" s="59" t="s">
        <v>439</v>
      </c>
      <c r="AR38" s="252">
        <v>165.0</v>
      </c>
    </row>
    <row r="39">
      <c r="A39" s="62">
        <v>37.0</v>
      </c>
      <c r="B39" s="62" t="s">
        <v>440</v>
      </c>
      <c r="C39" s="67">
        <v>2609907.0</v>
      </c>
      <c r="D39" s="72" t="s">
        <v>426</v>
      </c>
      <c r="E39" s="62" t="s">
        <v>427</v>
      </c>
      <c r="F39" s="62" t="s">
        <v>106</v>
      </c>
      <c r="G39" s="90">
        <f t="shared" si="1"/>
        <v>53303863.18</v>
      </c>
      <c r="H39" s="90">
        <f t="shared" si="2"/>
        <v>0</v>
      </c>
      <c r="I39" s="253"/>
      <c r="J39" s="254"/>
      <c r="K39" s="255"/>
      <c r="L39" s="101">
        <v>5.330386318E7</v>
      </c>
      <c r="M39" s="101"/>
      <c r="N39" s="101"/>
      <c r="O39" s="101">
        <v>0.0</v>
      </c>
      <c r="P39" s="102">
        <v>0.0</v>
      </c>
      <c r="Q39" s="104">
        <v>0.0</v>
      </c>
      <c r="R39" s="101"/>
      <c r="S39" s="105">
        <v>0.0</v>
      </c>
      <c r="T39" s="167">
        <v>0.0</v>
      </c>
      <c r="U39" s="90"/>
      <c r="V39" s="105"/>
      <c r="W39" s="203"/>
      <c r="X39" s="203"/>
      <c r="Y39" s="245"/>
      <c r="Z39" s="239" t="s">
        <v>224</v>
      </c>
      <c r="AA39" s="256"/>
      <c r="AB39" s="121"/>
      <c r="AC39" s="240"/>
      <c r="AD39" s="151">
        <v>120.0</v>
      </c>
      <c r="AE39" s="257" t="s">
        <v>390</v>
      </c>
      <c r="AF39" s="258"/>
      <c r="AG39" s="258"/>
      <c r="AH39" s="121"/>
      <c r="AI39" s="121"/>
      <c r="AJ39" s="121"/>
      <c r="AK39" s="121"/>
      <c r="AL39" s="121"/>
      <c r="AM39" s="121"/>
      <c r="AN39" s="121"/>
      <c r="AO39" s="124"/>
      <c r="AP39" s="203"/>
      <c r="AQ39" s="259" t="s">
        <v>390</v>
      </c>
      <c r="AR39" s="252">
        <v>120.0</v>
      </c>
    </row>
    <row r="40">
      <c r="A40" s="62">
        <v>38.0</v>
      </c>
      <c r="B40" s="62" t="s">
        <v>441</v>
      </c>
      <c r="C40" s="67">
        <v>2606804.0</v>
      </c>
      <c r="D40" s="72" t="s">
        <v>442</v>
      </c>
      <c r="E40" s="62" t="s">
        <v>104</v>
      </c>
      <c r="F40" s="62" t="s">
        <v>106</v>
      </c>
      <c r="G40" s="90">
        <f t="shared" si="1"/>
        <v>56490900</v>
      </c>
      <c r="H40" s="90">
        <f t="shared" si="2"/>
        <v>0</v>
      </c>
      <c r="I40" s="242"/>
      <c r="J40" s="243"/>
      <c r="K40" s="244"/>
      <c r="L40" s="135">
        <v>5.64909E7</v>
      </c>
      <c r="M40" s="135"/>
      <c r="N40" s="135"/>
      <c r="O40" s="135">
        <v>0.0</v>
      </c>
      <c r="P40" s="137">
        <v>0.0</v>
      </c>
      <c r="Q40" s="138">
        <v>0.0</v>
      </c>
      <c r="R40" s="135"/>
      <c r="S40" s="140">
        <v>0.0</v>
      </c>
      <c r="T40" s="106">
        <v>0.0</v>
      </c>
      <c r="U40" s="90"/>
      <c r="V40" s="105"/>
      <c r="W40" s="203"/>
      <c r="X40" s="203"/>
      <c r="Y40" s="245"/>
      <c r="Z40" s="239" t="s">
        <v>85</v>
      </c>
      <c r="AA40" s="246"/>
      <c r="AB40" s="247"/>
      <c r="AC40" s="248"/>
      <c r="AD40" s="249">
        <v>165.0</v>
      </c>
      <c r="AE40" s="250" t="s">
        <v>439</v>
      </c>
      <c r="AF40" s="251"/>
      <c r="AG40" s="251"/>
      <c r="AH40" s="146"/>
      <c r="AI40" s="146"/>
      <c r="AJ40" s="146"/>
      <c r="AK40" s="146"/>
      <c r="AL40" s="146"/>
      <c r="AM40" s="146"/>
      <c r="AN40" s="146"/>
      <c r="AO40" s="147"/>
      <c r="AP40" s="203"/>
      <c r="AQ40" s="59" t="s">
        <v>439</v>
      </c>
      <c r="AR40" s="252">
        <v>165.0</v>
      </c>
    </row>
    <row r="41">
      <c r="A41" s="62">
        <v>39.0</v>
      </c>
      <c r="B41" s="62" t="s">
        <v>443</v>
      </c>
      <c r="C41" s="67">
        <v>2613909.0</v>
      </c>
      <c r="D41" s="72" t="s">
        <v>429</v>
      </c>
      <c r="E41" s="62" t="s">
        <v>430</v>
      </c>
      <c r="F41" s="62" t="s">
        <v>106</v>
      </c>
      <c r="G41" s="90">
        <f t="shared" si="1"/>
        <v>65120000</v>
      </c>
      <c r="H41" s="90">
        <f t="shared" si="2"/>
        <v>0</v>
      </c>
      <c r="I41" s="253"/>
      <c r="J41" s="254"/>
      <c r="K41" s="255"/>
      <c r="L41" s="101">
        <v>6.512E7</v>
      </c>
      <c r="M41" s="101"/>
      <c r="N41" s="101"/>
      <c r="O41" s="101">
        <v>0.0</v>
      </c>
      <c r="P41" s="102">
        <v>0.0</v>
      </c>
      <c r="Q41" s="104">
        <v>0.0</v>
      </c>
      <c r="R41" s="101"/>
      <c r="S41" s="105">
        <v>0.0</v>
      </c>
      <c r="T41" s="167">
        <v>0.0</v>
      </c>
      <c r="U41" s="90"/>
      <c r="V41" s="105"/>
      <c r="W41" s="203"/>
      <c r="X41" s="203"/>
      <c r="Y41" s="245"/>
      <c r="Z41" s="239" t="s">
        <v>249</v>
      </c>
      <c r="AA41" s="256"/>
      <c r="AB41" s="121"/>
      <c r="AC41" s="240"/>
      <c r="AD41" s="151">
        <v>165.0</v>
      </c>
      <c r="AE41" s="257" t="s">
        <v>439</v>
      </c>
      <c r="AF41" s="258"/>
      <c r="AG41" s="258"/>
      <c r="AH41" s="121"/>
      <c r="AI41" s="121"/>
      <c r="AJ41" s="121"/>
      <c r="AK41" s="121"/>
      <c r="AL41" s="121"/>
      <c r="AM41" s="121"/>
      <c r="AN41" s="121"/>
      <c r="AO41" s="124"/>
      <c r="AP41" s="203"/>
      <c r="AQ41" s="59" t="s">
        <v>439</v>
      </c>
      <c r="AR41" s="252">
        <v>165.0</v>
      </c>
    </row>
    <row r="42">
      <c r="A42" s="62">
        <v>40.0</v>
      </c>
      <c r="B42" s="62" t="s">
        <v>444</v>
      </c>
      <c r="C42" s="67">
        <v>2611101.0</v>
      </c>
      <c r="D42" s="72" t="s">
        <v>432</v>
      </c>
      <c r="E42" s="62" t="s">
        <v>433</v>
      </c>
      <c r="F42" s="62" t="s">
        <v>106</v>
      </c>
      <c r="G42" s="90">
        <f t="shared" si="1"/>
        <v>22800000</v>
      </c>
      <c r="H42" s="90">
        <f t="shared" si="2"/>
        <v>0</v>
      </c>
      <c r="I42" s="242"/>
      <c r="J42" s="243"/>
      <c r="K42" s="244"/>
      <c r="L42" s="260">
        <v>2.28E7</v>
      </c>
      <c r="M42" s="135"/>
      <c r="N42" s="135"/>
      <c r="O42" s="135">
        <v>0.0</v>
      </c>
      <c r="P42" s="137">
        <v>0.0</v>
      </c>
      <c r="Q42" s="138">
        <v>0.0</v>
      </c>
      <c r="R42" s="135"/>
      <c r="S42" s="140">
        <v>0.0</v>
      </c>
      <c r="T42" s="106">
        <v>0.0</v>
      </c>
      <c r="U42" s="90"/>
      <c r="V42" s="105"/>
      <c r="W42" s="203"/>
      <c r="X42" s="203"/>
      <c r="Y42" s="245"/>
      <c r="Z42" s="239" t="s">
        <v>263</v>
      </c>
      <c r="AA42" s="246"/>
      <c r="AB42" s="247"/>
      <c r="AC42" s="248"/>
      <c r="AD42" s="147"/>
      <c r="AE42" s="262" t="s">
        <v>445</v>
      </c>
      <c r="AF42" s="251"/>
      <c r="AG42" s="251"/>
      <c r="AH42" s="146"/>
      <c r="AI42" s="146"/>
      <c r="AJ42" s="146"/>
      <c r="AK42" s="146"/>
      <c r="AL42" s="146"/>
      <c r="AM42" s="146"/>
      <c r="AN42" s="146"/>
      <c r="AO42" s="147"/>
      <c r="AP42" s="203"/>
      <c r="AQ42" s="263" t="s">
        <v>390</v>
      </c>
      <c r="AR42" s="252"/>
    </row>
    <row r="43">
      <c r="A43" s="62">
        <v>41.0</v>
      </c>
      <c r="B43" s="62" t="s">
        <v>446</v>
      </c>
      <c r="C43" s="67">
        <v>2613909.0</v>
      </c>
      <c r="D43" s="72" t="s">
        <v>429</v>
      </c>
      <c r="E43" s="62" t="s">
        <v>430</v>
      </c>
      <c r="F43" s="62" t="s">
        <v>106</v>
      </c>
      <c r="G43" s="90">
        <f t="shared" si="1"/>
        <v>11100000</v>
      </c>
      <c r="H43" s="90">
        <f t="shared" si="2"/>
        <v>0</v>
      </c>
      <c r="I43" s="253"/>
      <c r="J43" s="254"/>
      <c r="K43" s="255"/>
      <c r="L43" s="264">
        <v>1.11E7</v>
      </c>
      <c r="M43" s="101"/>
      <c r="N43" s="101"/>
      <c r="O43" s="101">
        <v>0.0</v>
      </c>
      <c r="P43" s="102">
        <v>0.0</v>
      </c>
      <c r="Q43" s="104">
        <v>0.0</v>
      </c>
      <c r="R43" s="101"/>
      <c r="S43" s="105">
        <v>0.0</v>
      </c>
      <c r="T43" s="167">
        <v>0.0</v>
      </c>
      <c r="U43" s="90"/>
      <c r="V43" s="105"/>
      <c r="W43" s="203"/>
      <c r="X43" s="203"/>
      <c r="Y43" s="245"/>
      <c r="Z43" s="239" t="s">
        <v>249</v>
      </c>
      <c r="AA43" s="256"/>
      <c r="AB43" s="121"/>
      <c r="AC43" s="240"/>
      <c r="AD43" s="124"/>
      <c r="AE43" s="265" t="s">
        <v>447</v>
      </c>
      <c r="AF43" s="258"/>
      <c r="AG43" s="258"/>
      <c r="AH43" s="121"/>
      <c r="AI43" s="121"/>
      <c r="AJ43" s="121"/>
      <c r="AK43" s="121"/>
      <c r="AL43" s="121"/>
      <c r="AM43" s="121"/>
      <c r="AN43" s="121"/>
      <c r="AO43" s="124"/>
      <c r="AP43" s="203"/>
      <c r="AQ43" s="263" t="s">
        <v>390</v>
      </c>
      <c r="AR43" s="252"/>
    </row>
    <row r="44">
      <c r="A44" s="62">
        <v>42.0</v>
      </c>
      <c r="B44" s="62" t="s">
        <v>448</v>
      </c>
      <c r="C44" s="67">
        <v>2604106.0</v>
      </c>
      <c r="D44" s="72" t="s">
        <v>315</v>
      </c>
      <c r="E44" s="62" t="s">
        <v>317</v>
      </c>
      <c r="F44" s="62" t="s">
        <v>106</v>
      </c>
      <c r="G44" s="90">
        <f t="shared" si="1"/>
        <v>0</v>
      </c>
      <c r="H44" s="90">
        <f t="shared" si="2"/>
        <v>0</v>
      </c>
      <c r="I44" s="242"/>
      <c r="J44" s="243"/>
      <c r="K44" s="244"/>
      <c r="L44" s="135"/>
      <c r="M44" s="135"/>
      <c r="N44" s="135"/>
      <c r="O44" s="135">
        <v>0.0</v>
      </c>
      <c r="P44" s="137">
        <v>0.0</v>
      </c>
      <c r="Q44" s="138">
        <v>0.0</v>
      </c>
      <c r="R44" s="135"/>
      <c r="S44" s="140">
        <v>0.0</v>
      </c>
      <c r="T44" s="106">
        <v>0.0</v>
      </c>
      <c r="U44" s="90"/>
      <c r="V44" s="105"/>
      <c r="W44" s="203"/>
      <c r="X44" s="203"/>
      <c r="Y44" s="245"/>
      <c r="Z44" s="239" t="s">
        <v>153</v>
      </c>
      <c r="AA44" s="246"/>
      <c r="AB44" s="247"/>
      <c r="AC44" s="248"/>
      <c r="AD44" s="147"/>
      <c r="AE44" s="262" t="s">
        <v>447</v>
      </c>
      <c r="AF44" s="251"/>
      <c r="AG44" s="251"/>
      <c r="AH44" s="146"/>
      <c r="AI44" s="146"/>
      <c r="AJ44" s="146"/>
      <c r="AK44" s="146"/>
      <c r="AL44" s="146"/>
      <c r="AM44" s="146"/>
      <c r="AN44" s="146"/>
      <c r="AO44" s="147"/>
      <c r="AP44" s="203"/>
      <c r="AQ44" s="263" t="s">
        <v>390</v>
      </c>
      <c r="AR44" s="266"/>
    </row>
    <row r="45">
      <c r="A45" s="62">
        <v>43.0</v>
      </c>
      <c r="B45" s="62" t="s">
        <v>449</v>
      </c>
      <c r="C45" s="67">
        <v>2606002.0</v>
      </c>
      <c r="D45" s="72" t="s">
        <v>420</v>
      </c>
      <c r="E45" s="62" t="s">
        <v>421</v>
      </c>
      <c r="F45" s="62" t="s">
        <v>106</v>
      </c>
      <c r="G45" s="90">
        <f t="shared" si="1"/>
        <v>125800000</v>
      </c>
      <c r="H45" s="90">
        <f t="shared" si="2"/>
        <v>0</v>
      </c>
      <c r="I45" s="253"/>
      <c r="J45" s="254"/>
      <c r="K45" s="255"/>
      <c r="L45" s="101">
        <v>1.258E8</v>
      </c>
      <c r="M45" s="101"/>
      <c r="N45" s="101"/>
      <c r="O45" s="101">
        <v>0.0</v>
      </c>
      <c r="P45" s="102">
        <v>0.0</v>
      </c>
      <c r="Q45" s="104">
        <v>0.0</v>
      </c>
      <c r="R45" s="101"/>
      <c r="S45" s="105">
        <v>0.0</v>
      </c>
      <c r="T45" s="167">
        <v>0.0</v>
      </c>
      <c r="U45" s="90"/>
      <c r="V45" s="105"/>
      <c r="W45" s="203"/>
      <c r="X45" s="203"/>
      <c r="Y45" s="245"/>
      <c r="Z45" s="239" t="s">
        <v>183</v>
      </c>
      <c r="AA45" s="256"/>
      <c r="AB45" s="121"/>
      <c r="AC45" s="240"/>
      <c r="AD45" s="151">
        <v>246.0</v>
      </c>
      <c r="AE45" s="265" t="s">
        <v>450</v>
      </c>
      <c r="AF45" s="258"/>
      <c r="AG45" s="258"/>
      <c r="AH45" s="121"/>
      <c r="AI45" s="121"/>
      <c r="AJ45" s="121"/>
      <c r="AK45" s="121"/>
      <c r="AL45" s="121"/>
      <c r="AM45" s="121"/>
      <c r="AN45" s="121"/>
      <c r="AO45" s="124"/>
      <c r="AP45" s="203"/>
      <c r="AQ45" s="263" t="s">
        <v>390</v>
      </c>
      <c r="AR45" s="163">
        <v>246.0</v>
      </c>
    </row>
    <row r="46">
      <c r="A46" s="62">
        <v>44.0</v>
      </c>
      <c r="B46" s="62" t="s">
        <v>23</v>
      </c>
      <c r="C46" s="67">
        <v>2600054.0</v>
      </c>
      <c r="D46" s="72" t="s">
        <v>451</v>
      </c>
      <c r="E46" s="62" t="s">
        <v>104</v>
      </c>
      <c r="F46" s="62" t="s">
        <v>452</v>
      </c>
      <c r="G46" s="90">
        <f t="shared" si="1"/>
        <v>0</v>
      </c>
      <c r="H46" s="90">
        <f t="shared" si="2"/>
        <v>1052154.31</v>
      </c>
      <c r="I46" s="267"/>
      <c r="J46" s="243"/>
      <c r="K46" s="244"/>
      <c r="L46" s="135"/>
      <c r="M46" s="135"/>
      <c r="N46" s="135"/>
      <c r="O46" s="135">
        <v>0.0</v>
      </c>
      <c r="P46" s="137">
        <v>0.0</v>
      </c>
      <c r="Q46" s="138">
        <v>0.0</v>
      </c>
      <c r="R46" s="135"/>
      <c r="S46" s="140">
        <v>0.0</v>
      </c>
      <c r="T46" s="106">
        <v>0.0</v>
      </c>
      <c r="U46" s="90"/>
      <c r="V46" s="268">
        <v>1052154.31</v>
      </c>
      <c r="W46" s="62" t="s">
        <v>4</v>
      </c>
      <c r="X46" s="203"/>
      <c r="Y46" s="269" t="s">
        <v>66</v>
      </c>
      <c r="Z46" s="239" t="s">
        <v>85</v>
      </c>
      <c r="AA46" s="144" t="s">
        <v>68</v>
      </c>
      <c r="AB46" s="146"/>
      <c r="AC46" s="245"/>
      <c r="AD46" s="270"/>
      <c r="AE46" s="268" t="s">
        <v>91</v>
      </c>
      <c r="AF46" s="271">
        <v>53.0</v>
      </c>
      <c r="AG46" s="146"/>
      <c r="AH46" s="146"/>
      <c r="AI46" s="146"/>
      <c r="AJ46" s="146"/>
      <c r="AK46" s="146"/>
      <c r="AL46" s="146"/>
      <c r="AM46" s="146"/>
      <c r="AN46" s="146"/>
      <c r="AO46" s="147"/>
      <c r="AP46" s="272" t="s">
        <v>93</v>
      </c>
      <c r="AQ46" s="203"/>
      <c r="AR46" s="206"/>
    </row>
    <row r="47">
      <c r="A47" s="62">
        <v>45.0</v>
      </c>
      <c r="B47" s="62" t="s">
        <v>97</v>
      </c>
      <c r="C47" s="67">
        <v>2604007.0</v>
      </c>
      <c r="D47" s="72" t="s">
        <v>453</v>
      </c>
      <c r="E47" s="62" t="s">
        <v>415</v>
      </c>
      <c r="F47" s="62" t="s">
        <v>452</v>
      </c>
      <c r="G47" s="90">
        <f t="shared" si="1"/>
        <v>475385.55</v>
      </c>
      <c r="H47" s="90">
        <f t="shared" si="2"/>
        <v>475385.55</v>
      </c>
      <c r="I47" s="273"/>
      <c r="J47" s="254"/>
      <c r="K47" s="255"/>
      <c r="L47" s="101"/>
      <c r="M47" s="101"/>
      <c r="N47" s="101"/>
      <c r="O47" s="101">
        <v>0.0</v>
      </c>
      <c r="P47" s="102">
        <v>0.0</v>
      </c>
      <c r="Q47" s="104">
        <v>0.0</v>
      </c>
      <c r="R47" s="101">
        <v>475385.55</v>
      </c>
      <c r="S47" s="105">
        <v>0.0</v>
      </c>
      <c r="T47" s="167">
        <v>0.0</v>
      </c>
      <c r="U47" s="90"/>
      <c r="V47" s="274">
        <v>475385.55</v>
      </c>
      <c r="W47" s="62" t="s">
        <v>4</v>
      </c>
      <c r="X47" s="203"/>
      <c r="Y47" s="106" t="s">
        <v>98</v>
      </c>
      <c r="Z47" s="239" t="s">
        <v>99</v>
      </c>
      <c r="AA47" s="120" t="s">
        <v>68</v>
      </c>
      <c r="AB47" s="121"/>
      <c r="AC47" s="240"/>
      <c r="AD47" s="275"/>
      <c r="AE47" s="274" t="s">
        <v>101</v>
      </c>
      <c r="AF47" s="276">
        <v>114.0</v>
      </c>
      <c r="AG47" s="121"/>
      <c r="AH47" s="121"/>
      <c r="AI47" s="121"/>
      <c r="AJ47" s="120">
        <v>70.0</v>
      </c>
      <c r="AK47" s="120">
        <v>44.0</v>
      </c>
      <c r="AL47" s="121"/>
      <c r="AM47" s="121"/>
      <c r="AN47" s="121"/>
      <c r="AO47" s="124"/>
      <c r="AP47" s="277" t="s">
        <v>102</v>
      </c>
      <c r="AQ47" s="203"/>
      <c r="AR47" s="206"/>
    </row>
    <row r="48">
      <c r="A48" s="62">
        <v>46.0</v>
      </c>
      <c r="B48" s="62" t="s">
        <v>105</v>
      </c>
      <c r="C48" s="67">
        <v>2606200.0</v>
      </c>
      <c r="D48" s="72" t="s">
        <v>414</v>
      </c>
      <c r="E48" s="62" t="s">
        <v>415</v>
      </c>
      <c r="F48" s="62" t="s">
        <v>452</v>
      </c>
      <c r="G48" s="90">
        <f t="shared" si="1"/>
        <v>4680339.14</v>
      </c>
      <c r="H48" s="90">
        <f t="shared" si="2"/>
        <v>15370.18</v>
      </c>
      <c r="I48" s="278"/>
      <c r="J48" s="243"/>
      <c r="K48" s="244"/>
      <c r="L48" s="135"/>
      <c r="M48" s="135">
        <v>4477240.77</v>
      </c>
      <c r="N48" s="135"/>
      <c r="O48" s="135">
        <v>203098.37</v>
      </c>
      <c r="P48" s="137">
        <v>0.0</v>
      </c>
      <c r="Q48" s="138">
        <v>0.0</v>
      </c>
      <c r="R48" s="135" t="s">
        <v>68</v>
      </c>
      <c r="S48" s="140">
        <v>15370.18</v>
      </c>
      <c r="T48" s="106">
        <v>0.0</v>
      </c>
      <c r="U48" s="90"/>
      <c r="V48" s="268"/>
      <c r="W48" s="62" t="s">
        <v>4</v>
      </c>
      <c r="X48" s="203"/>
      <c r="Y48" s="167" t="s">
        <v>107</v>
      </c>
      <c r="Z48" s="239" t="s">
        <v>108</v>
      </c>
      <c r="AA48" s="144" t="s">
        <v>68</v>
      </c>
      <c r="AB48" s="146"/>
      <c r="AC48" s="245"/>
      <c r="AD48" s="270"/>
      <c r="AE48" s="268" t="s">
        <v>110</v>
      </c>
      <c r="AF48" s="271">
        <v>66.0</v>
      </c>
      <c r="AG48" s="146"/>
      <c r="AH48" s="144">
        <v>42.0</v>
      </c>
      <c r="AI48" s="146"/>
      <c r="AJ48" s="146"/>
      <c r="AK48" s="146"/>
      <c r="AL48" s="279">
        <v>24.0</v>
      </c>
      <c r="AM48" s="146"/>
      <c r="AN48" s="146"/>
      <c r="AO48" s="147"/>
      <c r="AP48" s="280" t="s">
        <v>112</v>
      </c>
      <c r="AQ48" s="203"/>
      <c r="AR48" s="206"/>
    </row>
    <row r="49">
      <c r="A49" s="62">
        <v>47.0</v>
      </c>
      <c r="B49" s="62" t="s">
        <v>116</v>
      </c>
      <c r="C49" s="67">
        <v>2601201.0</v>
      </c>
      <c r="D49" s="72" t="s">
        <v>424</v>
      </c>
      <c r="E49" s="62" t="s">
        <v>425</v>
      </c>
      <c r="F49" s="62" t="s">
        <v>452</v>
      </c>
      <c r="G49" s="90">
        <f t="shared" si="1"/>
        <v>128308.19</v>
      </c>
      <c r="H49" s="90">
        <f t="shared" si="2"/>
        <v>790416.75</v>
      </c>
      <c r="I49" s="273"/>
      <c r="J49" s="254"/>
      <c r="K49" s="255"/>
      <c r="L49" s="101"/>
      <c r="M49" s="101"/>
      <c r="N49" s="101"/>
      <c r="O49" s="101">
        <v>0.0</v>
      </c>
      <c r="P49" s="102">
        <v>0.0</v>
      </c>
      <c r="Q49" s="104">
        <v>0.0</v>
      </c>
      <c r="R49" s="101">
        <v>128308.19</v>
      </c>
      <c r="S49" s="105">
        <v>324454.61</v>
      </c>
      <c r="T49" s="167">
        <v>0.0</v>
      </c>
      <c r="U49" s="90"/>
      <c r="V49" s="274">
        <v>465962.14</v>
      </c>
      <c r="W49" s="62" t="s">
        <v>4</v>
      </c>
      <c r="X49" s="203"/>
      <c r="Y49" s="281" t="s">
        <v>118</v>
      </c>
      <c r="Z49" s="239" t="s">
        <v>120</v>
      </c>
      <c r="AA49" s="120" t="s">
        <v>68</v>
      </c>
      <c r="AB49" s="121"/>
      <c r="AC49" s="240"/>
      <c r="AD49" s="275"/>
      <c r="AE49" s="274" t="s">
        <v>122</v>
      </c>
      <c r="AF49" s="276">
        <v>84.0</v>
      </c>
      <c r="AG49" s="121"/>
      <c r="AH49" s="121"/>
      <c r="AI49" s="121"/>
      <c r="AJ49" s="121"/>
      <c r="AK49" s="121"/>
      <c r="AL49" s="121"/>
      <c r="AM49" s="121"/>
      <c r="AN49" s="121"/>
      <c r="AO49" s="124"/>
      <c r="AP49" s="282" t="s">
        <v>124</v>
      </c>
      <c r="AQ49" s="203"/>
      <c r="AR49" s="206"/>
    </row>
    <row r="50">
      <c r="A50" s="62">
        <v>48.0</v>
      </c>
      <c r="B50" s="62" t="s">
        <v>127</v>
      </c>
      <c r="C50" s="67">
        <v>2610004.0</v>
      </c>
      <c r="D50" s="72" t="s">
        <v>419</v>
      </c>
      <c r="E50" s="62" t="s">
        <v>418</v>
      </c>
      <c r="F50" s="62" t="s">
        <v>452</v>
      </c>
      <c r="G50" s="90">
        <f t="shared" si="1"/>
        <v>330972.87</v>
      </c>
      <c r="H50" s="90">
        <f t="shared" si="2"/>
        <v>330972.87</v>
      </c>
      <c r="I50" s="267"/>
      <c r="J50" s="243"/>
      <c r="K50" s="244"/>
      <c r="L50" s="135"/>
      <c r="M50" s="135"/>
      <c r="N50" s="135"/>
      <c r="O50" s="135">
        <v>0.0</v>
      </c>
      <c r="P50" s="137">
        <v>0.0</v>
      </c>
      <c r="Q50" s="138">
        <v>0.0</v>
      </c>
      <c r="R50" s="135">
        <v>330972.87</v>
      </c>
      <c r="S50" s="140">
        <v>0.0</v>
      </c>
      <c r="T50" s="106">
        <v>0.0</v>
      </c>
      <c r="U50" s="90"/>
      <c r="V50" s="268">
        <v>330972.87</v>
      </c>
      <c r="W50" s="62" t="s">
        <v>4</v>
      </c>
      <c r="X50" s="203"/>
      <c r="Y50" s="167" t="s">
        <v>131</v>
      </c>
      <c r="Z50" s="239" t="s">
        <v>132</v>
      </c>
      <c r="AA50" s="144" t="s">
        <v>68</v>
      </c>
      <c r="AB50" s="146"/>
      <c r="AC50" s="245"/>
      <c r="AD50" s="270"/>
      <c r="AE50" s="268" t="s">
        <v>134</v>
      </c>
      <c r="AF50" s="271">
        <v>95.0</v>
      </c>
      <c r="AG50" s="146"/>
      <c r="AH50" s="146"/>
      <c r="AI50" s="146"/>
      <c r="AJ50" s="144">
        <v>66.0</v>
      </c>
      <c r="AK50" s="144">
        <v>29.0</v>
      </c>
      <c r="AL50" s="146"/>
      <c r="AM50" s="146"/>
      <c r="AN50" s="146"/>
      <c r="AO50" s="147"/>
      <c r="AP50" s="280" t="s">
        <v>135</v>
      </c>
      <c r="AQ50" s="203"/>
      <c r="AR50" s="206"/>
    </row>
    <row r="51">
      <c r="A51" s="62">
        <v>49.0</v>
      </c>
      <c r="B51" s="62" t="s">
        <v>137</v>
      </c>
      <c r="C51" s="67">
        <v>2605202.0</v>
      </c>
      <c r="D51" s="72" t="s">
        <v>454</v>
      </c>
      <c r="E51" s="62" t="s">
        <v>418</v>
      </c>
      <c r="F51" s="62" t="s">
        <v>452</v>
      </c>
      <c r="G51" s="90">
        <f t="shared" si="1"/>
        <v>905860.44</v>
      </c>
      <c r="H51" s="90">
        <f t="shared" si="2"/>
        <v>0</v>
      </c>
      <c r="I51" s="283"/>
      <c r="J51" s="254"/>
      <c r="K51" s="255"/>
      <c r="L51" s="101"/>
      <c r="M51" s="101">
        <v>425212.22</v>
      </c>
      <c r="N51" s="101"/>
      <c r="O51" s="101">
        <v>5286.0</v>
      </c>
      <c r="P51" s="102">
        <v>0.0</v>
      </c>
      <c r="Q51" s="104">
        <v>0.0</v>
      </c>
      <c r="R51" s="101">
        <v>475362.22</v>
      </c>
      <c r="S51" s="105">
        <v>0.0</v>
      </c>
      <c r="T51" s="167">
        <v>0.0</v>
      </c>
      <c r="U51" s="90"/>
      <c r="V51" s="284" t="s">
        <v>143</v>
      </c>
      <c r="W51" s="62" t="s">
        <v>4</v>
      </c>
      <c r="X51" s="203"/>
      <c r="Y51" s="281" t="s">
        <v>138</v>
      </c>
      <c r="Z51" s="239" t="s">
        <v>132</v>
      </c>
      <c r="AA51" s="120" t="s">
        <v>68</v>
      </c>
      <c r="AB51" s="121"/>
      <c r="AC51" s="240"/>
      <c r="AD51" s="275"/>
      <c r="AE51" s="274" t="s">
        <v>140</v>
      </c>
      <c r="AF51" s="276">
        <v>92.0</v>
      </c>
      <c r="AG51" s="121"/>
      <c r="AH51" s="121"/>
      <c r="AI51" s="121"/>
      <c r="AJ51" s="120">
        <v>59.0</v>
      </c>
      <c r="AK51" s="120">
        <v>31.0</v>
      </c>
      <c r="AL51" s="121"/>
      <c r="AM51" s="120">
        <v>2.0</v>
      </c>
      <c r="AN51" s="121"/>
      <c r="AO51" s="124"/>
      <c r="AP51" s="282" t="s">
        <v>146</v>
      </c>
      <c r="AQ51" s="203"/>
      <c r="AR51" s="206"/>
    </row>
    <row r="52">
      <c r="A52" s="62">
        <v>50.0</v>
      </c>
      <c r="B52" s="62" t="s">
        <v>150</v>
      </c>
      <c r="C52" s="67">
        <v>2604106.0</v>
      </c>
      <c r="D52" s="72" t="s">
        <v>315</v>
      </c>
      <c r="E52" s="62" t="s">
        <v>317</v>
      </c>
      <c r="F52" s="62" t="s">
        <v>452</v>
      </c>
      <c r="G52" s="90">
        <f t="shared" si="1"/>
        <v>4289540.15</v>
      </c>
      <c r="H52" s="90">
        <f t="shared" si="2"/>
        <v>13136.94</v>
      </c>
      <c r="I52" s="267"/>
      <c r="J52" s="243"/>
      <c r="K52" s="244"/>
      <c r="L52" s="135"/>
      <c r="M52" s="135"/>
      <c r="N52" s="135"/>
      <c r="O52" s="135">
        <v>0.0</v>
      </c>
      <c r="P52" s="137">
        <v>0.0</v>
      </c>
      <c r="Q52" s="138">
        <v>0.0</v>
      </c>
      <c r="R52" s="135">
        <v>4289540.15</v>
      </c>
      <c r="S52" s="140">
        <v>13136.94</v>
      </c>
      <c r="T52" s="106">
        <v>0.0</v>
      </c>
      <c r="U52" s="90"/>
      <c r="V52" s="285" t="s">
        <v>155</v>
      </c>
      <c r="W52" s="62" t="s">
        <v>4</v>
      </c>
      <c r="X52" s="203"/>
      <c r="Y52" s="269" t="s">
        <v>152</v>
      </c>
      <c r="Z52" s="239" t="s">
        <v>153</v>
      </c>
      <c r="AA52" s="144" t="s">
        <v>68</v>
      </c>
      <c r="AB52" s="146"/>
      <c r="AC52" s="245"/>
      <c r="AD52" s="147"/>
      <c r="AE52" s="105" t="s">
        <v>154</v>
      </c>
      <c r="AF52" s="271">
        <v>119.0</v>
      </c>
      <c r="AG52" s="146"/>
      <c r="AH52" s="146"/>
      <c r="AI52" s="146"/>
      <c r="AJ52" s="146"/>
      <c r="AK52" s="146"/>
      <c r="AL52" s="146"/>
      <c r="AM52" s="146"/>
      <c r="AN52" s="146"/>
      <c r="AO52" s="147"/>
      <c r="AP52" s="280" t="s">
        <v>158</v>
      </c>
      <c r="AQ52" s="203"/>
      <c r="AR52" s="206"/>
    </row>
    <row r="53">
      <c r="A53" s="62">
        <v>51.0</v>
      </c>
      <c r="B53" s="62" t="s">
        <v>161</v>
      </c>
      <c r="C53" s="67">
        <v>2601706.0</v>
      </c>
      <c r="D53" s="72" t="s">
        <v>455</v>
      </c>
      <c r="E53" s="62" t="s">
        <v>317</v>
      </c>
      <c r="F53" s="62" t="s">
        <v>452</v>
      </c>
      <c r="G53" s="90">
        <f t="shared" si="1"/>
        <v>34816.7</v>
      </c>
      <c r="H53" s="90">
        <f t="shared" si="2"/>
        <v>311818.78</v>
      </c>
      <c r="I53" s="273"/>
      <c r="J53" s="254"/>
      <c r="K53" s="255"/>
      <c r="L53" s="101"/>
      <c r="M53" s="101"/>
      <c r="N53" s="101"/>
      <c r="O53" s="101">
        <v>0.0</v>
      </c>
      <c r="P53" s="102">
        <v>0.0</v>
      </c>
      <c r="Q53" s="104">
        <v>0.0</v>
      </c>
      <c r="R53" s="101">
        <v>34816.7</v>
      </c>
      <c r="S53" s="105">
        <v>311818.78</v>
      </c>
      <c r="T53" s="167">
        <v>0.0</v>
      </c>
      <c r="U53" s="90"/>
      <c r="V53" s="274" t="s">
        <v>166</v>
      </c>
      <c r="W53" s="62" t="s">
        <v>4</v>
      </c>
      <c r="X53" s="203"/>
      <c r="Y53" s="281" t="s">
        <v>163</v>
      </c>
      <c r="Z53" s="239" t="s">
        <v>153</v>
      </c>
      <c r="AA53" s="120" t="s">
        <v>68</v>
      </c>
      <c r="AB53" s="121"/>
      <c r="AC53" s="240"/>
      <c r="AD53" s="275"/>
      <c r="AE53" s="274" t="s">
        <v>165</v>
      </c>
      <c r="AF53" s="276">
        <v>92.0</v>
      </c>
      <c r="AG53" s="121"/>
      <c r="AH53" s="121"/>
      <c r="AI53" s="121"/>
      <c r="AJ53" s="121"/>
      <c r="AK53" s="121"/>
      <c r="AL53" s="121"/>
      <c r="AM53" s="121"/>
      <c r="AN53" s="121"/>
      <c r="AO53" s="124"/>
      <c r="AP53" s="282" t="s">
        <v>167</v>
      </c>
      <c r="AQ53" s="203"/>
      <c r="AR53" s="206"/>
    </row>
    <row r="54">
      <c r="A54" s="62">
        <v>52.0</v>
      </c>
      <c r="B54" s="62" t="s">
        <v>170</v>
      </c>
      <c r="C54" s="67">
        <v>2608909.0</v>
      </c>
      <c r="D54" s="72" t="s">
        <v>436</v>
      </c>
      <c r="E54" s="62" t="s">
        <v>437</v>
      </c>
      <c r="F54" s="62" t="s">
        <v>452</v>
      </c>
      <c r="G54" s="90">
        <f t="shared" si="1"/>
        <v>0</v>
      </c>
      <c r="H54" s="90">
        <f t="shared" si="2"/>
        <v>1229559.61</v>
      </c>
      <c r="I54" s="286"/>
      <c r="J54" s="287"/>
      <c r="K54" s="287"/>
      <c r="L54" s="135"/>
      <c r="M54" s="135"/>
      <c r="N54" s="135"/>
      <c r="O54" s="135">
        <v>0.0</v>
      </c>
      <c r="P54" s="137">
        <v>0.0</v>
      </c>
      <c r="Q54" s="138">
        <v>0.0</v>
      </c>
      <c r="R54" s="135"/>
      <c r="S54" s="140">
        <v>324454.61</v>
      </c>
      <c r="T54" s="106">
        <v>0.0</v>
      </c>
      <c r="U54" s="90"/>
      <c r="V54" s="268">
        <v>905105.0</v>
      </c>
      <c r="W54" s="62" t="s">
        <v>4</v>
      </c>
      <c r="X54" s="203"/>
      <c r="Y54" s="167" t="s">
        <v>174</v>
      </c>
      <c r="Z54" s="239" t="s">
        <v>99</v>
      </c>
      <c r="AA54" s="144" t="s">
        <v>68</v>
      </c>
      <c r="AB54" s="146"/>
      <c r="AC54" s="245"/>
      <c r="AD54" s="270"/>
      <c r="AE54" s="268" t="s">
        <v>177</v>
      </c>
      <c r="AF54" s="271">
        <v>95.0</v>
      </c>
      <c r="AG54" s="146"/>
      <c r="AH54" s="146"/>
      <c r="AI54" s="146"/>
      <c r="AJ54" s="146"/>
      <c r="AK54" s="146"/>
      <c r="AL54" s="146"/>
      <c r="AM54" s="146"/>
      <c r="AN54" s="146"/>
      <c r="AO54" s="147"/>
      <c r="AP54" s="280" t="s">
        <v>179</v>
      </c>
      <c r="AQ54" s="203"/>
      <c r="AR54" s="206"/>
    </row>
    <row r="55">
      <c r="A55" s="62">
        <v>53.0</v>
      </c>
      <c r="B55" s="62" t="s">
        <v>180</v>
      </c>
      <c r="C55" s="67">
        <v>2606002.0</v>
      </c>
      <c r="D55" s="72" t="s">
        <v>420</v>
      </c>
      <c r="E55" s="62" t="s">
        <v>421</v>
      </c>
      <c r="F55" s="62" t="s">
        <v>452</v>
      </c>
      <c r="G55" s="90">
        <f t="shared" si="1"/>
        <v>3162643.06</v>
      </c>
      <c r="H55" s="90">
        <f t="shared" si="2"/>
        <v>15370.18</v>
      </c>
      <c r="I55" s="169"/>
      <c r="J55" s="169"/>
      <c r="K55" s="169"/>
      <c r="L55" s="101"/>
      <c r="M55" s="101"/>
      <c r="N55" s="101"/>
      <c r="O55" s="101">
        <v>0.0</v>
      </c>
      <c r="P55" s="102">
        <v>0.0</v>
      </c>
      <c r="Q55" s="104">
        <v>0.0</v>
      </c>
      <c r="R55" s="101">
        <v>3162643.06</v>
      </c>
      <c r="S55" s="105">
        <v>15370.18</v>
      </c>
      <c r="T55" s="167">
        <v>0.0</v>
      </c>
      <c r="U55" s="90"/>
      <c r="V55" s="140" t="s">
        <v>192</v>
      </c>
      <c r="W55" s="62" t="s">
        <v>4</v>
      </c>
      <c r="X55" s="203"/>
      <c r="Y55" s="281" t="s">
        <v>181</v>
      </c>
      <c r="Z55" s="239" t="s">
        <v>183</v>
      </c>
      <c r="AA55" s="120" t="s">
        <v>68</v>
      </c>
      <c r="AB55" s="121"/>
      <c r="AC55" s="240"/>
      <c r="AD55" s="124"/>
      <c r="AE55" s="140" t="s">
        <v>188</v>
      </c>
      <c r="AF55" s="276">
        <v>258.0</v>
      </c>
      <c r="AG55" s="121"/>
      <c r="AH55" s="121"/>
      <c r="AI55" s="121"/>
      <c r="AJ55" s="120">
        <v>166.0</v>
      </c>
      <c r="AK55" s="120">
        <v>41.0</v>
      </c>
      <c r="AL55" s="121"/>
      <c r="AM55" s="121"/>
      <c r="AN55" s="121"/>
      <c r="AO55" s="124"/>
      <c r="AP55" s="282" t="s">
        <v>194</v>
      </c>
      <c r="AQ55" s="203"/>
      <c r="AR55" s="206"/>
    </row>
    <row r="56">
      <c r="A56" s="62">
        <v>54.0</v>
      </c>
      <c r="B56" s="62" t="s">
        <v>208</v>
      </c>
      <c r="C56" s="67">
        <v>2612208.0</v>
      </c>
      <c r="D56" s="72" t="s">
        <v>422</v>
      </c>
      <c r="E56" s="62" t="s">
        <v>423</v>
      </c>
      <c r="F56" s="62" t="s">
        <v>452</v>
      </c>
      <c r="G56" s="90">
        <f t="shared" si="1"/>
        <v>233120.62</v>
      </c>
      <c r="H56" s="90">
        <f t="shared" si="2"/>
        <v>551165.57</v>
      </c>
      <c r="I56" s="286"/>
      <c r="J56" s="287"/>
      <c r="K56" s="287"/>
      <c r="L56" s="135"/>
      <c r="M56" s="135"/>
      <c r="N56" s="135"/>
      <c r="O56" s="135">
        <v>0.0</v>
      </c>
      <c r="P56" s="137">
        <v>0.0</v>
      </c>
      <c r="Q56" s="138">
        <v>0.0</v>
      </c>
      <c r="R56" s="135">
        <v>233120.62</v>
      </c>
      <c r="S56" s="140">
        <v>318044.95</v>
      </c>
      <c r="T56" s="106">
        <v>0.0</v>
      </c>
      <c r="U56" s="90"/>
      <c r="V56" s="268">
        <v>233120.62</v>
      </c>
      <c r="W56" s="62" t="s">
        <v>4</v>
      </c>
      <c r="X56" s="203"/>
      <c r="Y56" s="167" t="s">
        <v>210</v>
      </c>
      <c r="Z56" s="239" t="s">
        <v>213</v>
      </c>
      <c r="AA56" s="144" t="s">
        <v>68</v>
      </c>
      <c r="AB56" s="146"/>
      <c r="AC56" s="245"/>
      <c r="AD56" s="270"/>
      <c r="AE56" s="268" t="s">
        <v>214</v>
      </c>
      <c r="AF56" s="271">
        <v>87.0</v>
      </c>
      <c r="AG56" s="146"/>
      <c r="AH56" s="146"/>
      <c r="AI56" s="146"/>
      <c r="AJ56" s="144">
        <v>63.0</v>
      </c>
      <c r="AK56" s="144">
        <v>24.0</v>
      </c>
      <c r="AL56" s="146"/>
      <c r="AM56" s="146"/>
      <c r="AN56" s="146"/>
      <c r="AO56" s="147"/>
      <c r="AP56" s="280" t="s">
        <v>68</v>
      </c>
      <c r="AQ56" s="203"/>
      <c r="AR56" s="206"/>
    </row>
    <row r="57">
      <c r="A57" s="62">
        <v>55.0</v>
      </c>
      <c r="B57" s="62" t="s">
        <v>219</v>
      </c>
      <c r="C57" s="67">
        <v>2609907.0</v>
      </c>
      <c r="D57" s="72" t="s">
        <v>426</v>
      </c>
      <c r="E57" s="62" t="s">
        <v>427</v>
      </c>
      <c r="F57" s="62" t="s">
        <v>452</v>
      </c>
      <c r="G57" s="90">
        <f t="shared" si="1"/>
        <v>1305568.55</v>
      </c>
      <c r="H57" s="90">
        <f t="shared" si="2"/>
        <v>1623796.99</v>
      </c>
      <c r="I57" s="169"/>
      <c r="J57" s="169"/>
      <c r="K57" s="169"/>
      <c r="L57" s="101"/>
      <c r="M57" s="101"/>
      <c r="N57" s="101"/>
      <c r="O57" s="101">
        <v>0.0</v>
      </c>
      <c r="P57" s="102">
        <v>0.0</v>
      </c>
      <c r="Q57" s="104">
        <v>0.0</v>
      </c>
      <c r="R57" s="101">
        <v>1305568.55</v>
      </c>
      <c r="S57" s="105">
        <v>318228.44</v>
      </c>
      <c r="T57" s="167">
        <v>0.0</v>
      </c>
      <c r="U57" s="90"/>
      <c r="V57" s="274">
        <v>1305568.55</v>
      </c>
      <c r="W57" s="62" t="s">
        <v>4</v>
      </c>
      <c r="X57" s="203"/>
      <c r="Y57" s="106" t="s">
        <v>222</v>
      </c>
      <c r="Z57" s="239" t="s">
        <v>224</v>
      </c>
      <c r="AA57" s="120" t="s">
        <v>68</v>
      </c>
      <c r="AB57" s="121"/>
      <c r="AC57" s="240"/>
      <c r="AD57" s="275"/>
      <c r="AE57" s="274" t="s">
        <v>225</v>
      </c>
      <c r="AF57" s="276">
        <v>37.0</v>
      </c>
      <c r="AG57" s="121"/>
      <c r="AH57" s="121"/>
      <c r="AI57" s="121"/>
      <c r="AJ57" s="120">
        <v>14.0</v>
      </c>
      <c r="AK57" s="120">
        <v>23.0</v>
      </c>
      <c r="AL57" s="121"/>
      <c r="AM57" s="121"/>
      <c r="AN57" s="121"/>
      <c r="AO57" s="124"/>
      <c r="AP57" s="282" t="s">
        <v>227</v>
      </c>
      <c r="AQ57" s="203"/>
      <c r="AR57" s="206"/>
    </row>
    <row r="58">
      <c r="A58" s="62">
        <v>56.0</v>
      </c>
      <c r="B58" s="62" t="s">
        <v>231</v>
      </c>
      <c r="C58" s="67">
        <v>2600104.0</v>
      </c>
      <c r="D58" s="72" t="s">
        <v>431</v>
      </c>
      <c r="E58" s="62" t="s">
        <v>430</v>
      </c>
      <c r="F58" s="62" t="s">
        <v>452</v>
      </c>
      <c r="G58" s="90">
        <f t="shared" si="1"/>
        <v>0</v>
      </c>
      <c r="H58" s="90">
        <f t="shared" si="2"/>
        <v>515026.43</v>
      </c>
      <c r="I58" s="287"/>
      <c r="J58" s="287"/>
      <c r="K58" s="287"/>
      <c r="L58" s="135"/>
      <c r="M58" s="135"/>
      <c r="N58" s="135"/>
      <c r="O58" s="135">
        <v>0.0</v>
      </c>
      <c r="P58" s="137">
        <v>0.0</v>
      </c>
      <c r="Q58" s="138">
        <v>0.0</v>
      </c>
      <c r="R58" s="135"/>
      <c r="S58" s="140">
        <v>386718.24</v>
      </c>
      <c r="T58" s="106">
        <v>0.0</v>
      </c>
      <c r="U58" s="90"/>
      <c r="V58" s="268">
        <v>128308.19</v>
      </c>
      <c r="W58" s="62" t="s">
        <v>4</v>
      </c>
      <c r="X58" s="203"/>
      <c r="Y58" s="269" t="s">
        <v>235</v>
      </c>
      <c r="Z58" s="239" t="s">
        <v>236</v>
      </c>
      <c r="AA58" s="144" t="s">
        <v>68</v>
      </c>
      <c r="AB58" s="146"/>
      <c r="AC58" s="245"/>
      <c r="AD58" s="270"/>
      <c r="AE58" s="268" t="s">
        <v>238</v>
      </c>
      <c r="AF58" s="271">
        <v>74.0</v>
      </c>
      <c r="AG58" s="146"/>
      <c r="AH58" s="146"/>
      <c r="AI58" s="146"/>
      <c r="AJ58" s="144">
        <v>69.0</v>
      </c>
      <c r="AK58" s="144">
        <v>5.0</v>
      </c>
      <c r="AL58" s="146"/>
      <c r="AM58" s="146"/>
      <c r="AN58" s="146"/>
      <c r="AO58" s="147"/>
      <c r="AP58" s="280" t="s">
        <v>241</v>
      </c>
      <c r="AQ58" s="203"/>
      <c r="AR58" s="206"/>
    </row>
    <row r="59">
      <c r="A59" s="62">
        <v>57.0</v>
      </c>
      <c r="B59" s="62" t="s">
        <v>244</v>
      </c>
      <c r="C59" s="67">
        <v>2613909.0</v>
      </c>
      <c r="D59" s="72" t="s">
        <v>429</v>
      </c>
      <c r="E59" s="62" t="s">
        <v>430</v>
      </c>
      <c r="F59" s="62" t="s">
        <v>452</v>
      </c>
      <c r="G59" s="90">
        <f t="shared" si="1"/>
        <v>718499.64</v>
      </c>
      <c r="H59" s="90">
        <f t="shared" si="2"/>
        <v>731636.58</v>
      </c>
      <c r="I59" s="169"/>
      <c r="J59" s="169"/>
      <c r="K59" s="169"/>
      <c r="L59" s="101"/>
      <c r="M59" s="101"/>
      <c r="N59" s="101"/>
      <c r="O59" s="101">
        <v>0.0</v>
      </c>
      <c r="P59" s="102">
        <v>0.0</v>
      </c>
      <c r="Q59" s="104">
        <v>0.0</v>
      </c>
      <c r="R59" s="101">
        <v>718499.64</v>
      </c>
      <c r="S59" s="105">
        <v>13136.94</v>
      </c>
      <c r="T59" s="167">
        <v>0.0</v>
      </c>
      <c r="U59" s="90"/>
      <c r="V59" s="274">
        <v>718499.64</v>
      </c>
      <c r="W59" s="62" t="s">
        <v>4</v>
      </c>
      <c r="X59" s="203"/>
      <c r="Y59" s="106" t="s">
        <v>246</v>
      </c>
      <c r="Z59" s="239" t="s">
        <v>249</v>
      </c>
      <c r="AA59" s="120" t="s">
        <v>68</v>
      </c>
      <c r="AB59" s="121"/>
      <c r="AC59" s="240"/>
      <c r="AD59" s="275"/>
      <c r="AE59" s="274" t="s">
        <v>251</v>
      </c>
      <c r="AF59" s="276">
        <v>98.0</v>
      </c>
      <c r="AG59" s="121"/>
      <c r="AH59" s="121"/>
      <c r="AI59" s="121"/>
      <c r="AJ59" s="121"/>
      <c r="AK59" s="121"/>
      <c r="AL59" s="121"/>
      <c r="AM59" s="121"/>
      <c r="AN59" s="121"/>
      <c r="AO59" s="124"/>
      <c r="AP59" s="282" t="s">
        <v>252</v>
      </c>
      <c r="AQ59" s="203"/>
      <c r="AR59" s="206"/>
    </row>
    <row r="60">
      <c r="A60" s="62">
        <v>58.0</v>
      </c>
      <c r="B60" s="62" t="s">
        <v>253</v>
      </c>
      <c r="C60" s="67">
        <v>2611101.0</v>
      </c>
      <c r="D60" s="72" t="s">
        <v>432</v>
      </c>
      <c r="E60" s="62" t="s">
        <v>433</v>
      </c>
      <c r="F60" s="62" t="s">
        <v>456</v>
      </c>
      <c r="G60" s="90">
        <f t="shared" si="1"/>
        <v>2461752.49</v>
      </c>
      <c r="H60" s="90">
        <f t="shared" si="2"/>
        <v>13136.94</v>
      </c>
      <c r="I60" s="287"/>
      <c r="J60" s="287"/>
      <c r="K60" s="287"/>
      <c r="L60" s="135"/>
      <c r="M60" s="135"/>
      <c r="N60" s="135"/>
      <c r="O60" s="135">
        <v>0.0</v>
      </c>
      <c r="P60" s="137">
        <v>0.0</v>
      </c>
      <c r="Q60" s="138">
        <v>0.0</v>
      </c>
      <c r="R60" s="135">
        <v>2461752.49</v>
      </c>
      <c r="S60" s="140">
        <v>13136.94</v>
      </c>
      <c r="T60" s="106">
        <v>0.0</v>
      </c>
      <c r="U60" s="90"/>
      <c r="V60" s="105" t="s">
        <v>268</v>
      </c>
      <c r="W60" s="62" t="s">
        <v>4</v>
      </c>
      <c r="X60" s="203"/>
      <c r="Y60" s="269" t="s">
        <v>255</v>
      </c>
      <c r="Z60" s="239" t="s">
        <v>263</v>
      </c>
      <c r="AA60" s="144">
        <v>17.0</v>
      </c>
      <c r="AB60" s="146"/>
      <c r="AC60" s="146"/>
      <c r="AD60" s="270"/>
      <c r="AE60" s="268" t="s">
        <v>267</v>
      </c>
      <c r="AF60" s="271">
        <v>375.0</v>
      </c>
      <c r="AG60" s="146"/>
      <c r="AH60" s="146"/>
      <c r="AI60" s="146"/>
      <c r="AJ60" s="144">
        <v>320.0</v>
      </c>
      <c r="AK60" s="144">
        <v>55.0</v>
      </c>
      <c r="AL60" s="146"/>
      <c r="AM60" s="146"/>
      <c r="AN60" s="146"/>
      <c r="AO60" s="147"/>
      <c r="AP60" s="280" t="s">
        <v>272</v>
      </c>
      <c r="AQ60" s="203"/>
      <c r="AR60" s="206"/>
    </row>
    <row r="61">
      <c r="A61" s="62">
        <v>59.0</v>
      </c>
      <c r="B61" s="62" t="s">
        <v>274</v>
      </c>
      <c r="C61" s="67">
        <v>2607901.0</v>
      </c>
      <c r="D61" s="72" t="s">
        <v>411</v>
      </c>
      <c r="E61" s="62" t="s">
        <v>104</v>
      </c>
      <c r="F61" s="62" t="s">
        <v>457</v>
      </c>
      <c r="G61" s="90">
        <f t="shared" si="1"/>
        <v>669611.94</v>
      </c>
      <c r="H61" s="90">
        <f t="shared" si="2"/>
        <v>682123.24</v>
      </c>
      <c r="I61" s="169"/>
      <c r="J61" s="169"/>
      <c r="K61" s="169"/>
      <c r="L61" s="101"/>
      <c r="M61" s="101"/>
      <c r="N61" s="101"/>
      <c r="O61" s="101">
        <v>0.0</v>
      </c>
      <c r="P61" s="102">
        <v>0.0</v>
      </c>
      <c r="Q61" s="104">
        <v>0.0</v>
      </c>
      <c r="R61" s="101">
        <v>669611.94</v>
      </c>
      <c r="S61" s="105">
        <v>12511.3</v>
      </c>
      <c r="T61" s="167">
        <v>0.0</v>
      </c>
      <c r="U61" s="90"/>
      <c r="V61" s="274">
        <v>669611.94</v>
      </c>
      <c r="W61" s="62" t="s">
        <v>4</v>
      </c>
      <c r="X61" s="203"/>
      <c r="Y61" s="106" t="s">
        <v>276</v>
      </c>
      <c r="Z61" s="239" t="s">
        <v>85</v>
      </c>
      <c r="AA61" s="120">
        <v>18.0</v>
      </c>
      <c r="AB61" s="121"/>
      <c r="AC61" s="289"/>
      <c r="AD61" s="275"/>
      <c r="AE61" s="274" t="s">
        <v>280</v>
      </c>
      <c r="AF61" s="276" t="s">
        <v>68</v>
      </c>
      <c r="AG61" s="121"/>
      <c r="AH61" s="121"/>
      <c r="AI61" s="121"/>
      <c r="AJ61" s="121"/>
      <c r="AK61" s="121"/>
      <c r="AL61" s="121"/>
      <c r="AM61" s="121"/>
      <c r="AN61" s="121"/>
      <c r="AO61" s="124"/>
      <c r="AP61" s="282" t="s">
        <v>281</v>
      </c>
      <c r="AQ61" s="203"/>
      <c r="AR61" s="206"/>
    </row>
    <row r="62">
      <c r="A62" s="62">
        <v>60.0</v>
      </c>
      <c r="B62" s="62" t="s">
        <v>284</v>
      </c>
      <c r="C62" s="67">
        <v>2602902.0</v>
      </c>
      <c r="D62" s="72" t="s">
        <v>413</v>
      </c>
      <c r="E62" s="62" t="s">
        <v>104</v>
      </c>
      <c r="F62" s="62" t="s">
        <v>457</v>
      </c>
      <c r="G62" s="90">
        <f t="shared" si="1"/>
        <v>679276.27</v>
      </c>
      <c r="H62" s="90">
        <f t="shared" si="2"/>
        <v>691787.57</v>
      </c>
      <c r="I62" s="287"/>
      <c r="J62" s="287"/>
      <c r="K62" s="287"/>
      <c r="L62" s="135"/>
      <c r="M62" s="135"/>
      <c r="N62" s="135"/>
      <c r="O62" s="135">
        <v>0.0</v>
      </c>
      <c r="P62" s="137">
        <v>0.0</v>
      </c>
      <c r="Q62" s="138">
        <v>0.0</v>
      </c>
      <c r="R62" s="135">
        <v>679276.27</v>
      </c>
      <c r="S62" s="140">
        <v>12511.3</v>
      </c>
      <c r="T62" s="106">
        <v>0.0</v>
      </c>
      <c r="U62" s="90"/>
      <c r="V62" s="268">
        <v>679276.27</v>
      </c>
      <c r="W62" s="62" t="s">
        <v>4</v>
      </c>
      <c r="X62" s="203"/>
      <c r="Y62" s="167" t="s">
        <v>286</v>
      </c>
      <c r="Z62" s="239" t="s">
        <v>85</v>
      </c>
      <c r="AA62" s="144">
        <v>19.0</v>
      </c>
      <c r="AB62" s="146"/>
      <c r="AC62" s="290"/>
      <c r="AD62" s="270"/>
      <c r="AE62" s="268" t="s">
        <v>288</v>
      </c>
      <c r="AF62" s="271" t="s">
        <v>68</v>
      </c>
      <c r="AG62" s="146"/>
      <c r="AH62" s="146"/>
      <c r="AI62" s="146"/>
      <c r="AJ62" s="146"/>
      <c r="AK62" s="146"/>
      <c r="AL62" s="146"/>
      <c r="AM62" s="146"/>
      <c r="AN62" s="146"/>
      <c r="AO62" s="147"/>
      <c r="AP62" s="280" t="s">
        <v>291</v>
      </c>
      <c r="AQ62" s="203"/>
      <c r="AR62" s="206"/>
    </row>
    <row r="63">
      <c r="A63" s="62">
        <v>61.0</v>
      </c>
      <c r="B63" s="62" t="s">
        <v>294</v>
      </c>
      <c r="C63" s="67">
        <v>2607901.0</v>
      </c>
      <c r="D63" s="72" t="s">
        <v>411</v>
      </c>
      <c r="E63" s="62" t="s">
        <v>104</v>
      </c>
      <c r="F63" s="62" t="s">
        <v>457</v>
      </c>
      <c r="G63" s="90">
        <f t="shared" si="1"/>
        <v>1851245.45</v>
      </c>
      <c r="H63" s="90">
        <f t="shared" si="2"/>
        <v>1865883.76</v>
      </c>
      <c r="I63" s="291"/>
      <c r="J63" s="169"/>
      <c r="K63" s="169"/>
      <c r="L63" s="101"/>
      <c r="M63" s="101"/>
      <c r="N63" s="101"/>
      <c r="O63" s="101">
        <v>0.0</v>
      </c>
      <c r="P63" s="102">
        <v>0.0</v>
      </c>
      <c r="Q63" s="104">
        <v>0.0</v>
      </c>
      <c r="R63" s="101">
        <v>1851245.45</v>
      </c>
      <c r="S63" s="105">
        <v>14638.31</v>
      </c>
      <c r="T63" s="167">
        <v>0.0</v>
      </c>
      <c r="U63" s="90"/>
      <c r="V63" s="140">
        <v>1851245.45</v>
      </c>
      <c r="W63" s="62" t="s">
        <v>4</v>
      </c>
      <c r="X63" s="203"/>
      <c r="Y63" s="106" t="s">
        <v>296</v>
      </c>
      <c r="Z63" s="239" t="s">
        <v>85</v>
      </c>
      <c r="AA63" s="120">
        <v>19.0</v>
      </c>
      <c r="AB63" s="121"/>
      <c r="AC63" s="289"/>
      <c r="AD63" s="275"/>
      <c r="AE63" s="274" t="s">
        <v>300</v>
      </c>
      <c r="AF63" s="276" t="s">
        <v>68</v>
      </c>
      <c r="AG63" s="121"/>
      <c r="AH63" s="121"/>
      <c r="AI63" s="121"/>
      <c r="AJ63" s="121"/>
      <c r="AK63" s="121"/>
      <c r="AL63" s="121"/>
      <c r="AM63" s="121"/>
      <c r="AN63" s="121"/>
      <c r="AO63" s="124"/>
      <c r="AP63" s="282" t="s">
        <v>301</v>
      </c>
      <c r="AQ63" s="203"/>
      <c r="AR63" s="206"/>
    </row>
    <row r="64">
      <c r="A64" s="62">
        <v>62.0</v>
      </c>
      <c r="B64" s="62" t="s">
        <v>302</v>
      </c>
      <c r="C64" s="67">
        <v>2611606.0</v>
      </c>
      <c r="D64" s="72" t="s">
        <v>96</v>
      </c>
      <c r="E64" s="62" t="s">
        <v>104</v>
      </c>
      <c r="F64" s="62" t="s">
        <v>457</v>
      </c>
      <c r="G64" s="90">
        <f t="shared" si="1"/>
        <v>704030.67</v>
      </c>
      <c r="H64" s="90">
        <f t="shared" si="2"/>
        <v>718668.98</v>
      </c>
      <c r="I64" s="287"/>
      <c r="J64" s="287"/>
      <c r="K64" s="287"/>
      <c r="L64" s="135"/>
      <c r="M64" s="135"/>
      <c r="N64" s="135"/>
      <c r="O64" s="135">
        <v>0.0</v>
      </c>
      <c r="P64" s="137">
        <v>0.0</v>
      </c>
      <c r="Q64" s="138">
        <v>0.0</v>
      </c>
      <c r="R64" s="135">
        <v>704030.67</v>
      </c>
      <c r="S64" s="140">
        <v>14638.31</v>
      </c>
      <c r="T64" s="106">
        <v>0.0</v>
      </c>
      <c r="U64" s="90"/>
      <c r="V64" s="268">
        <v>704030.67</v>
      </c>
      <c r="W64" s="62" t="s">
        <v>4</v>
      </c>
      <c r="X64" s="203"/>
      <c r="Y64" s="167" t="s">
        <v>304</v>
      </c>
      <c r="Z64" s="239" t="s">
        <v>85</v>
      </c>
      <c r="AA64" s="144">
        <v>19.0</v>
      </c>
      <c r="AB64" s="146"/>
      <c r="AC64" s="290"/>
      <c r="AD64" s="270"/>
      <c r="AE64" s="268" t="s">
        <v>300</v>
      </c>
      <c r="AF64" s="271" t="s">
        <v>68</v>
      </c>
      <c r="AG64" s="146"/>
      <c r="AH64" s="146"/>
      <c r="AI64" s="146"/>
      <c r="AJ64" s="146"/>
      <c r="AK64" s="146"/>
      <c r="AL64" s="146"/>
      <c r="AM64" s="146"/>
      <c r="AN64" s="146"/>
      <c r="AO64" s="147"/>
      <c r="AP64" s="280" t="s">
        <v>307</v>
      </c>
      <c r="AQ64" s="203"/>
      <c r="AR64" s="206"/>
    </row>
    <row r="65">
      <c r="A65" s="62">
        <v>63.0</v>
      </c>
      <c r="B65" s="62" t="s">
        <v>313</v>
      </c>
      <c r="C65" s="67">
        <v>2611606.0</v>
      </c>
      <c r="D65" s="72" t="s">
        <v>96</v>
      </c>
      <c r="E65" s="62" t="s">
        <v>104</v>
      </c>
      <c r="F65" s="62" t="s">
        <v>457</v>
      </c>
      <c r="G65" s="90">
        <f t="shared" si="1"/>
        <v>809755.13</v>
      </c>
      <c r="H65" s="90">
        <f t="shared" si="2"/>
        <v>809755.13</v>
      </c>
      <c r="I65" s="169"/>
      <c r="J65" s="169"/>
      <c r="K65" s="169"/>
      <c r="L65" s="101"/>
      <c r="M65" s="101"/>
      <c r="N65" s="101"/>
      <c r="O65" s="101">
        <v>0.0</v>
      </c>
      <c r="P65" s="102">
        <v>0.0</v>
      </c>
      <c r="Q65" s="104">
        <v>0.0</v>
      </c>
      <c r="R65" s="101">
        <v>809755.13</v>
      </c>
      <c r="S65" s="105">
        <v>0.0</v>
      </c>
      <c r="T65" s="167">
        <v>0.0</v>
      </c>
      <c r="U65" s="90"/>
      <c r="V65" s="274">
        <v>809755.13</v>
      </c>
      <c r="W65" s="62" t="s">
        <v>4</v>
      </c>
      <c r="X65" s="203"/>
      <c r="Y65" s="106" t="s">
        <v>316</v>
      </c>
      <c r="Z65" s="239" t="s">
        <v>85</v>
      </c>
      <c r="AA65" s="120">
        <v>20.0</v>
      </c>
      <c r="AB65" s="121"/>
      <c r="AC65" s="289"/>
      <c r="AD65" s="275"/>
      <c r="AE65" s="274" t="s">
        <v>300</v>
      </c>
      <c r="AF65" s="276" t="s">
        <v>68</v>
      </c>
      <c r="AG65" s="121"/>
      <c r="AH65" s="121"/>
      <c r="AI65" s="121"/>
      <c r="AJ65" s="121"/>
      <c r="AK65" s="121"/>
      <c r="AL65" s="121"/>
      <c r="AM65" s="121"/>
      <c r="AN65" s="121"/>
      <c r="AO65" s="124"/>
      <c r="AP65" s="282" t="s">
        <v>321</v>
      </c>
      <c r="AQ65" s="203"/>
      <c r="AR65" s="206"/>
    </row>
    <row r="66">
      <c r="A66" s="62">
        <v>64.0</v>
      </c>
      <c r="B66" s="62" t="s">
        <v>322</v>
      </c>
      <c r="C66" s="67">
        <v>2609600.0</v>
      </c>
      <c r="D66" s="72" t="s">
        <v>412</v>
      </c>
      <c r="E66" s="62" t="s">
        <v>104</v>
      </c>
      <c r="F66" s="62" t="s">
        <v>457</v>
      </c>
      <c r="G66" s="90">
        <f t="shared" si="1"/>
        <v>571703.83</v>
      </c>
      <c r="H66" s="90">
        <f t="shared" si="2"/>
        <v>586342.14</v>
      </c>
      <c r="I66" s="287"/>
      <c r="J66" s="287"/>
      <c r="K66" s="287"/>
      <c r="L66" s="135"/>
      <c r="M66" s="135"/>
      <c r="N66" s="135"/>
      <c r="O66" s="135">
        <v>0.0</v>
      </c>
      <c r="P66" s="137">
        <v>0.0</v>
      </c>
      <c r="Q66" s="138">
        <v>0.0</v>
      </c>
      <c r="R66" s="135">
        <v>571703.83</v>
      </c>
      <c r="S66" s="140">
        <v>14638.31</v>
      </c>
      <c r="T66" s="106">
        <v>0.0</v>
      </c>
      <c r="U66" s="90"/>
      <c r="V66" s="268">
        <v>571703.83</v>
      </c>
      <c r="W66" s="62" t="s">
        <v>4</v>
      </c>
      <c r="X66" s="203"/>
      <c r="Y66" s="167" t="s">
        <v>323</v>
      </c>
      <c r="Z66" s="239" t="s">
        <v>85</v>
      </c>
      <c r="AA66" s="144">
        <v>21.0</v>
      </c>
      <c r="AB66" s="146"/>
      <c r="AC66" s="290"/>
      <c r="AD66" s="270"/>
      <c r="AE66" s="268" t="s">
        <v>325</v>
      </c>
      <c r="AF66" s="271" t="s">
        <v>68</v>
      </c>
      <c r="AG66" s="146"/>
      <c r="AH66" s="146"/>
      <c r="AI66" s="146"/>
      <c r="AJ66" s="146"/>
      <c r="AK66" s="146"/>
      <c r="AL66" s="146"/>
      <c r="AM66" s="146"/>
      <c r="AN66" s="146"/>
      <c r="AO66" s="147"/>
      <c r="AP66" s="280" t="s">
        <v>328</v>
      </c>
      <c r="AQ66" s="203"/>
      <c r="AR66" s="206"/>
    </row>
    <row r="67">
      <c r="A67" s="62">
        <v>65.0</v>
      </c>
      <c r="B67" s="62" t="s">
        <v>331</v>
      </c>
      <c r="C67" s="67">
        <v>2611606.0</v>
      </c>
      <c r="D67" s="72" t="s">
        <v>96</v>
      </c>
      <c r="E67" s="62" t="s">
        <v>104</v>
      </c>
      <c r="F67" s="62" t="s">
        <v>457</v>
      </c>
      <c r="G67" s="90">
        <f t="shared" si="1"/>
        <v>555180.64</v>
      </c>
      <c r="H67" s="90">
        <f t="shared" si="2"/>
        <v>567691.94</v>
      </c>
      <c r="I67" s="169"/>
      <c r="J67" s="169"/>
      <c r="K67" s="169"/>
      <c r="L67" s="101"/>
      <c r="M67" s="101"/>
      <c r="N67" s="101"/>
      <c r="O67" s="101">
        <v>0.0</v>
      </c>
      <c r="P67" s="102">
        <v>0.0</v>
      </c>
      <c r="Q67" s="104">
        <v>0.0</v>
      </c>
      <c r="R67" s="101">
        <v>555180.64</v>
      </c>
      <c r="S67" s="105">
        <v>12511.3</v>
      </c>
      <c r="T67" s="167">
        <v>0.0</v>
      </c>
      <c r="U67" s="90"/>
      <c r="V67" s="274">
        <v>555180.64</v>
      </c>
      <c r="W67" s="62" t="s">
        <v>4</v>
      </c>
      <c r="X67" s="203"/>
      <c r="Y67" s="106" t="s">
        <v>333</v>
      </c>
      <c r="Z67" s="239" t="s">
        <v>85</v>
      </c>
      <c r="AA67" s="120">
        <v>19.0</v>
      </c>
      <c r="AB67" s="121"/>
      <c r="AC67" s="289"/>
      <c r="AD67" s="275"/>
      <c r="AE67" s="274" t="s">
        <v>334</v>
      </c>
      <c r="AF67" s="276" t="s">
        <v>68</v>
      </c>
      <c r="AG67" s="121"/>
      <c r="AH67" s="121"/>
      <c r="AI67" s="121"/>
      <c r="AJ67" s="121"/>
      <c r="AK67" s="121"/>
      <c r="AL67" s="121"/>
      <c r="AM67" s="121"/>
      <c r="AN67" s="121"/>
      <c r="AO67" s="124"/>
      <c r="AP67" s="282" t="s">
        <v>337</v>
      </c>
      <c r="AQ67" s="203"/>
      <c r="AR67" s="206"/>
    </row>
    <row r="68">
      <c r="A68" s="62">
        <v>66.0</v>
      </c>
      <c r="B68" s="62" t="s">
        <v>340</v>
      </c>
      <c r="C68" s="67">
        <v>2611606.0</v>
      </c>
      <c r="D68" s="72" t="s">
        <v>96</v>
      </c>
      <c r="E68" s="62" t="s">
        <v>104</v>
      </c>
      <c r="F68" s="62" t="s">
        <v>457</v>
      </c>
      <c r="G68" s="90">
        <f t="shared" si="1"/>
        <v>1013875.32</v>
      </c>
      <c r="H68" s="90">
        <f t="shared" si="2"/>
        <v>1026386.62</v>
      </c>
      <c r="I68" s="287"/>
      <c r="J68" s="287"/>
      <c r="K68" s="287"/>
      <c r="L68" s="135"/>
      <c r="M68" s="135"/>
      <c r="N68" s="135"/>
      <c r="O68" s="135">
        <v>0.0</v>
      </c>
      <c r="P68" s="137">
        <v>0.0</v>
      </c>
      <c r="Q68" s="138">
        <v>0.0</v>
      </c>
      <c r="R68" s="135">
        <v>1013875.32</v>
      </c>
      <c r="S68" s="140">
        <v>12511.3</v>
      </c>
      <c r="T68" s="106">
        <v>0.0</v>
      </c>
      <c r="U68" s="90"/>
      <c r="V68" s="268">
        <v>1013875.32</v>
      </c>
      <c r="W68" s="62" t="s">
        <v>4</v>
      </c>
      <c r="X68" s="203"/>
      <c r="Y68" s="167" t="s">
        <v>342</v>
      </c>
      <c r="Z68" s="239" t="s">
        <v>85</v>
      </c>
      <c r="AA68" s="144">
        <v>19.0</v>
      </c>
      <c r="AB68" s="146"/>
      <c r="AC68" s="290"/>
      <c r="AD68" s="270"/>
      <c r="AE68" s="268" t="s">
        <v>344</v>
      </c>
      <c r="AF68" s="271" t="s">
        <v>68</v>
      </c>
      <c r="AG68" s="146"/>
      <c r="AH68" s="146"/>
      <c r="AI68" s="146"/>
      <c r="AJ68" s="146"/>
      <c r="AK68" s="146"/>
      <c r="AL68" s="146"/>
      <c r="AM68" s="146"/>
      <c r="AN68" s="146"/>
      <c r="AO68" s="147"/>
      <c r="AP68" s="280" t="s">
        <v>346</v>
      </c>
      <c r="AQ68" s="203"/>
      <c r="AR68" s="206"/>
    </row>
    <row r="69">
      <c r="A69" s="62">
        <v>67.0</v>
      </c>
      <c r="B69" s="62" t="s">
        <v>347</v>
      </c>
      <c r="C69" s="67">
        <v>2610707.0</v>
      </c>
      <c r="D69" s="72" t="s">
        <v>339</v>
      </c>
      <c r="E69" s="62" t="s">
        <v>104</v>
      </c>
      <c r="F69" s="62" t="s">
        <v>457</v>
      </c>
      <c r="G69" s="90">
        <f t="shared" si="1"/>
        <v>805773.82</v>
      </c>
      <c r="H69" s="90">
        <f t="shared" si="2"/>
        <v>820412.13</v>
      </c>
      <c r="I69" s="169"/>
      <c r="J69" s="169"/>
      <c r="K69" s="169"/>
      <c r="L69" s="101"/>
      <c r="M69" s="101"/>
      <c r="N69" s="101"/>
      <c r="O69" s="101">
        <v>0.0</v>
      </c>
      <c r="P69" s="102">
        <v>0.0</v>
      </c>
      <c r="Q69" s="104">
        <v>0.0</v>
      </c>
      <c r="R69" s="101">
        <v>805773.82</v>
      </c>
      <c r="S69" s="105">
        <v>14638.31</v>
      </c>
      <c r="T69" s="167">
        <v>0.0</v>
      </c>
      <c r="U69" s="90"/>
      <c r="V69" s="274">
        <v>805773.82</v>
      </c>
      <c r="W69" s="62" t="s">
        <v>4</v>
      </c>
      <c r="X69" s="203"/>
      <c r="Y69" s="106" t="s">
        <v>348</v>
      </c>
      <c r="Z69" s="239" t="s">
        <v>85</v>
      </c>
      <c r="AA69" s="120">
        <v>19.0</v>
      </c>
      <c r="AB69" s="121"/>
      <c r="AC69" s="289"/>
      <c r="AD69" s="275"/>
      <c r="AE69" s="274" t="s">
        <v>349</v>
      </c>
      <c r="AF69" s="276" t="s">
        <v>68</v>
      </c>
      <c r="AG69" s="121"/>
      <c r="AH69" s="121"/>
      <c r="AI69" s="121"/>
      <c r="AJ69" s="121"/>
      <c r="AK69" s="121"/>
      <c r="AL69" s="121"/>
      <c r="AM69" s="121"/>
      <c r="AN69" s="121"/>
      <c r="AO69" s="124"/>
      <c r="AP69" s="282" t="s">
        <v>350</v>
      </c>
      <c r="AQ69" s="203"/>
      <c r="AR69" s="206"/>
    </row>
    <row r="70">
      <c r="A70" s="62">
        <v>68.0</v>
      </c>
      <c r="B70" s="62" t="s">
        <v>352</v>
      </c>
      <c r="C70" s="67">
        <v>2611606.0</v>
      </c>
      <c r="D70" s="72" t="s">
        <v>96</v>
      </c>
      <c r="E70" s="62" t="s">
        <v>104</v>
      </c>
      <c r="F70" s="62" t="s">
        <v>457</v>
      </c>
      <c r="G70" s="90">
        <f t="shared" si="1"/>
        <v>606032.8</v>
      </c>
      <c r="H70" s="90">
        <f t="shared" si="2"/>
        <v>606032.8</v>
      </c>
      <c r="I70" s="287"/>
      <c r="J70" s="287"/>
      <c r="K70" s="287"/>
      <c r="L70" s="135"/>
      <c r="M70" s="135"/>
      <c r="N70" s="135"/>
      <c r="O70" s="135">
        <v>0.0</v>
      </c>
      <c r="P70" s="137">
        <v>0.0</v>
      </c>
      <c r="Q70" s="138">
        <v>0.0</v>
      </c>
      <c r="R70" s="135">
        <v>606032.8</v>
      </c>
      <c r="S70" s="140">
        <v>0.0</v>
      </c>
      <c r="T70" s="106">
        <v>0.0</v>
      </c>
      <c r="U70" s="90"/>
      <c r="V70" s="105">
        <v>606032.8</v>
      </c>
      <c r="W70" s="62" t="s">
        <v>4</v>
      </c>
      <c r="X70" s="203"/>
      <c r="Y70" s="167" t="s">
        <v>353</v>
      </c>
      <c r="Z70" s="239" t="s">
        <v>85</v>
      </c>
      <c r="AA70" s="144">
        <v>22.0</v>
      </c>
      <c r="AB70" s="146"/>
      <c r="AC70" s="290"/>
      <c r="AD70" s="270"/>
      <c r="AE70" s="268" t="s">
        <v>355</v>
      </c>
      <c r="AF70" s="271" t="s">
        <v>68</v>
      </c>
      <c r="AG70" s="146"/>
      <c r="AH70" s="146"/>
      <c r="AI70" s="146"/>
      <c r="AJ70" s="146"/>
      <c r="AK70" s="146"/>
      <c r="AL70" s="146"/>
      <c r="AM70" s="146"/>
      <c r="AN70" s="146"/>
      <c r="AO70" s="147"/>
      <c r="AP70" s="280" t="s">
        <v>357</v>
      </c>
      <c r="AQ70" s="203"/>
      <c r="AR70" s="206"/>
    </row>
    <row r="71">
      <c r="A71" s="62">
        <v>69.0</v>
      </c>
      <c r="B71" s="62" t="s">
        <v>358</v>
      </c>
      <c r="C71" s="67">
        <v>2607901.0</v>
      </c>
      <c r="D71" s="72" t="s">
        <v>411</v>
      </c>
      <c r="E71" s="62" t="s">
        <v>104</v>
      </c>
      <c r="F71" s="62" t="s">
        <v>457</v>
      </c>
      <c r="G71" s="90">
        <f t="shared" si="1"/>
        <v>559244.7</v>
      </c>
      <c r="H71" s="90">
        <f t="shared" si="2"/>
        <v>559244.7</v>
      </c>
      <c r="I71" s="169"/>
      <c r="J71" s="169"/>
      <c r="K71" s="169"/>
      <c r="L71" s="101"/>
      <c r="M71" s="101"/>
      <c r="N71" s="101"/>
      <c r="O71" s="101">
        <v>0.0</v>
      </c>
      <c r="P71" s="102">
        <v>0.0</v>
      </c>
      <c r="Q71" s="104">
        <v>0.0</v>
      </c>
      <c r="R71" s="101">
        <v>559244.7</v>
      </c>
      <c r="S71" s="105">
        <v>0.0</v>
      </c>
      <c r="T71" s="167">
        <v>0.0</v>
      </c>
      <c r="U71" s="90"/>
      <c r="V71" s="274">
        <v>559244.7</v>
      </c>
      <c r="W71" s="62" t="s">
        <v>4</v>
      </c>
      <c r="X71" s="203"/>
      <c r="Y71" s="106" t="s">
        <v>359</v>
      </c>
      <c r="Z71" s="239" t="s">
        <v>85</v>
      </c>
      <c r="AA71" s="120">
        <v>19.0</v>
      </c>
      <c r="AB71" s="121"/>
      <c r="AC71" s="289"/>
      <c r="AD71" s="275"/>
      <c r="AE71" s="274" t="s">
        <v>360</v>
      </c>
      <c r="AF71" s="276" t="s">
        <v>68</v>
      </c>
      <c r="AG71" s="121"/>
      <c r="AH71" s="121"/>
      <c r="AI71" s="121"/>
      <c r="AJ71" s="121"/>
      <c r="AK71" s="121"/>
      <c r="AL71" s="121"/>
      <c r="AM71" s="121"/>
      <c r="AN71" s="121"/>
      <c r="AO71" s="124"/>
      <c r="AP71" s="282" t="s">
        <v>361</v>
      </c>
      <c r="AQ71" s="203"/>
      <c r="AR71" s="206"/>
    </row>
    <row r="72">
      <c r="A72" s="62">
        <v>70.0</v>
      </c>
      <c r="B72" s="62" t="s">
        <v>364</v>
      </c>
      <c r="C72" s="67">
        <v>2611606.0</v>
      </c>
      <c r="D72" s="72" t="s">
        <v>96</v>
      </c>
      <c r="E72" s="62" t="s">
        <v>104</v>
      </c>
      <c r="F72" s="62" t="s">
        <v>457</v>
      </c>
      <c r="G72" s="90">
        <f t="shared" si="1"/>
        <v>942168.6</v>
      </c>
      <c r="H72" s="90">
        <f t="shared" si="2"/>
        <v>954679.9</v>
      </c>
      <c r="I72" s="287"/>
      <c r="J72" s="287"/>
      <c r="K72" s="287"/>
      <c r="L72" s="135"/>
      <c r="M72" s="135"/>
      <c r="N72" s="135"/>
      <c r="O72" s="135">
        <v>0.0</v>
      </c>
      <c r="P72" s="137">
        <v>0.0</v>
      </c>
      <c r="Q72" s="138">
        <v>0.0</v>
      </c>
      <c r="R72" s="135">
        <v>942168.6</v>
      </c>
      <c r="S72" s="140">
        <v>12511.3</v>
      </c>
      <c r="T72" s="106">
        <v>0.0</v>
      </c>
      <c r="U72" s="90"/>
      <c r="V72" s="268">
        <v>942168.6</v>
      </c>
      <c r="W72" s="62" t="s">
        <v>4</v>
      </c>
      <c r="X72" s="203"/>
      <c r="Y72" s="167" t="s">
        <v>365</v>
      </c>
      <c r="Z72" s="239" t="s">
        <v>85</v>
      </c>
      <c r="AA72" s="144">
        <v>19.0</v>
      </c>
      <c r="AB72" s="146"/>
      <c r="AC72" s="290"/>
      <c r="AD72" s="270"/>
      <c r="AE72" s="268" t="s">
        <v>367</v>
      </c>
      <c r="AF72" s="271" t="s">
        <v>68</v>
      </c>
      <c r="AG72" s="146"/>
      <c r="AH72" s="146"/>
      <c r="AI72" s="146"/>
      <c r="AJ72" s="146"/>
      <c r="AK72" s="146"/>
      <c r="AL72" s="146"/>
      <c r="AM72" s="146"/>
      <c r="AN72" s="146"/>
      <c r="AO72" s="147"/>
      <c r="AP72" s="280" t="s">
        <v>369</v>
      </c>
      <c r="AQ72" s="203"/>
      <c r="AR72" s="206"/>
    </row>
    <row r="73">
      <c r="A73" s="62">
        <v>71.0</v>
      </c>
      <c r="B73" s="62" t="s">
        <v>371</v>
      </c>
      <c r="C73" s="67">
        <v>2604106.0</v>
      </c>
      <c r="D73" s="72" t="s">
        <v>315</v>
      </c>
      <c r="E73" s="62" t="s">
        <v>317</v>
      </c>
      <c r="F73" s="62" t="s">
        <v>457</v>
      </c>
      <c r="G73" s="90">
        <f t="shared" si="1"/>
        <v>636644.72</v>
      </c>
      <c r="H73" s="90">
        <f t="shared" si="2"/>
        <v>649781.66</v>
      </c>
      <c r="I73" s="169"/>
      <c r="J73" s="169"/>
      <c r="K73" s="169"/>
      <c r="L73" s="101"/>
      <c r="M73" s="101"/>
      <c r="N73" s="101"/>
      <c r="O73" s="101">
        <v>0.0</v>
      </c>
      <c r="P73" s="102">
        <v>0.0</v>
      </c>
      <c r="Q73" s="104">
        <v>0.0</v>
      </c>
      <c r="R73" s="101">
        <v>636644.72</v>
      </c>
      <c r="S73" s="105">
        <v>13136.94</v>
      </c>
      <c r="T73" s="167">
        <v>0.0</v>
      </c>
      <c r="U73" s="90"/>
      <c r="V73" s="274">
        <v>636644.72</v>
      </c>
      <c r="W73" s="62" t="s">
        <v>4</v>
      </c>
      <c r="X73" s="203"/>
      <c r="Y73" s="106" t="s">
        <v>373</v>
      </c>
      <c r="Z73" s="239" t="s">
        <v>153</v>
      </c>
      <c r="AA73" s="120">
        <v>19.0</v>
      </c>
      <c r="AB73" s="121"/>
      <c r="AC73" s="289"/>
      <c r="AD73" s="275"/>
      <c r="AE73" s="274" t="s">
        <v>375</v>
      </c>
      <c r="AF73" s="276" t="s">
        <v>68</v>
      </c>
      <c r="AG73" s="121"/>
      <c r="AH73" s="121"/>
      <c r="AI73" s="121"/>
      <c r="AJ73" s="121"/>
      <c r="AK73" s="121"/>
      <c r="AL73" s="121"/>
      <c r="AM73" s="121"/>
      <c r="AN73" s="121"/>
      <c r="AO73" s="124"/>
      <c r="AP73" s="282" t="s">
        <v>377</v>
      </c>
      <c r="AQ73" s="203"/>
      <c r="AR73" s="206"/>
    </row>
    <row r="74">
      <c r="A74" s="62">
        <v>72.0</v>
      </c>
      <c r="B74" s="62" t="s">
        <v>379</v>
      </c>
      <c r="C74" s="67">
        <v>2606804.0</v>
      </c>
      <c r="D74" s="72" t="s">
        <v>442</v>
      </c>
      <c r="E74" s="62" t="s">
        <v>104</v>
      </c>
      <c r="F74" s="62" t="s">
        <v>457</v>
      </c>
      <c r="G74" s="90">
        <f t="shared" si="1"/>
        <v>672332.12</v>
      </c>
      <c r="H74" s="90">
        <f t="shared" si="2"/>
        <v>679872.61</v>
      </c>
      <c r="I74" s="287"/>
      <c r="J74" s="287"/>
      <c r="K74" s="287"/>
      <c r="L74" s="135"/>
      <c r="M74" s="135"/>
      <c r="N74" s="135"/>
      <c r="O74" s="135">
        <v>0.0</v>
      </c>
      <c r="P74" s="137">
        <v>0.0</v>
      </c>
      <c r="Q74" s="138">
        <v>0.0</v>
      </c>
      <c r="R74" s="135">
        <v>672332.12</v>
      </c>
      <c r="S74" s="140">
        <v>7540.49</v>
      </c>
      <c r="T74" s="106">
        <v>0.0</v>
      </c>
      <c r="U74" s="90"/>
      <c r="V74" s="268">
        <v>672332.12</v>
      </c>
      <c r="W74" s="62" t="s">
        <v>4</v>
      </c>
      <c r="X74" s="203"/>
      <c r="Y74" s="167" t="s">
        <v>381</v>
      </c>
      <c r="Z74" s="239" t="s">
        <v>85</v>
      </c>
      <c r="AA74" s="144">
        <v>19.0</v>
      </c>
      <c r="AB74" s="146"/>
      <c r="AC74" s="290"/>
      <c r="AD74" s="270"/>
      <c r="AE74" s="268" t="s">
        <v>383</v>
      </c>
      <c r="AF74" s="271" t="s">
        <v>68</v>
      </c>
      <c r="AG74" s="146"/>
      <c r="AH74" s="146"/>
      <c r="AI74" s="146"/>
      <c r="AJ74" s="146"/>
      <c r="AK74" s="146"/>
      <c r="AL74" s="146"/>
      <c r="AM74" s="146"/>
      <c r="AN74" s="146"/>
      <c r="AO74" s="147"/>
      <c r="AP74" s="292" t="s">
        <v>385</v>
      </c>
      <c r="AQ74" s="203"/>
      <c r="AR74" s="206"/>
    </row>
    <row r="75">
      <c r="A75" s="62">
        <v>73.0</v>
      </c>
      <c r="B75" s="62" t="s">
        <v>386</v>
      </c>
      <c r="C75" s="67">
        <v>2611606.0</v>
      </c>
      <c r="D75" s="72" t="s">
        <v>96</v>
      </c>
      <c r="E75" s="62" t="s">
        <v>104</v>
      </c>
      <c r="F75" s="62" t="s">
        <v>452</v>
      </c>
      <c r="G75" s="90">
        <f t="shared" si="1"/>
        <v>0</v>
      </c>
      <c r="H75" s="90">
        <f t="shared" si="2"/>
        <v>10329.74</v>
      </c>
      <c r="I75" s="169"/>
      <c r="J75" s="169"/>
      <c r="K75" s="169"/>
      <c r="L75" s="101"/>
      <c r="M75" s="101"/>
      <c r="N75" s="101"/>
      <c r="O75" s="101">
        <v>0.0</v>
      </c>
      <c r="P75" s="102">
        <v>0.0</v>
      </c>
      <c r="Q75" s="104">
        <v>0.0</v>
      </c>
      <c r="R75" s="101"/>
      <c r="S75" s="105">
        <v>10329.74</v>
      </c>
      <c r="T75" s="167">
        <v>0.0</v>
      </c>
      <c r="U75" s="90"/>
      <c r="V75" s="274"/>
      <c r="W75" s="62" t="s">
        <v>4</v>
      </c>
      <c r="X75" s="203"/>
      <c r="Y75" s="106" t="s">
        <v>388</v>
      </c>
      <c r="Z75" s="239" t="s">
        <v>85</v>
      </c>
      <c r="AA75" s="120" t="s">
        <v>390</v>
      </c>
      <c r="AB75" s="121"/>
      <c r="AC75" s="289"/>
      <c r="AD75" s="275"/>
      <c r="AE75" s="274" t="s">
        <v>392</v>
      </c>
      <c r="AF75" s="276">
        <v>54.0</v>
      </c>
      <c r="AG75" s="121"/>
      <c r="AH75" s="120">
        <v>36.0</v>
      </c>
      <c r="AI75" s="121"/>
      <c r="AJ75" s="121"/>
      <c r="AK75" s="121"/>
      <c r="AL75" s="120">
        <v>18.0</v>
      </c>
      <c r="AM75" s="121"/>
      <c r="AN75" s="121"/>
      <c r="AO75" s="124"/>
      <c r="AP75" s="277" t="s">
        <v>458</v>
      </c>
      <c r="AQ75" s="203"/>
      <c r="AR75" s="206"/>
    </row>
    <row r="76">
      <c r="A76" s="62">
        <v>74.0</v>
      </c>
      <c r="B76" s="62" t="s">
        <v>459</v>
      </c>
      <c r="C76" s="67">
        <v>2609402.0</v>
      </c>
      <c r="D76" s="72" t="s">
        <v>460</v>
      </c>
      <c r="E76" s="62" t="s">
        <v>104</v>
      </c>
      <c r="F76" s="62" t="s">
        <v>461</v>
      </c>
      <c r="G76" s="90">
        <f t="shared" si="1"/>
        <v>17941444</v>
      </c>
      <c r="H76" s="90">
        <f t="shared" si="2"/>
        <v>0</v>
      </c>
      <c r="I76" s="90"/>
      <c r="J76" s="90"/>
      <c r="K76" s="90"/>
      <c r="L76" s="135"/>
      <c r="M76" s="135"/>
      <c r="N76" s="135"/>
      <c r="O76" s="135">
        <v>0.0</v>
      </c>
      <c r="P76" s="137">
        <v>1.3721444E7</v>
      </c>
      <c r="Q76" s="138">
        <v>4220000.0</v>
      </c>
      <c r="R76" s="135"/>
      <c r="S76" s="140">
        <v>0.0</v>
      </c>
      <c r="T76" s="106">
        <v>0.0</v>
      </c>
      <c r="U76" s="90"/>
      <c r="V76" s="268"/>
      <c r="W76" s="203"/>
      <c r="X76" s="203"/>
      <c r="Y76" s="203"/>
      <c r="Z76" s="293" t="s">
        <v>85</v>
      </c>
      <c r="AA76" s="203"/>
      <c r="AB76" s="197">
        <v>24.0</v>
      </c>
      <c r="AC76" s="294" t="s">
        <v>462</v>
      </c>
      <c r="AD76" s="203"/>
      <c r="AE76" s="203"/>
      <c r="AF76" s="203"/>
      <c r="AG76" s="203"/>
      <c r="AH76" s="203"/>
      <c r="AI76" s="203"/>
      <c r="AJ76" s="203"/>
      <c r="AK76" s="203"/>
      <c r="AL76" s="203"/>
      <c r="AM76" s="203"/>
      <c r="AN76" s="203"/>
      <c r="AO76" s="203"/>
      <c r="AP76" s="203"/>
      <c r="AQ76" s="203"/>
      <c r="AR76" s="206"/>
    </row>
    <row r="77">
      <c r="A77" s="62">
        <v>75.0</v>
      </c>
      <c r="B77" s="62" t="s">
        <v>463</v>
      </c>
      <c r="C77" s="67">
        <v>2611606.0</v>
      </c>
      <c r="D77" s="72" t="s">
        <v>96</v>
      </c>
      <c r="E77" s="62" t="s">
        <v>104</v>
      </c>
      <c r="F77" s="62" t="s">
        <v>461</v>
      </c>
      <c r="G77" s="90">
        <f t="shared" si="1"/>
        <v>0</v>
      </c>
      <c r="H77" s="90">
        <f t="shared" si="2"/>
        <v>0</v>
      </c>
      <c r="I77" s="90"/>
      <c r="J77" s="90"/>
      <c r="K77" s="90"/>
      <c r="L77" s="101"/>
      <c r="M77" s="101"/>
      <c r="N77" s="101"/>
      <c r="O77" s="101">
        <v>0.0</v>
      </c>
      <c r="P77" s="102">
        <v>0.0</v>
      </c>
      <c r="Q77" s="104">
        <v>0.0</v>
      </c>
      <c r="R77" s="101"/>
      <c r="S77" s="105">
        <v>0.0</v>
      </c>
      <c r="T77" s="167">
        <v>0.0</v>
      </c>
      <c r="U77" s="90"/>
      <c r="V77" s="268"/>
      <c r="W77" s="203"/>
      <c r="X77" s="203"/>
      <c r="Y77" s="203"/>
      <c r="Z77" s="293" t="s">
        <v>85</v>
      </c>
      <c r="AA77" s="203"/>
      <c r="AB77" s="192">
        <v>28.0</v>
      </c>
      <c r="AC77" s="295" t="s">
        <v>464</v>
      </c>
      <c r="AD77" s="203"/>
      <c r="AE77" s="203"/>
      <c r="AF77" s="203"/>
      <c r="AG77" s="203"/>
      <c r="AH77" s="203"/>
      <c r="AI77" s="203"/>
      <c r="AJ77" s="203"/>
      <c r="AK77" s="203"/>
      <c r="AL77" s="203"/>
      <c r="AM77" s="203"/>
      <c r="AN77" s="203"/>
      <c r="AO77" s="203"/>
      <c r="AP77" s="203"/>
      <c r="AQ77" s="203"/>
      <c r="AR77" s="206"/>
    </row>
    <row r="78">
      <c r="A78" s="62">
        <v>76.0</v>
      </c>
      <c r="B78" s="62" t="s">
        <v>465</v>
      </c>
      <c r="C78" s="67">
        <v>2611606.0</v>
      </c>
      <c r="D78" s="72" t="s">
        <v>96</v>
      </c>
      <c r="E78" s="62" t="s">
        <v>104</v>
      </c>
      <c r="F78" s="62" t="s">
        <v>461</v>
      </c>
      <c r="G78" s="90">
        <f t="shared" si="1"/>
        <v>780000</v>
      </c>
      <c r="H78" s="90">
        <f t="shared" si="2"/>
        <v>0</v>
      </c>
      <c r="I78" s="90"/>
      <c r="J78" s="90"/>
      <c r="K78" s="90"/>
      <c r="L78" s="135"/>
      <c r="M78" s="135"/>
      <c r="N78" s="135"/>
      <c r="O78" s="135">
        <v>0.0</v>
      </c>
      <c r="P78" s="137">
        <v>680000.0</v>
      </c>
      <c r="Q78" s="138">
        <v>100000.0</v>
      </c>
      <c r="R78" s="135"/>
      <c r="S78" s="140">
        <v>0.0</v>
      </c>
      <c r="T78" s="106">
        <v>0.0</v>
      </c>
      <c r="U78" s="90"/>
      <c r="V78" s="274"/>
      <c r="W78" s="203"/>
      <c r="X78" s="203"/>
      <c r="Y78" s="203"/>
      <c r="Z78" s="293" t="s">
        <v>85</v>
      </c>
      <c r="AA78" s="203"/>
      <c r="AB78" s="197">
        <v>100.0</v>
      </c>
      <c r="AC78" s="294" t="s">
        <v>466</v>
      </c>
      <c r="AD78" s="203"/>
      <c r="AE78" s="203"/>
      <c r="AF78" s="203"/>
      <c r="AG78" s="203"/>
      <c r="AH78" s="203"/>
      <c r="AI78" s="203"/>
      <c r="AJ78" s="203"/>
      <c r="AK78" s="203"/>
      <c r="AL78" s="203"/>
      <c r="AM78" s="203"/>
      <c r="AN78" s="203"/>
      <c r="AO78" s="203"/>
      <c r="AP78" s="203"/>
      <c r="AQ78" s="203"/>
      <c r="AR78" s="206"/>
    </row>
    <row r="79">
      <c r="A79" s="62">
        <v>77.0</v>
      </c>
      <c r="B79" s="62" t="s">
        <v>467</v>
      </c>
      <c r="C79" s="67">
        <v>2611606.0</v>
      </c>
      <c r="D79" s="72" t="s">
        <v>96</v>
      </c>
      <c r="E79" s="62" t="s">
        <v>104</v>
      </c>
      <c r="F79" s="62" t="s">
        <v>461</v>
      </c>
      <c r="G79" s="90">
        <f t="shared" si="1"/>
        <v>0</v>
      </c>
      <c r="H79" s="90">
        <f t="shared" si="2"/>
        <v>0</v>
      </c>
      <c r="I79" s="90"/>
      <c r="J79" s="90"/>
      <c r="K79" s="90"/>
      <c r="L79" s="101"/>
      <c r="M79" s="101"/>
      <c r="N79" s="101"/>
      <c r="O79" s="101">
        <v>0.0</v>
      </c>
      <c r="P79" s="102">
        <v>0.0</v>
      </c>
      <c r="Q79" s="104">
        <v>0.0</v>
      </c>
      <c r="R79" s="101"/>
      <c r="S79" s="105">
        <v>0.0</v>
      </c>
      <c r="T79" s="167">
        <v>0.0</v>
      </c>
      <c r="U79" s="90"/>
      <c r="V79" s="268"/>
      <c r="W79" s="203"/>
      <c r="X79" s="203"/>
      <c r="Y79" s="203"/>
      <c r="Z79" s="293" t="s">
        <v>85</v>
      </c>
      <c r="AA79" s="203"/>
      <c r="AB79" s="192">
        <v>20.0</v>
      </c>
      <c r="AC79" s="295" t="s">
        <v>462</v>
      </c>
      <c r="AD79" s="203"/>
      <c r="AE79" s="203"/>
      <c r="AF79" s="203"/>
      <c r="AG79" s="203"/>
      <c r="AH79" s="203"/>
      <c r="AI79" s="203"/>
      <c r="AJ79" s="203"/>
      <c r="AK79" s="203"/>
      <c r="AL79" s="203"/>
      <c r="AM79" s="203"/>
      <c r="AN79" s="203"/>
      <c r="AO79" s="203"/>
      <c r="AP79" s="203"/>
      <c r="AQ79" s="203"/>
      <c r="AR79" s="206"/>
    </row>
    <row r="80">
      <c r="A80" s="62">
        <v>78.0</v>
      </c>
      <c r="B80" s="62" t="s">
        <v>468</v>
      </c>
      <c r="C80" s="67">
        <v>2611606.0</v>
      </c>
      <c r="D80" s="72" t="s">
        <v>96</v>
      </c>
      <c r="E80" s="62" t="s">
        <v>104</v>
      </c>
      <c r="F80" s="62" t="s">
        <v>461</v>
      </c>
      <c r="G80" s="90">
        <f t="shared" si="1"/>
        <v>4124290</v>
      </c>
      <c r="H80" s="90">
        <f t="shared" si="2"/>
        <v>0</v>
      </c>
      <c r="I80" s="90"/>
      <c r="J80" s="90"/>
      <c r="K80" s="90"/>
      <c r="L80" s="135"/>
      <c r="M80" s="135"/>
      <c r="N80" s="135"/>
      <c r="O80" s="135">
        <v>0.0</v>
      </c>
      <c r="P80" s="137">
        <v>400000.0</v>
      </c>
      <c r="Q80" s="138">
        <v>3724290.0</v>
      </c>
      <c r="R80" s="135"/>
      <c r="S80" s="140">
        <v>0.0</v>
      </c>
      <c r="T80" s="106">
        <v>0.0</v>
      </c>
      <c r="U80" s="90"/>
      <c r="V80" s="274"/>
      <c r="W80" s="203"/>
      <c r="X80" s="203"/>
      <c r="Y80" s="203"/>
      <c r="Z80" s="293" t="s">
        <v>85</v>
      </c>
      <c r="AA80" s="203"/>
      <c r="AB80" s="197">
        <v>16.0</v>
      </c>
      <c r="AC80" s="294" t="s">
        <v>469</v>
      </c>
      <c r="AD80" s="203"/>
      <c r="AE80" s="203"/>
      <c r="AF80" s="203"/>
      <c r="AG80" s="203"/>
      <c r="AH80" s="203"/>
      <c r="AI80" s="203"/>
      <c r="AJ80" s="203"/>
      <c r="AK80" s="203"/>
      <c r="AL80" s="203"/>
      <c r="AM80" s="203"/>
      <c r="AN80" s="203"/>
      <c r="AO80" s="203"/>
      <c r="AP80" s="203"/>
      <c r="AQ80" s="203"/>
      <c r="AR80" s="206"/>
    </row>
    <row r="81">
      <c r="A81" s="62">
        <v>79.0</v>
      </c>
      <c r="B81" s="62" t="s">
        <v>470</v>
      </c>
      <c r="C81" s="67">
        <v>2611606.0</v>
      </c>
      <c r="D81" s="72" t="s">
        <v>96</v>
      </c>
      <c r="E81" s="62" t="s">
        <v>104</v>
      </c>
      <c r="F81" s="62" t="s">
        <v>461</v>
      </c>
      <c r="G81" s="90">
        <f t="shared" si="1"/>
        <v>6201734</v>
      </c>
      <c r="H81" s="90">
        <f t="shared" si="2"/>
        <v>0</v>
      </c>
      <c r="I81" s="90"/>
      <c r="J81" s="90"/>
      <c r="K81" s="90"/>
      <c r="L81" s="101"/>
      <c r="M81" s="101"/>
      <c r="N81" s="101"/>
      <c r="O81" s="101">
        <v>0.0</v>
      </c>
      <c r="P81" s="102">
        <v>2336014.0</v>
      </c>
      <c r="Q81" s="104">
        <v>3865720.0</v>
      </c>
      <c r="R81" s="101"/>
      <c r="S81" s="105">
        <v>0.0</v>
      </c>
      <c r="T81" s="167">
        <v>0.0</v>
      </c>
      <c r="U81" s="90"/>
      <c r="V81" s="268"/>
      <c r="W81" s="203"/>
      <c r="X81" s="203"/>
      <c r="Y81" s="203"/>
      <c r="Z81" s="293" t="s">
        <v>85</v>
      </c>
      <c r="AA81" s="203"/>
      <c r="AB81" s="192">
        <v>29.0</v>
      </c>
      <c r="AC81" s="295" t="s">
        <v>471</v>
      </c>
      <c r="AD81" s="203"/>
      <c r="AE81" s="203"/>
      <c r="AF81" s="203"/>
      <c r="AG81" s="203"/>
      <c r="AH81" s="203"/>
      <c r="AI81" s="203"/>
      <c r="AJ81" s="203"/>
      <c r="AK81" s="203"/>
      <c r="AL81" s="203"/>
      <c r="AM81" s="203"/>
      <c r="AN81" s="203"/>
      <c r="AO81" s="203"/>
      <c r="AP81" s="203"/>
      <c r="AQ81" s="203"/>
      <c r="AR81" s="206"/>
    </row>
    <row r="82">
      <c r="A82" s="62">
        <v>80.0</v>
      </c>
      <c r="B82" s="62" t="s">
        <v>472</v>
      </c>
      <c r="C82" s="67">
        <v>2611606.0</v>
      </c>
      <c r="D82" s="72" t="s">
        <v>96</v>
      </c>
      <c r="E82" s="62" t="s">
        <v>104</v>
      </c>
      <c r="F82" s="62" t="s">
        <v>461</v>
      </c>
      <c r="G82" s="90">
        <f t="shared" si="1"/>
        <v>47400744.7</v>
      </c>
      <c r="H82" s="90">
        <f t="shared" si="2"/>
        <v>0</v>
      </c>
      <c r="I82" s="90"/>
      <c r="J82" s="90"/>
      <c r="K82" s="90"/>
      <c r="L82" s="135"/>
      <c r="M82" s="135"/>
      <c r="N82" s="135"/>
      <c r="O82" s="135">
        <v>0.0</v>
      </c>
      <c r="P82" s="137">
        <v>5416372.0</v>
      </c>
      <c r="Q82" s="138">
        <v>4.19843727E7</v>
      </c>
      <c r="R82" s="135"/>
      <c r="S82" s="140">
        <v>0.0</v>
      </c>
      <c r="T82" s="106">
        <v>0.0</v>
      </c>
      <c r="U82" s="90"/>
      <c r="V82" s="274"/>
      <c r="W82" s="203"/>
      <c r="X82" s="203"/>
      <c r="Y82" s="203"/>
      <c r="Z82" s="293" t="s">
        <v>85</v>
      </c>
      <c r="AA82" s="203"/>
      <c r="AB82" s="197">
        <v>20.0</v>
      </c>
      <c r="AC82" s="294" t="s">
        <v>473</v>
      </c>
      <c r="AD82" s="203"/>
      <c r="AE82" s="203"/>
      <c r="AF82" s="203"/>
      <c r="AG82" s="203"/>
      <c r="AH82" s="203"/>
      <c r="AI82" s="203"/>
      <c r="AJ82" s="203"/>
      <c r="AK82" s="203"/>
      <c r="AL82" s="203"/>
      <c r="AM82" s="203"/>
      <c r="AN82" s="203"/>
      <c r="AO82" s="203"/>
      <c r="AP82" s="203"/>
      <c r="AQ82" s="203"/>
      <c r="AR82" s="206"/>
    </row>
    <row r="83">
      <c r="A83" s="62">
        <v>81.0</v>
      </c>
      <c r="B83" s="62" t="s">
        <v>474</v>
      </c>
      <c r="C83" s="67">
        <v>2611606.0</v>
      </c>
      <c r="D83" s="72" t="s">
        <v>96</v>
      </c>
      <c r="E83" s="62" t="s">
        <v>104</v>
      </c>
      <c r="F83" s="62" t="s">
        <v>461</v>
      </c>
      <c r="G83" s="90">
        <f t="shared" si="1"/>
        <v>3000000</v>
      </c>
      <c r="H83" s="90">
        <f t="shared" si="2"/>
        <v>0</v>
      </c>
      <c r="I83" s="90"/>
      <c r="J83" s="90"/>
      <c r="K83" s="90"/>
      <c r="L83" s="101"/>
      <c r="M83" s="101"/>
      <c r="N83" s="101"/>
      <c r="O83" s="101">
        <v>0.0</v>
      </c>
      <c r="P83" s="102">
        <v>0.0</v>
      </c>
      <c r="Q83" s="104">
        <v>3000000.0</v>
      </c>
      <c r="R83" s="101"/>
      <c r="S83" s="105">
        <v>0.0</v>
      </c>
      <c r="T83" s="167">
        <v>0.0</v>
      </c>
      <c r="U83" s="90"/>
      <c r="V83" s="268"/>
      <c r="W83" s="203"/>
      <c r="X83" s="203"/>
      <c r="Y83" s="203"/>
      <c r="Z83" s="293" t="s">
        <v>85</v>
      </c>
      <c r="AA83" s="203"/>
      <c r="AB83" s="192">
        <v>6.0</v>
      </c>
      <c r="AC83" s="295" t="s">
        <v>475</v>
      </c>
      <c r="AD83" s="203"/>
      <c r="AE83" s="203"/>
      <c r="AF83" s="203"/>
      <c r="AG83" s="203"/>
      <c r="AH83" s="203"/>
      <c r="AI83" s="203"/>
      <c r="AJ83" s="203"/>
      <c r="AK83" s="203"/>
      <c r="AL83" s="203"/>
      <c r="AM83" s="203"/>
      <c r="AN83" s="203"/>
      <c r="AO83" s="203"/>
      <c r="AP83" s="203"/>
      <c r="AQ83" s="203"/>
      <c r="AR83" s="206"/>
    </row>
    <row r="84">
      <c r="A84" s="62">
        <v>82.0</v>
      </c>
      <c r="B84" s="62" t="s">
        <v>476</v>
      </c>
      <c r="C84" s="67">
        <v>2609600.0</v>
      </c>
      <c r="D84" s="72" t="s">
        <v>412</v>
      </c>
      <c r="E84" s="62" t="s">
        <v>104</v>
      </c>
      <c r="F84" s="62" t="s">
        <v>461</v>
      </c>
      <c r="G84" s="90">
        <f t="shared" si="1"/>
        <v>1770022</v>
      </c>
      <c r="H84" s="90">
        <f t="shared" si="2"/>
        <v>0</v>
      </c>
      <c r="I84" s="90"/>
      <c r="J84" s="90"/>
      <c r="K84" s="90"/>
      <c r="L84" s="135"/>
      <c r="M84" s="135"/>
      <c r="N84" s="135"/>
      <c r="O84" s="135">
        <v>0.0</v>
      </c>
      <c r="P84" s="137">
        <v>1270022.0</v>
      </c>
      <c r="Q84" s="138">
        <v>500000.0</v>
      </c>
      <c r="R84" s="135"/>
      <c r="S84" s="140">
        <v>0.0</v>
      </c>
      <c r="T84" s="106">
        <v>0.0</v>
      </c>
      <c r="U84" s="90"/>
      <c r="V84" s="274"/>
      <c r="W84" s="203"/>
      <c r="X84" s="203"/>
      <c r="Y84" s="203"/>
      <c r="Z84" s="293" t="s">
        <v>85</v>
      </c>
      <c r="AA84" s="203"/>
      <c r="AB84" s="197">
        <v>12.0</v>
      </c>
      <c r="AC84" s="294" t="s">
        <v>477</v>
      </c>
      <c r="AD84" s="203"/>
      <c r="AE84" s="203"/>
      <c r="AF84" s="203"/>
      <c r="AG84" s="203"/>
      <c r="AH84" s="203"/>
      <c r="AI84" s="203"/>
      <c r="AJ84" s="203"/>
      <c r="AK84" s="203"/>
      <c r="AL84" s="203"/>
      <c r="AM84" s="203"/>
      <c r="AN84" s="203"/>
      <c r="AO84" s="203"/>
      <c r="AP84" s="203"/>
      <c r="AQ84" s="203"/>
      <c r="AR84" s="206"/>
    </row>
    <row r="85">
      <c r="A85" s="62">
        <v>83.0</v>
      </c>
      <c r="B85" s="62" t="s">
        <v>478</v>
      </c>
      <c r="C85" s="67">
        <v>2616407.0</v>
      </c>
      <c r="D85" s="72" t="s">
        <v>417</v>
      </c>
      <c r="E85" s="62" t="s">
        <v>418</v>
      </c>
      <c r="F85" s="62" t="s">
        <v>461</v>
      </c>
      <c r="G85" s="90">
        <f t="shared" si="1"/>
        <v>2455032</v>
      </c>
      <c r="H85" s="90">
        <f t="shared" si="2"/>
        <v>0</v>
      </c>
      <c r="I85" s="90"/>
      <c r="J85" s="90"/>
      <c r="K85" s="90"/>
      <c r="L85" s="101"/>
      <c r="M85" s="101"/>
      <c r="N85" s="101"/>
      <c r="O85" s="101">
        <v>0.0</v>
      </c>
      <c r="P85" s="102">
        <v>1526100.0</v>
      </c>
      <c r="Q85" s="104">
        <v>928932.0</v>
      </c>
      <c r="R85" s="101"/>
      <c r="S85" s="105">
        <v>0.0</v>
      </c>
      <c r="T85" s="167">
        <v>0.0</v>
      </c>
      <c r="U85" s="90"/>
      <c r="V85" s="268"/>
      <c r="W85" s="203"/>
      <c r="X85" s="203"/>
      <c r="Y85" s="203"/>
      <c r="Z85" s="293" t="s">
        <v>85</v>
      </c>
      <c r="AA85" s="203"/>
      <c r="AB85" s="192">
        <v>94.0</v>
      </c>
      <c r="AC85" s="295" t="s">
        <v>479</v>
      </c>
      <c r="AD85" s="203"/>
      <c r="AE85" s="203"/>
      <c r="AF85" s="203"/>
      <c r="AG85" s="203"/>
      <c r="AH85" s="203"/>
      <c r="AI85" s="203"/>
      <c r="AJ85" s="203"/>
      <c r="AK85" s="203"/>
      <c r="AL85" s="203"/>
      <c r="AM85" s="203"/>
      <c r="AN85" s="203"/>
      <c r="AO85" s="203"/>
      <c r="AP85" s="203"/>
      <c r="AQ85" s="203"/>
      <c r="AR85" s="206"/>
    </row>
    <row r="86">
      <c r="A86" s="62">
        <v>84.0</v>
      </c>
      <c r="B86" s="62" t="s">
        <v>480</v>
      </c>
      <c r="C86" s="67">
        <v>2616407.0</v>
      </c>
      <c r="D86" s="72" t="s">
        <v>417</v>
      </c>
      <c r="E86" s="62" t="s">
        <v>418</v>
      </c>
      <c r="F86" s="62" t="s">
        <v>461</v>
      </c>
      <c r="G86" s="90">
        <f t="shared" si="1"/>
        <v>2961300</v>
      </c>
      <c r="H86" s="90">
        <f t="shared" si="2"/>
        <v>0</v>
      </c>
      <c r="I86" s="90"/>
      <c r="J86" s="90"/>
      <c r="K86" s="90"/>
      <c r="L86" s="135"/>
      <c r="M86" s="135"/>
      <c r="N86" s="135"/>
      <c r="O86" s="135">
        <v>0.0</v>
      </c>
      <c r="P86" s="137">
        <v>2961300.0</v>
      </c>
      <c r="Q86" s="138">
        <v>0.0</v>
      </c>
      <c r="R86" s="135"/>
      <c r="S86" s="140">
        <v>0.0</v>
      </c>
      <c r="T86" s="106">
        <v>0.0</v>
      </c>
      <c r="U86" s="90"/>
      <c r="V86" s="274"/>
      <c r="W86" s="203"/>
      <c r="X86" s="203"/>
      <c r="Y86" s="203"/>
      <c r="Z86" s="293" t="s">
        <v>85</v>
      </c>
      <c r="AA86" s="203"/>
      <c r="AB86" s="197">
        <v>14.0</v>
      </c>
      <c r="AC86" s="294" t="s">
        <v>481</v>
      </c>
      <c r="AD86" s="203"/>
      <c r="AE86" s="203"/>
      <c r="AF86" s="203"/>
      <c r="AG86" s="203"/>
      <c r="AH86" s="203"/>
      <c r="AI86" s="203"/>
      <c r="AJ86" s="203"/>
      <c r="AK86" s="203"/>
      <c r="AL86" s="203"/>
      <c r="AM86" s="203"/>
      <c r="AN86" s="203"/>
      <c r="AO86" s="203"/>
      <c r="AP86" s="203"/>
      <c r="AQ86" s="203"/>
      <c r="AR86" s="206"/>
    </row>
    <row r="87">
      <c r="A87" s="62">
        <v>85.0</v>
      </c>
      <c r="B87" s="62" t="s">
        <v>482</v>
      </c>
      <c r="C87" s="67">
        <v>2608909.0</v>
      </c>
      <c r="D87" s="72" t="s">
        <v>436</v>
      </c>
      <c r="E87" s="62" t="s">
        <v>437</v>
      </c>
      <c r="F87" s="62" t="s">
        <v>461</v>
      </c>
      <c r="G87" s="90">
        <f t="shared" si="1"/>
        <v>0</v>
      </c>
      <c r="H87" s="90">
        <f t="shared" si="2"/>
        <v>0</v>
      </c>
      <c r="I87" s="90"/>
      <c r="J87" s="90"/>
      <c r="K87" s="90"/>
      <c r="L87" s="101"/>
      <c r="M87" s="101"/>
      <c r="N87" s="101"/>
      <c r="O87" s="101">
        <v>0.0</v>
      </c>
      <c r="P87" s="102">
        <v>0.0</v>
      </c>
      <c r="Q87" s="104">
        <v>0.0</v>
      </c>
      <c r="R87" s="101"/>
      <c r="S87" s="105">
        <v>0.0</v>
      </c>
      <c r="T87" s="167">
        <v>0.0</v>
      </c>
      <c r="U87" s="90"/>
      <c r="V87" s="268"/>
      <c r="W87" s="203"/>
      <c r="X87" s="203"/>
      <c r="Y87" s="203"/>
      <c r="Z87" s="293" t="s">
        <v>99</v>
      </c>
      <c r="AA87" s="203"/>
      <c r="AB87" s="192">
        <v>10.0</v>
      </c>
      <c r="AC87" s="295" t="s">
        <v>483</v>
      </c>
      <c r="AD87" s="203"/>
      <c r="AE87" s="203"/>
      <c r="AF87" s="203"/>
      <c r="AG87" s="203"/>
      <c r="AH87" s="203"/>
      <c r="AI87" s="203"/>
      <c r="AJ87" s="203"/>
      <c r="AK87" s="203"/>
      <c r="AL87" s="203"/>
      <c r="AM87" s="203"/>
      <c r="AN87" s="203"/>
      <c r="AO87" s="203"/>
      <c r="AP87" s="203"/>
      <c r="AQ87" s="203"/>
      <c r="AR87" s="206"/>
    </row>
    <row r="88">
      <c r="A88" s="62">
        <v>86.0</v>
      </c>
      <c r="B88" s="62" t="s">
        <v>484</v>
      </c>
      <c r="C88" s="67">
        <v>2614501.0</v>
      </c>
      <c r="D88" s="72" t="s">
        <v>485</v>
      </c>
      <c r="E88" s="62" t="s">
        <v>437</v>
      </c>
      <c r="F88" s="62" t="s">
        <v>461</v>
      </c>
      <c r="G88" s="90">
        <f t="shared" si="1"/>
        <v>1200000</v>
      </c>
      <c r="H88" s="90">
        <f t="shared" si="2"/>
        <v>0</v>
      </c>
      <c r="I88" s="90"/>
      <c r="J88" s="90"/>
      <c r="K88" s="90"/>
      <c r="L88" s="135"/>
      <c r="M88" s="135"/>
      <c r="N88" s="135"/>
      <c r="O88" s="135">
        <v>0.0</v>
      </c>
      <c r="P88" s="137">
        <v>1200000.0</v>
      </c>
      <c r="Q88" s="138">
        <v>0.0</v>
      </c>
      <c r="R88" s="135"/>
      <c r="S88" s="140">
        <v>0.0</v>
      </c>
      <c r="T88" s="106">
        <v>0.0</v>
      </c>
      <c r="U88" s="90"/>
      <c r="V88" s="274"/>
      <c r="W88" s="203"/>
      <c r="X88" s="203"/>
      <c r="Y88" s="203"/>
      <c r="Z88" s="293" t="s">
        <v>99</v>
      </c>
      <c r="AA88" s="203"/>
      <c r="AB88" s="197">
        <v>10.0</v>
      </c>
      <c r="AC88" s="294" t="s">
        <v>475</v>
      </c>
      <c r="AD88" s="203"/>
      <c r="AE88" s="203"/>
      <c r="AF88" s="203"/>
      <c r="AG88" s="203"/>
      <c r="AH88" s="203"/>
      <c r="AI88" s="203"/>
      <c r="AJ88" s="203"/>
      <c r="AK88" s="203"/>
      <c r="AL88" s="203"/>
      <c r="AM88" s="203"/>
      <c r="AN88" s="203"/>
      <c r="AO88" s="203"/>
      <c r="AP88" s="203"/>
      <c r="AQ88" s="203"/>
      <c r="AR88" s="206"/>
    </row>
    <row r="89">
      <c r="A89" s="62">
        <v>87.0</v>
      </c>
      <c r="B89" s="62" t="s">
        <v>486</v>
      </c>
      <c r="C89" s="67">
        <v>2610004.0</v>
      </c>
      <c r="D89" s="72" t="s">
        <v>419</v>
      </c>
      <c r="E89" s="62" t="s">
        <v>418</v>
      </c>
      <c r="F89" s="62" t="s">
        <v>461</v>
      </c>
      <c r="G89" s="90">
        <f t="shared" si="1"/>
        <v>2324869</v>
      </c>
      <c r="H89" s="90">
        <f t="shared" si="2"/>
        <v>0</v>
      </c>
      <c r="I89" s="90"/>
      <c r="J89" s="90"/>
      <c r="K89" s="90"/>
      <c r="L89" s="101"/>
      <c r="M89" s="101"/>
      <c r="N89" s="101"/>
      <c r="O89" s="101">
        <v>0.0</v>
      </c>
      <c r="P89" s="102">
        <v>1010044.0</v>
      </c>
      <c r="Q89" s="104">
        <v>1314825.0</v>
      </c>
      <c r="R89" s="101"/>
      <c r="S89" s="105">
        <v>0.0</v>
      </c>
      <c r="T89" s="167">
        <v>0.0</v>
      </c>
      <c r="U89" s="90"/>
      <c r="V89" s="268"/>
      <c r="W89" s="203"/>
      <c r="X89" s="203"/>
      <c r="Y89" s="203"/>
      <c r="Z89" s="293" t="s">
        <v>132</v>
      </c>
      <c r="AA89" s="203"/>
      <c r="AB89" s="192">
        <v>33.0</v>
      </c>
      <c r="AC89" s="295" t="s">
        <v>487</v>
      </c>
      <c r="AD89" s="203"/>
      <c r="AE89" s="203"/>
      <c r="AF89" s="203"/>
      <c r="AG89" s="203"/>
      <c r="AH89" s="203"/>
      <c r="AI89" s="203"/>
      <c r="AJ89" s="203"/>
      <c r="AK89" s="203"/>
      <c r="AL89" s="203"/>
      <c r="AM89" s="203"/>
      <c r="AN89" s="203"/>
      <c r="AO89" s="203"/>
      <c r="AP89" s="203"/>
      <c r="AQ89" s="203"/>
      <c r="AR89" s="206"/>
    </row>
    <row r="90">
      <c r="A90" s="62">
        <v>88.0</v>
      </c>
      <c r="B90" s="62" t="s">
        <v>488</v>
      </c>
      <c r="C90" s="67">
        <v>2605202.0</v>
      </c>
      <c r="D90" s="72" t="s">
        <v>454</v>
      </c>
      <c r="E90" s="62" t="s">
        <v>418</v>
      </c>
      <c r="F90" s="62" t="s">
        <v>461</v>
      </c>
      <c r="G90" s="90">
        <f t="shared" si="1"/>
        <v>750000</v>
      </c>
      <c r="H90" s="90">
        <f t="shared" si="2"/>
        <v>0</v>
      </c>
      <c r="I90" s="90"/>
      <c r="J90" s="90"/>
      <c r="K90" s="90"/>
      <c r="L90" s="135"/>
      <c r="M90" s="135"/>
      <c r="N90" s="135"/>
      <c r="O90" s="135">
        <v>0.0</v>
      </c>
      <c r="P90" s="137">
        <v>750000.0</v>
      </c>
      <c r="Q90" s="138">
        <v>0.0</v>
      </c>
      <c r="R90" s="135"/>
      <c r="S90" s="140">
        <v>0.0</v>
      </c>
      <c r="T90" s="106">
        <v>0.0</v>
      </c>
      <c r="U90" s="90"/>
      <c r="V90" s="274"/>
      <c r="W90" s="203"/>
      <c r="X90" s="203"/>
      <c r="Y90" s="203"/>
      <c r="Z90" s="293" t="s">
        <v>132</v>
      </c>
      <c r="AA90" s="203"/>
      <c r="AB90" s="197">
        <v>48.0</v>
      </c>
      <c r="AC90" s="294" t="s">
        <v>489</v>
      </c>
      <c r="AD90" s="203"/>
      <c r="AE90" s="203"/>
      <c r="AF90" s="203"/>
      <c r="AG90" s="203"/>
      <c r="AH90" s="203"/>
      <c r="AI90" s="203"/>
      <c r="AJ90" s="203"/>
      <c r="AK90" s="203"/>
      <c r="AL90" s="203"/>
      <c r="AM90" s="203"/>
      <c r="AN90" s="203"/>
      <c r="AO90" s="203"/>
      <c r="AP90" s="203"/>
      <c r="AQ90" s="203"/>
      <c r="AR90" s="206"/>
    </row>
    <row r="91">
      <c r="A91" s="62">
        <v>89.0</v>
      </c>
      <c r="B91" s="62" t="s">
        <v>490</v>
      </c>
      <c r="C91" s="67">
        <v>2606200.0</v>
      </c>
      <c r="D91" s="72" t="s">
        <v>414</v>
      </c>
      <c r="E91" s="62" t="s">
        <v>415</v>
      </c>
      <c r="F91" s="62" t="s">
        <v>461</v>
      </c>
      <c r="G91" s="90">
        <f t="shared" si="1"/>
        <v>0</v>
      </c>
      <c r="H91" s="90">
        <f t="shared" si="2"/>
        <v>0</v>
      </c>
      <c r="I91" s="90"/>
      <c r="J91" s="90"/>
      <c r="K91" s="90"/>
      <c r="L91" s="101"/>
      <c r="M91" s="101"/>
      <c r="N91" s="101"/>
      <c r="O91" s="101">
        <v>0.0</v>
      </c>
      <c r="P91" s="102">
        <v>0.0</v>
      </c>
      <c r="Q91" s="104">
        <v>0.0</v>
      </c>
      <c r="R91" s="101"/>
      <c r="S91" s="105">
        <v>0.0</v>
      </c>
      <c r="T91" s="167">
        <v>0.0</v>
      </c>
      <c r="U91" s="90"/>
      <c r="V91" s="268"/>
      <c r="W91" s="203"/>
      <c r="X91" s="203"/>
      <c r="Y91" s="203"/>
      <c r="Z91" s="293" t="s">
        <v>108</v>
      </c>
      <c r="AA91" s="203"/>
      <c r="AB91" s="192">
        <v>23.0</v>
      </c>
      <c r="AC91" s="295" t="s">
        <v>491</v>
      </c>
      <c r="AD91" s="203"/>
      <c r="AE91" s="203"/>
      <c r="AF91" s="203"/>
      <c r="AG91" s="203"/>
      <c r="AH91" s="203"/>
      <c r="AI91" s="203"/>
      <c r="AJ91" s="203"/>
      <c r="AK91" s="203"/>
      <c r="AL91" s="203"/>
      <c r="AM91" s="203"/>
      <c r="AN91" s="203"/>
      <c r="AO91" s="203"/>
      <c r="AP91" s="203"/>
      <c r="AQ91" s="203"/>
      <c r="AR91" s="206"/>
    </row>
    <row r="92">
      <c r="A92" s="62">
        <v>90.0</v>
      </c>
      <c r="B92" s="62" t="s">
        <v>492</v>
      </c>
      <c r="C92" s="67">
        <v>2604106.0</v>
      </c>
      <c r="D92" s="72" t="s">
        <v>315</v>
      </c>
      <c r="E92" s="62" t="s">
        <v>317</v>
      </c>
      <c r="F92" s="62" t="s">
        <v>461</v>
      </c>
      <c r="G92" s="90">
        <f t="shared" si="1"/>
        <v>4294322</v>
      </c>
      <c r="H92" s="90">
        <f t="shared" si="2"/>
        <v>0</v>
      </c>
      <c r="I92" s="90"/>
      <c r="J92" s="90"/>
      <c r="K92" s="90"/>
      <c r="L92" s="135"/>
      <c r="M92" s="135"/>
      <c r="N92" s="135"/>
      <c r="O92" s="135">
        <v>0.0</v>
      </c>
      <c r="P92" s="137">
        <v>3494322.0</v>
      </c>
      <c r="Q92" s="138">
        <v>800000.0</v>
      </c>
      <c r="R92" s="135"/>
      <c r="S92" s="140">
        <v>0.0</v>
      </c>
      <c r="T92" s="106">
        <v>0.0</v>
      </c>
      <c r="U92" s="90"/>
      <c r="V92" s="274"/>
      <c r="W92" s="203"/>
      <c r="X92" s="203"/>
      <c r="Y92" s="203"/>
      <c r="Z92" s="293" t="s">
        <v>153</v>
      </c>
      <c r="AA92" s="203"/>
      <c r="AB92" s="235">
        <v>99.0</v>
      </c>
      <c r="AC92" s="296" t="s">
        <v>493</v>
      </c>
      <c r="AD92" s="203"/>
      <c r="AE92" s="203"/>
      <c r="AF92" s="203"/>
      <c r="AG92" s="203"/>
      <c r="AH92" s="203"/>
      <c r="AI92" s="203"/>
      <c r="AJ92" s="203"/>
      <c r="AK92" s="203"/>
      <c r="AL92" s="203"/>
      <c r="AM92" s="203"/>
      <c r="AN92" s="203"/>
      <c r="AO92" s="203"/>
      <c r="AP92" s="203"/>
      <c r="AQ92" s="203"/>
      <c r="AR92" s="206"/>
    </row>
    <row r="93">
      <c r="A93" s="62">
        <v>91.0</v>
      </c>
      <c r="B93" s="62" t="s">
        <v>494</v>
      </c>
      <c r="C93" s="67">
        <v>2604106.0</v>
      </c>
      <c r="D93" s="72" t="s">
        <v>315</v>
      </c>
      <c r="E93" s="62" t="s">
        <v>317</v>
      </c>
      <c r="F93" s="62" t="s">
        <v>461</v>
      </c>
      <c r="G93" s="90">
        <f t="shared" si="1"/>
        <v>0</v>
      </c>
      <c r="H93" s="90">
        <f t="shared" si="2"/>
        <v>0</v>
      </c>
      <c r="I93" s="90"/>
      <c r="J93" s="90"/>
      <c r="K93" s="90"/>
      <c r="L93" s="101"/>
      <c r="M93" s="101"/>
      <c r="N93" s="101"/>
      <c r="O93" s="101">
        <v>0.0</v>
      </c>
      <c r="P93" s="102">
        <v>0.0</v>
      </c>
      <c r="Q93" s="104">
        <v>0.0</v>
      </c>
      <c r="R93" s="101"/>
      <c r="S93" s="105">
        <v>0.0</v>
      </c>
      <c r="T93" s="167">
        <v>0.0</v>
      </c>
      <c r="U93" s="90"/>
      <c r="V93" s="268"/>
      <c r="W93" s="203"/>
      <c r="X93" s="203"/>
      <c r="Y93" s="203"/>
      <c r="Z93" s="293" t="s">
        <v>153</v>
      </c>
      <c r="AA93" s="203"/>
      <c r="AB93" s="192">
        <v>5.0</v>
      </c>
      <c r="AC93" s="295" t="s">
        <v>475</v>
      </c>
      <c r="AD93" s="203"/>
      <c r="AE93" s="203"/>
      <c r="AF93" s="203"/>
      <c r="AG93" s="203"/>
      <c r="AH93" s="203"/>
      <c r="AI93" s="203"/>
      <c r="AJ93" s="203"/>
      <c r="AK93" s="203"/>
      <c r="AL93" s="203"/>
      <c r="AM93" s="203"/>
      <c r="AN93" s="203"/>
      <c r="AO93" s="203"/>
      <c r="AP93" s="203"/>
      <c r="AQ93" s="203"/>
      <c r="AR93" s="206"/>
    </row>
    <row r="94">
      <c r="A94" s="62">
        <v>92.0</v>
      </c>
      <c r="B94" s="62" t="s">
        <v>495</v>
      </c>
      <c r="C94" s="67">
        <v>2604106.0</v>
      </c>
      <c r="D94" s="72" t="s">
        <v>315</v>
      </c>
      <c r="E94" s="62" t="s">
        <v>317</v>
      </c>
      <c r="F94" s="62" t="s">
        <v>461</v>
      </c>
      <c r="G94" s="90">
        <f t="shared" si="1"/>
        <v>776400</v>
      </c>
      <c r="H94" s="90">
        <f t="shared" si="2"/>
        <v>0</v>
      </c>
      <c r="I94" s="90"/>
      <c r="J94" s="90"/>
      <c r="K94" s="90"/>
      <c r="L94" s="101"/>
      <c r="M94" s="101"/>
      <c r="N94" s="101"/>
      <c r="O94" s="101">
        <v>0.0</v>
      </c>
      <c r="P94" s="102">
        <v>776400.0</v>
      </c>
      <c r="Q94" s="104">
        <v>0.0</v>
      </c>
      <c r="R94" s="101"/>
      <c r="S94" s="105">
        <v>0.0</v>
      </c>
      <c r="T94" s="167">
        <v>0.0</v>
      </c>
      <c r="U94" s="90"/>
      <c r="V94" s="268"/>
      <c r="W94" s="203"/>
      <c r="X94" s="203"/>
      <c r="Y94" s="203"/>
      <c r="Z94" s="293" t="s">
        <v>153</v>
      </c>
      <c r="AA94" s="203"/>
      <c r="AB94" s="192">
        <v>10.0</v>
      </c>
      <c r="AC94" s="295" t="s">
        <v>298</v>
      </c>
      <c r="AD94" s="203"/>
      <c r="AE94" s="203"/>
      <c r="AF94" s="203"/>
      <c r="AG94" s="203"/>
      <c r="AH94" s="203"/>
      <c r="AI94" s="203"/>
      <c r="AJ94" s="203"/>
      <c r="AK94" s="203"/>
      <c r="AL94" s="203"/>
      <c r="AM94" s="203"/>
      <c r="AN94" s="203"/>
      <c r="AO94" s="203"/>
      <c r="AP94" s="203"/>
      <c r="AQ94" s="203"/>
      <c r="AR94" s="206"/>
    </row>
    <row r="95">
      <c r="A95" s="62">
        <v>93.0</v>
      </c>
      <c r="B95" s="62" t="s">
        <v>496</v>
      </c>
      <c r="C95" s="67">
        <v>2610905.0</v>
      </c>
      <c r="D95" s="72" t="s">
        <v>497</v>
      </c>
      <c r="E95" s="62" t="s">
        <v>317</v>
      </c>
      <c r="F95" s="62" t="s">
        <v>461</v>
      </c>
      <c r="G95" s="90">
        <f t="shared" si="1"/>
        <v>0</v>
      </c>
      <c r="H95" s="90">
        <f t="shared" si="2"/>
        <v>0</v>
      </c>
      <c r="I95" s="90"/>
      <c r="J95" s="90"/>
      <c r="K95" s="90"/>
      <c r="L95" s="135"/>
      <c r="M95" s="135"/>
      <c r="N95" s="135"/>
      <c r="O95" s="135">
        <v>0.0</v>
      </c>
      <c r="P95" s="137">
        <v>0.0</v>
      </c>
      <c r="Q95" s="138">
        <v>0.0</v>
      </c>
      <c r="R95" s="135"/>
      <c r="S95" s="140">
        <v>0.0</v>
      </c>
      <c r="T95" s="106">
        <v>0.0</v>
      </c>
      <c r="U95" s="90"/>
      <c r="V95" s="274"/>
      <c r="W95" s="203"/>
      <c r="X95" s="203"/>
      <c r="Y95" s="203"/>
      <c r="Z95" s="293" t="s">
        <v>153</v>
      </c>
      <c r="AA95" s="203"/>
      <c r="AB95" s="197">
        <v>10.0</v>
      </c>
      <c r="AC95" s="294" t="s">
        <v>475</v>
      </c>
      <c r="AD95" s="203"/>
      <c r="AE95" s="203"/>
      <c r="AF95" s="203"/>
      <c r="AG95" s="203"/>
      <c r="AH95" s="203"/>
      <c r="AI95" s="203"/>
      <c r="AJ95" s="203"/>
      <c r="AK95" s="203"/>
      <c r="AL95" s="203"/>
      <c r="AM95" s="203"/>
      <c r="AN95" s="203"/>
      <c r="AO95" s="203"/>
      <c r="AP95" s="203"/>
      <c r="AQ95" s="203"/>
      <c r="AR95" s="206"/>
    </row>
    <row r="96">
      <c r="A96" s="62">
        <v>94.0</v>
      </c>
      <c r="B96" s="62" t="s">
        <v>498</v>
      </c>
      <c r="C96" s="67">
        <v>2606002.0</v>
      </c>
      <c r="D96" s="72" t="s">
        <v>420</v>
      </c>
      <c r="E96" s="62" t="s">
        <v>421</v>
      </c>
      <c r="F96" s="62" t="s">
        <v>461</v>
      </c>
      <c r="G96" s="90">
        <f t="shared" si="1"/>
        <v>0</v>
      </c>
      <c r="H96" s="90">
        <f t="shared" si="2"/>
        <v>0</v>
      </c>
      <c r="I96" s="90"/>
      <c r="J96" s="90"/>
      <c r="K96" s="90"/>
      <c r="L96" s="101"/>
      <c r="M96" s="101"/>
      <c r="N96" s="101"/>
      <c r="O96" s="101">
        <v>0.0</v>
      </c>
      <c r="P96" s="102">
        <v>0.0</v>
      </c>
      <c r="Q96" s="104">
        <v>0.0</v>
      </c>
      <c r="R96" s="101"/>
      <c r="S96" s="105">
        <v>0.0</v>
      </c>
      <c r="T96" s="167">
        <v>0.0</v>
      </c>
      <c r="U96" s="90"/>
      <c r="V96" s="268"/>
      <c r="W96" s="203"/>
      <c r="X96" s="203"/>
      <c r="Y96" s="203"/>
      <c r="Z96" s="293" t="s">
        <v>183</v>
      </c>
      <c r="AA96" s="203"/>
      <c r="AB96" s="192">
        <v>10.0</v>
      </c>
      <c r="AC96" s="295" t="s">
        <v>483</v>
      </c>
      <c r="AD96" s="203"/>
      <c r="AE96" s="203"/>
      <c r="AF96" s="203"/>
      <c r="AG96" s="203"/>
      <c r="AH96" s="203"/>
      <c r="AI96" s="203"/>
      <c r="AJ96" s="203"/>
      <c r="AK96" s="203"/>
      <c r="AL96" s="203"/>
      <c r="AM96" s="203"/>
      <c r="AN96" s="203"/>
      <c r="AO96" s="203"/>
      <c r="AP96" s="203"/>
      <c r="AQ96" s="203"/>
      <c r="AR96" s="206"/>
    </row>
    <row r="97">
      <c r="A97" s="62">
        <v>95.0</v>
      </c>
      <c r="B97" s="62" t="s">
        <v>499</v>
      </c>
      <c r="C97" s="67">
        <v>2602803.0</v>
      </c>
      <c r="D97" s="72" t="s">
        <v>500</v>
      </c>
      <c r="E97" s="62" t="s">
        <v>421</v>
      </c>
      <c r="F97" s="62" t="s">
        <v>461</v>
      </c>
      <c r="G97" s="90">
        <f t="shared" si="1"/>
        <v>100000</v>
      </c>
      <c r="H97" s="90">
        <f t="shared" si="2"/>
        <v>0</v>
      </c>
      <c r="I97" s="90"/>
      <c r="J97" s="90"/>
      <c r="K97" s="90"/>
      <c r="L97" s="135"/>
      <c r="M97" s="135"/>
      <c r="N97" s="135"/>
      <c r="O97" s="135">
        <v>0.0</v>
      </c>
      <c r="P97" s="137">
        <v>100000.0</v>
      </c>
      <c r="Q97" s="138">
        <v>0.0</v>
      </c>
      <c r="R97" s="135"/>
      <c r="S97" s="140">
        <v>0.0</v>
      </c>
      <c r="T97" s="106">
        <v>0.0</v>
      </c>
      <c r="U97" s="90"/>
      <c r="V97" s="274"/>
      <c r="W97" s="203"/>
      <c r="X97" s="203"/>
      <c r="Y97" s="203"/>
      <c r="Z97" s="293" t="s">
        <v>120</v>
      </c>
      <c r="AA97" s="203"/>
      <c r="AB97" s="197">
        <v>15.0</v>
      </c>
      <c r="AC97" s="294" t="s">
        <v>501</v>
      </c>
      <c r="AD97" s="203"/>
      <c r="AE97" s="203"/>
      <c r="AF97" s="203"/>
      <c r="AG97" s="203"/>
      <c r="AH97" s="203"/>
      <c r="AI97" s="203"/>
      <c r="AJ97" s="203"/>
      <c r="AK97" s="203"/>
      <c r="AL97" s="203"/>
      <c r="AM97" s="203"/>
      <c r="AN97" s="203"/>
      <c r="AO97" s="203"/>
      <c r="AP97" s="203"/>
      <c r="AQ97" s="203"/>
      <c r="AR97" s="206"/>
    </row>
    <row r="98">
      <c r="A98" s="62">
        <v>96.0</v>
      </c>
      <c r="B98" s="62" t="s">
        <v>502</v>
      </c>
      <c r="C98" s="67">
        <v>2611002.0</v>
      </c>
      <c r="D98" s="72" t="s">
        <v>503</v>
      </c>
      <c r="E98" s="62" t="s">
        <v>504</v>
      </c>
      <c r="F98" s="62" t="s">
        <v>461</v>
      </c>
      <c r="G98" s="90">
        <f t="shared" si="1"/>
        <v>350000</v>
      </c>
      <c r="H98" s="90">
        <f t="shared" si="2"/>
        <v>0</v>
      </c>
      <c r="I98" s="90"/>
      <c r="J98" s="90"/>
      <c r="K98" s="90"/>
      <c r="L98" s="101"/>
      <c r="M98" s="101"/>
      <c r="N98" s="101"/>
      <c r="O98" s="101">
        <v>0.0</v>
      </c>
      <c r="P98" s="102">
        <v>350000.0</v>
      </c>
      <c r="Q98" s="104">
        <v>0.0</v>
      </c>
      <c r="R98" s="101"/>
      <c r="S98" s="105">
        <v>0.0</v>
      </c>
      <c r="T98" s="167">
        <v>0.0</v>
      </c>
      <c r="U98" s="90"/>
      <c r="V98" s="268"/>
      <c r="W98" s="203"/>
      <c r="X98" s="203"/>
      <c r="Y98" s="203"/>
      <c r="Z98" s="293" t="s">
        <v>120</v>
      </c>
      <c r="AA98" s="203"/>
      <c r="AB98" s="192">
        <v>5.0</v>
      </c>
      <c r="AC98" s="295" t="s">
        <v>475</v>
      </c>
      <c r="AD98" s="203"/>
      <c r="AE98" s="203"/>
      <c r="AF98" s="203"/>
      <c r="AG98" s="203"/>
      <c r="AH98" s="203"/>
      <c r="AI98" s="203"/>
      <c r="AJ98" s="203"/>
      <c r="AK98" s="203"/>
      <c r="AL98" s="203"/>
      <c r="AM98" s="203"/>
      <c r="AN98" s="203"/>
      <c r="AO98" s="203"/>
      <c r="AP98" s="203"/>
      <c r="AQ98" s="203"/>
      <c r="AR98" s="206"/>
    </row>
    <row r="99">
      <c r="A99" s="62">
        <v>97.0</v>
      </c>
      <c r="B99" s="62" t="s">
        <v>505</v>
      </c>
      <c r="C99" s="67">
        <v>2601102.0</v>
      </c>
      <c r="D99" s="72" t="s">
        <v>506</v>
      </c>
      <c r="E99" s="62" t="s">
        <v>427</v>
      </c>
      <c r="F99" s="62" t="s">
        <v>461</v>
      </c>
      <c r="G99" s="90">
        <f t="shared" si="1"/>
        <v>2950500</v>
      </c>
      <c r="H99" s="90">
        <f t="shared" si="2"/>
        <v>0</v>
      </c>
      <c r="I99" s="90"/>
      <c r="J99" s="90"/>
      <c r="K99" s="90"/>
      <c r="L99" s="135"/>
      <c r="M99" s="135"/>
      <c r="N99" s="135"/>
      <c r="O99" s="135">
        <v>0.0</v>
      </c>
      <c r="P99" s="137">
        <v>1750500.0</v>
      </c>
      <c r="Q99" s="138">
        <v>1200000.0</v>
      </c>
      <c r="R99" s="135"/>
      <c r="S99" s="140">
        <v>0.0</v>
      </c>
      <c r="T99" s="106">
        <v>0.0</v>
      </c>
      <c r="U99" s="90"/>
      <c r="V99" s="274"/>
      <c r="W99" s="203"/>
      <c r="X99" s="203"/>
      <c r="Y99" s="203"/>
      <c r="Z99" s="293" t="s">
        <v>224</v>
      </c>
      <c r="AA99" s="203"/>
      <c r="AB99" s="197">
        <v>55.0</v>
      </c>
      <c r="AC99" s="294" t="s">
        <v>507</v>
      </c>
      <c r="AD99" s="203"/>
      <c r="AE99" s="203"/>
      <c r="AF99" s="203"/>
      <c r="AG99" s="203"/>
      <c r="AH99" s="203"/>
      <c r="AI99" s="203"/>
      <c r="AJ99" s="203"/>
      <c r="AK99" s="203"/>
      <c r="AL99" s="203"/>
      <c r="AM99" s="203"/>
      <c r="AN99" s="203"/>
      <c r="AO99" s="203"/>
      <c r="AP99" s="203"/>
      <c r="AQ99" s="203"/>
      <c r="AR99" s="206"/>
    </row>
    <row r="100">
      <c r="A100" s="174"/>
      <c r="B100" s="174"/>
      <c r="C100" s="74"/>
      <c r="D100" s="297"/>
      <c r="E100" s="70"/>
      <c r="F100" s="174"/>
      <c r="G100" s="298"/>
      <c r="H100" s="298"/>
      <c r="I100" s="298"/>
      <c r="J100" s="298"/>
      <c r="K100" s="298"/>
      <c r="L100" s="298"/>
      <c r="M100" s="298"/>
      <c r="N100" s="298"/>
      <c r="O100" s="299"/>
      <c r="P100" s="299"/>
      <c r="Q100" s="298"/>
      <c r="R100" s="298"/>
      <c r="S100" s="298"/>
      <c r="T100" s="298"/>
      <c r="U100" s="298"/>
      <c r="V100" s="298"/>
      <c r="W100" s="300"/>
      <c r="X100" s="300"/>
      <c r="Y100" s="300"/>
      <c r="Z100" s="300"/>
      <c r="AA100" s="300"/>
      <c r="AB100" s="301"/>
      <c r="AC100" s="300"/>
      <c r="AD100" s="300"/>
      <c r="AE100" s="300"/>
      <c r="AF100" s="302"/>
      <c r="AG100" s="203"/>
      <c r="AH100" s="203"/>
      <c r="AI100" s="203"/>
      <c r="AJ100" s="203"/>
      <c r="AK100" s="203"/>
      <c r="AL100" s="203"/>
      <c r="AM100" s="203"/>
      <c r="AN100" s="206"/>
      <c r="AO100" s="300"/>
      <c r="AP100" s="300"/>
      <c r="AQ100" s="300"/>
      <c r="AR100" s="300"/>
    </row>
    <row r="101">
      <c r="A101" s="174"/>
      <c r="B101" s="174"/>
      <c r="C101" s="74"/>
      <c r="D101" s="297"/>
      <c r="E101" s="70"/>
      <c r="F101" s="174"/>
      <c r="G101" s="298"/>
      <c r="H101" s="298"/>
      <c r="I101" s="298"/>
      <c r="J101" s="298"/>
      <c r="K101" s="298"/>
      <c r="L101" s="298"/>
      <c r="M101" s="298"/>
      <c r="N101" s="298"/>
      <c r="O101" s="299"/>
      <c r="P101" s="299"/>
      <c r="Q101" s="298"/>
      <c r="R101" s="298"/>
      <c r="S101" s="298"/>
      <c r="T101" s="298"/>
      <c r="U101" s="298"/>
      <c r="V101" s="298"/>
      <c r="W101" s="300"/>
      <c r="X101" s="300"/>
      <c r="Y101" s="300"/>
      <c r="Z101" s="300"/>
      <c r="AA101" s="300"/>
      <c r="AB101" s="301"/>
      <c r="AC101" s="300"/>
      <c r="AD101" s="300"/>
      <c r="AE101" s="300"/>
      <c r="AF101" s="302"/>
      <c r="AG101" s="203"/>
      <c r="AH101" s="203"/>
      <c r="AI101" s="203"/>
      <c r="AJ101" s="203"/>
      <c r="AK101" s="203"/>
      <c r="AL101" s="203"/>
      <c r="AM101" s="203"/>
      <c r="AN101" s="206"/>
      <c r="AO101" s="300"/>
      <c r="AP101" s="300"/>
      <c r="AQ101" s="300"/>
      <c r="AR101" s="300"/>
    </row>
    <row r="102">
      <c r="A102" s="174"/>
      <c r="B102" s="174"/>
      <c r="C102" s="74"/>
      <c r="D102" s="297"/>
      <c r="E102" s="70"/>
      <c r="F102" s="174"/>
      <c r="G102" s="298"/>
      <c r="H102" s="298"/>
      <c r="I102" s="298"/>
      <c r="J102" s="298"/>
      <c r="K102" s="298"/>
      <c r="L102" s="298"/>
      <c r="M102" s="298"/>
      <c r="N102" s="298"/>
      <c r="O102" s="299"/>
      <c r="P102" s="299"/>
      <c r="Q102" s="298"/>
      <c r="R102" s="298"/>
      <c r="S102" s="298"/>
      <c r="T102" s="298"/>
      <c r="U102" s="298"/>
      <c r="V102" s="298"/>
      <c r="W102" s="300"/>
      <c r="X102" s="300"/>
      <c r="Y102" s="300"/>
      <c r="Z102" s="300"/>
      <c r="AA102" s="300"/>
      <c r="AB102" s="301"/>
      <c r="AC102" s="300"/>
      <c r="AD102" s="300"/>
      <c r="AE102" s="300"/>
      <c r="AF102" s="302"/>
      <c r="AG102" s="203"/>
      <c r="AH102" s="203"/>
      <c r="AI102" s="203"/>
      <c r="AJ102" s="203"/>
      <c r="AK102" s="203"/>
      <c r="AL102" s="203"/>
      <c r="AM102" s="203"/>
      <c r="AN102" s="206"/>
      <c r="AO102" s="300"/>
      <c r="AP102" s="300"/>
      <c r="AQ102" s="300"/>
      <c r="AR102" s="300"/>
    </row>
    <row r="103">
      <c r="A103" s="174"/>
      <c r="B103" s="174"/>
      <c r="C103" s="74"/>
      <c r="D103" s="297"/>
      <c r="E103" s="70"/>
      <c r="F103" s="174"/>
      <c r="G103" s="298"/>
      <c r="H103" s="298"/>
      <c r="I103" s="298"/>
      <c r="J103" s="298"/>
      <c r="K103" s="298"/>
      <c r="L103" s="298"/>
      <c r="M103" s="298"/>
      <c r="N103" s="298"/>
      <c r="O103" s="299"/>
      <c r="P103" s="299"/>
      <c r="Q103" s="298"/>
      <c r="R103" s="298"/>
      <c r="S103" s="298"/>
      <c r="T103" s="298"/>
      <c r="U103" s="298"/>
      <c r="V103" s="298"/>
      <c r="W103" s="300"/>
      <c r="X103" s="300"/>
      <c r="Y103" s="300"/>
      <c r="Z103" s="300"/>
      <c r="AA103" s="300"/>
      <c r="AB103" s="301"/>
      <c r="AC103" s="300"/>
      <c r="AD103" s="300"/>
      <c r="AE103" s="300"/>
      <c r="AF103" s="302"/>
      <c r="AG103" s="203"/>
      <c r="AH103" s="203"/>
      <c r="AI103" s="203"/>
      <c r="AJ103" s="203"/>
      <c r="AK103" s="203"/>
      <c r="AL103" s="203"/>
      <c r="AM103" s="203"/>
      <c r="AN103" s="206"/>
      <c r="AO103" s="300"/>
      <c r="AP103" s="300"/>
      <c r="AQ103" s="300"/>
      <c r="AR103" s="300"/>
    </row>
    <row r="104">
      <c r="A104" s="174"/>
      <c r="B104" s="174"/>
      <c r="C104" s="74"/>
      <c r="D104" s="297"/>
      <c r="E104" s="70"/>
      <c r="F104" s="174"/>
      <c r="G104" s="298"/>
      <c r="H104" s="298"/>
      <c r="I104" s="298"/>
      <c r="J104" s="298"/>
      <c r="K104" s="298"/>
      <c r="L104" s="298"/>
      <c r="M104" s="298"/>
      <c r="N104" s="298"/>
      <c r="O104" s="299"/>
      <c r="P104" s="299"/>
      <c r="Q104" s="298"/>
      <c r="R104" s="298"/>
      <c r="S104" s="298"/>
      <c r="T104" s="298"/>
      <c r="U104" s="298"/>
      <c r="V104" s="298"/>
      <c r="W104" s="300"/>
      <c r="X104" s="300"/>
      <c r="Y104" s="300"/>
      <c r="Z104" s="300"/>
      <c r="AA104" s="300"/>
      <c r="AB104" s="301"/>
      <c r="AC104" s="300"/>
      <c r="AD104" s="300"/>
      <c r="AE104" s="300"/>
      <c r="AF104" s="302"/>
      <c r="AG104" s="203"/>
      <c r="AH104" s="203"/>
      <c r="AI104" s="203"/>
      <c r="AJ104" s="203"/>
      <c r="AK104" s="203"/>
      <c r="AL104" s="203"/>
      <c r="AM104" s="203"/>
      <c r="AN104" s="206"/>
      <c r="AO104" s="300"/>
      <c r="AP104" s="300"/>
      <c r="AQ104" s="300"/>
      <c r="AR104" s="300"/>
    </row>
    <row r="105">
      <c r="A105" s="174"/>
      <c r="B105" s="174"/>
      <c r="C105" s="74"/>
      <c r="D105" s="297"/>
      <c r="E105" s="70"/>
      <c r="F105" s="174"/>
      <c r="G105" s="298"/>
      <c r="H105" s="298"/>
      <c r="I105" s="298"/>
      <c r="J105" s="298"/>
      <c r="K105" s="298"/>
      <c r="L105" s="298"/>
      <c r="M105" s="298"/>
      <c r="N105" s="298"/>
      <c r="O105" s="299"/>
      <c r="P105" s="299"/>
      <c r="Q105" s="298"/>
      <c r="R105" s="298"/>
      <c r="S105" s="298"/>
      <c r="T105" s="298"/>
      <c r="U105" s="298"/>
      <c r="V105" s="298"/>
      <c r="W105" s="300"/>
      <c r="X105" s="300"/>
      <c r="Y105" s="300"/>
      <c r="Z105" s="300"/>
      <c r="AA105" s="300"/>
      <c r="AB105" s="301"/>
      <c r="AC105" s="300"/>
      <c r="AD105" s="300"/>
      <c r="AE105" s="300"/>
      <c r="AF105" s="302"/>
      <c r="AG105" s="203"/>
      <c r="AH105" s="203"/>
      <c r="AI105" s="203"/>
      <c r="AJ105" s="203"/>
      <c r="AK105" s="203"/>
      <c r="AL105" s="203"/>
      <c r="AM105" s="203"/>
      <c r="AN105" s="206"/>
      <c r="AO105" s="300"/>
      <c r="AP105" s="300"/>
      <c r="AQ105" s="300"/>
      <c r="AR105" s="300"/>
    </row>
    <row r="106">
      <c r="A106" s="174"/>
      <c r="B106" s="174"/>
      <c r="C106" s="74"/>
      <c r="D106" s="297"/>
      <c r="E106" s="70"/>
      <c r="F106" s="174"/>
      <c r="G106" s="298"/>
      <c r="H106" s="298"/>
      <c r="I106" s="298"/>
      <c r="J106" s="298"/>
      <c r="K106" s="298"/>
      <c r="L106" s="298"/>
      <c r="M106" s="298"/>
      <c r="N106" s="298"/>
      <c r="O106" s="299"/>
      <c r="P106" s="299"/>
      <c r="Q106" s="298"/>
      <c r="R106" s="298"/>
      <c r="S106" s="298"/>
      <c r="T106" s="298"/>
      <c r="U106" s="298"/>
      <c r="V106" s="298"/>
      <c r="W106" s="300"/>
      <c r="X106" s="300"/>
      <c r="Y106" s="300"/>
      <c r="Z106" s="300"/>
      <c r="AA106" s="300"/>
      <c r="AB106" s="301"/>
      <c r="AC106" s="300"/>
      <c r="AD106" s="300"/>
      <c r="AE106" s="300"/>
      <c r="AF106" s="302"/>
      <c r="AG106" s="203"/>
      <c r="AH106" s="203"/>
      <c r="AI106" s="203"/>
      <c r="AJ106" s="203"/>
      <c r="AK106" s="203"/>
      <c r="AL106" s="203"/>
      <c r="AM106" s="203"/>
      <c r="AN106" s="206"/>
      <c r="AO106" s="300"/>
      <c r="AP106" s="300"/>
      <c r="AQ106" s="300"/>
      <c r="AR106" s="300"/>
    </row>
    <row r="107">
      <c r="A107" s="174"/>
      <c r="B107" s="174"/>
      <c r="C107" s="74"/>
      <c r="D107" s="297"/>
      <c r="E107" s="70"/>
      <c r="F107" s="174"/>
      <c r="G107" s="298"/>
      <c r="H107" s="298"/>
      <c r="I107" s="298"/>
      <c r="J107" s="298"/>
      <c r="K107" s="298"/>
      <c r="L107" s="298"/>
      <c r="M107" s="298"/>
      <c r="N107" s="298"/>
      <c r="O107" s="299"/>
      <c r="P107" s="299"/>
      <c r="Q107" s="298"/>
      <c r="R107" s="298"/>
      <c r="S107" s="298"/>
      <c r="T107" s="298"/>
      <c r="U107" s="298"/>
      <c r="V107" s="298"/>
      <c r="W107" s="300"/>
      <c r="X107" s="300"/>
      <c r="Y107" s="300"/>
      <c r="Z107" s="300"/>
      <c r="AA107" s="300"/>
      <c r="AB107" s="301"/>
      <c r="AC107" s="300"/>
      <c r="AD107" s="300"/>
      <c r="AE107" s="300"/>
      <c r="AF107" s="302"/>
      <c r="AG107" s="203"/>
      <c r="AH107" s="203"/>
      <c r="AI107" s="203"/>
      <c r="AJ107" s="203"/>
      <c r="AK107" s="203"/>
      <c r="AL107" s="203"/>
      <c r="AM107" s="203"/>
      <c r="AN107" s="206"/>
      <c r="AO107" s="300"/>
      <c r="AP107" s="300"/>
      <c r="AQ107" s="300"/>
      <c r="AR107" s="300"/>
    </row>
    <row r="108">
      <c r="A108" s="174"/>
      <c r="B108" s="174"/>
      <c r="C108" s="74"/>
      <c r="D108" s="297"/>
      <c r="E108" s="70"/>
      <c r="F108" s="174"/>
      <c r="G108" s="298"/>
      <c r="H108" s="298"/>
      <c r="I108" s="298"/>
      <c r="J108" s="298"/>
      <c r="K108" s="298"/>
      <c r="L108" s="298"/>
      <c r="M108" s="298"/>
      <c r="N108" s="298"/>
      <c r="O108" s="299"/>
      <c r="P108" s="299"/>
      <c r="Q108" s="298"/>
      <c r="R108" s="298"/>
      <c r="S108" s="298"/>
      <c r="T108" s="298"/>
      <c r="U108" s="298"/>
      <c r="V108" s="298"/>
      <c r="W108" s="300"/>
      <c r="X108" s="300"/>
      <c r="Y108" s="300"/>
      <c r="Z108" s="300"/>
      <c r="AA108" s="300"/>
      <c r="AB108" s="301"/>
      <c r="AC108" s="300"/>
      <c r="AD108" s="300"/>
      <c r="AE108" s="300"/>
      <c r="AF108" s="302"/>
      <c r="AG108" s="203"/>
      <c r="AH108" s="203"/>
      <c r="AI108" s="203"/>
      <c r="AJ108" s="203"/>
      <c r="AK108" s="203"/>
      <c r="AL108" s="203"/>
      <c r="AM108" s="203"/>
      <c r="AN108" s="206"/>
      <c r="AO108" s="300"/>
      <c r="AP108" s="300"/>
      <c r="AQ108" s="300"/>
      <c r="AR108" s="300"/>
    </row>
    <row r="109">
      <c r="A109" s="174"/>
      <c r="B109" s="174"/>
      <c r="C109" s="74"/>
      <c r="D109" s="297"/>
      <c r="E109" s="70"/>
      <c r="F109" s="174"/>
      <c r="G109" s="298"/>
      <c r="H109" s="298"/>
      <c r="I109" s="298"/>
      <c r="J109" s="298"/>
      <c r="K109" s="298"/>
      <c r="L109" s="298"/>
      <c r="M109" s="298"/>
      <c r="N109" s="298"/>
      <c r="O109" s="299"/>
      <c r="P109" s="299"/>
      <c r="Q109" s="298"/>
      <c r="R109" s="298"/>
      <c r="S109" s="298"/>
      <c r="T109" s="298"/>
      <c r="U109" s="298"/>
      <c r="V109" s="298"/>
      <c r="W109" s="300"/>
      <c r="X109" s="300"/>
      <c r="Y109" s="300"/>
      <c r="Z109" s="300"/>
      <c r="AA109" s="300"/>
      <c r="AB109" s="301"/>
      <c r="AC109" s="300"/>
      <c r="AD109" s="300"/>
      <c r="AE109" s="300"/>
      <c r="AF109" s="302"/>
      <c r="AG109" s="203"/>
      <c r="AH109" s="203"/>
      <c r="AI109" s="203"/>
      <c r="AJ109" s="203"/>
      <c r="AK109" s="203"/>
      <c r="AL109" s="203"/>
      <c r="AM109" s="203"/>
      <c r="AN109" s="206"/>
      <c r="AO109" s="300"/>
      <c r="AP109" s="300"/>
      <c r="AQ109" s="300"/>
      <c r="AR109" s="300"/>
    </row>
    <row r="110">
      <c r="A110" s="174"/>
      <c r="B110" s="174"/>
      <c r="C110" s="74"/>
      <c r="D110" s="297"/>
      <c r="E110" s="70"/>
      <c r="F110" s="174"/>
      <c r="G110" s="298"/>
      <c r="H110" s="298"/>
      <c r="I110" s="298"/>
      <c r="J110" s="298"/>
      <c r="K110" s="298"/>
      <c r="L110" s="298"/>
      <c r="M110" s="298"/>
      <c r="N110" s="298"/>
      <c r="O110" s="298"/>
      <c r="P110" s="298"/>
      <c r="Q110" s="298"/>
      <c r="R110" s="298"/>
      <c r="S110" s="298"/>
      <c r="T110" s="298"/>
      <c r="U110" s="298"/>
      <c r="V110" s="298"/>
      <c r="W110" s="300"/>
      <c r="X110" s="300"/>
      <c r="Y110" s="300"/>
      <c r="Z110" s="300"/>
      <c r="AA110" s="300"/>
      <c r="AB110" s="301"/>
      <c r="AC110" s="300"/>
      <c r="AD110" s="300"/>
      <c r="AE110" s="300"/>
      <c r="AF110" s="302"/>
      <c r="AG110" s="203"/>
      <c r="AH110" s="203"/>
      <c r="AI110" s="203"/>
      <c r="AJ110" s="203"/>
      <c r="AK110" s="203"/>
      <c r="AL110" s="203"/>
      <c r="AM110" s="203"/>
      <c r="AN110" s="206"/>
      <c r="AO110" s="300"/>
      <c r="AP110" s="300"/>
      <c r="AQ110" s="300"/>
      <c r="AR110" s="300"/>
    </row>
    <row r="111">
      <c r="A111" s="174"/>
      <c r="B111" s="174"/>
      <c r="C111" s="74"/>
      <c r="D111" s="297"/>
      <c r="E111" s="70"/>
      <c r="F111" s="174"/>
      <c r="G111" s="298"/>
      <c r="H111" s="298"/>
      <c r="I111" s="298"/>
      <c r="J111" s="298"/>
      <c r="K111" s="298"/>
      <c r="L111" s="298"/>
      <c r="M111" s="298"/>
      <c r="N111" s="298"/>
      <c r="O111" s="298"/>
      <c r="P111" s="298"/>
      <c r="Q111" s="298"/>
      <c r="R111" s="298"/>
      <c r="S111" s="298"/>
      <c r="T111" s="298"/>
      <c r="U111" s="298"/>
      <c r="V111" s="298"/>
      <c r="W111" s="300"/>
      <c r="X111" s="300"/>
      <c r="Y111" s="300"/>
      <c r="Z111" s="300"/>
      <c r="AA111" s="300"/>
      <c r="AB111" s="301"/>
      <c r="AC111" s="300"/>
      <c r="AD111" s="300"/>
      <c r="AE111" s="300"/>
      <c r="AF111" s="302"/>
      <c r="AG111" s="203"/>
      <c r="AH111" s="203"/>
      <c r="AI111" s="203"/>
      <c r="AJ111" s="203"/>
      <c r="AK111" s="203"/>
      <c r="AL111" s="203"/>
      <c r="AM111" s="203"/>
      <c r="AN111" s="206"/>
      <c r="AO111" s="300"/>
      <c r="AP111" s="300"/>
      <c r="AQ111" s="300"/>
      <c r="AR111" s="300"/>
    </row>
    <row r="112">
      <c r="A112" s="174"/>
      <c r="B112" s="174"/>
      <c r="C112" s="74"/>
      <c r="D112" s="297"/>
      <c r="E112" s="70"/>
      <c r="F112" s="174"/>
      <c r="G112" s="298"/>
      <c r="H112" s="298"/>
      <c r="I112" s="298"/>
      <c r="J112" s="298"/>
      <c r="K112" s="298"/>
      <c r="L112" s="298"/>
      <c r="M112" s="298"/>
      <c r="N112" s="298"/>
      <c r="O112" s="298"/>
      <c r="P112" s="298"/>
      <c r="Q112" s="298"/>
      <c r="R112" s="298"/>
      <c r="S112" s="298"/>
      <c r="T112" s="298"/>
      <c r="U112" s="298"/>
      <c r="V112" s="298"/>
      <c r="W112" s="300"/>
      <c r="X112" s="300"/>
      <c r="Y112" s="300"/>
      <c r="Z112" s="300"/>
      <c r="AA112" s="300"/>
      <c r="AB112" s="301"/>
      <c r="AC112" s="300"/>
      <c r="AD112" s="300"/>
      <c r="AE112" s="300"/>
      <c r="AF112" s="302"/>
      <c r="AG112" s="203"/>
      <c r="AH112" s="203"/>
      <c r="AI112" s="203"/>
      <c r="AJ112" s="203"/>
      <c r="AK112" s="203"/>
      <c r="AL112" s="203"/>
      <c r="AM112" s="203"/>
      <c r="AN112" s="206"/>
      <c r="AO112" s="300"/>
      <c r="AP112" s="300"/>
      <c r="AQ112" s="300"/>
      <c r="AR112" s="300"/>
    </row>
    <row r="113">
      <c r="A113" s="174"/>
      <c r="B113" s="174"/>
      <c r="C113" s="74"/>
      <c r="D113" s="297"/>
      <c r="E113" s="70"/>
      <c r="F113" s="174"/>
      <c r="G113" s="298"/>
      <c r="H113" s="298"/>
      <c r="I113" s="298"/>
      <c r="J113" s="298"/>
      <c r="K113" s="298"/>
      <c r="L113" s="298"/>
      <c r="M113" s="298"/>
      <c r="N113" s="298"/>
      <c r="O113" s="298"/>
      <c r="P113" s="298"/>
      <c r="Q113" s="298"/>
      <c r="R113" s="298"/>
      <c r="S113" s="298"/>
      <c r="T113" s="298"/>
      <c r="U113" s="298"/>
      <c r="V113" s="298"/>
      <c r="W113" s="300"/>
      <c r="X113" s="300"/>
      <c r="Y113" s="300"/>
      <c r="Z113" s="300"/>
      <c r="AA113" s="300"/>
      <c r="AB113" s="301"/>
      <c r="AC113" s="300"/>
      <c r="AD113" s="300"/>
      <c r="AE113" s="300"/>
      <c r="AF113" s="302"/>
      <c r="AG113" s="203"/>
      <c r="AH113" s="203"/>
      <c r="AI113" s="203"/>
      <c r="AJ113" s="203"/>
      <c r="AK113" s="203"/>
      <c r="AL113" s="203"/>
      <c r="AM113" s="203"/>
      <c r="AN113" s="206"/>
      <c r="AO113" s="300"/>
      <c r="AP113" s="300"/>
      <c r="AQ113" s="300"/>
      <c r="AR113" s="300"/>
    </row>
    <row r="114">
      <c r="A114" s="174"/>
      <c r="B114" s="174"/>
      <c r="C114" s="74"/>
      <c r="D114" s="297"/>
      <c r="E114" s="70"/>
      <c r="F114" s="174"/>
      <c r="G114" s="298"/>
      <c r="H114" s="298"/>
      <c r="I114" s="298"/>
      <c r="J114" s="298"/>
      <c r="K114" s="298"/>
      <c r="L114" s="298"/>
      <c r="M114" s="298"/>
      <c r="N114" s="298"/>
      <c r="O114" s="298"/>
      <c r="P114" s="298"/>
      <c r="Q114" s="298"/>
      <c r="R114" s="298"/>
      <c r="S114" s="298"/>
      <c r="T114" s="298"/>
      <c r="U114" s="298"/>
      <c r="V114" s="298"/>
      <c r="W114" s="300"/>
      <c r="X114" s="300"/>
      <c r="Y114" s="300"/>
      <c r="Z114" s="300"/>
      <c r="AA114" s="300"/>
      <c r="AB114" s="301"/>
      <c r="AC114" s="300"/>
      <c r="AD114" s="300"/>
      <c r="AE114" s="300"/>
      <c r="AF114" s="302"/>
      <c r="AG114" s="203"/>
      <c r="AH114" s="203"/>
      <c r="AI114" s="203"/>
      <c r="AJ114" s="203"/>
      <c r="AK114" s="203"/>
      <c r="AL114" s="203"/>
      <c r="AM114" s="203"/>
      <c r="AN114" s="206"/>
      <c r="AO114" s="300"/>
      <c r="AP114" s="300"/>
      <c r="AQ114" s="300"/>
      <c r="AR114" s="300"/>
    </row>
    <row r="115">
      <c r="A115" s="174"/>
      <c r="B115" s="174"/>
      <c r="C115" s="74"/>
      <c r="D115" s="297"/>
      <c r="E115" s="70"/>
      <c r="F115" s="174"/>
      <c r="G115" s="298"/>
      <c r="H115" s="298"/>
      <c r="I115" s="298"/>
      <c r="J115" s="298"/>
      <c r="K115" s="298"/>
      <c r="L115" s="298"/>
      <c r="M115" s="298"/>
      <c r="N115" s="298"/>
      <c r="O115" s="298"/>
      <c r="P115" s="298"/>
      <c r="Q115" s="298"/>
      <c r="R115" s="298"/>
      <c r="S115" s="298"/>
      <c r="T115" s="298"/>
      <c r="U115" s="298"/>
      <c r="V115" s="298"/>
      <c r="W115" s="300"/>
      <c r="X115" s="300"/>
      <c r="Y115" s="300"/>
      <c r="Z115" s="300"/>
      <c r="AA115" s="300"/>
      <c r="AB115" s="301"/>
      <c r="AC115" s="300"/>
      <c r="AD115" s="300"/>
      <c r="AE115" s="300"/>
      <c r="AF115" s="302"/>
      <c r="AG115" s="203"/>
      <c r="AH115" s="203"/>
      <c r="AI115" s="203"/>
      <c r="AJ115" s="203"/>
      <c r="AK115" s="203"/>
      <c r="AL115" s="203"/>
      <c r="AM115" s="203"/>
      <c r="AN115" s="206"/>
      <c r="AO115" s="300"/>
      <c r="AP115" s="300"/>
      <c r="AQ115" s="300"/>
      <c r="AR115" s="300"/>
    </row>
    <row r="116">
      <c r="A116" s="174"/>
      <c r="B116" s="174"/>
      <c r="C116" s="74"/>
      <c r="D116" s="297"/>
      <c r="E116" s="70"/>
      <c r="F116" s="174"/>
      <c r="G116" s="298"/>
      <c r="H116" s="298"/>
      <c r="I116" s="298"/>
      <c r="J116" s="298"/>
      <c r="K116" s="298"/>
      <c r="L116" s="298"/>
      <c r="M116" s="298"/>
      <c r="N116" s="298"/>
      <c r="O116" s="298"/>
      <c r="P116" s="298"/>
      <c r="Q116" s="298"/>
      <c r="R116" s="298"/>
      <c r="S116" s="298"/>
      <c r="T116" s="298"/>
      <c r="U116" s="298"/>
      <c r="V116" s="298"/>
      <c r="W116" s="300"/>
      <c r="X116" s="300"/>
      <c r="Y116" s="300"/>
      <c r="Z116" s="300"/>
      <c r="AA116" s="300"/>
      <c r="AB116" s="301"/>
      <c r="AC116" s="300"/>
      <c r="AD116" s="300"/>
      <c r="AE116" s="300"/>
      <c r="AF116" s="302"/>
      <c r="AG116" s="203"/>
      <c r="AH116" s="203"/>
      <c r="AI116" s="203"/>
      <c r="AJ116" s="203"/>
      <c r="AK116" s="203"/>
      <c r="AL116" s="203"/>
      <c r="AM116" s="203"/>
      <c r="AN116" s="206"/>
      <c r="AO116" s="300"/>
      <c r="AP116" s="300"/>
      <c r="AQ116" s="300"/>
      <c r="AR116" s="300"/>
    </row>
    <row r="117">
      <c r="A117" s="174"/>
      <c r="B117" s="174"/>
      <c r="C117" s="74"/>
      <c r="D117" s="297"/>
      <c r="E117" s="70"/>
      <c r="F117" s="174"/>
      <c r="G117" s="298"/>
      <c r="H117" s="298"/>
      <c r="I117" s="298"/>
      <c r="J117" s="298"/>
      <c r="K117" s="298"/>
      <c r="L117" s="298"/>
      <c r="M117" s="298"/>
      <c r="N117" s="298"/>
      <c r="O117" s="298"/>
      <c r="P117" s="298"/>
      <c r="Q117" s="298"/>
      <c r="R117" s="298"/>
      <c r="S117" s="298"/>
      <c r="T117" s="298"/>
      <c r="U117" s="298"/>
      <c r="V117" s="298"/>
      <c r="W117" s="300"/>
      <c r="X117" s="300"/>
      <c r="Y117" s="300"/>
      <c r="Z117" s="300"/>
      <c r="AA117" s="300"/>
      <c r="AB117" s="301"/>
      <c r="AC117" s="300"/>
      <c r="AD117" s="300"/>
      <c r="AE117" s="300"/>
      <c r="AF117" s="302"/>
      <c r="AG117" s="203"/>
      <c r="AH117" s="203"/>
      <c r="AI117" s="203"/>
      <c r="AJ117" s="203"/>
      <c r="AK117" s="203"/>
      <c r="AL117" s="203"/>
      <c r="AM117" s="203"/>
      <c r="AN117" s="206"/>
      <c r="AO117" s="300"/>
      <c r="AP117" s="300"/>
      <c r="AQ117" s="300"/>
      <c r="AR117" s="300"/>
    </row>
    <row r="118">
      <c r="A118" s="174"/>
      <c r="B118" s="174"/>
      <c r="C118" s="74"/>
      <c r="D118" s="297"/>
      <c r="E118" s="70"/>
      <c r="F118" s="174"/>
      <c r="G118" s="298"/>
      <c r="H118" s="298"/>
      <c r="I118" s="298"/>
      <c r="J118" s="298"/>
      <c r="K118" s="298"/>
      <c r="L118" s="298"/>
      <c r="M118" s="298"/>
      <c r="N118" s="298"/>
      <c r="O118" s="298"/>
      <c r="P118" s="298"/>
      <c r="Q118" s="298"/>
      <c r="R118" s="298"/>
      <c r="S118" s="298"/>
      <c r="T118" s="298"/>
      <c r="U118" s="298"/>
      <c r="V118" s="298"/>
      <c r="W118" s="300"/>
      <c r="X118" s="300"/>
      <c r="Y118" s="300"/>
      <c r="Z118" s="300"/>
      <c r="AA118" s="300"/>
      <c r="AB118" s="301"/>
      <c r="AC118" s="300"/>
      <c r="AD118" s="300"/>
      <c r="AE118" s="300"/>
      <c r="AF118" s="302"/>
      <c r="AG118" s="203"/>
      <c r="AH118" s="203"/>
      <c r="AI118" s="203"/>
      <c r="AJ118" s="203"/>
      <c r="AK118" s="203"/>
      <c r="AL118" s="203"/>
      <c r="AM118" s="203"/>
      <c r="AN118" s="206"/>
      <c r="AO118" s="300"/>
      <c r="AP118" s="300"/>
      <c r="AQ118" s="300"/>
      <c r="AR118" s="300"/>
    </row>
    <row r="119">
      <c r="A119" s="174"/>
      <c r="B119" s="174"/>
      <c r="C119" s="74"/>
      <c r="D119" s="297"/>
      <c r="E119" s="70"/>
      <c r="F119" s="174"/>
      <c r="G119" s="298"/>
      <c r="H119" s="298"/>
      <c r="I119" s="298"/>
      <c r="J119" s="298"/>
      <c r="K119" s="298"/>
      <c r="L119" s="298"/>
      <c r="M119" s="298"/>
      <c r="N119" s="298"/>
      <c r="O119" s="298"/>
      <c r="P119" s="298"/>
      <c r="Q119" s="298"/>
      <c r="R119" s="298"/>
      <c r="S119" s="298"/>
      <c r="T119" s="298"/>
      <c r="U119" s="298"/>
      <c r="V119" s="298"/>
      <c r="W119" s="300"/>
      <c r="X119" s="300"/>
      <c r="Y119" s="300"/>
      <c r="Z119" s="300"/>
      <c r="AA119" s="300"/>
      <c r="AB119" s="301"/>
      <c r="AC119" s="300"/>
      <c r="AD119" s="300"/>
      <c r="AE119" s="300"/>
      <c r="AF119" s="302"/>
      <c r="AG119" s="203"/>
      <c r="AH119" s="203"/>
      <c r="AI119" s="203"/>
      <c r="AJ119" s="203"/>
      <c r="AK119" s="203"/>
      <c r="AL119" s="203"/>
      <c r="AM119" s="203"/>
      <c r="AN119" s="206"/>
      <c r="AO119" s="300"/>
      <c r="AP119" s="300"/>
      <c r="AQ119" s="300"/>
      <c r="AR119" s="300"/>
    </row>
    <row r="120">
      <c r="A120" s="174"/>
      <c r="B120" s="174"/>
      <c r="C120" s="74"/>
      <c r="D120" s="297"/>
      <c r="E120" s="70"/>
      <c r="F120" s="174"/>
      <c r="G120" s="298"/>
      <c r="H120" s="298"/>
      <c r="I120" s="298"/>
      <c r="J120" s="298"/>
      <c r="K120" s="298"/>
      <c r="L120" s="298"/>
      <c r="M120" s="298"/>
      <c r="N120" s="298"/>
      <c r="O120" s="298"/>
      <c r="P120" s="298"/>
      <c r="Q120" s="298"/>
      <c r="R120" s="298"/>
      <c r="S120" s="298"/>
      <c r="T120" s="298"/>
      <c r="U120" s="298"/>
      <c r="V120" s="298"/>
      <c r="W120" s="300"/>
      <c r="X120" s="300"/>
      <c r="Y120" s="300"/>
      <c r="Z120" s="300"/>
      <c r="AA120" s="300"/>
      <c r="AB120" s="301"/>
      <c r="AC120" s="300"/>
      <c r="AD120" s="300"/>
      <c r="AE120" s="300"/>
      <c r="AF120" s="302"/>
      <c r="AG120" s="203"/>
      <c r="AH120" s="203"/>
      <c r="AI120" s="203"/>
      <c r="AJ120" s="203"/>
      <c r="AK120" s="203"/>
      <c r="AL120" s="203"/>
      <c r="AM120" s="203"/>
      <c r="AN120" s="206"/>
      <c r="AO120" s="300"/>
      <c r="AP120" s="300"/>
      <c r="AQ120" s="300"/>
      <c r="AR120" s="300"/>
    </row>
    <row r="121">
      <c r="A121" s="174"/>
      <c r="B121" s="174"/>
      <c r="C121" s="74"/>
      <c r="D121" s="297"/>
      <c r="E121" s="70"/>
      <c r="F121" s="174"/>
      <c r="G121" s="298"/>
      <c r="H121" s="298"/>
      <c r="I121" s="298"/>
      <c r="J121" s="298"/>
      <c r="K121" s="298"/>
      <c r="L121" s="298"/>
      <c r="M121" s="298"/>
      <c r="N121" s="298"/>
      <c r="O121" s="298"/>
      <c r="P121" s="298"/>
      <c r="Q121" s="298"/>
      <c r="R121" s="298"/>
      <c r="S121" s="298"/>
      <c r="T121" s="298"/>
      <c r="U121" s="298"/>
      <c r="V121" s="298"/>
      <c r="W121" s="300"/>
      <c r="X121" s="300"/>
      <c r="Y121" s="300"/>
      <c r="Z121" s="300"/>
      <c r="AA121" s="300"/>
      <c r="AB121" s="301"/>
      <c r="AC121" s="300"/>
      <c r="AD121" s="300"/>
      <c r="AE121" s="300"/>
      <c r="AF121" s="302"/>
      <c r="AG121" s="203"/>
      <c r="AH121" s="203"/>
      <c r="AI121" s="203"/>
      <c r="AJ121" s="203"/>
      <c r="AK121" s="203"/>
      <c r="AL121" s="203"/>
      <c r="AM121" s="203"/>
      <c r="AN121" s="206"/>
      <c r="AO121" s="300"/>
      <c r="AP121" s="300"/>
      <c r="AQ121" s="300"/>
      <c r="AR121" s="300"/>
    </row>
    <row r="122">
      <c r="A122" s="174"/>
      <c r="B122" s="174"/>
      <c r="C122" s="74"/>
      <c r="D122" s="297"/>
      <c r="E122" s="70"/>
      <c r="F122" s="174"/>
      <c r="G122" s="298"/>
      <c r="H122" s="298"/>
      <c r="I122" s="298"/>
      <c r="J122" s="298"/>
      <c r="K122" s="298"/>
      <c r="L122" s="298"/>
      <c r="M122" s="298"/>
      <c r="N122" s="298"/>
      <c r="O122" s="298"/>
      <c r="P122" s="298"/>
      <c r="Q122" s="298"/>
      <c r="R122" s="298"/>
      <c r="S122" s="298"/>
      <c r="T122" s="298"/>
      <c r="U122" s="298"/>
      <c r="V122" s="298"/>
      <c r="W122" s="300"/>
      <c r="X122" s="300"/>
      <c r="Y122" s="300"/>
      <c r="Z122" s="300"/>
      <c r="AA122" s="300"/>
      <c r="AB122" s="301"/>
      <c r="AC122" s="300"/>
      <c r="AD122" s="300"/>
      <c r="AE122" s="300"/>
      <c r="AF122" s="302"/>
      <c r="AG122" s="203"/>
      <c r="AH122" s="203"/>
      <c r="AI122" s="203"/>
      <c r="AJ122" s="203"/>
      <c r="AK122" s="203"/>
      <c r="AL122" s="203"/>
      <c r="AM122" s="203"/>
      <c r="AN122" s="206"/>
      <c r="AO122" s="300"/>
      <c r="AP122" s="300"/>
      <c r="AQ122" s="300"/>
      <c r="AR122" s="300"/>
    </row>
    <row r="123">
      <c r="A123" s="174"/>
      <c r="B123" s="174"/>
      <c r="C123" s="74"/>
      <c r="D123" s="297"/>
      <c r="E123" s="70"/>
      <c r="F123" s="174"/>
      <c r="G123" s="298"/>
      <c r="H123" s="298"/>
      <c r="I123" s="298"/>
      <c r="J123" s="298"/>
      <c r="K123" s="298"/>
      <c r="L123" s="298"/>
      <c r="M123" s="298"/>
      <c r="N123" s="298"/>
      <c r="O123" s="298"/>
      <c r="P123" s="298"/>
      <c r="Q123" s="298"/>
      <c r="R123" s="298"/>
      <c r="S123" s="298"/>
      <c r="T123" s="298"/>
      <c r="U123" s="298"/>
      <c r="V123" s="298"/>
      <c r="W123" s="300"/>
      <c r="X123" s="300"/>
      <c r="Y123" s="300"/>
      <c r="Z123" s="300"/>
      <c r="AA123" s="300"/>
      <c r="AB123" s="301"/>
      <c r="AC123" s="300"/>
      <c r="AD123" s="300"/>
      <c r="AE123" s="300"/>
      <c r="AF123" s="302"/>
      <c r="AG123" s="203"/>
      <c r="AH123" s="203"/>
      <c r="AI123" s="203"/>
      <c r="AJ123" s="203"/>
      <c r="AK123" s="203"/>
      <c r="AL123" s="203"/>
      <c r="AM123" s="203"/>
      <c r="AN123" s="206"/>
      <c r="AO123" s="300"/>
      <c r="AP123" s="300"/>
      <c r="AQ123" s="300"/>
      <c r="AR123" s="300"/>
    </row>
    <row r="124">
      <c r="A124" s="174"/>
      <c r="B124" s="174"/>
      <c r="C124" s="74"/>
      <c r="D124" s="297"/>
      <c r="E124" s="70"/>
      <c r="F124" s="174"/>
      <c r="G124" s="298"/>
      <c r="H124" s="298"/>
      <c r="I124" s="298"/>
      <c r="J124" s="298"/>
      <c r="K124" s="298"/>
      <c r="L124" s="298"/>
      <c r="M124" s="298"/>
      <c r="N124" s="298"/>
      <c r="O124" s="298"/>
      <c r="P124" s="298"/>
      <c r="Q124" s="298"/>
      <c r="R124" s="298"/>
      <c r="S124" s="298"/>
      <c r="T124" s="298"/>
      <c r="U124" s="298"/>
      <c r="V124" s="298"/>
      <c r="W124" s="300"/>
      <c r="X124" s="300"/>
      <c r="Y124" s="300"/>
      <c r="Z124" s="300"/>
      <c r="AA124" s="300"/>
      <c r="AB124" s="301"/>
      <c r="AC124" s="300"/>
      <c r="AD124" s="300"/>
      <c r="AE124" s="300"/>
      <c r="AF124" s="302"/>
      <c r="AG124" s="203"/>
      <c r="AH124" s="203"/>
      <c r="AI124" s="203"/>
      <c r="AJ124" s="203"/>
      <c r="AK124" s="203"/>
      <c r="AL124" s="203"/>
      <c r="AM124" s="203"/>
      <c r="AN124" s="206"/>
      <c r="AO124" s="300"/>
      <c r="AP124" s="300"/>
      <c r="AQ124" s="300"/>
      <c r="AR124" s="300"/>
    </row>
    <row r="125">
      <c r="A125" s="174"/>
      <c r="B125" s="174"/>
      <c r="C125" s="74"/>
      <c r="D125" s="297"/>
      <c r="E125" s="70"/>
      <c r="F125" s="174"/>
      <c r="G125" s="298"/>
      <c r="H125" s="298"/>
      <c r="I125" s="298"/>
      <c r="J125" s="298"/>
      <c r="K125" s="298"/>
      <c r="L125" s="298"/>
      <c r="M125" s="298"/>
      <c r="N125" s="298"/>
      <c r="O125" s="298"/>
      <c r="P125" s="298"/>
      <c r="Q125" s="298"/>
      <c r="R125" s="298"/>
      <c r="S125" s="298"/>
      <c r="T125" s="298"/>
      <c r="U125" s="298"/>
      <c r="V125" s="298"/>
      <c r="W125" s="300"/>
      <c r="X125" s="300"/>
      <c r="Y125" s="300"/>
      <c r="Z125" s="300"/>
      <c r="AA125" s="300"/>
      <c r="AB125" s="301"/>
      <c r="AC125" s="300"/>
      <c r="AD125" s="300"/>
      <c r="AE125" s="300"/>
      <c r="AF125" s="302"/>
      <c r="AG125" s="203"/>
      <c r="AH125" s="203"/>
      <c r="AI125" s="203"/>
      <c r="AJ125" s="203"/>
      <c r="AK125" s="203"/>
      <c r="AL125" s="203"/>
      <c r="AM125" s="203"/>
      <c r="AN125" s="206"/>
      <c r="AO125" s="300"/>
      <c r="AP125" s="300"/>
      <c r="AQ125" s="300"/>
      <c r="AR125" s="300"/>
    </row>
    <row r="126">
      <c r="A126" s="174"/>
      <c r="B126" s="174"/>
      <c r="C126" s="74"/>
      <c r="D126" s="297"/>
      <c r="E126" s="70"/>
      <c r="F126" s="174"/>
      <c r="G126" s="298"/>
      <c r="H126" s="298"/>
      <c r="I126" s="298"/>
      <c r="J126" s="298"/>
      <c r="K126" s="298"/>
      <c r="L126" s="298"/>
      <c r="M126" s="298"/>
      <c r="N126" s="298"/>
      <c r="O126" s="298"/>
      <c r="P126" s="298"/>
      <c r="Q126" s="298"/>
      <c r="R126" s="298"/>
      <c r="S126" s="298"/>
      <c r="T126" s="298"/>
      <c r="U126" s="298"/>
      <c r="V126" s="298"/>
      <c r="W126" s="300"/>
      <c r="X126" s="300"/>
      <c r="Y126" s="300"/>
      <c r="Z126" s="300"/>
      <c r="AA126" s="300"/>
      <c r="AB126" s="301"/>
      <c r="AC126" s="300"/>
      <c r="AD126" s="300"/>
      <c r="AE126" s="300"/>
      <c r="AF126" s="302"/>
      <c r="AG126" s="203"/>
      <c r="AH126" s="203"/>
      <c r="AI126" s="203"/>
      <c r="AJ126" s="203"/>
      <c r="AK126" s="203"/>
      <c r="AL126" s="203"/>
      <c r="AM126" s="203"/>
      <c r="AN126" s="206"/>
      <c r="AO126" s="300"/>
      <c r="AP126" s="300"/>
      <c r="AQ126" s="300"/>
      <c r="AR126" s="300"/>
    </row>
    <row r="127">
      <c r="A127" s="174"/>
      <c r="B127" s="174"/>
      <c r="C127" s="74"/>
      <c r="D127" s="297"/>
      <c r="E127" s="70"/>
      <c r="F127" s="174"/>
      <c r="G127" s="298"/>
      <c r="H127" s="298"/>
      <c r="I127" s="298"/>
      <c r="J127" s="298"/>
      <c r="K127" s="298"/>
      <c r="L127" s="298"/>
      <c r="M127" s="298"/>
      <c r="N127" s="298"/>
      <c r="O127" s="298"/>
      <c r="P127" s="298"/>
      <c r="Q127" s="298"/>
      <c r="R127" s="298"/>
      <c r="S127" s="298"/>
      <c r="T127" s="298"/>
      <c r="U127" s="298"/>
      <c r="V127" s="298"/>
      <c r="W127" s="300"/>
      <c r="X127" s="300"/>
      <c r="Y127" s="300"/>
      <c r="Z127" s="300"/>
      <c r="AA127" s="300"/>
      <c r="AB127" s="301"/>
      <c r="AC127" s="300"/>
      <c r="AD127" s="300"/>
      <c r="AE127" s="300"/>
      <c r="AF127" s="302"/>
      <c r="AG127" s="203"/>
      <c r="AH127" s="203"/>
      <c r="AI127" s="203"/>
      <c r="AJ127" s="203"/>
      <c r="AK127" s="203"/>
      <c r="AL127" s="203"/>
      <c r="AM127" s="203"/>
      <c r="AN127" s="206"/>
      <c r="AO127" s="300"/>
      <c r="AP127" s="300"/>
      <c r="AQ127" s="300"/>
      <c r="AR127" s="300"/>
    </row>
    <row r="128">
      <c r="A128" s="174"/>
      <c r="B128" s="174"/>
      <c r="C128" s="74"/>
      <c r="D128" s="297"/>
      <c r="E128" s="70"/>
      <c r="F128" s="174"/>
      <c r="G128" s="298"/>
      <c r="H128" s="298"/>
      <c r="I128" s="298"/>
      <c r="J128" s="298"/>
      <c r="K128" s="298"/>
      <c r="L128" s="298"/>
      <c r="M128" s="298"/>
      <c r="N128" s="298"/>
      <c r="O128" s="298"/>
      <c r="P128" s="298"/>
      <c r="Q128" s="298"/>
      <c r="R128" s="298"/>
      <c r="S128" s="298"/>
      <c r="T128" s="298"/>
      <c r="U128" s="298"/>
      <c r="V128" s="298"/>
      <c r="W128" s="300"/>
      <c r="X128" s="300"/>
      <c r="Y128" s="300"/>
      <c r="Z128" s="300"/>
      <c r="AA128" s="300"/>
      <c r="AB128" s="301"/>
      <c r="AC128" s="300"/>
      <c r="AD128" s="300"/>
      <c r="AE128" s="300"/>
      <c r="AF128" s="302"/>
      <c r="AG128" s="203"/>
      <c r="AH128" s="203"/>
      <c r="AI128" s="203"/>
      <c r="AJ128" s="203"/>
      <c r="AK128" s="203"/>
      <c r="AL128" s="203"/>
      <c r="AM128" s="203"/>
      <c r="AN128" s="206"/>
      <c r="AO128" s="300"/>
      <c r="AP128" s="300"/>
      <c r="AQ128" s="300"/>
      <c r="AR128" s="300"/>
    </row>
    <row r="129">
      <c r="A129" s="174"/>
      <c r="B129" s="174"/>
      <c r="C129" s="74"/>
      <c r="D129" s="297"/>
      <c r="E129" s="70"/>
      <c r="F129" s="174"/>
      <c r="G129" s="298"/>
      <c r="H129" s="298"/>
      <c r="I129" s="298"/>
      <c r="J129" s="298"/>
      <c r="K129" s="298"/>
      <c r="L129" s="298"/>
      <c r="M129" s="298"/>
      <c r="N129" s="298"/>
      <c r="O129" s="298"/>
      <c r="P129" s="298"/>
      <c r="Q129" s="298"/>
      <c r="R129" s="298"/>
      <c r="S129" s="298"/>
      <c r="T129" s="298"/>
      <c r="U129" s="298"/>
      <c r="V129" s="298"/>
      <c r="W129" s="300"/>
      <c r="X129" s="300"/>
      <c r="Y129" s="300"/>
      <c r="Z129" s="300"/>
      <c r="AA129" s="300"/>
      <c r="AB129" s="301"/>
      <c r="AC129" s="300"/>
      <c r="AD129" s="300"/>
      <c r="AE129" s="300"/>
      <c r="AF129" s="302"/>
      <c r="AG129" s="203"/>
      <c r="AH129" s="203"/>
      <c r="AI129" s="203"/>
      <c r="AJ129" s="203"/>
      <c r="AK129" s="203"/>
      <c r="AL129" s="203"/>
      <c r="AM129" s="203"/>
      <c r="AN129" s="206"/>
      <c r="AO129" s="300"/>
      <c r="AP129" s="300"/>
      <c r="AQ129" s="300"/>
      <c r="AR129" s="300"/>
    </row>
    <row r="130">
      <c r="A130" s="174"/>
      <c r="B130" s="174"/>
      <c r="C130" s="74"/>
      <c r="D130" s="297"/>
      <c r="E130" s="70"/>
      <c r="F130" s="174"/>
      <c r="G130" s="298"/>
      <c r="H130" s="298"/>
      <c r="I130" s="298"/>
      <c r="J130" s="298"/>
      <c r="K130" s="298"/>
      <c r="L130" s="298"/>
      <c r="M130" s="298"/>
      <c r="N130" s="298"/>
      <c r="O130" s="298"/>
      <c r="P130" s="298"/>
      <c r="Q130" s="298"/>
      <c r="R130" s="298"/>
      <c r="S130" s="298"/>
      <c r="T130" s="298"/>
      <c r="U130" s="298"/>
      <c r="V130" s="298"/>
      <c r="W130" s="300"/>
      <c r="X130" s="300"/>
      <c r="Y130" s="300"/>
      <c r="Z130" s="300"/>
      <c r="AA130" s="300"/>
      <c r="AB130" s="301"/>
      <c r="AC130" s="300"/>
      <c r="AD130" s="300"/>
      <c r="AE130" s="300"/>
      <c r="AF130" s="302"/>
      <c r="AG130" s="203"/>
      <c r="AH130" s="203"/>
      <c r="AI130" s="203"/>
      <c r="AJ130" s="203"/>
      <c r="AK130" s="203"/>
      <c r="AL130" s="203"/>
      <c r="AM130" s="203"/>
      <c r="AN130" s="206"/>
      <c r="AO130" s="300"/>
      <c r="AP130" s="300"/>
      <c r="AQ130" s="300"/>
      <c r="AR130" s="300"/>
    </row>
    <row r="131">
      <c r="A131" s="174"/>
      <c r="B131" s="174"/>
      <c r="C131" s="74"/>
      <c r="D131" s="297"/>
      <c r="E131" s="70"/>
      <c r="F131" s="174"/>
      <c r="G131" s="298"/>
      <c r="H131" s="298"/>
      <c r="I131" s="298"/>
      <c r="J131" s="298"/>
      <c r="K131" s="298"/>
      <c r="L131" s="298"/>
      <c r="M131" s="298"/>
      <c r="N131" s="298"/>
      <c r="O131" s="298"/>
      <c r="P131" s="298"/>
      <c r="Q131" s="298"/>
      <c r="R131" s="298"/>
      <c r="S131" s="298"/>
      <c r="T131" s="298"/>
      <c r="U131" s="298"/>
      <c r="V131" s="298"/>
      <c r="W131" s="300"/>
      <c r="X131" s="300"/>
      <c r="Y131" s="300"/>
      <c r="Z131" s="300"/>
      <c r="AA131" s="300"/>
      <c r="AB131" s="301"/>
      <c r="AC131" s="300"/>
      <c r="AD131" s="300"/>
      <c r="AE131" s="300"/>
      <c r="AF131" s="302"/>
      <c r="AG131" s="203"/>
      <c r="AH131" s="203"/>
      <c r="AI131" s="203"/>
      <c r="AJ131" s="203"/>
      <c r="AK131" s="203"/>
      <c r="AL131" s="203"/>
      <c r="AM131" s="203"/>
      <c r="AN131" s="206"/>
      <c r="AO131" s="300"/>
      <c r="AP131" s="300"/>
      <c r="AQ131" s="300"/>
      <c r="AR131" s="300"/>
    </row>
    <row r="132">
      <c r="A132" s="174"/>
      <c r="B132" s="174"/>
      <c r="C132" s="74"/>
      <c r="D132" s="297"/>
      <c r="E132" s="70"/>
      <c r="F132" s="174"/>
      <c r="G132" s="298"/>
      <c r="H132" s="298"/>
      <c r="I132" s="298"/>
      <c r="J132" s="298"/>
      <c r="K132" s="298"/>
      <c r="L132" s="298"/>
      <c r="M132" s="298"/>
      <c r="N132" s="298"/>
      <c r="O132" s="298"/>
      <c r="P132" s="298"/>
      <c r="Q132" s="298"/>
      <c r="R132" s="298"/>
      <c r="S132" s="298"/>
      <c r="T132" s="298"/>
      <c r="U132" s="298"/>
      <c r="V132" s="298"/>
      <c r="W132" s="300"/>
      <c r="X132" s="300"/>
      <c r="Y132" s="300"/>
      <c r="Z132" s="300"/>
      <c r="AA132" s="300"/>
      <c r="AB132" s="301"/>
      <c r="AC132" s="300"/>
      <c r="AD132" s="300"/>
      <c r="AE132" s="300"/>
      <c r="AF132" s="302"/>
      <c r="AG132" s="203"/>
      <c r="AH132" s="203"/>
      <c r="AI132" s="203"/>
      <c r="AJ132" s="203"/>
      <c r="AK132" s="203"/>
      <c r="AL132" s="203"/>
      <c r="AM132" s="203"/>
      <c r="AN132" s="206"/>
      <c r="AO132" s="300"/>
      <c r="AP132" s="300"/>
      <c r="AQ132" s="300"/>
      <c r="AR132" s="300"/>
    </row>
    <row r="133">
      <c r="A133" s="174"/>
      <c r="B133" s="174"/>
      <c r="C133" s="74"/>
      <c r="D133" s="297"/>
      <c r="E133" s="70"/>
      <c r="F133" s="174"/>
      <c r="G133" s="298"/>
      <c r="H133" s="298"/>
      <c r="I133" s="298"/>
      <c r="J133" s="298"/>
      <c r="K133" s="298"/>
      <c r="L133" s="298"/>
      <c r="M133" s="298"/>
      <c r="N133" s="298"/>
      <c r="O133" s="298"/>
      <c r="P133" s="298"/>
      <c r="Q133" s="298"/>
      <c r="R133" s="298"/>
      <c r="S133" s="298"/>
      <c r="T133" s="298"/>
      <c r="U133" s="298"/>
      <c r="V133" s="298"/>
      <c r="W133" s="300"/>
      <c r="X133" s="300"/>
      <c r="Y133" s="300"/>
      <c r="Z133" s="300"/>
      <c r="AA133" s="300"/>
      <c r="AB133" s="301"/>
      <c r="AC133" s="300"/>
      <c r="AD133" s="300"/>
      <c r="AE133" s="300"/>
      <c r="AF133" s="302"/>
      <c r="AG133" s="203"/>
      <c r="AH133" s="203"/>
      <c r="AI133" s="203"/>
      <c r="AJ133" s="203"/>
      <c r="AK133" s="203"/>
      <c r="AL133" s="203"/>
      <c r="AM133" s="203"/>
      <c r="AN133" s="206"/>
      <c r="AO133" s="300"/>
      <c r="AP133" s="300"/>
      <c r="AQ133" s="300"/>
      <c r="AR133" s="300"/>
    </row>
    <row r="134">
      <c r="A134" s="174"/>
      <c r="B134" s="174"/>
      <c r="C134" s="74"/>
      <c r="D134" s="297"/>
      <c r="E134" s="70"/>
      <c r="F134" s="174"/>
      <c r="G134" s="298"/>
      <c r="H134" s="298"/>
      <c r="I134" s="298"/>
      <c r="J134" s="298"/>
      <c r="K134" s="298"/>
      <c r="L134" s="298"/>
      <c r="M134" s="298"/>
      <c r="N134" s="298"/>
      <c r="O134" s="298"/>
      <c r="P134" s="298"/>
      <c r="Q134" s="298"/>
      <c r="R134" s="298"/>
      <c r="S134" s="298"/>
      <c r="T134" s="298"/>
      <c r="U134" s="298"/>
      <c r="V134" s="298"/>
      <c r="W134" s="300"/>
      <c r="X134" s="300"/>
      <c r="Y134" s="300"/>
      <c r="Z134" s="300"/>
      <c r="AA134" s="300"/>
      <c r="AB134" s="301"/>
      <c r="AC134" s="300"/>
      <c r="AD134" s="300"/>
      <c r="AE134" s="300"/>
      <c r="AF134" s="302"/>
      <c r="AG134" s="203"/>
      <c r="AH134" s="203"/>
      <c r="AI134" s="203"/>
      <c r="AJ134" s="203"/>
      <c r="AK134" s="203"/>
      <c r="AL134" s="203"/>
      <c r="AM134" s="203"/>
      <c r="AN134" s="206"/>
      <c r="AO134" s="300"/>
      <c r="AP134" s="300"/>
      <c r="AQ134" s="300"/>
      <c r="AR134" s="300"/>
    </row>
    <row r="135">
      <c r="A135" s="174"/>
      <c r="B135" s="174"/>
      <c r="C135" s="74"/>
      <c r="D135" s="297"/>
      <c r="E135" s="70"/>
      <c r="F135" s="174"/>
      <c r="G135" s="298"/>
      <c r="H135" s="298"/>
      <c r="I135" s="298"/>
      <c r="J135" s="298"/>
      <c r="K135" s="298"/>
      <c r="L135" s="298"/>
      <c r="M135" s="298"/>
      <c r="N135" s="298"/>
      <c r="O135" s="298"/>
      <c r="P135" s="298"/>
      <c r="Q135" s="298"/>
      <c r="R135" s="298"/>
      <c r="S135" s="298"/>
      <c r="T135" s="298"/>
      <c r="U135" s="298"/>
      <c r="V135" s="298"/>
      <c r="W135" s="300"/>
      <c r="X135" s="300"/>
      <c r="Y135" s="300"/>
      <c r="Z135" s="300"/>
      <c r="AA135" s="300"/>
      <c r="AB135" s="301"/>
      <c r="AC135" s="300"/>
      <c r="AD135" s="300"/>
      <c r="AE135" s="300"/>
      <c r="AF135" s="302"/>
      <c r="AG135" s="203"/>
      <c r="AH135" s="203"/>
      <c r="AI135" s="203"/>
      <c r="AJ135" s="203"/>
      <c r="AK135" s="203"/>
      <c r="AL135" s="203"/>
      <c r="AM135" s="203"/>
      <c r="AN135" s="206"/>
      <c r="AO135" s="300"/>
      <c r="AP135" s="300"/>
      <c r="AQ135" s="300"/>
      <c r="AR135" s="300"/>
    </row>
    <row r="136">
      <c r="A136" s="174"/>
      <c r="B136" s="174"/>
      <c r="C136" s="74"/>
      <c r="D136" s="297"/>
      <c r="E136" s="70"/>
      <c r="F136" s="174"/>
      <c r="G136" s="298"/>
      <c r="H136" s="298"/>
      <c r="I136" s="298"/>
      <c r="J136" s="298"/>
      <c r="K136" s="298"/>
      <c r="L136" s="298"/>
      <c r="M136" s="298"/>
      <c r="N136" s="298"/>
      <c r="O136" s="298"/>
      <c r="P136" s="298"/>
      <c r="Q136" s="298"/>
      <c r="R136" s="298"/>
      <c r="S136" s="298"/>
      <c r="T136" s="298"/>
      <c r="U136" s="298"/>
      <c r="V136" s="298"/>
      <c r="W136" s="300"/>
      <c r="X136" s="300"/>
      <c r="Y136" s="300"/>
      <c r="Z136" s="300"/>
      <c r="AA136" s="300"/>
      <c r="AB136" s="301"/>
      <c r="AC136" s="300"/>
      <c r="AD136" s="300"/>
      <c r="AE136" s="300"/>
      <c r="AF136" s="302"/>
      <c r="AG136" s="203"/>
      <c r="AH136" s="203"/>
      <c r="AI136" s="203"/>
      <c r="AJ136" s="203"/>
      <c r="AK136" s="203"/>
      <c r="AL136" s="203"/>
      <c r="AM136" s="203"/>
      <c r="AN136" s="206"/>
      <c r="AO136" s="300"/>
      <c r="AP136" s="300"/>
      <c r="AQ136" s="300"/>
      <c r="AR136" s="300"/>
    </row>
    <row r="137">
      <c r="A137" s="174"/>
      <c r="B137" s="174"/>
      <c r="C137" s="74"/>
      <c r="D137" s="297"/>
      <c r="E137" s="70"/>
      <c r="F137" s="174"/>
      <c r="G137" s="298"/>
      <c r="H137" s="298"/>
      <c r="I137" s="298"/>
      <c r="J137" s="298"/>
      <c r="K137" s="298"/>
      <c r="L137" s="298"/>
      <c r="M137" s="298"/>
      <c r="N137" s="298"/>
      <c r="O137" s="298"/>
      <c r="P137" s="298"/>
      <c r="Q137" s="298"/>
      <c r="R137" s="298"/>
      <c r="S137" s="298"/>
      <c r="T137" s="298"/>
      <c r="U137" s="298"/>
      <c r="V137" s="298"/>
      <c r="W137" s="300"/>
      <c r="X137" s="300"/>
      <c r="Y137" s="300"/>
      <c r="Z137" s="300"/>
      <c r="AA137" s="300"/>
      <c r="AB137" s="301"/>
      <c r="AC137" s="300"/>
      <c r="AD137" s="300"/>
      <c r="AE137" s="300"/>
      <c r="AF137" s="302"/>
      <c r="AG137" s="203"/>
      <c r="AH137" s="203"/>
      <c r="AI137" s="203"/>
      <c r="AJ137" s="203"/>
      <c r="AK137" s="203"/>
      <c r="AL137" s="203"/>
      <c r="AM137" s="203"/>
      <c r="AN137" s="206"/>
      <c r="AO137" s="300"/>
      <c r="AP137" s="300"/>
      <c r="AQ137" s="300"/>
      <c r="AR137" s="300"/>
    </row>
    <row r="138">
      <c r="A138" s="174"/>
      <c r="B138" s="174"/>
      <c r="C138" s="74"/>
      <c r="D138" s="297"/>
      <c r="E138" s="70"/>
      <c r="F138" s="174"/>
      <c r="G138" s="298"/>
      <c r="H138" s="298"/>
      <c r="I138" s="298"/>
      <c r="J138" s="298"/>
      <c r="K138" s="298"/>
      <c r="L138" s="298"/>
      <c r="M138" s="298"/>
      <c r="N138" s="298"/>
      <c r="O138" s="298"/>
      <c r="P138" s="298"/>
      <c r="Q138" s="298"/>
      <c r="R138" s="298"/>
      <c r="S138" s="298"/>
      <c r="T138" s="298"/>
      <c r="U138" s="298"/>
      <c r="V138" s="298"/>
      <c r="W138" s="300"/>
      <c r="X138" s="300"/>
      <c r="Y138" s="300"/>
      <c r="Z138" s="300"/>
      <c r="AA138" s="300"/>
      <c r="AB138" s="301"/>
      <c r="AC138" s="300"/>
      <c r="AD138" s="300"/>
      <c r="AE138" s="300"/>
      <c r="AF138" s="302"/>
      <c r="AG138" s="203"/>
      <c r="AH138" s="203"/>
      <c r="AI138" s="203"/>
      <c r="AJ138" s="203"/>
      <c r="AK138" s="203"/>
      <c r="AL138" s="203"/>
      <c r="AM138" s="203"/>
      <c r="AN138" s="206"/>
      <c r="AO138" s="300"/>
      <c r="AP138" s="300"/>
      <c r="AQ138" s="300"/>
      <c r="AR138" s="300"/>
    </row>
    <row r="139">
      <c r="A139" s="174"/>
      <c r="B139" s="174"/>
      <c r="C139" s="74"/>
      <c r="D139" s="297"/>
      <c r="E139" s="70"/>
      <c r="F139" s="174"/>
      <c r="G139" s="298"/>
      <c r="H139" s="298"/>
      <c r="I139" s="298"/>
      <c r="J139" s="298"/>
      <c r="K139" s="298"/>
      <c r="L139" s="298"/>
      <c r="M139" s="298"/>
      <c r="N139" s="298"/>
      <c r="O139" s="298"/>
      <c r="P139" s="298"/>
      <c r="Q139" s="298"/>
      <c r="R139" s="298"/>
      <c r="S139" s="298"/>
      <c r="T139" s="298"/>
      <c r="U139" s="298"/>
      <c r="V139" s="298"/>
      <c r="W139" s="300"/>
      <c r="X139" s="300"/>
      <c r="Y139" s="300"/>
      <c r="Z139" s="300"/>
      <c r="AA139" s="300"/>
      <c r="AB139" s="301"/>
      <c r="AC139" s="300"/>
      <c r="AD139" s="300"/>
      <c r="AE139" s="300"/>
      <c r="AF139" s="302"/>
      <c r="AG139" s="203"/>
      <c r="AH139" s="203"/>
      <c r="AI139" s="203"/>
      <c r="AJ139" s="203"/>
      <c r="AK139" s="203"/>
      <c r="AL139" s="203"/>
      <c r="AM139" s="203"/>
      <c r="AN139" s="206"/>
      <c r="AO139" s="300"/>
      <c r="AP139" s="300"/>
      <c r="AQ139" s="300"/>
      <c r="AR139" s="300"/>
    </row>
    <row r="140">
      <c r="A140" s="174"/>
      <c r="B140" s="174"/>
      <c r="C140" s="74"/>
      <c r="D140" s="297"/>
      <c r="E140" s="70"/>
      <c r="F140" s="174"/>
      <c r="G140" s="298"/>
      <c r="H140" s="298"/>
      <c r="I140" s="298"/>
      <c r="J140" s="298"/>
      <c r="K140" s="298"/>
      <c r="L140" s="298"/>
      <c r="M140" s="298"/>
      <c r="N140" s="298"/>
      <c r="O140" s="298"/>
      <c r="P140" s="298"/>
      <c r="Q140" s="298"/>
      <c r="R140" s="298"/>
      <c r="S140" s="298"/>
      <c r="T140" s="298"/>
      <c r="U140" s="298"/>
      <c r="V140" s="298"/>
      <c r="W140" s="300"/>
      <c r="X140" s="300"/>
      <c r="Y140" s="300"/>
      <c r="Z140" s="300"/>
      <c r="AA140" s="300"/>
      <c r="AB140" s="301"/>
      <c r="AC140" s="300"/>
      <c r="AD140" s="300"/>
      <c r="AE140" s="300"/>
      <c r="AF140" s="302"/>
      <c r="AG140" s="203"/>
      <c r="AH140" s="203"/>
      <c r="AI140" s="203"/>
      <c r="AJ140" s="203"/>
      <c r="AK140" s="203"/>
      <c r="AL140" s="203"/>
      <c r="AM140" s="203"/>
      <c r="AN140" s="206"/>
      <c r="AO140" s="300"/>
      <c r="AP140" s="300"/>
      <c r="AQ140" s="300"/>
      <c r="AR140" s="300"/>
    </row>
    <row r="141">
      <c r="A141" s="174"/>
      <c r="B141" s="174"/>
      <c r="C141" s="74"/>
      <c r="D141" s="297"/>
      <c r="E141" s="70"/>
      <c r="F141" s="174"/>
      <c r="G141" s="298"/>
      <c r="H141" s="298"/>
      <c r="I141" s="298"/>
      <c r="J141" s="298"/>
      <c r="K141" s="298"/>
      <c r="L141" s="298"/>
      <c r="M141" s="298"/>
      <c r="N141" s="298"/>
      <c r="O141" s="298"/>
      <c r="P141" s="298"/>
      <c r="Q141" s="298"/>
      <c r="R141" s="298"/>
      <c r="S141" s="298"/>
      <c r="T141" s="298"/>
      <c r="U141" s="298"/>
      <c r="V141" s="298"/>
      <c r="W141" s="300"/>
      <c r="X141" s="300"/>
      <c r="Y141" s="300"/>
      <c r="Z141" s="300"/>
      <c r="AA141" s="300"/>
      <c r="AB141" s="301"/>
      <c r="AC141" s="300"/>
      <c r="AD141" s="300"/>
      <c r="AE141" s="300"/>
      <c r="AF141" s="302"/>
      <c r="AG141" s="203"/>
      <c r="AH141" s="203"/>
      <c r="AI141" s="203"/>
      <c r="AJ141" s="203"/>
      <c r="AK141" s="203"/>
      <c r="AL141" s="203"/>
      <c r="AM141" s="203"/>
      <c r="AN141" s="206"/>
      <c r="AO141" s="300"/>
      <c r="AP141" s="300"/>
      <c r="AQ141" s="300"/>
      <c r="AR141" s="300"/>
    </row>
    <row r="142">
      <c r="A142" s="174"/>
      <c r="B142" s="174"/>
      <c r="C142" s="74"/>
      <c r="D142" s="297"/>
      <c r="E142" s="70"/>
      <c r="F142" s="174"/>
      <c r="G142" s="298"/>
      <c r="H142" s="298"/>
      <c r="I142" s="298"/>
      <c r="J142" s="298"/>
      <c r="K142" s="298"/>
      <c r="L142" s="298"/>
      <c r="M142" s="298"/>
      <c r="N142" s="298"/>
      <c r="O142" s="298"/>
      <c r="P142" s="298"/>
      <c r="Q142" s="298"/>
      <c r="R142" s="298"/>
      <c r="S142" s="298"/>
      <c r="T142" s="298"/>
      <c r="U142" s="298"/>
      <c r="V142" s="298"/>
      <c r="W142" s="300"/>
      <c r="X142" s="300"/>
      <c r="Y142" s="300"/>
      <c r="Z142" s="300"/>
      <c r="AA142" s="300"/>
      <c r="AB142" s="301"/>
      <c r="AC142" s="300"/>
      <c r="AD142" s="300"/>
      <c r="AE142" s="300"/>
      <c r="AF142" s="302"/>
      <c r="AG142" s="203"/>
      <c r="AH142" s="203"/>
      <c r="AI142" s="203"/>
      <c r="AJ142" s="203"/>
      <c r="AK142" s="203"/>
      <c r="AL142" s="203"/>
      <c r="AM142" s="203"/>
      <c r="AN142" s="206"/>
      <c r="AO142" s="300"/>
      <c r="AP142" s="300"/>
      <c r="AQ142" s="300"/>
      <c r="AR142" s="300"/>
    </row>
    <row r="143">
      <c r="A143" s="174"/>
      <c r="B143" s="174"/>
      <c r="C143" s="74"/>
      <c r="D143" s="297"/>
      <c r="E143" s="70"/>
      <c r="F143" s="174"/>
      <c r="G143" s="298"/>
      <c r="H143" s="298"/>
      <c r="I143" s="298"/>
      <c r="J143" s="298"/>
      <c r="K143" s="298"/>
      <c r="L143" s="298"/>
      <c r="M143" s="298"/>
      <c r="N143" s="298"/>
      <c r="O143" s="298"/>
      <c r="P143" s="298"/>
      <c r="Q143" s="298"/>
      <c r="R143" s="298"/>
      <c r="S143" s="298"/>
      <c r="T143" s="298"/>
      <c r="U143" s="298"/>
      <c r="V143" s="298"/>
      <c r="W143" s="300"/>
      <c r="X143" s="300"/>
      <c r="Y143" s="300"/>
      <c r="Z143" s="300"/>
      <c r="AA143" s="300"/>
      <c r="AB143" s="301"/>
      <c r="AC143" s="300"/>
      <c r="AD143" s="300"/>
      <c r="AE143" s="300"/>
      <c r="AF143" s="302"/>
      <c r="AG143" s="203"/>
      <c r="AH143" s="203"/>
      <c r="AI143" s="203"/>
      <c r="AJ143" s="203"/>
      <c r="AK143" s="203"/>
      <c r="AL143" s="203"/>
      <c r="AM143" s="203"/>
      <c r="AN143" s="206"/>
      <c r="AO143" s="300"/>
      <c r="AP143" s="300"/>
      <c r="AQ143" s="300"/>
      <c r="AR143" s="300"/>
    </row>
    <row r="144">
      <c r="A144" s="174"/>
      <c r="B144" s="174"/>
      <c r="C144" s="74"/>
      <c r="D144" s="297"/>
      <c r="E144" s="70"/>
      <c r="F144" s="174"/>
      <c r="G144" s="298"/>
      <c r="H144" s="298"/>
      <c r="I144" s="298"/>
      <c r="J144" s="298"/>
      <c r="K144" s="298"/>
      <c r="L144" s="298"/>
      <c r="M144" s="298"/>
      <c r="N144" s="298"/>
      <c r="O144" s="298"/>
      <c r="P144" s="298"/>
      <c r="Q144" s="298"/>
      <c r="R144" s="298"/>
      <c r="S144" s="298"/>
      <c r="T144" s="298"/>
      <c r="U144" s="298"/>
      <c r="V144" s="298"/>
      <c r="W144" s="300"/>
      <c r="X144" s="300"/>
      <c r="Y144" s="300"/>
      <c r="Z144" s="300"/>
      <c r="AA144" s="300"/>
      <c r="AB144" s="301"/>
      <c r="AC144" s="300"/>
      <c r="AD144" s="300"/>
      <c r="AE144" s="300"/>
      <c r="AF144" s="302"/>
      <c r="AG144" s="203"/>
      <c r="AH144" s="203"/>
      <c r="AI144" s="203"/>
      <c r="AJ144" s="203"/>
      <c r="AK144" s="203"/>
      <c r="AL144" s="203"/>
      <c r="AM144" s="203"/>
      <c r="AN144" s="206"/>
      <c r="AO144" s="300"/>
      <c r="AP144" s="300"/>
      <c r="AQ144" s="300"/>
      <c r="AR144" s="300"/>
    </row>
    <row r="145">
      <c r="A145" s="174"/>
      <c r="B145" s="174"/>
      <c r="C145" s="74"/>
      <c r="D145" s="297"/>
      <c r="E145" s="70"/>
      <c r="F145" s="174"/>
      <c r="G145" s="298"/>
      <c r="H145" s="298"/>
      <c r="I145" s="298"/>
      <c r="J145" s="298"/>
      <c r="K145" s="298"/>
      <c r="L145" s="298"/>
      <c r="M145" s="298"/>
      <c r="N145" s="298"/>
      <c r="O145" s="298"/>
      <c r="P145" s="298"/>
      <c r="Q145" s="298"/>
      <c r="R145" s="298"/>
      <c r="S145" s="298"/>
      <c r="T145" s="298"/>
      <c r="U145" s="298"/>
      <c r="V145" s="298"/>
      <c r="W145" s="300"/>
      <c r="X145" s="300"/>
      <c r="Y145" s="300"/>
      <c r="Z145" s="300"/>
      <c r="AA145" s="300"/>
      <c r="AB145" s="301"/>
      <c r="AC145" s="300"/>
      <c r="AD145" s="300"/>
      <c r="AE145" s="300"/>
      <c r="AF145" s="302"/>
      <c r="AG145" s="203"/>
      <c r="AH145" s="203"/>
      <c r="AI145" s="203"/>
      <c r="AJ145" s="203"/>
      <c r="AK145" s="203"/>
      <c r="AL145" s="203"/>
      <c r="AM145" s="203"/>
      <c r="AN145" s="206"/>
      <c r="AO145" s="300"/>
      <c r="AP145" s="300"/>
      <c r="AQ145" s="300"/>
      <c r="AR145" s="300"/>
    </row>
    <row r="146">
      <c r="A146" s="174"/>
      <c r="B146" s="174"/>
      <c r="C146" s="74"/>
      <c r="D146" s="297"/>
      <c r="E146" s="70"/>
      <c r="F146" s="174"/>
      <c r="G146" s="298"/>
      <c r="H146" s="298"/>
      <c r="I146" s="298"/>
      <c r="J146" s="298"/>
      <c r="K146" s="298"/>
      <c r="L146" s="298"/>
      <c r="M146" s="298"/>
      <c r="N146" s="298"/>
      <c r="O146" s="298"/>
      <c r="P146" s="298"/>
      <c r="Q146" s="298"/>
      <c r="R146" s="298"/>
      <c r="S146" s="298"/>
      <c r="T146" s="298"/>
      <c r="U146" s="298"/>
      <c r="V146" s="298"/>
      <c r="W146" s="300"/>
      <c r="X146" s="300"/>
      <c r="Y146" s="300"/>
      <c r="Z146" s="300"/>
      <c r="AA146" s="300"/>
      <c r="AB146" s="301"/>
      <c r="AC146" s="300"/>
      <c r="AD146" s="300"/>
      <c r="AE146" s="300"/>
      <c r="AF146" s="302"/>
      <c r="AG146" s="203"/>
      <c r="AH146" s="203"/>
      <c r="AI146" s="203"/>
      <c r="AJ146" s="203"/>
      <c r="AK146" s="203"/>
      <c r="AL146" s="203"/>
      <c r="AM146" s="203"/>
      <c r="AN146" s="206"/>
      <c r="AO146" s="300"/>
      <c r="AP146" s="300"/>
      <c r="AQ146" s="300"/>
      <c r="AR146" s="300"/>
    </row>
    <row r="147">
      <c r="A147" s="174"/>
      <c r="B147" s="174"/>
      <c r="C147" s="74"/>
      <c r="D147" s="297"/>
      <c r="E147" s="70"/>
      <c r="F147" s="174"/>
      <c r="G147" s="298"/>
      <c r="H147" s="298"/>
      <c r="I147" s="298"/>
      <c r="J147" s="298"/>
      <c r="K147" s="298"/>
      <c r="L147" s="298"/>
      <c r="M147" s="298"/>
      <c r="N147" s="298"/>
      <c r="O147" s="298"/>
      <c r="P147" s="298"/>
      <c r="Q147" s="298"/>
      <c r="R147" s="298"/>
      <c r="S147" s="298"/>
      <c r="T147" s="298"/>
      <c r="U147" s="298"/>
      <c r="V147" s="298"/>
      <c r="W147" s="300"/>
      <c r="X147" s="300"/>
      <c r="Y147" s="300"/>
      <c r="Z147" s="300"/>
      <c r="AA147" s="300"/>
      <c r="AB147" s="301"/>
      <c r="AC147" s="300"/>
      <c r="AD147" s="300"/>
      <c r="AE147" s="300"/>
      <c r="AF147" s="302"/>
      <c r="AG147" s="203"/>
      <c r="AH147" s="203"/>
      <c r="AI147" s="203"/>
      <c r="AJ147" s="203"/>
      <c r="AK147" s="203"/>
      <c r="AL147" s="203"/>
      <c r="AM147" s="203"/>
      <c r="AN147" s="206"/>
      <c r="AO147" s="300"/>
      <c r="AP147" s="300"/>
      <c r="AQ147" s="300"/>
      <c r="AR147" s="300"/>
    </row>
    <row r="148">
      <c r="A148" s="174"/>
      <c r="B148" s="174"/>
      <c r="C148" s="74"/>
      <c r="D148" s="297"/>
      <c r="E148" s="70"/>
      <c r="F148" s="174"/>
      <c r="G148" s="298"/>
      <c r="H148" s="298"/>
      <c r="I148" s="298"/>
      <c r="J148" s="298"/>
      <c r="K148" s="298"/>
      <c r="L148" s="298"/>
      <c r="M148" s="298"/>
      <c r="N148" s="298"/>
      <c r="O148" s="298"/>
      <c r="P148" s="298"/>
      <c r="Q148" s="298"/>
      <c r="R148" s="298"/>
      <c r="S148" s="298"/>
      <c r="T148" s="298"/>
      <c r="U148" s="298"/>
      <c r="V148" s="298"/>
      <c r="W148" s="300"/>
      <c r="X148" s="300"/>
      <c r="Y148" s="300"/>
      <c r="Z148" s="300"/>
      <c r="AA148" s="300"/>
      <c r="AB148" s="301"/>
      <c r="AC148" s="300"/>
      <c r="AD148" s="300"/>
      <c r="AE148" s="300"/>
      <c r="AF148" s="302"/>
      <c r="AG148" s="203"/>
      <c r="AH148" s="203"/>
      <c r="AI148" s="203"/>
      <c r="AJ148" s="203"/>
      <c r="AK148" s="203"/>
      <c r="AL148" s="203"/>
      <c r="AM148" s="203"/>
      <c r="AN148" s="206"/>
      <c r="AO148" s="300"/>
      <c r="AP148" s="300"/>
      <c r="AQ148" s="300"/>
      <c r="AR148" s="300"/>
    </row>
    <row r="149">
      <c r="A149" s="174"/>
      <c r="B149" s="174"/>
      <c r="C149" s="74"/>
      <c r="D149" s="297"/>
      <c r="E149" s="70"/>
      <c r="F149" s="174"/>
      <c r="G149" s="298"/>
      <c r="H149" s="298"/>
      <c r="I149" s="298"/>
      <c r="J149" s="298"/>
      <c r="K149" s="298"/>
      <c r="L149" s="298"/>
      <c r="M149" s="298"/>
      <c r="N149" s="298"/>
      <c r="O149" s="298"/>
      <c r="P149" s="298"/>
      <c r="Q149" s="298"/>
      <c r="R149" s="298"/>
      <c r="S149" s="298"/>
      <c r="T149" s="298"/>
      <c r="U149" s="298"/>
      <c r="V149" s="298"/>
      <c r="W149" s="300"/>
      <c r="X149" s="300"/>
      <c r="Y149" s="300"/>
      <c r="Z149" s="300"/>
      <c r="AA149" s="300"/>
      <c r="AB149" s="301"/>
      <c r="AC149" s="300"/>
      <c r="AD149" s="300"/>
      <c r="AE149" s="300"/>
      <c r="AF149" s="302"/>
      <c r="AG149" s="203"/>
      <c r="AH149" s="203"/>
      <c r="AI149" s="203"/>
      <c r="AJ149" s="203"/>
      <c r="AK149" s="203"/>
      <c r="AL149" s="203"/>
      <c r="AM149" s="203"/>
      <c r="AN149" s="206"/>
      <c r="AO149" s="300"/>
      <c r="AP149" s="300"/>
      <c r="AQ149" s="300"/>
      <c r="AR149" s="300"/>
    </row>
    <row r="150">
      <c r="A150" s="174"/>
      <c r="B150" s="174"/>
      <c r="C150" s="74"/>
      <c r="D150" s="297"/>
      <c r="E150" s="70"/>
      <c r="F150" s="174"/>
      <c r="G150" s="298"/>
      <c r="H150" s="298"/>
      <c r="I150" s="298"/>
      <c r="J150" s="298"/>
      <c r="K150" s="298"/>
      <c r="L150" s="298"/>
      <c r="M150" s="298"/>
      <c r="N150" s="298"/>
      <c r="O150" s="298"/>
      <c r="P150" s="298"/>
      <c r="Q150" s="298"/>
      <c r="R150" s="298"/>
      <c r="S150" s="298"/>
      <c r="T150" s="298"/>
      <c r="U150" s="298"/>
      <c r="V150" s="298"/>
      <c r="W150" s="300"/>
      <c r="X150" s="300"/>
      <c r="Y150" s="300"/>
      <c r="Z150" s="300"/>
      <c r="AA150" s="300"/>
      <c r="AB150" s="301"/>
      <c r="AC150" s="300"/>
      <c r="AD150" s="300"/>
      <c r="AE150" s="300"/>
      <c r="AF150" s="302"/>
      <c r="AG150" s="203"/>
      <c r="AH150" s="203"/>
      <c r="AI150" s="203"/>
      <c r="AJ150" s="203"/>
      <c r="AK150" s="203"/>
      <c r="AL150" s="203"/>
      <c r="AM150" s="203"/>
      <c r="AN150" s="206"/>
      <c r="AO150" s="300"/>
      <c r="AP150" s="300"/>
      <c r="AQ150" s="300"/>
      <c r="AR150" s="300"/>
    </row>
    <row r="151">
      <c r="A151" s="174"/>
      <c r="B151" s="174"/>
      <c r="C151" s="74"/>
      <c r="D151" s="297"/>
      <c r="E151" s="70"/>
      <c r="F151" s="174"/>
      <c r="G151" s="298"/>
      <c r="H151" s="298"/>
      <c r="I151" s="298"/>
      <c r="J151" s="298"/>
      <c r="K151" s="298"/>
      <c r="L151" s="298"/>
      <c r="M151" s="298"/>
      <c r="N151" s="298"/>
      <c r="O151" s="298"/>
      <c r="P151" s="298"/>
      <c r="Q151" s="298"/>
      <c r="R151" s="298"/>
      <c r="S151" s="298"/>
      <c r="T151" s="298"/>
      <c r="U151" s="298"/>
      <c r="V151" s="298"/>
      <c r="W151" s="300"/>
      <c r="X151" s="300"/>
      <c r="Y151" s="300"/>
      <c r="Z151" s="300"/>
      <c r="AA151" s="300"/>
      <c r="AB151" s="301"/>
      <c r="AC151" s="300"/>
      <c r="AD151" s="300"/>
      <c r="AE151" s="300"/>
      <c r="AF151" s="302"/>
      <c r="AG151" s="203"/>
      <c r="AH151" s="203"/>
      <c r="AI151" s="203"/>
      <c r="AJ151" s="203"/>
      <c r="AK151" s="203"/>
      <c r="AL151" s="203"/>
      <c r="AM151" s="203"/>
      <c r="AN151" s="206"/>
      <c r="AO151" s="300"/>
      <c r="AP151" s="300"/>
      <c r="AQ151" s="300"/>
      <c r="AR151" s="300"/>
    </row>
    <row r="152">
      <c r="A152" s="174"/>
      <c r="B152" s="174"/>
      <c r="C152" s="74"/>
      <c r="D152" s="297"/>
      <c r="E152" s="70"/>
      <c r="F152" s="174"/>
      <c r="G152" s="298"/>
      <c r="H152" s="298"/>
      <c r="I152" s="298"/>
      <c r="J152" s="298"/>
      <c r="K152" s="298"/>
      <c r="L152" s="298"/>
      <c r="M152" s="298"/>
      <c r="N152" s="298"/>
      <c r="O152" s="298"/>
      <c r="P152" s="298"/>
      <c r="Q152" s="298"/>
      <c r="R152" s="298"/>
      <c r="S152" s="298"/>
      <c r="T152" s="298"/>
      <c r="U152" s="298"/>
      <c r="V152" s="298"/>
      <c r="W152" s="300"/>
      <c r="X152" s="300"/>
      <c r="Y152" s="300"/>
      <c r="Z152" s="300"/>
      <c r="AA152" s="300"/>
      <c r="AB152" s="301"/>
      <c r="AC152" s="300"/>
      <c r="AD152" s="300"/>
      <c r="AE152" s="300"/>
      <c r="AF152" s="302"/>
      <c r="AG152" s="203"/>
      <c r="AH152" s="203"/>
      <c r="AI152" s="203"/>
      <c r="AJ152" s="203"/>
      <c r="AK152" s="203"/>
      <c r="AL152" s="203"/>
      <c r="AM152" s="203"/>
      <c r="AN152" s="206"/>
      <c r="AO152" s="300"/>
      <c r="AP152" s="300"/>
      <c r="AQ152" s="300"/>
      <c r="AR152" s="300"/>
    </row>
    <row r="153">
      <c r="A153" s="174"/>
      <c r="B153" s="174"/>
      <c r="C153" s="74"/>
      <c r="D153" s="297"/>
      <c r="E153" s="70"/>
      <c r="F153" s="174"/>
      <c r="G153" s="298"/>
      <c r="H153" s="298"/>
      <c r="I153" s="298"/>
      <c r="J153" s="298"/>
      <c r="K153" s="298"/>
      <c r="L153" s="298"/>
      <c r="M153" s="298"/>
      <c r="N153" s="298"/>
      <c r="O153" s="298"/>
      <c r="P153" s="298"/>
      <c r="Q153" s="298"/>
      <c r="R153" s="298"/>
      <c r="S153" s="298"/>
      <c r="T153" s="298"/>
      <c r="U153" s="298"/>
      <c r="V153" s="298"/>
      <c r="W153" s="300"/>
      <c r="X153" s="300"/>
      <c r="Y153" s="300"/>
      <c r="Z153" s="300"/>
      <c r="AA153" s="300"/>
      <c r="AB153" s="301"/>
      <c r="AC153" s="300"/>
      <c r="AD153" s="300"/>
      <c r="AE153" s="300"/>
      <c r="AF153" s="302"/>
      <c r="AG153" s="203"/>
      <c r="AH153" s="203"/>
      <c r="AI153" s="203"/>
      <c r="AJ153" s="203"/>
      <c r="AK153" s="203"/>
      <c r="AL153" s="203"/>
      <c r="AM153" s="203"/>
      <c r="AN153" s="206"/>
      <c r="AO153" s="300"/>
      <c r="AP153" s="300"/>
      <c r="AQ153" s="300"/>
      <c r="AR153" s="300"/>
    </row>
    <row r="154">
      <c r="A154" s="174"/>
      <c r="B154" s="174"/>
      <c r="C154" s="74"/>
      <c r="D154" s="297"/>
      <c r="E154" s="70"/>
      <c r="F154" s="174"/>
      <c r="G154" s="298"/>
      <c r="H154" s="298"/>
      <c r="I154" s="298"/>
      <c r="J154" s="298"/>
      <c r="K154" s="298"/>
      <c r="L154" s="298"/>
      <c r="M154" s="298"/>
      <c r="N154" s="298"/>
      <c r="O154" s="298"/>
      <c r="P154" s="298"/>
      <c r="Q154" s="298"/>
      <c r="R154" s="298"/>
      <c r="S154" s="298"/>
      <c r="T154" s="298"/>
      <c r="U154" s="298"/>
      <c r="V154" s="298"/>
      <c r="W154" s="300"/>
      <c r="X154" s="300"/>
      <c r="Y154" s="300"/>
      <c r="Z154" s="300"/>
      <c r="AA154" s="300"/>
      <c r="AB154" s="301"/>
      <c r="AC154" s="300"/>
      <c r="AD154" s="300"/>
      <c r="AE154" s="300"/>
      <c r="AF154" s="302"/>
      <c r="AG154" s="203"/>
      <c r="AH154" s="203"/>
      <c r="AI154" s="203"/>
      <c r="AJ154" s="203"/>
      <c r="AK154" s="203"/>
      <c r="AL154" s="203"/>
      <c r="AM154" s="203"/>
      <c r="AN154" s="206"/>
      <c r="AO154" s="300"/>
      <c r="AP154" s="300"/>
      <c r="AQ154" s="300"/>
      <c r="AR154" s="300"/>
    </row>
    <row r="155">
      <c r="A155" s="174"/>
      <c r="B155" s="174"/>
      <c r="C155" s="74"/>
      <c r="D155" s="297"/>
      <c r="E155" s="70"/>
      <c r="F155" s="174"/>
      <c r="G155" s="298"/>
      <c r="H155" s="298"/>
      <c r="I155" s="298"/>
      <c r="J155" s="298"/>
      <c r="K155" s="298"/>
      <c r="L155" s="298"/>
      <c r="M155" s="298"/>
      <c r="N155" s="298"/>
      <c r="O155" s="298"/>
      <c r="P155" s="298"/>
      <c r="Q155" s="298"/>
      <c r="R155" s="298"/>
      <c r="S155" s="298"/>
      <c r="T155" s="298"/>
      <c r="U155" s="298"/>
      <c r="V155" s="298"/>
      <c r="W155" s="300"/>
      <c r="X155" s="300"/>
      <c r="Y155" s="300"/>
      <c r="Z155" s="300"/>
      <c r="AA155" s="300"/>
      <c r="AB155" s="301"/>
      <c r="AC155" s="300"/>
      <c r="AD155" s="300"/>
      <c r="AE155" s="300"/>
      <c r="AF155" s="302"/>
      <c r="AG155" s="203"/>
      <c r="AH155" s="203"/>
      <c r="AI155" s="203"/>
      <c r="AJ155" s="203"/>
      <c r="AK155" s="203"/>
      <c r="AL155" s="203"/>
      <c r="AM155" s="203"/>
      <c r="AN155" s="206"/>
      <c r="AO155" s="300"/>
      <c r="AP155" s="300"/>
      <c r="AQ155" s="300"/>
      <c r="AR155" s="300"/>
    </row>
    <row r="156">
      <c r="A156" s="174"/>
      <c r="B156" s="174"/>
      <c r="C156" s="74"/>
      <c r="D156" s="297"/>
      <c r="E156" s="70"/>
      <c r="F156" s="174"/>
      <c r="G156" s="298"/>
      <c r="H156" s="298"/>
      <c r="I156" s="298"/>
      <c r="J156" s="298"/>
      <c r="K156" s="298"/>
      <c r="L156" s="298"/>
      <c r="M156" s="298"/>
      <c r="N156" s="298"/>
      <c r="O156" s="298"/>
      <c r="P156" s="298"/>
      <c r="Q156" s="298"/>
      <c r="R156" s="298"/>
      <c r="S156" s="298"/>
      <c r="T156" s="298"/>
      <c r="U156" s="298"/>
      <c r="V156" s="298"/>
      <c r="W156" s="300"/>
      <c r="X156" s="300"/>
      <c r="Y156" s="300"/>
      <c r="Z156" s="300"/>
      <c r="AA156" s="300"/>
      <c r="AB156" s="301"/>
      <c r="AC156" s="300"/>
      <c r="AD156" s="300"/>
      <c r="AE156" s="300"/>
      <c r="AF156" s="302"/>
      <c r="AG156" s="203"/>
      <c r="AH156" s="203"/>
      <c r="AI156" s="203"/>
      <c r="AJ156" s="203"/>
      <c r="AK156" s="203"/>
      <c r="AL156" s="203"/>
      <c r="AM156" s="203"/>
      <c r="AN156" s="206"/>
      <c r="AO156" s="300"/>
      <c r="AP156" s="300"/>
      <c r="AQ156" s="300"/>
      <c r="AR156" s="300"/>
    </row>
    <row r="157">
      <c r="A157" s="174"/>
      <c r="B157" s="174"/>
      <c r="C157" s="74"/>
      <c r="D157" s="297"/>
      <c r="E157" s="70"/>
      <c r="F157" s="174"/>
      <c r="G157" s="298"/>
      <c r="H157" s="298"/>
      <c r="I157" s="298"/>
      <c r="J157" s="298"/>
      <c r="K157" s="298"/>
      <c r="L157" s="298"/>
      <c r="M157" s="298"/>
      <c r="N157" s="298"/>
      <c r="O157" s="298"/>
      <c r="P157" s="298"/>
      <c r="Q157" s="298"/>
      <c r="R157" s="298"/>
      <c r="S157" s="298"/>
      <c r="T157" s="298"/>
      <c r="U157" s="298"/>
      <c r="V157" s="298"/>
      <c r="W157" s="300"/>
      <c r="X157" s="300"/>
      <c r="Y157" s="300"/>
      <c r="Z157" s="300"/>
      <c r="AA157" s="300"/>
      <c r="AB157" s="301"/>
      <c r="AC157" s="300"/>
      <c r="AD157" s="300"/>
      <c r="AE157" s="300"/>
      <c r="AF157" s="302"/>
      <c r="AG157" s="203"/>
      <c r="AH157" s="203"/>
      <c r="AI157" s="203"/>
      <c r="AJ157" s="203"/>
      <c r="AK157" s="203"/>
      <c r="AL157" s="203"/>
      <c r="AM157" s="203"/>
      <c r="AN157" s="206"/>
      <c r="AO157" s="300"/>
      <c r="AP157" s="300"/>
      <c r="AQ157" s="300"/>
      <c r="AR157" s="300"/>
    </row>
    <row r="158">
      <c r="A158" s="174"/>
      <c r="B158" s="174"/>
      <c r="C158" s="74"/>
      <c r="D158" s="297"/>
      <c r="E158" s="70"/>
      <c r="F158" s="174"/>
      <c r="G158" s="298"/>
      <c r="H158" s="298"/>
      <c r="I158" s="298"/>
      <c r="J158" s="298"/>
      <c r="K158" s="298"/>
      <c r="L158" s="298"/>
      <c r="M158" s="298"/>
      <c r="N158" s="298"/>
      <c r="O158" s="298"/>
      <c r="P158" s="298"/>
      <c r="Q158" s="298"/>
      <c r="R158" s="298"/>
      <c r="S158" s="298"/>
      <c r="T158" s="298"/>
      <c r="U158" s="298"/>
      <c r="V158" s="298"/>
      <c r="W158" s="300"/>
      <c r="X158" s="300"/>
      <c r="Y158" s="300"/>
      <c r="Z158" s="300"/>
      <c r="AA158" s="300"/>
      <c r="AB158" s="301"/>
      <c r="AC158" s="300"/>
      <c r="AD158" s="300"/>
      <c r="AE158" s="300"/>
      <c r="AF158" s="302"/>
      <c r="AG158" s="203"/>
      <c r="AH158" s="203"/>
      <c r="AI158" s="203"/>
      <c r="AJ158" s="203"/>
      <c r="AK158" s="203"/>
      <c r="AL158" s="203"/>
      <c r="AM158" s="203"/>
      <c r="AN158" s="206"/>
      <c r="AO158" s="300"/>
      <c r="AP158" s="300"/>
      <c r="AQ158" s="300"/>
      <c r="AR158" s="300"/>
    </row>
    <row r="159">
      <c r="A159" s="174"/>
      <c r="B159" s="174"/>
      <c r="C159" s="74"/>
      <c r="D159" s="297"/>
      <c r="E159" s="70"/>
      <c r="F159" s="174"/>
      <c r="G159" s="298"/>
      <c r="H159" s="298"/>
      <c r="I159" s="298"/>
      <c r="J159" s="298"/>
      <c r="K159" s="298"/>
      <c r="L159" s="298"/>
      <c r="M159" s="298"/>
      <c r="N159" s="298"/>
      <c r="O159" s="298"/>
      <c r="P159" s="298"/>
      <c r="Q159" s="298"/>
      <c r="R159" s="298"/>
      <c r="S159" s="298"/>
      <c r="T159" s="298"/>
      <c r="U159" s="298"/>
      <c r="V159" s="298"/>
      <c r="W159" s="300"/>
      <c r="X159" s="300"/>
      <c r="Y159" s="300"/>
      <c r="Z159" s="300"/>
      <c r="AA159" s="300"/>
      <c r="AB159" s="301"/>
      <c r="AC159" s="300"/>
      <c r="AD159" s="300"/>
      <c r="AE159" s="300"/>
      <c r="AF159" s="302"/>
      <c r="AG159" s="203"/>
      <c r="AH159" s="203"/>
      <c r="AI159" s="203"/>
      <c r="AJ159" s="203"/>
      <c r="AK159" s="203"/>
      <c r="AL159" s="203"/>
      <c r="AM159" s="203"/>
      <c r="AN159" s="206"/>
      <c r="AO159" s="300"/>
      <c r="AP159" s="300"/>
      <c r="AQ159" s="300"/>
      <c r="AR159" s="300"/>
    </row>
    <row r="160">
      <c r="A160" s="174"/>
      <c r="B160" s="174"/>
      <c r="C160" s="74"/>
      <c r="D160" s="297"/>
      <c r="E160" s="70"/>
      <c r="F160" s="174"/>
      <c r="G160" s="298"/>
      <c r="H160" s="298"/>
      <c r="I160" s="298"/>
      <c r="J160" s="298"/>
      <c r="K160" s="298"/>
      <c r="L160" s="298"/>
      <c r="M160" s="298"/>
      <c r="N160" s="298"/>
      <c r="O160" s="298"/>
      <c r="P160" s="298"/>
      <c r="Q160" s="298"/>
      <c r="R160" s="298"/>
      <c r="S160" s="298"/>
      <c r="T160" s="298"/>
      <c r="U160" s="298"/>
      <c r="V160" s="298"/>
      <c r="W160" s="300"/>
      <c r="X160" s="300"/>
      <c r="Y160" s="300"/>
      <c r="Z160" s="300"/>
      <c r="AA160" s="300"/>
      <c r="AB160" s="301"/>
      <c r="AC160" s="300"/>
      <c r="AD160" s="300"/>
      <c r="AE160" s="300"/>
      <c r="AF160" s="302"/>
      <c r="AG160" s="203"/>
      <c r="AH160" s="203"/>
      <c r="AI160" s="203"/>
      <c r="AJ160" s="203"/>
      <c r="AK160" s="203"/>
      <c r="AL160" s="203"/>
      <c r="AM160" s="203"/>
      <c r="AN160" s="206"/>
      <c r="AO160" s="300"/>
      <c r="AP160" s="300"/>
      <c r="AQ160" s="300"/>
      <c r="AR160" s="300"/>
    </row>
    <row r="161">
      <c r="A161" s="174"/>
      <c r="B161" s="174"/>
      <c r="C161" s="74"/>
      <c r="D161" s="297"/>
      <c r="E161" s="70"/>
      <c r="F161" s="174"/>
      <c r="G161" s="298"/>
      <c r="H161" s="298"/>
      <c r="I161" s="298"/>
      <c r="J161" s="298"/>
      <c r="K161" s="298"/>
      <c r="L161" s="298"/>
      <c r="M161" s="298"/>
      <c r="N161" s="298"/>
      <c r="O161" s="298"/>
      <c r="P161" s="298"/>
      <c r="Q161" s="298"/>
      <c r="R161" s="298"/>
      <c r="S161" s="298"/>
      <c r="T161" s="298"/>
      <c r="U161" s="298"/>
      <c r="V161" s="298"/>
      <c r="W161" s="300"/>
      <c r="X161" s="300"/>
      <c r="Y161" s="300"/>
      <c r="Z161" s="300"/>
      <c r="AA161" s="300"/>
      <c r="AB161" s="301"/>
      <c r="AC161" s="300"/>
      <c r="AD161" s="300"/>
      <c r="AE161" s="300"/>
      <c r="AF161" s="302"/>
      <c r="AG161" s="203"/>
      <c r="AH161" s="203"/>
      <c r="AI161" s="203"/>
      <c r="AJ161" s="203"/>
      <c r="AK161" s="203"/>
      <c r="AL161" s="203"/>
      <c r="AM161" s="203"/>
      <c r="AN161" s="206"/>
      <c r="AO161" s="300"/>
      <c r="AP161" s="300"/>
      <c r="AQ161" s="300"/>
      <c r="AR161" s="300"/>
    </row>
    <row r="162">
      <c r="A162" s="174"/>
      <c r="B162" s="174"/>
      <c r="C162" s="74"/>
      <c r="D162" s="297"/>
      <c r="E162" s="70"/>
      <c r="F162" s="174"/>
      <c r="G162" s="298"/>
      <c r="H162" s="298"/>
      <c r="I162" s="298"/>
      <c r="J162" s="298"/>
      <c r="K162" s="298"/>
      <c r="L162" s="298"/>
      <c r="M162" s="298"/>
      <c r="N162" s="298"/>
      <c r="O162" s="298"/>
      <c r="P162" s="298"/>
      <c r="Q162" s="298"/>
      <c r="R162" s="298"/>
      <c r="S162" s="298"/>
      <c r="T162" s="298"/>
      <c r="U162" s="298"/>
      <c r="V162" s="298"/>
      <c r="W162" s="300"/>
      <c r="X162" s="300"/>
      <c r="Y162" s="300"/>
      <c r="Z162" s="300"/>
      <c r="AA162" s="300"/>
      <c r="AB162" s="301"/>
      <c r="AC162" s="300"/>
      <c r="AD162" s="300"/>
      <c r="AE162" s="300"/>
      <c r="AF162" s="302"/>
      <c r="AG162" s="203"/>
      <c r="AH162" s="203"/>
      <c r="AI162" s="203"/>
      <c r="AJ162" s="203"/>
      <c r="AK162" s="203"/>
      <c r="AL162" s="203"/>
      <c r="AM162" s="203"/>
      <c r="AN162" s="206"/>
      <c r="AO162" s="300"/>
      <c r="AP162" s="300"/>
      <c r="AQ162" s="300"/>
      <c r="AR162" s="300"/>
    </row>
    <row r="163">
      <c r="A163" s="174"/>
      <c r="B163" s="174"/>
      <c r="C163" s="74"/>
      <c r="D163" s="297"/>
      <c r="E163" s="70"/>
      <c r="F163" s="174"/>
      <c r="G163" s="298"/>
      <c r="H163" s="298"/>
      <c r="I163" s="298"/>
      <c r="J163" s="298"/>
      <c r="K163" s="298"/>
      <c r="L163" s="298"/>
      <c r="M163" s="298"/>
      <c r="N163" s="298"/>
      <c r="O163" s="298"/>
      <c r="P163" s="298"/>
      <c r="Q163" s="298"/>
      <c r="R163" s="298"/>
      <c r="S163" s="298"/>
      <c r="T163" s="298"/>
      <c r="U163" s="298"/>
      <c r="V163" s="298"/>
      <c r="W163" s="300"/>
      <c r="X163" s="300"/>
      <c r="Y163" s="300"/>
      <c r="Z163" s="300"/>
      <c r="AA163" s="300"/>
      <c r="AB163" s="301"/>
      <c r="AC163" s="300"/>
      <c r="AD163" s="300"/>
      <c r="AE163" s="300"/>
      <c r="AF163" s="302"/>
      <c r="AG163" s="203"/>
      <c r="AH163" s="203"/>
      <c r="AI163" s="203"/>
      <c r="AJ163" s="203"/>
      <c r="AK163" s="203"/>
      <c r="AL163" s="203"/>
      <c r="AM163" s="203"/>
      <c r="AN163" s="206"/>
      <c r="AO163" s="300"/>
      <c r="AP163" s="300"/>
      <c r="AQ163" s="300"/>
      <c r="AR163" s="300"/>
    </row>
    <row r="164">
      <c r="A164" s="174"/>
      <c r="B164" s="174"/>
      <c r="C164" s="74"/>
      <c r="D164" s="297"/>
      <c r="E164" s="70"/>
      <c r="F164" s="174"/>
      <c r="G164" s="298"/>
      <c r="H164" s="298"/>
      <c r="I164" s="298"/>
      <c r="J164" s="298"/>
      <c r="K164" s="298"/>
      <c r="L164" s="298"/>
      <c r="M164" s="298"/>
      <c r="N164" s="298"/>
      <c r="O164" s="298"/>
      <c r="P164" s="298"/>
      <c r="Q164" s="298"/>
      <c r="R164" s="298"/>
      <c r="S164" s="298"/>
      <c r="T164" s="298"/>
      <c r="U164" s="298"/>
      <c r="V164" s="298"/>
      <c r="W164" s="300"/>
      <c r="X164" s="300"/>
      <c r="Y164" s="300"/>
      <c r="Z164" s="300"/>
      <c r="AA164" s="300"/>
      <c r="AB164" s="301"/>
      <c r="AC164" s="300"/>
      <c r="AD164" s="300"/>
      <c r="AE164" s="300"/>
      <c r="AF164" s="302"/>
      <c r="AG164" s="203"/>
      <c r="AH164" s="203"/>
      <c r="AI164" s="203"/>
      <c r="AJ164" s="203"/>
      <c r="AK164" s="203"/>
      <c r="AL164" s="203"/>
      <c r="AM164" s="203"/>
      <c r="AN164" s="206"/>
      <c r="AO164" s="300"/>
      <c r="AP164" s="300"/>
      <c r="AQ164" s="300"/>
      <c r="AR164" s="300"/>
    </row>
    <row r="165">
      <c r="A165" s="174"/>
      <c r="B165" s="174"/>
      <c r="C165" s="74"/>
      <c r="D165" s="297"/>
      <c r="E165" s="70"/>
      <c r="F165" s="174"/>
      <c r="G165" s="298"/>
      <c r="H165" s="298"/>
      <c r="I165" s="298"/>
      <c r="J165" s="298"/>
      <c r="K165" s="298"/>
      <c r="L165" s="298"/>
      <c r="M165" s="298"/>
      <c r="N165" s="298"/>
      <c r="O165" s="298"/>
      <c r="P165" s="298"/>
      <c r="Q165" s="298"/>
      <c r="R165" s="298"/>
      <c r="S165" s="298"/>
      <c r="T165" s="298"/>
      <c r="U165" s="298"/>
      <c r="V165" s="298"/>
      <c r="W165" s="300"/>
      <c r="X165" s="300"/>
      <c r="Y165" s="300"/>
      <c r="Z165" s="300"/>
      <c r="AA165" s="300"/>
      <c r="AB165" s="301"/>
      <c r="AC165" s="300"/>
      <c r="AD165" s="300"/>
      <c r="AE165" s="300"/>
      <c r="AF165" s="302"/>
      <c r="AG165" s="203"/>
      <c r="AH165" s="203"/>
      <c r="AI165" s="203"/>
      <c r="AJ165" s="203"/>
      <c r="AK165" s="203"/>
      <c r="AL165" s="203"/>
      <c r="AM165" s="203"/>
      <c r="AN165" s="206"/>
      <c r="AO165" s="300"/>
      <c r="AP165" s="300"/>
      <c r="AQ165" s="300"/>
      <c r="AR165" s="300"/>
    </row>
    <row r="166">
      <c r="A166" s="174"/>
      <c r="B166" s="174"/>
      <c r="C166" s="74"/>
      <c r="D166" s="297"/>
      <c r="E166" s="70"/>
      <c r="F166" s="174"/>
      <c r="G166" s="298"/>
      <c r="H166" s="298"/>
      <c r="I166" s="298"/>
      <c r="J166" s="298"/>
      <c r="K166" s="298"/>
      <c r="L166" s="298"/>
      <c r="M166" s="298"/>
      <c r="N166" s="298"/>
      <c r="O166" s="298"/>
      <c r="P166" s="298"/>
      <c r="Q166" s="298"/>
      <c r="R166" s="298"/>
      <c r="S166" s="298"/>
      <c r="T166" s="298"/>
      <c r="U166" s="298"/>
      <c r="V166" s="298"/>
      <c r="W166" s="300"/>
      <c r="X166" s="300"/>
      <c r="Y166" s="300"/>
      <c r="Z166" s="300"/>
      <c r="AA166" s="300"/>
      <c r="AB166" s="301"/>
      <c r="AC166" s="300"/>
      <c r="AD166" s="300"/>
      <c r="AE166" s="300"/>
      <c r="AF166" s="302"/>
      <c r="AG166" s="203"/>
      <c r="AH166" s="203"/>
      <c r="AI166" s="203"/>
      <c r="AJ166" s="203"/>
      <c r="AK166" s="203"/>
      <c r="AL166" s="203"/>
      <c r="AM166" s="203"/>
      <c r="AN166" s="206"/>
      <c r="AO166" s="300"/>
      <c r="AP166" s="300"/>
      <c r="AQ166" s="300"/>
      <c r="AR166" s="300"/>
    </row>
    <row r="167">
      <c r="A167" s="174"/>
      <c r="B167" s="174"/>
      <c r="C167" s="74"/>
      <c r="D167" s="297"/>
      <c r="E167" s="70"/>
      <c r="F167" s="174"/>
      <c r="G167" s="298"/>
      <c r="H167" s="298"/>
      <c r="I167" s="298"/>
      <c r="J167" s="298"/>
      <c r="K167" s="298"/>
      <c r="L167" s="298"/>
      <c r="M167" s="298"/>
      <c r="N167" s="298"/>
      <c r="O167" s="298"/>
      <c r="P167" s="298"/>
      <c r="Q167" s="298"/>
      <c r="R167" s="298"/>
      <c r="S167" s="298"/>
      <c r="T167" s="298"/>
      <c r="U167" s="298"/>
      <c r="V167" s="298"/>
      <c r="W167" s="300"/>
      <c r="X167" s="300"/>
      <c r="Y167" s="300"/>
      <c r="Z167" s="300"/>
      <c r="AA167" s="300"/>
      <c r="AB167" s="301"/>
      <c r="AC167" s="300"/>
      <c r="AD167" s="300"/>
      <c r="AE167" s="300"/>
      <c r="AF167" s="302"/>
      <c r="AG167" s="203"/>
      <c r="AH167" s="203"/>
      <c r="AI167" s="203"/>
      <c r="AJ167" s="203"/>
      <c r="AK167" s="203"/>
      <c r="AL167" s="203"/>
      <c r="AM167" s="203"/>
      <c r="AN167" s="206"/>
      <c r="AO167" s="300"/>
      <c r="AP167" s="300"/>
      <c r="AQ167" s="300"/>
      <c r="AR167" s="300"/>
    </row>
    <row r="168">
      <c r="A168" s="174"/>
      <c r="B168" s="174"/>
      <c r="C168" s="74"/>
      <c r="D168" s="297"/>
      <c r="E168" s="70"/>
      <c r="F168" s="174"/>
      <c r="G168" s="298"/>
      <c r="H168" s="298"/>
      <c r="I168" s="298"/>
      <c r="J168" s="298"/>
      <c r="K168" s="298"/>
      <c r="L168" s="298"/>
      <c r="M168" s="298"/>
      <c r="N168" s="298"/>
      <c r="O168" s="298"/>
      <c r="P168" s="298"/>
      <c r="Q168" s="298"/>
      <c r="R168" s="298"/>
      <c r="S168" s="298"/>
      <c r="T168" s="298"/>
      <c r="U168" s="298"/>
      <c r="V168" s="298"/>
      <c r="W168" s="300"/>
      <c r="X168" s="300"/>
      <c r="Y168" s="300"/>
      <c r="Z168" s="300"/>
      <c r="AA168" s="300"/>
      <c r="AB168" s="301"/>
      <c r="AC168" s="300"/>
      <c r="AD168" s="300"/>
      <c r="AE168" s="300"/>
      <c r="AF168" s="302"/>
      <c r="AG168" s="203"/>
      <c r="AH168" s="203"/>
      <c r="AI168" s="203"/>
      <c r="AJ168" s="203"/>
      <c r="AK168" s="203"/>
      <c r="AL168" s="203"/>
      <c r="AM168" s="203"/>
      <c r="AN168" s="206"/>
      <c r="AO168" s="300"/>
      <c r="AP168" s="300"/>
      <c r="AQ168" s="300"/>
      <c r="AR168" s="300"/>
    </row>
    <row r="169">
      <c r="A169" s="174"/>
      <c r="B169" s="174"/>
      <c r="C169" s="74"/>
      <c r="D169" s="297"/>
      <c r="E169" s="70"/>
      <c r="F169" s="174"/>
      <c r="G169" s="298"/>
      <c r="H169" s="298"/>
      <c r="I169" s="298"/>
      <c r="J169" s="298"/>
      <c r="K169" s="298"/>
      <c r="L169" s="298"/>
      <c r="M169" s="298"/>
      <c r="N169" s="298"/>
      <c r="O169" s="298"/>
      <c r="P169" s="298"/>
      <c r="Q169" s="298"/>
      <c r="R169" s="298"/>
      <c r="S169" s="298"/>
      <c r="T169" s="298"/>
      <c r="U169" s="298"/>
      <c r="V169" s="298"/>
      <c r="W169" s="300"/>
      <c r="X169" s="300"/>
      <c r="Y169" s="300"/>
      <c r="Z169" s="300"/>
      <c r="AA169" s="300"/>
      <c r="AB169" s="301"/>
      <c r="AC169" s="300"/>
      <c r="AD169" s="300"/>
      <c r="AE169" s="300"/>
      <c r="AF169" s="302"/>
      <c r="AG169" s="203"/>
      <c r="AH169" s="203"/>
      <c r="AI169" s="203"/>
      <c r="AJ169" s="203"/>
      <c r="AK169" s="203"/>
      <c r="AL169" s="203"/>
      <c r="AM169" s="203"/>
      <c r="AN169" s="206"/>
      <c r="AO169" s="300"/>
      <c r="AP169" s="300"/>
      <c r="AQ169" s="300"/>
      <c r="AR169" s="300"/>
    </row>
    <row r="170">
      <c r="A170" s="174"/>
      <c r="B170" s="174"/>
      <c r="C170" s="74"/>
      <c r="D170" s="297"/>
      <c r="E170" s="70"/>
      <c r="F170" s="174"/>
      <c r="G170" s="298"/>
      <c r="H170" s="298"/>
      <c r="I170" s="298"/>
      <c r="J170" s="298"/>
      <c r="K170" s="298"/>
      <c r="L170" s="298"/>
      <c r="M170" s="298"/>
      <c r="N170" s="298"/>
      <c r="O170" s="298"/>
      <c r="P170" s="298"/>
      <c r="Q170" s="298"/>
      <c r="R170" s="298"/>
      <c r="S170" s="298"/>
      <c r="T170" s="298"/>
      <c r="U170" s="298"/>
      <c r="V170" s="298"/>
      <c r="W170" s="300"/>
      <c r="X170" s="300"/>
      <c r="Y170" s="300"/>
      <c r="Z170" s="300"/>
      <c r="AA170" s="300"/>
      <c r="AB170" s="301"/>
      <c r="AC170" s="300"/>
      <c r="AD170" s="300"/>
      <c r="AE170" s="300"/>
      <c r="AF170" s="302"/>
      <c r="AG170" s="203"/>
      <c r="AH170" s="203"/>
      <c r="AI170" s="203"/>
      <c r="AJ170" s="203"/>
      <c r="AK170" s="203"/>
      <c r="AL170" s="203"/>
      <c r="AM170" s="203"/>
      <c r="AN170" s="206"/>
      <c r="AO170" s="300"/>
      <c r="AP170" s="300"/>
      <c r="AQ170" s="300"/>
      <c r="AR170" s="300"/>
    </row>
    <row r="171">
      <c r="A171" s="174"/>
      <c r="B171" s="174"/>
      <c r="C171" s="74"/>
      <c r="D171" s="297"/>
      <c r="E171" s="70"/>
      <c r="F171" s="174"/>
      <c r="G171" s="298"/>
      <c r="H171" s="298"/>
      <c r="I171" s="298"/>
      <c r="J171" s="298"/>
      <c r="K171" s="298"/>
      <c r="L171" s="298"/>
      <c r="M171" s="298"/>
      <c r="N171" s="298"/>
      <c r="O171" s="298"/>
      <c r="P171" s="298"/>
      <c r="Q171" s="298"/>
      <c r="R171" s="298"/>
      <c r="S171" s="298"/>
      <c r="T171" s="298"/>
      <c r="U171" s="298"/>
      <c r="V171" s="298"/>
      <c r="W171" s="300"/>
      <c r="X171" s="300"/>
      <c r="Y171" s="300"/>
      <c r="Z171" s="300"/>
      <c r="AA171" s="300"/>
      <c r="AB171" s="301"/>
      <c r="AC171" s="300"/>
      <c r="AD171" s="300"/>
      <c r="AE171" s="300"/>
      <c r="AF171" s="302"/>
      <c r="AG171" s="203"/>
      <c r="AH171" s="203"/>
      <c r="AI171" s="203"/>
      <c r="AJ171" s="203"/>
      <c r="AK171" s="203"/>
      <c r="AL171" s="203"/>
      <c r="AM171" s="203"/>
      <c r="AN171" s="206"/>
      <c r="AO171" s="300"/>
      <c r="AP171" s="300"/>
      <c r="AQ171" s="300"/>
      <c r="AR171" s="300"/>
    </row>
    <row r="172">
      <c r="A172" s="174"/>
      <c r="B172" s="174"/>
      <c r="C172" s="74"/>
      <c r="D172" s="297"/>
      <c r="E172" s="70"/>
      <c r="F172" s="174"/>
      <c r="G172" s="298"/>
      <c r="H172" s="298"/>
      <c r="I172" s="298"/>
      <c r="J172" s="298"/>
      <c r="K172" s="298"/>
      <c r="L172" s="298"/>
      <c r="M172" s="298"/>
      <c r="N172" s="298"/>
      <c r="O172" s="298"/>
      <c r="P172" s="298"/>
      <c r="Q172" s="298"/>
      <c r="R172" s="298"/>
      <c r="S172" s="298"/>
      <c r="T172" s="298"/>
      <c r="U172" s="298"/>
      <c r="V172" s="298"/>
      <c r="W172" s="300"/>
      <c r="X172" s="300"/>
      <c r="Y172" s="300"/>
      <c r="Z172" s="300"/>
      <c r="AA172" s="300"/>
      <c r="AB172" s="301"/>
      <c r="AC172" s="300"/>
      <c r="AD172" s="300"/>
      <c r="AE172" s="300"/>
      <c r="AF172" s="302"/>
      <c r="AG172" s="203"/>
      <c r="AH172" s="203"/>
      <c r="AI172" s="203"/>
      <c r="AJ172" s="203"/>
      <c r="AK172" s="203"/>
      <c r="AL172" s="203"/>
      <c r="AM172" s="203"/>
      <c r="AN172" s="206"/>
      <c r="AO172" s="300"/>
      <c r="AP172" s="300"/>
      <c r="AQ172" s="300"/>
      <c r="AR172" s="300"/>
    </row>
    <row r="173">
      <c r="A173" s="174"/>
      <c r="B173" s="174"/>
      <c r="C173" s="74"/>
      <c r="D173" s="297"/>
      <c r="E173" s="70"/>
      <c r="F173" s="174"/>
      <c r="G173" s="298"/>
      <c r="H173" s="298"/>
      <c r="I173" s="298"/>
      <c r="J173" s="298"/>
      <c r="K173" s="298"/>
      <c r="L173" s="298"/>
      <c r="M173" s="298"/>
      <c r="N173" s="298"/>
      <c r="O173" s="298"/>
      <c r="P173" s="298"/>
      <c r="Q173" s="298"/>
      <c r="R173" s="298"/>
      <c r="S173" s="298"/>
      <c r="T173" s="298"/>
      <c r="U173" s="298"/>
      <c r="V173" s="298"/>
      <c r="W173" s="300"/>
      <c r="X173" s="300"/>
      <c r="Y173" s="300"/>
      <c r="Z173" s="300"/>
      <c r="AA173" s="300"/>
      <c r="AB173" s="301"/>
      <c r="AC173" s="300"/>
      <c r="AD173" s="300"/>
      <c r="AE173" s="300"/>
      <c r="AF173" s="302"/>
      <c r="AG173" s="203"/>
      <c r="AH173" s="203"/>
      <c r="AI173" s="203"/>
      <c r="AJ173" s="203"/>
      <c r="AK173" s="203"/>
      <c r="AL173" s="203"/>
      <c r="AM173" s="203"/>
      <c r="AN173" s="206"/>
      <c r="AO173" s="300"/>
      <c r="AP173" s="300"/>
      <c r="AQ173" s="300"/>
      <c r="AR173" s="300"/>
    </row>
    <row r="174">
      <c r="A174" s="174"/>
      <c r="B174" s="174"/>
      <c r="C174" s="74"/>
      <c r="D174" s="297"/>
      <c r="E174" s="70"/>
      <c r="F174" s="174"/>
      <c r="G174" s="298"/>
      <c r="H174" s="298"/>
      <c r="I174" s="298"/>
      <c r="J174" s="298"/>
      <c r="K174" s="298"/>
      <c r="L174" s="298"/>
      <c r="M174" s="298"/>
      <c r="N174" s="298"/>
      <c r="O174" s="298"/>
      <c r="P174" s="298"/>
      <c r="Q174" s="298"/>
      <c r="R174" s="298"/>
      <c r="S174" s="298"/>
      <c r="T174" s="298"/>
      <c r="U174" s="298"/>
      <c r="V174" s="298"/>
      <c r="W174" s="300"/>
      <c r="X174" s="300"/>
      <c r="Y174" s="300"/>
      <c r="Z174" s="300"/>
      <c r="AA174" s="300"/>
      <c r="AB174" s="301"/>
      <c r="AC174" s="300"/>
      <c r="AD174" s="300"/>
      <c r="AE174" s="300"/>
      <c r="AF174" s="302"/>
      <c r="AG174" s="203"/>
      <c r="AH174" s="203"/>
      <c r="AI174" s="203"/>
      <c r="AJ174" s="203"/>
      <c r="AK174" s="203"/>
      <c r="AL174" s="203"/>
      <c r="AM174" s="203"/>
      <c r="AN174" s="206"/>
      <c r="AO174" s="300"/>
      <c r="AP174" s="300"/>
      <c r="AQ174" s="300"/>
      <c r="AR174" s="300"/>
    </row>
    <row r="175">
      <c r="A175" s="174"/>
      <c r="B175" s="174"/>
      <c r="C175" s="74"/>
      <c r="D175" s="297"/>
      <c r="E175" s="70"/>
      <c r="F175" s="174"/>
      <c r="G175" s="298"/>
      <c r="H175" s="298"/>
      <c r="I175" s="298"/>
      <c r="J175" s="298"/>
      <c r="K175" s="298"/>
      <c r="L175" s="298"/>
      <c r="M175" s="298"/>
      <c r="N175" s="298"/>
      <c r="O175" s="298"/>
      <c r="P175" s="298"/>
      <c r="Q175" s="298"/>
      <c r="R175" s="298"/>
      <c r="S175" s="298"/>
      <c r="T175" s="298"/>
      <c r="U175" s="298"/>
      <c r="V175" s="298"/>
      <c r="W175" s="300"/>
      <c r="X175" s="300"/>
      <c r="Y175" s="300"/>
      <c r="Z175" s="300"/>
      <c r="AA175" s="300"/>
      <c r="AB175" s="301"/>
      <c r="AC175" s="300"/>
      <c r="AD175" s="300"/>
      <c r="AE175" s="300"/>
      <c r="AF175" s="302"/>
      <c r="AG175" s="203"/>
      <c r="AH175" s="203"/>
      <c r="AI175" s="203"/>
      <c r="AJ175" s="203"/>
      <c r="AK175" s="203"/>
      <c r="AL175" s="203"/>
      <c r="AM175" s="203"/>
      <c r="AN175" s="206"/>
      <c r="AO175" s="300"/>
      <c r="AP175" s="300"/>
      <c r="AQ175" s="300"/>
      <c r="AR175" s="300"/>
    </row>
    <row r="176">
      <c r="A176" s="174"/>
      <c r="B176" s="174"/>
      <c r="C176" s="74"/>
      <c r="D176" s="297"/>
      <c r="E176" s="70"/>
      <c r="F176" s="174"/>
      <c r="G176" s="298"/>
      <c r="H176" s="298"/>
      <c r="I176" s="298"/>
      <c r="J176" s="298"/>
      <c r="K176" s="298"/>
      <c r="L176" s="298"/>
      <c r="M176" s="298"/>
      <c r="N176" s="298"/>
      <c r="O176" s="298"/>
      <c r="P176" s="298"/>
      <c r="Q176" s="298"/>
      <c r="R176" s="298"/>
      <c r="S176" s="298"/>
      <c r="T176" s="298"/>
      <c r="U176" s="298"/>
      <c r="V176" s="298"/>
      <c r="W176" s="300"/>
      <c r="X176" s="300"/>
      <c r="Y176" s="300"/>
      <c r="Z176" s="300"/>
      <c r="AA176" s="300"/>
      <c r="AB176" s="301"/>
      <c r="AC176" s="300"/>
      <c r="AD176" s="300"/>
      <c r="AE176" s="300"/>
      <c r="AF176" s="302"/>
      <c r="AG176" s="203"/>
      <c r="AH176" s="203"/>
      <c r="AI176" s="203"/>
      <c r="AJ176" s="203"/>
      <c r="AK176" s="203"/>
      <c r="AL176" s="203"/>
      <c r="AM176" s="203"/>
      <c r="AN176" s="206"/>
      <c r="AO176" s="300"/>
      <c r="AP176" s="300"/>
      <c r="AQ176" s="300"/>
      <c r="AR176" s="300"/>
    </row>
    <row r="177">
      <c r="A177" s="174"/>
      <c r="B177" s="174"/>
      <c r="C177" s="74"/>
      <c r="D177" s="297"/>
      <c r="E177" s="70"/>
      <c r="F177" s="174"/>
      <c r="G177" s="298"/>
      <c r="H177" s="298"/>
      <c r="I177" s="298"/>
      <c r="J177" s="298"/>
      <c r="K177" s="298"/>
      <c r="L177" s="298"/>
      <c r="M177" s="298"/>
      <c r="N177" s="298"/>
      <c r="O177" s="298"/>
      <c r="P177" s="298"/>
      <c r="Q177" s="298"/>
      <c r="R177" s="298"/>
      <c r="S177" s="298"/>
      <c r="T177" s="298"/>
      <c r="U177" s="298"/>
      <c r="V177" s="298"/>
      <c r="W177" s="300"/>
      <c r="X177" s="300"/>
      <c r="Y177" s="300"/>
      <c r="Z177" s="300"/>
      <c r="AA177" s="300"/>
      <c r="AB177" s="301"/>
      <c r="AC177" s="300"/>
      <c r="AD177" s="300"/>
      <c r="AE177" s="300"/>
      <c r="AF177" s="302"/>
      <c r="AG177" s="203"/>
      <c r="AH177" s="203"/>
      <c r="AI177" s="203"/>
      <c r="AJ177" s="203"/>
      <c r="AK177" s="203"/>
      <c r="AL177" s="203"/>
      <c r="AM177" s="203"/>
      <c r="AN177" s="206"/>
      <c r="AO177" s="300"/>
      <c r="AP177" s="300"/>
      <c r="AQ177" s="300"/>
      <c r="AR177" s="300"/>
    </row>
    <row r="178">
      <c r="A178" s="174"/>
      <c r="B178" s="174"/>
      <c r="C178" s="74"/>
      <c r="D178" s="297"/>
      <c r="E178" s="70"/>
      <c r="F178" s="174"/>
      <c r="G178" s="298"/>
      <c r="H178" s="298"/>
      <c r="I178" s="298"/>
      <c r="J178" s="298"/>
      <c r="K178" s="298"/>
      <c r="L178" s="298"/>
      <c r="M178" s="298"/>
      <c r="N178" s="298"/>
      <c r="O178" s="298"/>
      <c r="P178" s="298"/>
      <c r="Q178" s="298"/>
      <c r="R178" s="298"/>
      <c r="S178" s="298"/>
      <c r="T178" s="298"/>
      <c r="U178" s="298"/>
      <c r="V178" s="298"/>
      <c r="W178" s="300"/>
      <c r="X178" s="300"/>
      <c r="Y178" s="300"/>
      <c r="Z178" s="300"/>
      <c r="AA178" s="300"/>
      <c r="AB178" s="301"/>
      <c r="AC178" s="300"/>
      <c r="AD178" s="300"/>
      <c r="AE178" s="300"/>
      <c r="AF178" s="302"/>
      <c r="AG178" s="203"/>
      <c r="AH178" s="203"/>
      <c r="AI178" s="203"/>
      <c r="AJ178" s="203"/>
      <c r="AK178" s="203"/>
      <c r="AL178" s="203"/>
      <c r="AM178" s="203"/>
      <c r="AN178" s="206"/>
      <c r="AO178" s="300"/>
      <c r="AP178" s="300"/>
      <c r="AQ178" s="300"/>
      <c r="AR178" s="300"/>
    </row>
    <row r="179">
      <c r="A179" s="174"/>
      <c r="B179" s="174"/>
      <c r="C179" s="74"/>
      <c r="D179" s="297"/>
      <c r="E179" s="70"/>
      <c r="F179" s="174"/>
      <c r="G179" s="298"/>
      <c r="H179" s="298"/>
      <c r="I179" s="298"/>
      <c r="J179" s="298"/>
      <c r="K179" s="298"/>
      <c r="L179" s="298"/>
      <c r="M179" s="298"/>
      <c r="N179" s="298"/>
      <c r="O179" s="298"/>
      <c r="P179" s="298"/>
      <c r="Q179" s="298"/>
      <c r="R179" s="298"/>
      <c r="S179" s="298"/>
      <c r="T179" s="298"/>
      <c r="U179" s="298"/>
      <c r="V179" s="298"/>
      <c r="W179" s="300"/>
      <c r="X179" s="300"/>
      <c r="Y179" s="300"/>
      <c r="Z179" s="300"/>
      <c r="AA179" s="300"/>
      <c r="AB179" s="301"/>
      <c r="AC179" s="300"/>
      <c r="AD179" s="300"/>
      <c r="AE179" s="300"/>
      <c r="AF179" s="302"/>
      <c r="AG179" s="203"/>
      <c r="AH179" s="203"/>
      <c r="AI179" s="203"/>
      <c r="AJ179" s="203"/>
      <c r="AK179" s="203"/>
      <c r="AL179" s="203"/>
      <c r="AM179" s="203"/>
      <c r="AN179" s="206"/>
      <c r="AO179" s="300"/>
      <c r="AP179" s="300"/>
      <c r="AQ179" s="300"/>
      <c r="AR179" s="300"/>
    </row>
    <row r="180">
      <c r="A180" s="174"/>
      <c r="B180" s="174"/>
      <c r="C180" s="74"/>
      <c r="D180" s="297"/>
      <c r="E180" s="70"/>
      <c r="F180" s="174"/>
      <c r="G180" s="298"/>
      <c r="H180" s="298"/>
      <c r="I180" s="298"/>
      <c r="J180" s="298"/>
      <c r="K180" s="298"/>
      <c r="L180" s="298"/>
      <c r="M180" s="298"/>
      <c r="N180" s="298"/>
      <c r="O180" s="298"/>
      <c r="P180" s="298"/>
      <c r="Q180" s="298"/>
      <c r="R180" s="298"/>
      <c r="S180" s="298"/>
      <c r="T180" s="298"/>
      <c r="U180" s="298"/>
      <c r="V180" s="298"/>
      <c r="W180" s="300"/>
      <c r="X180" s="300"/>
      <c r="Y180" s="300"/>
      <c r="Z180" s="300"/>
      <c r="AA180" s="300"/>
      <c r="AB180" s="301"/>
      <c r="AC180" s="300"/>
      <c r="AD180" s="300"/>
      <c r="AE180" s="300"/>
      <c r="AF180" s="302"/>
      <c r="AG180" s="203"/>
      <c r="AH180" s="203"/>
      <c r="AI180" s="203"/>
      <c r="AJ180" s="203"/>
      <c r="AK180" s="203"/>
      <c r="AL180" s="203"/>
      <c r="AM180" s="203"/>
      <c r="AN180" s="206"/>
      <c r="AO180" s="300"/>
      <c r="AP180" s="300"/>
      <c r="AQ180" s="300"/>
      <c r="AR180" s="300"/>
    </row>
    <row r="181">
      <c r="A181" s="174"/>
      <c r="B181" s="174"/>
      <c r="C181" s="74"/>
      <c r="D181" s="297"/>
      <c r="E181" s="70"/>
      <c r="F181" s="174"/>
      <c r="G181" s="298"/>
      <c r="H181" s="298"/>
      <c r="I181" s="298"/>
      <c r="J181" s="298"/>
      <c r="K181" s="298"/>
      <c r="L181" s="298"/>
      <c r="M181" s="298"/>
      <c r="N181" s="298"/>
      <c r="O181" s="298"/>
      <c r="P181" s="298"/>
      <c r="Q181" s="298"/>
      <c r="R181" s="298"/>
      <c r="S181" s="298"/>
      <c r="T181" s="298"/>
      <c r="U181" s="298"/>
      <c r="V181" s="298"/>
      <c r="W181" s="300"/>
      <c r="X181" s="300"/>
      <c r="Y181" s="300"/>
      <c r="Z181" s="300"/>
      <c r="AA181" s="300"/>
      <c r="AB181" s="301"/>
      <c r="AC181" s="300"/>
      <c r="AD181" s="300"/>
      <c r="AE181" s="300"/>
      <c r="AF181" s="302"/>
      <c r="AG181" s="203"/>
      <c r="AH181" s="203"/>
      <c r="AI181" s="203"/>
      <c r="AJ181" s="203"/>
      <c r="AK181" s="203"/>
      <c r="AL181" s="203"/>
      <c r="AM181" s="203"/>
      <c r="AN181" s="206"/>
      <c r="AO181" s="300"/>
      <c r="AP181" s="300"/>
      <c r="AQ181" s="300"/>
      <c r="AR181" s="300"/>
    </row>
    <row r="182">
      <c r="A182" s="174"/>
      <c r="B182" s="174"/>
      <c r="C182" s="74"/>
      <c r="D182" s="297"/>
      <c r="E182" s="70"/>
      <c r="F182" s="174"/>
      <c r="G182" s="298"/>
      <c r="H182" s="298"/>
      <c r="I182" s="298"/>
      <c r="J182" s="298"/>
      <c r="K182" s="298"/>
      <c r="L182" s="298"/>
      <c r="M182" s="298"/>
      <c r="N182" s="298"/>
      <c r="O182" s="298"/>
      <c r="P182" s="298"/>
      <c r="Q182" s="298"/>
      <c r="R182" s="298"/>
      <c r="S182" s="298"/>
      <c r="T182" s="298"/>
      <c r="U182" s="298"/>
      <c r="V182" s="298"/>
      <c r="W182" s="300"/>
      <c r="X182" s="300"/>
      <c r="Y182" s="300"/>
      <c r="Z182" s="300"/>
      <c r="AA182" s="300"/>
      <c r="AB182" s="301"/>
      <c r="AC182" s="300"/>
      <c r="AD182" s="300"/>
      <c r="AE182" s="300"/>
      <c r="AF182" s="302"/>
      <c r="AG182" s="203"/>
      <c r="AH182" s="203"/>
      <c r="AI182" s="203"/>
      <c r="AJ182" s="203"/>
      <c r="AK182" s="203"/>
      <c r="AL182" s="203"/>
      <c r="AM182" s="203"/>
      <c r="AN182" s="206"/>
      <c r="AO182" s="300"/>
      <c r="AP182" s="300"/>
      <c r="AQ182" s="300"/>
      <c r="AR182" s="300"/>
    </row>
    <row r="183">
      <c r="A183" s="174"/>
      <c r="B183" s="174"/>
      <c r="C183" s="74"/>
      <c r="D183" s="297"/>
      <c r="E183" s="70"/>
      <c r="F183" s="174"/>
      <c r="G183" s="298"/>
      <c r="H183" s="298"/>
      <c r="I183" s="298"/>
      <c r="J183" s="298"/>
      <c r="K183" s="298"/>
      <c r="L183" s="298"/>
      <c r="M183" s="298"/>
      <c r="N183" s="298"/>
      <c r="O183" s="298"/>
      <c r="P183" s="298"/>
      <c r="Q183" s="298"/>
      <c r="R183" s="298"/>
      <c r="S183" s="298"/>
      <c r="T183" s="298"/>
      <c r="U183" s="298"/>
      <c r="V183" s="298"/>
      <c r="W183" s="300"/>
      <c r="X183" s="300"/>
      <c r="Y183" s="300"/>
      <c r="Z183" s="300"/>
      <c r="AA183" s="300"/>
      <c r="AB183" s="301"/>
      <c r="AC183" s="300"/>
      <c r="AD183" s="300"/>
      <c r="AE183" s="300"/>
      <c r="AF183" s="302"/>
      <c r="AG183" s="203"/>
      <c r="AH183" s="203"/>
      <c r="AI183" s="203"/>
      <c r="AJ183" s="203"/>
      <c r="AK183" s="203"/>
      <c r="AL183" s="203"/>
      <c r="AM183" s="203"/>
      <c r="AN183" s="206"/>
      <c r="AO183" s="300"/>
      <c r="AP183" s="300"/>
      <c r="AQ183" s="300"/>
      <c r="AR183" s="300"/>
    </row>
    <row r="184">
      <c r="A184" s="174"/>
      <c r="B184" s="174"/>
      <c r="C184" s="74"/>
      <c r="D184" s="297"/>
      <c r="E184" s="70"/>
      <c r="F184" s="174"/>
      <c r="G184" s="298"/>
      <c r="H184" s="298"/>
      <c r="I184" s="298"/>
      <c r="J184" s="298"/>
      <c r="K184" s="298"/>
      <c r="L184" s="298"/>
      <c r="M184" s="298"/>
      <c r="N184" s="298"/>
      <c r="O184" s="298"/>
      <c r="P184" s="298"/>
      <c r="Q184" s="298"/>
      <c r="R184" s="298"/>
      <c r="S184" s="298"/>
      <c r="T184" s="298"/>
      <c r="U184" s="298"/>
      <c r="V184" s="298"/>
      <c r="W184" s="300"/>
      <c r="X184" s="300"/>
      <c r="Y184" s="300"/>
      <c r="Z184" s="300"/>
      <c r="AA184" s="300"/>
      <c r="AB184" s="301"/>
      <c r="AC184" s="300"/>
      <c r="AD184" s="300"/>
      <c r="AE184" s="300"/>
      <c r="AF184" s="302"/>
      <c r="AG184" s="203"/>
      <c r="AH184" s="203"/>
      <c r="AI184" s="203"/>
      <c r="AJ184" s="203"/>
      <c r="AK184" s="203"/>
      <c r="AL184" s="203"/>
      <c r="AM184" s="203"/>
      <c r="AN184" s="206"/>
      <c r="AO184" s="300"/>
      <c r="AP184" s="300"/>
      <c r="AQ184" s="300"/>
      <c r="AR184" s="300"/>
    </row>
    <row r="185">
      <c r="A185" s="174"/>
      <c r="B185" s="174"/>
      <c r="C185" s="74"/>
      <c r="D185" s="297"/>
      <c r="E185" s="70"/>
      <c r="F185" s="174"/>
      <c r="G185" s="298"/>
      <c r="H185" s="298"/>
      <c r="I185" s="298"/>
      <c r="J185" s="298"/>
      <c r="K185" s="298"/>
      <c r="L185" s="298"/>
      <c r="M185" s="298"/>
      <c r="N185" s="298"/>
      <c r="O185" s="298"/>
      <c r="P185" s="298"/>
      <c r="Q185" s="298"/>
      <c r="R185" s="298"/>
      <c r="S185" s="298"/>
      <c r="T185" s="298"/>
      <c r="U185" s="298"/>
      <c r="V185" s="298"/>
      <c r="W185" s="300"/>
      <c r="X185" s="300"/>
      <c r="Y185" s="300"/>
      <c r="Z185" s="300"/>
      <c r="AA185" s="300"/>
      <c r="AB185" s="301"/>
      <c r="AC185" s="300"/>
      <c r="AD185" s="300"/>
      <c r="AE185" s="300"/>
      <c r="AF185" s="302"/>
      <c r="AG185" s="203"/>
      <c r="AH185" s="203"/>
      <c r="AI185" s="203"/>
      <c r="AJ185" s="203"/>
      <c r="AK185" s="203"/>
      <c r="AL185" s="203"/>
      <c r="AM185" s="203"/>
      <c r="AN185" s="206"/>
      <c r="AO185" s="300"/>
      <c r="AP185" s="300"/>
      <c r="AQ185" s="300"/>
      <c r="AR185" s="300"/>
    </row>
    <row r="186">
      <c r="A186" s="174"/>
      <c r="B186" s="174"/>
      <c r="C186" s="74"/>
      <c r="D186" s="297"/>
      <c r="E186" s="70"/>
      <c r="F186" s="174"/>
      <c r="G186" s="298"/>
      <c r="H186" s="298"/>
      <c r="I186" s="298"/>
      <c r="J186" s="298"/>
      <c r="K186" s="298"/>
      <c r="L186" s="298"/>
      <c r="M186" s="298"/>
      <c r="N186" s="298"/>
      <c r="O186" s="298"/>
      <c r="P186" s="298"/>
      <c r="Q186" s="298"/>
      <c r="R186" s="298"/>
      <c r="S186" s="298"/>
      <c r="T186" s="298"/>
      <c r="U186" s="298"/>
      <c r="V186" s="298"/>
      <c r="W186" s="300"/>
      <c r="X186" s="300"/>
      <c r="Y186" s="300"/>
      <c r="Z186" s="300"/>
      <c r="AA186" s="300"/>
      <c r="AB186" s="301"/>
      <c r="AC186" s="300"/>
      <c r="AD186" s="300"/>
      <c r="AE186" s="300"/>
      <c r="AF186" s="302"/>
      <c r="AG186" s="203"/>
      <c r="AH186" s="203"/>
      <c r="AI186" s="203"/>
      <c r="AJ186" s="203"/>
      <c r="AK186" s="203"/>
      <c r="AL186" s="203"/>
      <c r="AM186" s="203"/>
      <c r="AN186" s="206"/>
      <c r="AO186" s="300"/>
      <c r="AP186" s="300"/>
      <c r="AQ186" s="300"/>
      <c r="AR186" s="300"/>
    </row>
  </sheetData>
  <dataValidations>
    <dataValidation type="list" allowBlank="1" showErrorMessage="1" sqref="Z38:Z45">
      <formula1>"I,II,III,IV,V,VI,VII,VIII,IX,X,XI,XII,Sem informação"</formula1>
    </dataValidation>
    <dataValidation type="list" allowBlank="1" showErrorMessage="1" sqref="W3:W186">
      <formula1>"Gestão própria,OSS"</formula1>
    </dataValidation>
    <dataValidation type="list" allowBlank="1" showErrorMessage="1" sqref="Z3:Z8 Z46:Z59 Z61:Z99">
      <formula1>"I,II,III,IV,V,VI,VII,VII,IX,X,XI,XII,Sem informação"</formula1>
    </dataValidation>
    <dataValidation type="list" allowBlank="1" showErrorMessage="1" sqref="Z60">
      <formula1>"I,II,III,IV,V,VI,VII,VIII,IX,X,XI,XII,Sem informação"</formula1>
    </dataValidation>
    <dataValidation type="list" allowBlank="1" showErrorMessage="1" sqref="E3:E99">
      <formula1>"Agreste Central,Agreste Meridional,Agreste Setentrional,Mata Norte,Mata Sul,Metropolitana,Sertão Central,Sertão de Itaparica,Sertão do Araripe,Sertão do Moxotó,Sertão do Pajeú,Sertão do São Francisco"</formula1>
    </dataValidation>
    <dataValidation type="list" allowBlank="1" showErrorMessage="1" sqref="F3:F99">
      <formula1>"HOSPITAL - 6 GRANDES,HOSPITAL,NA,EM CONSTRUÇÃO,UPAE,UPAE, UPA,UPA,REDE CREDENCIADA"</formula1>
    </dataValidation>
    <dataValidation type="list" allowBlank="1" showErrorMessage="1" sqref="Z9:Z37">
      <formula1>"I,II,III,IV,V,VI,VII,VII,VIII,IX,X,XI,XII,Sem informação"</formula1>
    </dataValidation>
  </dataValidations>
  <drawing r:id="rId4"/>
  <legacyDrawing r:id="rId5"/>
  <tableParts count="1">
    <tablePart r:id="rId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0"/>
  <cols>
    <col customWidth="1" min="1" max="1" width="1.25"/>
    <col customWidth="1" min="2" max="2" width="21.88"/>
    <col customWidth="1" min="3" max="3" width="23.13"/>
    <col customWidth="1" min="4" max="4" width="25.13"/>
    <col customWidth="1" min="5" max="5" width="10.25"/>
    <col customWidth="1" min="6" max="6" width="13.88"/>
    <col customWidth="1" min="7" max="7" width="42.13"/>
    <col customWidth="1" min="8" max="8" width="20.0"/>
    <col customWidth="1" min="9" max="9" width="18.25"/>
    <col customWidth="1" min="10" max="10" width="40.13"/>
    <col customWidth="1" min="11" max="11" width="19.25"/>
    <col customWidth="1" min="12" max="12" width="17.13"/>
    <col customWidth="1" min="13" max="13" width="14.13"/>
    <col customWidth="1" min="14" max="15" width="16.0"/>
  </cols>
  <sheetData>
    <row r="1" ht="89.25" customHeight="1">
      <c r="A1" s="1"/>
      <c r="B1" s="4"/>
      <c r="C1" s="7"/>
      <c r="D1" s="9"/>
      <c r="E1" s="11"/>
      <c r="F1" s="11"/>
      <c r="G1" s="11"/>
      <c r="H1" s="9"/>
      <c r="I1" s="14"/>
      <c r="J1" s="9"/>
      <c r="K1" s="7"/>
      <c r="L1" s="16"/>
      <c r="M1" s="16"/>
      <c r="N1" s="16"/>
      <c r="O1" s="16"/>
    </row>
    <row r="2" ht="36.75" customHeight="1">
      <c r="A2" s="19"/>
      <c r="B2" s="21" t="s">
        <v>0</v>
      </c>
      <c r="C2" s="22" t="s">
        <v>2</v>
      </c>
      <c r="D2" s="24" t="s">
        <v>3</v>
      </c>
      <c r="E2" s="27" t="s">
        <v>5</v>
      </c>
      <c r="F2" s="27" t="s">
        <v>8</v>
      </c>
      <c r="G2" s="27" t="s">
        <v>9</v>
      </c>
      <c r="H2" s="27" t="s">
        <v>10</v>
      </c>
      <c r="I2" s="27" t="s">
        <v>11</v>
      </c>
      <c r="J2" s="27" t="s">
        <v>13</v>
      </c>
      <c r="K2" s="31" t="s">
        <v>15</v>
      </c>
      <c r="L2" s="31" t="s">
        <v>17</v>
      </c>
      <c r="M2" s="31" t="s">
        <v>18</v>
      </c>
      <c r="N2" s="31" t="s">
        <v>19</v>
      </c>
      <c r="O2" s="31" t="s">
        <v>20</v>
      </c>
    </row>
    <row r="3" ht="137.25" customHeight="1">
      <c r="A3" s="36"/>
      <c r="B3" s="40" t="s">
        <v>23</v>
      </c>
      <c r="C3" s="44" t="s">
        <v>63</v>
      </c>
      <c r="D3" s="46" t="s">
        <v>66</v>
      </c>
      <c r="E3" s="58" t="s">
        <v>85</v>
      </c>
      <c r="F3" s="59" t="s">
        <v>68</v>
      </c>
      <c r="G3" s="59" t="s">
        <v>91</v>
      </c>
      <c r="H3" s="61">
        <v>53.0</v>
      </c>
      <c r="I3" s="59">
        <v>1052154.31</v>
      </c>
      <c r="J3" s="65" t="s">
        <v>93</v>
      </c>
      <c r="K3" s="68"/>
      <c r="L3" s="70"/>
      <c r="M3" s="71"/>
      <c r="N3" s="70"/>
      <c r="O3" s="74"/>
    </row>
    <row r="4" ht="137.25" customHeight="1">
      <c r="A4" s="52"/>
      <c r="B4" s="77" t="s">
        <v>97</v>
      </c>
      <c r="C4" s="44" t="s">
        <v>63</v>
      </c>
      <c r="D4" s="61" t="s">
        <v>98</v>
      </c>
      <c r="E4" s="58" t="s">
        <v>99</v>
      </c>
      <c r="F4" s="59" t="s">
        <v>68</v>
      </c>
      <c r="G4" s="59" t="s">
        <v>101</v>
      </c>
      <c r="H4" s="58">
        <v>114.0</v>
      </c>
      <c r="I4" s="78">
        <v>475385.55</v>
      </c>
      <c r="J4" s="65" t="s">
        <v>102</v>
      </c>
      <c r="K4" s="79"/>
      <c r="L4" s="80">
        <v>70.0</v>
      </c>
      <c r="M4" s="80">
        <v>44.0</v>
      </c>
      <c r="N4" s="79"/>
      <c r="O4" s="82"/>
    </row>
    <row r="5" ht="296.25" customHeight="1">
      <c r="A5" s="52"/>
      <c r="B5" s="77" t="s">
        <v>105</v>
      </c>
      <c r="C5" s="44" t="s">
        <v>106</v>
      </c>
      <c r="D5" s="61" t="s">
        <v>107</v>
      </c>
      <c r="E5" s="58" t="s">
        <v>108</v>
      </c>
      <c r="F5" s="85" t="s">
        <v>68</v>
      </c>
      <c r="G5" s="85" t="s">
        <v>110</v>
      </c>
      <c r="H5" s="87">
        <v>66.0</v>
      </c>
      <c r="I5" s="88"/>
      <c r="J5" s="89" t="s">
        <v>112</v>
      </c>
      <c r="K5" s="91">
        <v>42.0</v>
      </c>
      <c r="L5" s="80"/>
      <c r="M5" s="92"/>
      <c r="N5" s="93">
        <v>24.0</v>
      </c>
      <c r="O5" s="95"/>
    </row>
    <row r="6" ht="137.25" customHeight="1">
      <c r="A6" s="52"/>
      <c r="B6" s="77" t="s">
        <v>116</v>
      </c>
      <c r="C6" s="44" t="s">
        <v>63</v>
      </c>
      <c r="D6" s="97" t="s">
        <v>118</v>
      </c>
      <c r="E6" s="58" t="s">
        <v>120</v>
      </c>
      <c r="F6" s="59" t="s">
        <v>68</v>
      </c>
      <c r="G6" s="59" t="s">
        <v>122</v>
      </c>
      <c r="H6" s="58">
        <v>84.0</v>
      </c>
      <c r="I6" s="78">
        <v>465962.14</v>
      </c>
      <c r="J6" s="59" t="s">
        <v>124</v>
      </c>
      <c r="K6" s="79"/>
      <c r="L6" s="79"/>
      <c r="M6" s="79"/>
      <c r="N6" s="79"/>
      <c r="O6" s="82"/>
    </row>
    <row r="7" ht="137.25" customHeight="1">
      <c r="A7" s="52"/>
      <c r="B7" s="77" t="s">
        <v>127</v>
      </c>
      <c r="C7" s="44" t="s">
        <v>63</v>
      </c>
      <c r="D7" s="61" t="s">
        <v>131</v>
      </c>
      <c r="E7" s="58" t="s">
        <v>132</v>
      </c>
      <c r="F7" s="59" t="s">
        <v>68</v>
      </c>
      <c r="G7" s="59" t="s">
        <v>134</v>
      </c>
      <c r="H7" s="58">
        <v>95.0</v>
      </c>
      <c r="I7" s="59">
        <v>330972.87</v>
      </c>
      <c r="J7" s="59" t="s">
        <v>135</v>
      </c>
      <c r="K7" s="79"/>
      <c r="L7" s="80">
        <v>66.0</v>
      </c>
      <c r="M7" s="80">
        <v>29.0</v>
      </c>
      <c r="N7" s="79"/>
      <c r="O7" s="82"/>
    </row>
    <row r="8" ht="137.25" customHeight="1">
      <c r="A8" s="52"/>
      <c r="B8" s="77" t="s">
        <v>137</v>
      </c>
      <c r="C8" s="44" t="s">
        <v>63</v>
      </c>
      <c r="D8" s="97" t="s">
        <v>138</v>
      </c>
      <c r="E8" s="58" t="s">
        <v>132</v>
      </c>
      <c r="F8" s="59" t="s">
        <v>68</v>
      </c>
      <c r="G8" s="59" t="s">
        <v>140</v>
      </c>
      <c r="H8" s="58">
        <v>92.0</v>
      </c>
      <c r="I8" s="109" t="s">
        <v>143</v>
      </c>
      <c r="J8" s="59" t="s">
        <v>146</v>
      </c>
      <c r="K8" s="111"/>
      <c r="L8" s="80">
        <v>59.0</v>
      </c>
      <c r="M8" s="80">
        <v>31.0</v>
      </c>
      <c r="N8" s="79"/>
      <c r="O8" s="112">
        <v>2.0</v>
      </c>
    </row>
    <row r="9" ht="137.25" customHeight="1">
      <c r="A9" s="52"/>
      <c r="B9" s="77" t="s">
        <v>150</v>
      </c>
      <c r="C9" s="44" t="s">
        <v>63</v>
      </c>
      <c r="D9" s="97" t="s">
        <v>152</v>
      </c>
      <c r="E9" s="58" t="s">
        <v>153</v>
      </c>
      <c r="F9" s="61" t="s">
        <v>68</v>
      </c>
      <c r="G9" s="117" t="s">
        <v>154</v>
      </c>
      <c r="H9" s="58">
        <v>119.0</v>
      </c>
      <c r="I9" s="118" t="s">
        <v>155</v>
      </c>
      <c r="J9" s="59" t="s">
        <v>158</v>
      </c>
      <c r="K9" s="79"/>
      <c r="L9" s="79"/>
      <c r="M9" s="79"/>
      <c r="N9" s="79"/>
      <c r="O9" s="82"/>
    </row>
    <row r="10" ht="137.25" customHeight="1">
      <c r="A10" s="52"/>
      <c r="B10" s="77" t="s">
        <v>161</v>
      </c>
      <c r="C10" s="44" t="s">
        <v>63</v>
      </c>
      <c r="D10" s="97" t="s">
        <v>163</v>
      </c>
      <c r="E10" s="58" t="s">
        <v>153</v>
      </c>
      <c r="F10" s="58" t="s">
        <v>68</v>
      </c>
      <c r="G10" s="59" t="s">
        <v>165</v>
      </c>
      <c r="H10" s="58">
        <v>92.0</v>
      </c>
      <c r="I10" s="78" t="s">
        <v>166</v>
      </c>
      <c r="J10" s="59" t="s">
        <v>167</v>
      </c>
      <c r="K10" s="79"/>
      <c r="L10" s="79"/>
      <c r="M10" s="79"/>
      <c r="N10" s="79"/>
      <c r="O10" s="82"/>
    </row>
    <row r="11" ht="137.25" customHeight="1">
      <c r="A11" s="52"/>
      <c r="B11" s="77" t="s">
        <v>170</v>
      </c>
      <c r="C11" s="44" t="s">
        <v>63</v>
      </c>
      <c r="D11" s="61" t="s">
        <v>174</v>
      </c>
      <c r="E11" s="58" t="s">
        <v>99</v>
      </c>
      <c r="F11" s="58" t="s">
        <v>68</v>
      </c>
      <c r="G11" s="59" t="s">
        <v>177</v>
      </c>
      <c r="H11" s="58">
        <v>95.0</v>
      </c>
      <c r="I11" s="59">
        <v>905105.0</v>
      </c>
      <c r="J11" s="59" t="s">
        <v>179</v>
      </c>
      <c r="K11" s="129"/>
      <c r="L11" s="79"/>
      <c r="M11" s="79"/>
      <c r="N11" s="79"/>
      <c r="O11" s="82"/>
    </row>
    <row r="12" ht="137.25" customHeight="1">
      <c r="A12" s="52"/>
      <c r="B12" s="77" t="s">
        <v>180</v>
      </c>
      <c r="C12" s="44" t="s">
        <v>63</v>
      </c>
      <c r="D12" s="97" t="s">
        <v>181</v>
      </c>
      <c r="E12" s="58" t="s">
        <v>183</v>
      </c>
      <c r="F12" s="132" t="s">
        <v>68</v>
      </c>
      <c r="G12" s="134" t="s">
        <v>188</v>
      </c>
      <c r="H12" s="58">
        <v>258.0</v>
      </c>
      <c r="I12" s="139" t="s">
        <v>192</v>
      </c>
      <c r="J12" s="59" t="s">
        <v>194</v>
      </c>
      <c r="K12" s="79"/>
      <c r="L12" s="80">
        <v>166.0</v>
      </c>
      <c r="M12" s="80">
        <v>41.0</v>
      </c>
      <c r="N12" s="80"/>
      <c r="O12" s="112"/>
    </row>
    <row r="13" ht="137.25" customHeight="1">
      <c r="A13" s="52"/>
      <c r="B13" s="77" t="s">
        <v>208</v>
      </c>
      <c r="C13" s="44" t="s">
        <v>63</v>
      </c>
      <c r="D13" s="61" t="s">
        <v>210</v>
      </c>
      <c r="E13" s="58" t="s">
        <v>213</v>
      </c>
      <c r="F13" s="132" t="s">
        <v>68</v>
      </c>
      <c r="G13" s="59" t="s">
        <v>214</v>
      </c>
      <c r="H13" s="58">
        <v>87.0</v>
      </c>
      <c r="I13" s="59">
        <v>233120.62</v>
      </c>
      <c r="J13" s="59" t="s">
        <v>68</v>
      </c>
      <c r="K13" s="129"/>
      <c r="L13" s="80">
        <v>63.0</v>
      </c>
      <c r="M13" s="80">
        <v>24.0</v>
      </c>
      <c r="N13" s="79"/>
      <c r="O13" s="82"/>
    </row>
    <row r="14" ht="137.25" customHeight="1">
      <c r="A14" s="52"/>
      <c r="B14" s="77" t="s">
        <v>219</v>
      </c>
      <c r="C14" s="44" t="s">
        <v>63</v>
      </c>
      <c r="D14" s="61" t="s">
        <v>222</v>
      </c>
      <c r="E14" s="58" t="s">
        <v>224</v>
      </c>
      <c r="F14" s="132" t="s">
        <v>68</v>
      </c>
      <c r="G14" s="59" t="s">
        <v>225</v>
      </c>
      <c r="H14" s="58">
        <v>37.0</v>
      </c>
      <c r="I14" s="59">
        <v>1305568.55</v>
      </c>
      <c r="J14" s="59" t="s">
        <v>227</v>
      </c>
      <c r="K14" s="79"/>
      <c r="L14" s="80">
        <v>14.0</v>
      </c>
      <c r="M14" s="80">
        <v>23.0</v>
      </c>
      <c r="N14" s="80"/>
      <c r="O14" s="112"/>
    </row>
    <row r="15" ht="137.25" customHeight="1">
      <c r="A15" s="52"/>
      <c r="B15" s="77" t="s">
        <v>231</v>
      </c>
      <c r="C15" s="44" t="s">
        <v>63</v>
      </c>
      <c r="D15" s="97" t="s">
        <v>235</v>
      </c>
      <c r="E15" s="58" t="s">
        <v>236</v>
      </c>
      <c r="F15" s="132" t="s">
        <v>68</v>
      </c>
      <c r="G15" s="59" t="s">
        <v>238</v>
      </c>
      <c r="H15" s="58">
        <v>74.0</v>
      </c>
      <c r="I15" s="59">
        <v>128308.19</v>
      </c>
      <c r="J15" s="59" t="s">
        <v>241</v>
      </c>
      <c r="K15" s="79"/>
      <c r="L15" s="80">
        <v>69.0</v>
      </c>
      <c r="M15" s="80">
        <v>5.0</v>
      </c>
      <c r="N15" s="79"/>
      <c r="O15" s="82"/>
    </row>
    <row r="16" ht="137.25" customHeight="1">
      <c r="A16" s="52"/>
      <c r="B16" s="77" t="s">
        <v>244</v>
      </c>
      <c r="C16" s="44" t="s">
        <v>63</v>
      </c>
      <c r="D16" s="61" t="s">
        <v>246</v>
      </c>
      <c r="E16" s="58" t="s">
        <v>249</v>
      </c>
      <c r="F16" s="132" t="s">
        <v>68</v>
      </c>
      <c r="G16" s="59" t="s">
        <v>251</v>
      </c>
      <c r="H16" s="58">
        <v>98.0</v>
      </c>
      <c r="I16" s="152">
        <v>718499.64</v>
      </c>
      <c r="J16" s="59" t="s">
        <v>252</v>
      </c>
      <c r="K16" s="79"/>
      <c r="L16" s="79"/>
      <c r="M16" s="79"/>
      <c r="N16" s="80"/>
      <c r="O16" s="112"/>
    </row>
    <row r="17" ht="137.25" customHeight="1">
      <c r="A17" s="52"/>
      <c r="B17" s="77" t="s">
        <v>253</v>
      </c>
      <c r="C17" s="44" t="s">
        <v>63</v>
      </c>
      <c r="D17" s="97" t="s">
        <v>255</v>
      </c>
      <c r="E17" s="58" t="s">
        <v>263</v>
      </c>
      <c r="F17" s="163">
        <v>17.0</v>
      </c>
      <c r="G17" s="59" t="s">
        <v>267</v>
      </c>
      <c r="H17" s="58">
        <v>375.0</v>
      </c>
      <c r="I17" s="139" t="s">
        <v>268</v>
      </c>
      <c r="J17" s="59" t="s">
        <v>272</v>
      </c>
      <c r="K17" s="79"/>
      <c r="L17" s="80">
        <v>320.0</v>
      </c>
      <c r="M17" s="80">
        <v>55.0</v>
      </c>
      <c r="N17" s="79"/>
      <c r="O17" s="82"/>
    </row>
    <row r="18" ht="220.5" customHeight="1">
      <c r="A18" s="52"/>
      <c r="B18" s="77" t="s">
        <v>274</v>
      </c>
      <c r="C18" s="44" t="s">
        <v>63</v>
      </c>
      <c r="D18" s="61" t="s">
        <v>276</v>
      </c>
      <c r="E18" s="58" t="s">
        <v>85</v>
      </c>
      <c r="F18" s="165">
        <v>18.0</v>
      </c>
      <c r="G18" s="59" t="s">
        <v>280</v>
      </c>
      <c r="H18" s="58" t="s">
        <v>68</v>
      </c>
      <c r="I18" s="59">
        <v>669611.94</v>
      </c>
      <c r="J18" s="59" t="s">
        <v>281</v>
      </c>
      <c r="K18" s="79"/>
      <c r="L18" s="79"/>
      <c r="M18" s="79"/>
      <c r="N18" s="80"/>
      <c r="O18" s="112"/>
    </row>
    <row r="19" ht="137.25" customHeight="1">
      <c r="A19" s="52"/>
      <c r="B19" s="77" t="s">
        <v>284</v>
      </c>
      <c r="C19" s="44" t="s">
        <v>63</v>
      </c>
      <c r="D19" s="61" t="s">
        <v>286</v>
      </c>
      <c r="E19" s="58" t="s">
        <v>85</v>
      </c>
      <c r="F19" s="165">
        <v>19.0</v>
      </c>
      <c r="G19" s="59" t="s">
        <v>288</v>
      </c>
      <c r="H19" s="58" t="s">
        <v>68</v>
      </c>
      <c r="I19" s="59">
        <v>679276.27</v>
      </c>
      <c r="J19" s="59" t="s">
        <v>291</v>
      </c>
      <c r="K19" s="79"/>
      <c r="L19" s="79"/>
      <c r="M19" s="79"/>
      <c r="N19" s="79"/>
      <c r="O19" s="82"/>
    </row>
    <row r="20" ht="137.25" customHeight="1">
      <c r="A20" s="52"/>
      <c r="B20" s="77" t="s">
        <v>294</v>
      </c>
      <c r="C20" s="44" t="s">
        <v>63</v>
      </c>
      <c r="D20" s="168" t="s">
        <v>296</v>
      </c>
      <c r="E20" s="58" t="s">
        <v>85</v>
      </c>
      <c r="F20" s="165">
        <v>19.0</v>
      </c>
      <c r="G20" s="59" t="s">
        <v>300</v>
      </c>
      <c r="H20" s="58" t="s">
        <v>68</v>
      </c>
      <c r="I20" s="134">
        <v>1851245.45</v>
      </c>
      <c r="J20" s="59" t="s">
        <v>301</v>
      </c>
      <c r="K20" s="129"/>
      <c r="L20" s="79"/>
      <c r="M20" s="79"/>
      <c r="N20" s="80"/>
      <c r="O20" s="112"/>
    </row>
    <row r="21" ht="137.25" customHeight="1">
      <c r="A21" s="52"/>
      <c r="B21" s="77" t="s">
        <v>302</v>
      </c>
      <c r="C21" s="44" t="s">
        <v>63</v>
      </c>
      <c r="D21" s="170" t="s">
        <v>304</v>
      </c>
      <c r="E21" s="58" t="s">
        <v>85</v>
      </c>
      <c r="F21" s="165">
        <v>19.0</v>
      </c>
      <c r="G21" s="59" t="s">
        <v>300</v>
      </c>
      <c r="H21" s="58" t="s">
        <v>68</v>
      </c>
      <c r="I21" s="59">
        <v>704030.67</v>
      </c>
      <c r="J21" s="59" t="s">
        <v>307</v>
      </c>
      <c r="K21" s="79"/>
      <c r="L21" s="79"/>
      <c r="M21" s="79"/>
      <c r="N21" s="79"/>
      <c r="O21" s="82"/>
    </row>
    <row r="22" ht="137.25" customHeight="1">
      <c r="A22" s="52"/>
      <c r="B22" s="176" t="s">
        <v>313</v>
      </c>
      <c r="C22" s="44" t="s">
        <v>63</v>
      </c>
      <c r="D22" s="61" t="s">
        <v>316</v>
      </c>
      <c r="E22" s="58" t="s">
        <v>85</v>
      </c>
      <c r="F22" s="165">
        <v>20.0</v>
      </c>
      <c r="G22" s="59" t="s">
        <v>300</v>
      </c>
      <c r="H22" s="58" t="s">
        <v>68</v>
      </c>
      <c r="I22" s="59">
        <v>809755.13</v>
      </c>
      <c r="J22" s="59" t="s">
        <v>321</v>
      </c>
      <c r="K22" s="79"/>
      <c r="L22" s="79"/>
      <c r="M22" s="79"/>
      <c r="N22" s="80"/>
      <c r="O22" s="112"/>
    </row>
    <row r="23">
      <c r="A23" s="52"/>
      <c r="B23" s="176" t="s">
        <v>322</v>
      </c>
      <c r="C23" s="44" t="s">
        <v>63</v>
      </c>
      <c r="D23" s="61" t="s">
        <v>323</v>
      </c>
      <c r="E23" s="58" t="s">
        <v>85</v>
      </c>
      <c r="F23" s="165">
        <v>21.0</v>
      </c>
      <c r="G23" s="59" t="s">
        <v>325</v>
      </c>
      <c r="H23" s="58" t="s">
        <v>68</v>
      </c>
      <c r="I23" s="59">
        <v>571703.83</v>
      </c>
      <c r="J23" s="59" t="s">
        <v>328</v>
      </c>
      <c r="K23" s="79"/>
      <c r="L23" s="79"/>
      <c r="M23" s="79"/>
      <c r="N23" s="79"/>
      <c r="O23" s="82"/>
    </row>
    <row r="24">
      <c r="A24" s="52"/>
      <c r="B24" s="77" t="s">
        <v>331</v>
      </c>
      <c r="C24" s="44" t="s">
        <v>63</v>
      </c>
      <c r="D24" s="61" t="s">
        <v>333</v>
      </c>
      <c r="E24" s="58" t="s">
        <v>85</v>
      </c>
      <c r="F24" s="165">
        <v>19.0</v>
      </c>
      <c r="G24" s="59" t="s">
        <v>334</v>
      </c>
      <c r="H24" s="58" t="s">
        <v>68</v>
      </c>
      <c r="I24" s="59">
        <v>555180.64</v>
      </c>
      <c r="J24" s="59" t="s">
        <v>337</v>
      </c>
      <c r="K24" s="79"/>
      <c r="L24" s="79"/>
      <c r="M24" s="79"/>
      <c r="N24" s="79"/>
      <c r="O24" s="82"/>
    </row>
    <row r="25" ht="137.25" customHeight="1">
      <c r="A25" s="52"/>
      <c r="B25" s="77" t="s">
        <v>340</v>
      </c>
      <c r="C25" s="44" t="s">
        <v>63</v>
      </c>
      <c r="D25" s="61" t="s">
        <v>342</v>
      </c>
      <c r="E25" s="58" t="s">
        <v>85</v>
      </c>
      <c r="F25" s="165">
        <v>19.0</v>
      </c>
      <c r="G25" s="59" t="s">
        <v>344</v>
      </c>
      <c r="H25" s="58" t="s">
        <v>68</v>
      </c>
      <c r="I25" s="59">
        <v>1013875.32</v>
      </c>
      <c r="J25" s="59" t="s">
        <v>346</v>
      </c>
      <c r="K25" s="79"/>
      <c r="L25" s="79"/>
      <c r="M25" s="79"/>
      <c r="N25" s="80"/>
      <c r="O25" s="112"/>
    </row>
    <row r="26" ht="137.25" customHeight="1">
      <c r="A26" s="52"/>
      <c r="B26" s="77" t="s">
        <v>347</v>
      </c>
      <c r="C26" s="44" t="s">
        <v>63</v>
      </c>
      <c r="D26" s="61" t="s">
        <v>348</v>
      </c>
      <c r="E26" s="58" t="s">
        <v>85</v>
      </c>
      <c r="F26" s="165">
        <v>19.0</v>
      </c>
      <c r="G26" s="59" t="s">
        <v>349</v>
      </c>
      <c r="H26" s="58" t="s">
        <v>68</v>
      </c>
      <c r="I26" s="59">
        <v>805773.82</v>
      </c>
      <c r="J26" s="59" t="s">
        <v>350</v>
      </c>
      <c r="K26" s="79"/>
      <c r="L26" s="79"/>
      <c r="M26" s="79"/>
      <c r="N26" s="79"/>
      <c r="O26" s="82"/>
    </row>
    <row r="27" ht="137.25" customHeight="1">
      <c r="A27" s="52"/>
      <c r="B27" s="77" t="s">
        <v>352</v>
      </c>
      <c r="C27" s="44" t="s">
        <v>63</v>
      </c>
      <c r="D27" s="61" t="s">
        <v>353</v>
      </c>
      <c r="E27" s="58" t="s">
        <v>85</v>
      </c>
      <c r="F27" s="165">
        <v>22.0</v>
      </c>
      <c r="G27" s="59" t="s">
        <v>355</v>
      </c>
      <c r="H27" s="58" t="s">
        <v>68</v>
      </c>
      <c r="I27" s="189">
        <v>606032.8</v>
      </c>
      <c r="J27" s="59" t="s">
        <v>357</v>
      </c>
      <c r="K27" s="79"/>
      <c r="L27" s="79"/>
      <c r="M27" s="79"/>
      <c r="N27" s="79"/>
      <c r="O27" s="82"/>
    </row>
    <row r="28" ht="137.25" customHeight="1">
      <c r="A28" s="52"/>
      <c r="B28" s="77" t="s">
        <v>358</v>
      </c>
      <c r="C28" s="44" t="s">
        <v>63</v>
      </c>
      <c r="D28" s="61" t="s">
        <v>359</v>
      </c>
      <c r="E28" s="58" t="s">
        <v>85</v>
      </c>
      <c r="F28" s="165">
        <v>19.0</v>
      </c>
      <c r="G28" s="59" t="s">
        <v>360</v>
      </c>
      <c r="H28" s="58" t="s">
        <v>68</v>
      </c>
      <c r="I28" s="59">
        <v>559244.7</v>
      </c>
      <c r="J28" s="59" t="s">
        <v>361</v>
      </c>
      <c r="K28" s="79"/>
      <c r="L28" s="79"/>
      <c r="M28" s="79"/>
      <c r="N28" s="80"/>
      <c r="O28" s="112"/>
    </row>
    <row r="29" ht="137.25" customHeight="1">
      <c r="A29" s="52"/>
      <c r="B29" s="77" t="s">
        <v>364</v>
      </c>
      <c r="C29" s="44" t="s">
        <v>63</v>
      </c>
      <c r="D29" s="168" t="s">
        <v>365</v>
      </c>
      <c r="E29" s="58" t="s">
        <v>85</v>
      </c>
      <c r="F29" s="165">
        <v>19.0</v>
      </c>
      <c r="G29" s="59" t="s">
        <v>367</v>
      </c>
      <c r="H29" s="58" t="s">
        <v>68</v>
      </c>
      <c r="I29" s="59">
        <v>942168.6</v>
      </c>
      <c r="J29" s="59" t="s">
        <v>369</v>
      </c>
      <c r="K29" s="79"/>
      <c r="L29" s="79"/>
      <c r="M29" s="79"/>
      <c r="N29" s="80"/>
      <c r="O29" s="112"/>
    </row>
    <row r="30" ht="137.25" customHeight="1">
      <c r="A30" s="52"/>
      <c r="B30" s="176" t="s">
        <v>371</v>
      </c>
      <c r="C30" s="44" t="s">
        <v>63</v>
      </c>
      <c r="D30" s="168" t="s">
        <v>373</v>
      </c>
      <c r="E30" s="58" t="s">
        <v>153</v>
      </c>
      <c r="F30" s="165">
        <v>19.0</v>
      </c>
      <c r="G30" s="59" t="s">
        <v>375</v>
      </c>
      <c r="H30" s="58" t="s">
        <v>68</v>
      </c>
      <c r="I30" s="59">
        <v>636644.72</v>
      </c>
      <c r="J30" s="59" t="s">
        <v>377</v>
      </c>
      <c r="K30" s="79"/>
      <c r="L30" s="79"/>
      <c r="M30" s="79"/>
      <c r="N30" s="80"/>
      <c r="O30" s="112"/>
    </row>
    <row r="31" ht="137.25" customHeight="1">
      <c r="A31" s="52"/>
      <c r="B31" s="176" t="s">
        <v>379</v>
      </c>
      <c r="C31" s="44" t="s">
        <v>63</v>
      </c>
      <c r="D31" s="61" t="s">
        <v>381</v>
      </c>
      <c r="E31" s="58" t="s">
        <v>85</v>
      </c>
      <c r="F31" s="165">
        <v>19.0</v>
      </c>
      <c r="G31" s="132" t="s">
        <v>383</v>
      </c>
      <c r="H31" s="58" t="s">
        <v>68</v>
      </c>
      <c r="I31" s="59">
        <v>672332.12</v>
      </c>
      <c r="J31" s="168" t="s">
        <v>385</v>
      </c>
      <c r="K31" s="79"/>
      <c r="L31" s="79"/>
      <c r="M31" s="79"/>
      <c r="N31" s="80"/>
      <c r="O31" s="112"/>
    </row>
    <row r="32" ht="277.5" customHeight="1">
      <c r="A32" s="52"/>
      <c r="B32" s="53" t="s">
        <v>386</v>
      </c>
      <c r="C32" s="44" t="s">
        <v>63</v>
      </c>
      <c r="D32" s="168" t="s">
        <v>388</v>
      </c>
      <c r="E32" s="58" t="s">
        <v>85</v>
      </c>
      <c r="F32" s="196" t="s">
        <v>390</v>
      </c>
      <c r="G32" s="199" t="s">
        <v>392</v>
      </c>
      <c r="H32" s="200">
        <v>54.0</v>
      </c>
      <c r="I32" s="201">
        <v>8200000.0</v>
      </c>
      <c r="J32" s="205" t="s">
        <v>401</v>
      </c>
      <c r="K32" s="80">
        <v>36.0</v>
      </c>
      <c r="L32" s="79"/>
      <c r="M32" s="79"/>
      <c r="N32" s="80">
        <v>18.0</v>
      </c>
      <c r="O32" s="112"/>
    </row>
    <row r="33" ht="19.5" customHeight="1">
      <c r="A33" s="52"/>
      <c r="B33" s="166"/>
      <c r="C33" s="166"/>
      <c r="D33" s="208"/>
      <c r="E33" s="58"/>
      <c r="F33" s="209"/>
      <c r="G33" s="211"/>
      <c r="H33" s="208"/>
      <c r="I33" s="212"/>
      <c r="J33" s="213"/>
      <c r="K33" s="79"/>
      <c r="L33" s="79"/>
      <c r="M33" s="79"/>
      <c r="N33" s="80"/>
      <c r="O33" s="112"/>
    </row>
    <row r="34" ht="19.5" customHeight="1">
      <c r="A34" s="52"/>
      <c r="B34" s="216" t="s">
        <v>408</v>
      </c>
      <c r="C34" s="216"/>
      <c r="D34" s="218"/>
      <c r="E34" s="58"/>
      <c r="F34" s="209"/>
      <c r="G34" s="211"/>
      <c r="H34" s="218"/>
      <c r="I34" s="212"/>
      <c r="J34" s="219"/>
      <c r="K34" s="129"/>
      <c r="L34" s="79"/>
      <c r="M34" s="79"/>
      <c r="N34" s="80"/>
      <c r="O34" s="112"/>
    </row>
    <row r="35" ht="19.5" customHeight="1">
      <c r="A35" s="52"/>
      <c r="B35" s="166"/>
      <c r="C35" s="166"/>
      <c r="D35" s="208"/>
      <c r="E35" s="211"/>
      <c r="F35" s="209"/>
      <c r="G35" s="211"/>
      <c r="H35" s="208"/>
      <c r="I35" s="212"/>
      <c r="J35" s="213"/>
      <c r="K35" s="79"/>
      <c r="L35" s="79"/>
      <c r="M35" s="79"/>
      <c r="N35" s="80"/>
      <c r="O35" s="112"/>
    </row>
    <row r="36" ht="19.5" customHeight="1">
      <c r="A36" s="52"/>
      <c r="B36" s="171"/>
      <c r="C36" s="171"/>
      <c r="D36" s="218"/>
      <c r="E36" s="211"/>
      <c r="F36" s="209"/>
      <c r="G36" s="211"/>
      <c r="H36" s="218"/>
      <c r="I36" s="212"/>
      <c r="J36" s="219"/>
      <c r="K36" s="129"/>
      <c r="L36" s="79"/>
      <c r="M36" s="79"/>
      <c r="N36" s="79"/>
      <c r="O36" s="82"/>
    </row>
    <row r="37" ht="19.5" customHeight="1">
      <c r="A37" s="52"/>
      <c r="B37" s="166"/>
      <c r="C37" s="166"/>
      <c r="D37" s="208"/>
      <c r="E37" s="211"/>
      <c r="F37" s="209"/>
      <c r="G37" s="211"/>
      <c r="H37" s="208"/>
      <c r="I37" s="212"/>
      <c r="J37" s="213"/>
      <c r="K37" s="79"/>
      <c r="L37" s="79"/>
      <c r="M37" s="79"/>
      <c r="N37" s="79"/>
      <c r="O37" s="82"/>
    </row>
    <row r="38" ht="19.5" customHeight="1">
      <c r="A38" s="52"/>
      <c r="B38" s="166"/>
      <c r="C38" s="166"/>
      <c r="D38" s="208"/>
      <c r="E38" s="211"/>
      <c r="F38" s="209"/>
      <c r="G38" s="211"/>
      <c r="H38" s="208"/>
      <c r="I38" s="212"/>
      <c r="J38" s="213"/>
      <c r="K38" s="79"/>
      <c r="L38" s="79"/>
      <c r="M38" s="79"/>
      <c r="N38" s="79"/>
      <c r="O38" s="82"/>
    </row>
    <row r="39" ht="19.5" customHeight="1">
      <c r="A39" s="52"/>
      <c r="B39" s="166"/>
      <c r="C39" s="166"/>
      <c r="D39" s="208"/>
      <c r="E39" s="211"/>
      <c r="F39" s="209"/>
      <c r="G39" s="211"/>
      <c r="H39" s="208"/>
      <c r="I39" s="212"/>
      <c r="J39" s="213"/>
      <c r="K39" s="79"/>
      <c r="L39" s="79"/>
      <c r="M39" s="79"/>
      <c r="N39" s="79"/>
      <c r="O39" s="82"/>
    </row>
    <row r="40" ht="19.5" customHeight="1">
      <c r="A40" s="52"/>
      <c r="B40" s="171"/>
      <c r="C40" s="171"/>
      <c r="D40" s="218"/>
      <c r="E40" s="211"/>
      <c r="F40" s="209"/>
      <c r="G40" s="211"/>
      <c r="H40" s="218"/>
      <c r="I40" s="212"/>
      <c r="J40" s="219"/>
      <c r="K40" s="129"/>
      <c r="L40" s="79"/>
      <c r="M40" s="79"/>
      <c r="N40" s="79"/>
      <c r="O40" s="82"/>
    </row>
    <row r="41" ht="19.5" customHeight="1">
      <c r="A41" s="52"/>
      <c r="B41" s="171"/>
      <c r="C41" s="171"/>
      <c r="D41" s="218"/>
      <c r="E41" s="211"/>
      <c r="F41" s="209"/>
      <c r="G41" s="211"/>
      <c r="H41" s="218"/>
      <c r="I41" s="212"/>
      <c r="J41" s="219"/>
      <c r="K41" s="129"/>
      <c r="L41" s="79"/>
      <c r="M41" s="79"/>
      <c r="N41" s="79"/>
      <c r="O41" s="82"/>
    </row>
    <row r="42" ht="19.5" customHeight="1">
      <c r="A42" s="52"/>
      <c r="B42" s="171"/>
      <c r="C42" s="171"/>
      <c r="D42" s="218"/>
      <c r="E42" s="211"/>
      <c r="F42" s="209"/>
      <c r="G42" s="211"/>
      <c r="H42" s="218"/>
      <c r="I42" s="212"/>
      <c r="J42" s="219"/>
      <c r="K42" s="129"/>
      <c r="L42" s="79"/>
      <c r="M42" s="79"/>
      <c r="N42" s="79"/>
      <c r="O42" s="82"/>
    </row>
    <row r="43" ht="19.5" customHeight="1">
      <c r="A43" s="52"/>
      <c r="B43" s="171"/>
      <c r="C43" s="171"/>
      <c r="D43" s="218"/>
      <c r="E43" s="211"/>
      <c r="F43" s="209"/>
      <c r="G43" s="211"/>
      <c r="H43" s="218"/>
      <c r="I43" s="212"/>
      <c r="J43" s="219"/>
      <c r="K43" s="129"/>
      <c r="L43" s="79"/>
      <c r="M43" s="79"/>
      <c r="N43" s="79"/>
      <c r="O43" s="82"/>
    </row>
    <row r="44" ht="19.5" customHeight="1">
      <c r="A44" s="52"/>
      <c r="B44" s="171"/>
      <c r="C44" s="171"/>
      <c r="D44" s="218"/>
      <c r="E44" s="211"/>
      <c r="F44" s="209"/>
      <c r="G44" s="211"/>
      <c r="H44" s="218"/>
      <c r="I44" s="212"/>
      <c r="J44" s="219"/>
      <c r="K44" s="129"/>
      <c r="L44" s="79"/>
      <c r="M44" s="79"/>
      <c r="N44" s="79"/>
      <c r="O44" s="82"/>
    </row>
    <row r="45" ht="19.5" customHeight="1">
      <c r="A45" s="52"/>
      <c r="B45" s="171"/>
      <c r="C45" s="171"/>
      <c r="D45" s="218"/>
      <c r="E45" s="211"/>
      <c r="F45" s="209"/>
      <c r="G45" s="211"/>
      <c r="H45" s="218"/>
      <c r="I45" s="212"/>
      <c r="J45" s="219"/>
      <c r="K45" s="129"/>
      <c r="L45" s="79"/>
      <c r="M45" s="79"/>
      <c r="N45" s="79"/>
      <c r="O45" s="82"/>
    </row>
    <row r="46" ht="19.5" customHeight="1">
      <c r="A46" s="52"/>
      <c r="B46" s="171"/>
      <c r="C46" s="171"/>
      <c r="D46" s="218"/>
      <c r="E46" s="211"/>
      <c r="F46" s="209"/>
      <c r="G46" s="211"/>
      <c r="H46" s="218"/>
      <c r="I46" s="212"/>
      <c r="J46" s="219"/>
      <c r="K46" s="129"/>
      <c r="L46" s="79"/>
      <c r="M46" s="79"/>
      <c r="N46" s="79"/>
      <c r="O46" s="82"/>
    </row>
    <row r="47" ht="19.5" customHeight="1">
      <c r="A47" s="52"/>
      <c r="B47" s="171"/>
      <c r="C47" s="171"/>
      <c r="D47" s="218"/>
      <c r="E47" s="211"/>
      <c r="F47" s="209"/>
      <c r="G47" s="211"/>
      <c r="H47" s="218"/>
      <c r="I47" s="212"/>
      <c r="J47" s="219"/>
      <c r="K47" s="129"/>
      <c r="L47" s="79"/>
      <c r="M47" s="79"/>
      <c r="N47" s="79"/>
      <c r="O47" s="82"/>
    </row>
    <row r="48" ht="19.5" customHeight="1">
      <c r="A48" s="52"/>
      <c r="B48" s="171"/>
      <c r="C48" s="171"/>
      <c r="D48" s="218"/>
      <c r="E48" s="211"/>
      <c r="F48" s="209"/>
      <c r="G48" s="211"/>
      <c r="H48" s="218"/>
      <c r="I48" s="212"/>
      <c r="J48" s="219"/>
      <c r="K48" s="129"/>
      <c r="L48" s="79"/>
      <c r="M48" s="79"/>
      <c r="N48" s="79"/>
      <c r="O48" s="82"/>
    </row>
    <row r="49" ht="19.5" customHeight="1">
      <c r="A49" s="52"/>
      <c r="B49" s="171"/>
      <c r="C49" s="171"/>
      <c r="D49" s="218"/>
      <c r="E49" s="211"/>
      <c r="F49" s="209"/>
      <c r="G49" s="211"/>
      <c r="H49" s="218"/>
      <c r="I49" s="212"/>
      <c r="J49" s="219"/>
      <c r="K49" s="129"/>
      <c r="L49" s="79"/>
      <c r="M49" s="79"/>
      <c r="N49" s="79"/>
      <c r="O49" s="82"/>
    </row>
    <row r="50" ht="19.5" customHeight="1">
      <c r="A50" s="52"/>
      <c r="B50" s="171"/>
      <c r="C50" s="171"/>
      <c r="D50" s="218"/>
      <c r="E50" s="211"/>
      <c r="F50" s="209"/>
      <c r="G50" s="211"/>
      <c r="H50" s="218"/>
      <c r="I50" s="212"/>
      <c r="J50" s="219"/>
      <c r="K50" s="129"/>
      <c r="L50" s="79"/>
      <c r="M50" s="79"/>
      <c r="N50" s="79"/>
      <c r="O50" s="82"/>
    </row>
    <row r="51" ht="19.5" customHeight="1">
      <c r="A51" s="52"/>
      <c r="B51" s="171"/>
      <c r="C51" s="171"/>
      <c r="D51" s="218"/>
      <c r="E51" s="211"/>
      <c r="F51" s="209"/>
      <c r="G51" s="211"/>
      <c r="H51" s="218"/>
      <c r="I51" s="212"/>
      <c r="J51" s="219"/>
      <c r="K51" s="129"/>
      <c r="L51" s="79"/>
      <c r="M51" s="79"/>
      <c r="N51" s="79"/>
      <c r="O51" s="82"/>
    </row>
    <row r="52" ht="19.5" customHeight="1">
      <c r="A52" s="52"/>
      <c r="B52" s="171"/>
      <c r="C52" s="171"/>
      <c r="D52" s="218"/>
      <c r="E52" s="211"/>
      <c r="F52" s="209"/>
      <c r="G52" s="211"/>
      <c r="H52" s="218"/>
      <c r="I52" s="212"/>
      <c r="J52" s="219"/>
      <c r="K52" s="129"/>
      <c r="L52" s="79"/>
      <c r="M52" s="79"/>
      <c r="N52" s="79"/>
      <c r="O52" s="82"/>
    </row>
    <row r="53" ht="19.5" customHeight="1">
      <c r="A53" s="52"/>
      <c r="B53" s="171"/>
      <c r="C53" s="171"/>
      <c r="D53" s="218"/>
      <c r="E53" s="211"/>
      <c r="F53" s="209"/>
      <c r="G53" s="211"/>
      <c r="H53" s="218"/>
      <c r="I53" s="212"/>
      <c r="J53" s="219"/>
      <c r="K53" s="129"/>
      <c r="L53" s="79"/>
      <c r="M53" s="79"/>
      <c r="N53" s="79"/>
      <c r="O53" s="82"/>
    </row>
    <row r="54" ht="19.5" customHeight="1">
      <c r="A54" s="52"/>
      <c r="B54" s="171"/>
      <c r="C54" s="171"/>
      <c r="D54" s="218"/>
      <c r="E54" s="211"/>
      <c r="F54" s="209"/>
      <c r="G54" s="211"/>
      <c r="H54" s="218"/>
      <c r="I54" s="212"/>
      <c r="J54" s="219"/>
      <c r="K54" s="129"/>
      <c r="L54" s="79"/>
      <c r="M54" s="79"/>
      <c r="N54" s="79"/>
      <c r="O54" s="82"/>
    </row>
    <row r="55" ht="19.5" customHeight="1">
      <c r="A55" s="52"/>
      <c r="B55" s="171"/>
      <c r="C55" s="171"/>
      <c r="D55" s="218"/>
      <c r="E55" s="211"/>
      <c r="F55" s="209"/>
      <c r="G55" s="211"/>
      <c r="H55" s="218"/>
      <c r="I55" s="212"/>
      <c r="J55" s="219"/>
      <c r="K55" s="129"/>
      <c r="L55" s="79"/>
      <c r="M55" s="79"/>
      <c r="N55" s="79"/>
      <c r="O55" s="82"/>
    </row>
    <row r="56" ht="19.5" customHeight="1">
      <c r="A56" s="52"/>
      <c r="B56" s="171"/>
      <c r="C56" s="171"/>
      <c r="D56" s="218"/>
      <c r="E56" s="211"/>
      <c r="F56" s="209"/>
      <c r="G56" s="211"/>
      <c r="H56" s="218"/>
      <c r="I56" s="212"/>
      <c r="J56" s="219"/>
      <c r="K56" s="129"/>
      <c r="L56" s="79"/>
      <c r="M56" s="79"/>
      <c r="N56" s="79"/>
      <c r="O56" s="82"/>
    </row>
    <row r="57" ht="19.5" customHeight="1">
      <c r="A57" s="52"/>
      <c r="B57" s="171"/>
      <c r="C57" s="171"/>
      <c r="D57" s="218"/>
      <c r="E57" s="211"/>
      <c r="F57" s="209"/>
      <c r="G57" s="211"/>
      <c r="H57" s="218"/>
      <c r="I57" s="212"/>
      <c r="J57" s="219"/>
      <c r="K57" s="129"/>
      <c r="L57" s="79"/>
      <c r="M57" s="79"/>
      <c r="N57" s="79"/>
      <c r="O57" s="82"/>
    </row>
    <row r="58" ht="19.5" customHeight="1">
      <c r="A58" s="52"/>
      <c r="B58" s="171"/>
      <c r="C58" s="171"/>
      <c r="D58" s="218"/>
      <c r="E58" s="211"/>
      <c r="F58" s="209"/>
      <c r="G58" s="211"/>
      <c r="H58" s="218"/>
      <c r="I58" s="212"/>
      <c r="J58" s="219"/>
      <c r="K58" s="129"/>
      <c r="L58" s="79"/>
      <c r="M58" s="79"/>
      <c r="N58" s="79"/>
      <c r="O58" s="82"/>
    </row>
    <row r="59" ht="19.5" customHeight="1">
      <c r="A59" s="52"/>
      <c r="B59" s="171"/>
      <c r="C59" s="171"/>
      <c r="D59" s="218"/>
      <c r="E59" s="211"/>
      <c r="F59" s="209"/>
      <c r="G59" s="211"/>
      <c r="H59" s="218"/>
      <c r="I59" s="212"/>
      <c r="J59" s="219"/>
      <c r="K59" s="129"/>
      <c r="L59" s="79"/>
      <c r="M59" s="79"/>
      <c r="N59" s="79"/>
      <c r="O59" s="82"/>
    </row>
    <row r="60" ht="19.5" customHeight="1">
      <c r="A60" s="52"/>
      <c r="B60" s="171"/>
      <c r="C60" s="171"/>
      <c r="D60" s="218"/>
      <c r="E60" s="211"/>
      <c r="F60" s="209"/>
      <c r="G60" s="211"/>
      <c r="H60" s="218"/>
      <c r="I60" s="212"/>
      <c r="J60" s="219"/>
      <c r="K60" s="129"/>
      <c r="L60" s="79"/>
      <c r="M60" s="79"/>
      <c r="N60" s="79"/>
      <c r="O60" s="82"/>
    </row>
    <row r="61" ht="19.5" customHeight="1">
      <c r="A61" s="52"/>
      <c r="B61" s="171"/>
      <c r="C61" s="171"/>
      <c r="D61" s="218"/>
      <c r="E61" s="211"/>
      <c r="F61" s="209"/>
      <c r="G61" s="211"/>
      <c r="H61" s="218"/>
      <c r="I61" s="212"/>
      <c r="J61" s="219"/>
      <c r="K61" s="129"/>
      <c r="L61" s="79"/>
      <c r="M61" s="79"/>
      <c r="N61" s="79"/>
      <c r="O61" s="82"/>
    </row>
    <row r="62" ht="19.5" customHeight="1">
      <c r="A62" s="52"/>
      <c r="B62" s="171"/>
      <c r="C62" s="171"/>
      <c r="D62" s="218"/>
      <c r="E62" s="211"/>
      <c r="F62" s="209"/>
      <c r="G62" s="211"/>
      <c r="H62" s="218"/>
      <c r="I62" s="212"/>
      <c r="J62" s="219"/>
      <c r="K62" s="129"/>
      <c r="L62" s="79"/>
      <c r="M62" s="79"/>
      <c r="N62" s="79"/>
      <c r="O62" s="82"/>
    </row>
    <row r="63" ht="19.5" customHeight="1">
      <c r="A63" s="52"/>
      <c r="B63" s="171"/>
      <c r="C63" s="171"/>
      <c r="D63" s="218"/>
      <c r="E63" s="211"/>
      <c r="F63" s="209"/>
      <c r="G63" s="211"/>
      <c r="H63" s="218"/>
      <c r="I63" s="212"/>
      <c r="J63" s="219"/>
      <c r="K63" s="129"/>
      <c r="L63" s="79"/>
      <c r="M63" s="79"/>
      <c r="N63" s="79"/>
      <c r="O63" s="82"/>
    </row>
    <row r="64" ht="19.5" customHeight="1">
      <c r="A64" s="52"/>
      <c r="B64" s="171"/>
      <c r="C64" s="171"/>
      <c r="D64" s="218"/>
      <c r="E64" s="211"/>
      <c r="F64" s="209"/>
      <c r="G64" s="211"/>
      <c r="H64" s="218"/>
      <c r="I64" s="212"/>
      <c r="J64" s="219"/>
      <c r="K64" s="129"/>
      <c r="L64" s="79"/>
      <c r="M64" s="79"/>
      <c r="N64" s="79"/>
      <c r="O64" s="82"/>
    </row>
    <row r="65" ht="19.5" customHeight="1">
      <c r="A65" s="52"/>
      <c r="B65" s="171"/>
      <c r="C65" s="171"/>
      <c r="D65" s="218"/>
      <c r="E65" s="211"/>
      <c r="F65" s="209"/>
      <c r="G65" s="211"/>
      <c r="H65" s="218"/>
      <c r="I65" s="212"/>
      <c r="J65" s="219"/>
      <c r="K65" s="129"/>
      <c r="L65" s="79"/>
      <c r="M65" s="79"/>
      <c r="N65" s="79"/>
      <c r="O65" s="82"/>
    </row>
    <row r="66" ht="19.5" customHeight="1">
      <c r="A66" s="52"/>
      <c r="B66" s="171"/>
      <c r="C66" s="172"/>
      <c r="D66" s="172"/>
      <c r="E66" s="227"/>
      <c r="F66" s="228"/>
      <c r="G66" s="154"/>
      <c r="H66" s="162"/>
      <c r="I66" s="223"/>
      <c r="J66" s="162"/>
      <c r="K66" s="129"/>
      <c r="L66" s="79"/>
      <c r="M66" s="79"/>
      <c r="N66" s="79"/>
      <c r="O66" s="82"/>
    </row>
    <row r="67" ht="19.5" customHeight="1">
      <c r="A67" s="52"/>
      <c r="B67" s="171"/>
      <c r="C67" s="172"/>
      <c r="D67" s="172"/>
      <c r="E67" s="227"/>
      <c r="F67" s="228"/>
      <c r="G67" s="154"/>
      <c r="H67" s="162"/>
      <c r="I67" s="223"/>
      <c r="J67" s="162"/>
      <c r="K67" s="129"/>
      <c r="L67" s="79"/>
      <c r="M67" s="79"/>
      <c r="N67" s="79"/>
      <c r="O67" s="82"/>
    </row>
    <row r="68" ht="19.5" customHeight="1">
      <c r="A68" s="52"/>
      <c r="B68" s="171"/>
      <c r="C68" s="172"/>
      <c r="D68" s="172"/>
      <c r="E68" s="227"/>
      <c r="F68" s="228"/>
      <c r="G68" s="154"/>
      <c r="H68" s="162"/>
      <c r="I68" s="223"/>
      <c r="J68" s="162"/>
      <c r="K68" s="129"/>
      <c r="L68" s="79"/>
      <c r="M68" s="79"/>
      <c r="N68" s="79"/>
      <c r="O68" s="82"/>
    </row>
    <row r="69" ht="19.5" customHeight="1">
      <c r="A69" s="52"/>
      <c r="B69" s="171"/>
      <c r="C69" s="172"/>
      <c r="D69" s="172"/>
      <c r="E69" s="227"/>
      <c r="F69" s="228"/>
      <c r="G69" s="154"/>
      <c r="H69" s="162"/>
      <c r="I69" s="223"/>
      <c r="J69" s="162"/>
      <c r="K69" s="129"/>
      <c r="L69" s="79"/>
      <c r="M69" s="79"/>
      <c r="N69" s="79"/>
      <c r="O69" s="82"/>
    </row>
    <row r="70" ht="19.5" customHeight="1">
      <c r="A70" s="52"/>
      <c r="B70" s="171"/>
      <c r="C70" s="172"/>
      <c r="D70" s="172"/>
      <c r="E70" s="227"/>
      <c r="F70" s="228"/>
      <c r="G70" s="154"/>
      <c r="H70" s="162"/>
      <c r="I70" s="223"/>
      <c r="J70" s="162"/>
      <c r="K70" s="129"/>
      <c r="L70" s="79"/>
      <c r="M70" s="79"/>
      <c r="N70" s="79"/>
      <c r="O70" s="82"/>
    </row>
    <row r="71" ht="19.5" customHeight="1">
      <c r="A71" s="52"/>
      <c r="B71" s="171"/>
      <c r="C71" s="172"/>
      <c r="D71" s="172"/>
      <c r="E71" s="227"/>
      <c r="F71" s="228"/>
      <c r="G71" s="154"/>
      <c r="H71" s="162"/>
      <c r="I71" s="223"/>
      <c r="J71" s="162"/>
      <c r="K71" s="129"/>
      <c r="L71" s="79"/>
      <c r="M71" s="79"/>
      <c r="N71" s="79"/>
      <c r="O71" s="82"/>
    </row>
    <row r="72" ht="19.5" customHeight="1">
      <c r="A72" s="52"/>
      <c r="B72" s="171"/>
      <c r="C72" s="172"/>
      <c r="D72" s="172"/>
      <c r="E72" s="227"/>
      <c r="F72" s="228"/>
      <c r="G72" s="154"/>
      <c r="H72" s="162"/>
      <c r="I72" s="223"/>
      <c r="J72" s="162"/>
      <c r="K72" s="129"/>
      <c r="L72" s="79"/>
      <c r="M72" s="79"/>
      <c r="N72" s="79"/>
      <c r="O72" s="82"/>
    </row>
    <row r="73" ht="19.5" customHeight="1">
      <c r="A73" s="52"/>
      <c r="B73" s="171"/>
      <c r="C73" s="172"/>
      <c r="D73" s="172"/>
      <c r="E73" s="227"/>
      <c r="F73" s="228"/>
      <c r="G73" s="154"/>
      <c r="H73" s="162"/>
      <c r="I73" s="223"/>
      <c r="J73" s="162"/>
      <c r="K73" s="129"/>
      <c r="L73" s="79"/>
      <c r="M73" s="79"/>
      <c r="N73" s="79"/>
      <c r="O73" s="82"/>
    </row>
    <row r="74" ht="19.5" customHeight="1">
      <c r="A74" s="52"/>
      <c r="B74" s="171"/>
      <c r="C74" s="172"/>
      <c r="D74" s="172"/>
      <c r="E74" s="227"/>
      <c r="F74" s="228"/>
      <c r="G74" s="154"/>
      <c r="H74" s="162"/>
      <c r="I74" s="223"/>
      <c r="J74" s="162"/>
      <c r="K74" s="129"/>
      <c r="L74" s="79"/>
      <c r="M74" s="79"/>
      <c r="N74" s="79"/>
      <c r="O74" s="82"/>
    </row>
    <row r="75" ht="19.5" customHeight="1">
      <c r="A75" s="52"/>
      <c r="B75" s="171"/>
      <c r="C75" s="172"/>
      <c r="D75" s="172"/>
      <c r="E75" s="227"/>
      <c r="F75" s="228"/>
      <c r="G75" s="154"/>
      <c r="H75" s="162"/>
      <c r="I75" s="223"/>
      <c r="J75" s="162"/>
      <c r="K75" s="129"/>
      <c r="L75" s="79"/>
      <c r="M75" s="79"/>
      <c r="N75" s="79"/>
      <c r="O75" s="82"/>
    </row>
    <row r="76" ht="19.5" customHeight="1">
      <c r="A76" s="52"/>
      <c r="B76" s="171"/>
      <c r="C76" s="172"/>
      <c r="D76" s="172"/>
      <c r="E76" s="227"/>
      <c r="F76" s="228"/>
      <c r="G76" s="154"/>
      <c r="H76" s="162"/>
      <c r="I76" s="223"/>
      <c r="J76" s="162"/>
      <c r="K76" s="129"/>
      <c r="L76" s="79"/>
      <c r="M76" s="79"/>
      <c r="N76" s="79"/>
      <c r="O76" s="82"/>
    </row>
    <row r="77" ht="19.5" customHeight="1">
      <c r="A77" s="52"/>
      <c r="B77" s="171"/>
      <c r="C77" s="172"/>
      <c r="D77" s="172"/>
      <c r="E77" s="227"/>
      <c r="F77" s="228"/>
      <c r="G77" s="154"/>
      <c r="H77" s="162"/>
      <c r="I77" s="223"/>
      <c r="J77" s="162"/>
      <c r="K77" s="129"/>
      <c r="L77" s="79"/>
      <c r="M77" s="79"/>
      <c r="N77" s="79"/>
      <c r="O77" s="82"/>
    </row>
    <row r="78" ht="19.5" customHeight="1">
      <c r="A78" s="52"/>
      <c r="B78" s="171"/>
      <c r="C78" s="172"/>
      <c r="D78" s="172"/>
      <c r="E78" s="227"/>
      <c r="F78" s="228"/>
      <c r="G78" s="154"/>
      <c r="H78" s="162"/>
      <c r="I78" s="223"/>
      <c r="J78" s="162"/>
      <c r="K78" s="129"/>
      <c r="L78" s="79"/>
      <c r="M78" s="79"/>
      <c r="N78" s="79"/>
      <c r="O78" s="82"/>
    </row>
    <row r="79" ht="19.5" customHeight="1">
      <c r="A79" s="52"/>
      <c r="B79" s="171"/>
      <c r="C79" s="172"/>
      <c r="D79" s="172"/>
      <c r="E79" s="227"/>
      <c r="F79" s="228"/>
      <c r="G79" s="154"/>
      <c r="H79" s="162"/>
      <c r="I79" s="223"/>
      <c r="J79" s="162"/>
      <c r="K79" s="129"/>
      <c r="L79" s="79"/>
      <c r="M79" s="79"/>
      <c r="N79" s="79"/>
      <c r="O79" s="82"/>
    </row>
    <row r="80" ht="19.5" customHeight="1">
      <c r="A80" s="52"/>
      <c r="B80" s="171"/>
      <c r="C80" s="172"/>
      <c r="D80" s="172"/>
      <c r="E80" s="227"/>
      <c r="F80" s="228"/>
      <c r="G80" s="154"/>
      <c r="H80" s="162"/>
      <c r="I80" s="223"/>
      <c r="J80" s="162"/>
      <c r="K80" s="129"/>
      <c r="L80" s="79"/>
      <c r="M80" s="79"/>
      <c r="N80" s="79"/>
      <c r="O80" s="82"/>
    </row>
    <row r="81" ht="19.5" customHeight="1">
      <c r="A81" s="52"/>
      <c r="B81" s="171"/>
      <c r="C81" s="172"/>
      <c r="D81" s="172"/>
      <c r="E81" s="227"/>
      <c r="F81" s="228"/>
      <c r="G81" s="154"/>
      <c r="H81" s="162"/>
      <c r="I81" s="223"/>
      <c r="J81" s="162"/>
      <c r="K81" s="129"/>
      <c r="L81" s="79"/>
      <c r="M81" s="79"/>
      <c r="N81" s="79"/>
      <c r="O81" s="82"/>
    </row>
    <row r="82" ht="19.5" customHeight="1">
      <c r="A82" s="52"/>
      <c r="B82" s="171"/>
      <c r="C82" s="172"/>
      <c r="D82" s="172"/>
      <c r="E82" s="227"/>
      <c r="F82" s="228"/>
      <c r="G82" s="154"/>
      <c r="H82" s="162"/>
      <c r="I82" s="223"/>
      <c r="J82" s="162"/>
      <c r="K82" s="129"/>
      <c r="L82" s="79"/>
      <c r="M82" s="79"/>
      <c r="N82" s="79"/>
      <c r="O82" s="82"/>
    </row>
    <row r="83" ht="19.5" customHeight="1">
      <c r="A83" s="52"/>
      <c r="B83" s="171"/>
      <c r="C83" s="172"/>
      <c r="D83" s="172"/>
      <c r="E83" s="227"/>
      <c r="F83" s="228"/>
      <c r="G83" s="154"/>
      <c r="H83" s="162"/>
      <c r="I83" s="223"/>
      <c r="J83" s="162"/>
      <c r="K83" s="129"/>
      <c r="L83" s="79"/>
      <c r="M83" s="79"/>
      <c r="N83" s="79"/>
      <c r="O83" s="82"/>
    </row>
    <row r="84" ht="19.5" customHeight="1">
      <c r="A84" s="52"/>
      <c r="B84" s="171"/>
      <c r="C84" s="172"/>
      <c r="D84" s="172"/>
      <c r="E84" s="227"/>
      <c r="F84" s="228"/>
      <c r="G84" s="154"/>
      <c r="H84" s="162"/>
      <c r="I84" s="223"/>
      <c r="J84" s="162"/>
      <c r="K84" s="129"/>
      <c r="L84" s="79"/>
      <c r="M84" s="79"/>
      <c r="N84" s="79"/>
      <c r="O84" s="82"/>
    </row>
    <row r="85" ht="19.5" customHeight="1">
      <c r="A85" s="52"/>
      <c r="B85" s="171"/>
      <c r="C85" s="172"/>
      <c r="D85" s="172"/>
      <c r="E85" s="227"/>
      <c r="F85" s="228"/>
      <c r="G85" s="154"/>
      <c r="H85" s="162"/>
      <c r="I85" s="223"/>
      <c r="J85" s="162"/>
      <c r="K85" s="129"/>
      <c r="L85" s="79"/>
      <c r="M85" s="79"/>
      <c r="N85" s="79"/>
      <c r="O85" s="82"/>
    </row>
    <row r="86" ht="19.5" customHeight="1">
      <c r="A86" s="52"/>
      <c r="B86" s="171"/>
      <c r="C86" s="172"/>
      <c r="D86" s="172"/>
      <c r="E86" s="227"/>
      <c r="F86" s="228"/>
      <c r="G86" s="154"/>
      <c r="H86" s="162"/>
      <c r="I86" s="223"/>
      <c r="J86" s="162"/>
      <c r="K86" s="129"/>
      <c r="L86" s="79"/>
      <c r="M86" s="79"/>
      <c r="N86" s="79"/>
      <c r="O86" s="82"/>
    </row>
    <row r="87" ht="19.5" customHeight="1">
      <c r="A87" s="52"/>
      <c r="B87" s="171"/>
      <c r="C87" s="172"/>
      <c r="D87" s="172"/>
      <c r="E87" s="227"/>
      <c r="F87" s="228"/>
      <c r="G87" s="154"/>
      <c r="H87" s="162"/>
      <c r="I87" s="223"/>
      <c r="J87" s="162"/>
      <c r="K87" s="129"/>
      <c r="L87" s="79"/>
      <c r="M87" s="79"/>
      <c r="N87" s="79"/>
      <c r="O87" s="82"/>
    </row>
    <row r="88" ht="19.5" customHeight="1">
      <c r="A88" s="52"/>
      <c r="B88" s="171"/>
      <c r="C88" s="172"/>
      <c r="D88" s="172"/>
      <c r="E88" s="227"/>
      <c r="F88" s="228"/>
      <c r="G88" s="154"/>
      <c r="H88" s="162"/>
      <c r="I88" s="223"/>
      <c r="J88" s="162"/>
      <c r="K88" s="129"/>
      <c r="L88" s="79"/>
      <c r="M88" s="79"/>
      <c r="N88" s="79"/>
      <c r="O88" s="82"/>
    </row>
    <row r="89" ht="19.5" customHeight="1">
      <c r="A89" s="52"/>
      <c r="B89" s="171"/>
      <c r="C89" s="172"/>
      <c r="D89" s="172"/>
      <c r="E89" s="227"/>
      <c r="F89" s="228"/>
      <c r="G89" s="154"/>
      <c r="H89" s="162"/>
      <c r="I89" s="223"/>
      <c r="J89" s="162"/>
      <c r="K89" s="129"/>
      <c r="L89" s="79"/>
      <c r="M89" s="79"/>
      <c r="N89" s="79"/>
      <c r="O89" s="82"/>
    </row>
    <row r="90" ht="19.5" customHeight="1">
      <c r="A90" s="52"/>
      <c r="B90" s="171"/>
      <c r="C90" s="172"/>
      <c r="D90" s="172"/>
      <c r="E90" s="227"/>
      <c r="F90" s="228"/>
      <c r="G90" s="154"/>
      <c r="H90" s="162"/>
      <c r="I90" s="223"/>
      <c r="J90" s="162"/>
      <c r="K90" s="129"/>
      <c r="L90" s="79"/>
      <c r="M90" s="79"/>
      <c r="N90" s="79"/>
      <c r="O90" s="82"/>
    </row>
    <row r="91" ht="19.5" customHeight="1">
      <c r="A91" s="52"/>
      <c r="B91" s="171"/>
      <c r="C91" s="172"/>
      <c r="D91" s="172"/>
      <c r="E91" s="227"/>
      <c r="F91" s="228"/>
      <c r="G91" s="154"/>
      <c r="H91" s="162"/>
      <c r="I91" s="223"/>
      <c r="J91" s="162"/>
      <c r="K91" s="129"/>
      <c r="L91" s="79"/>
      <c r="M91" s="79"/>
      <c r="N91" s="79"/>
      <c r="O91" s="82"/>
    </row>
    <row r="92" ht="19.5" customHeight="1">
      <c r="A92" s="52"/>
      <c r="B92" s="171"/>
      <c r="C92" s="172"/>
      <c r="D92" s="172"/>
      <c r="E92" s="227"/>
      <c r="F92" s="228"/>
      <c r="G92" s="154"/>
      <c r="H92" s="162"/>
      <c r="I92" s="223"/>
      <c r="J92" s="162"/>
      <c r="K92" s="129"/>
      <c r="L92" s="79"/>
      <c r="M92" s="79"/>
      <c r="N92" s="79"/>
      <c r="O92" s="82"/>
    </row>
    <row r="93" ht="19.5" customHeight="1">
      <c r="A93" s="52"/>
      <c r="B93" s="171"/>
      <c r="C93" s="172"/>
      <c r="D93" s="172"/>
      <c r="E93" s="227"/>
      <c r="F93" s="228"/>
      <c r="G93" s="154"/>
      <c r="H93" s="162"/>
      <c r="I93" s="223"/>
      <c r="J93" s="162"/>
      <c r="K93" s="129"/>
      <c r="L93" s="79"/>
      <c r="M93" s="79"/>
      <c r="N93" s="79"/>
      <c r="O93" s="82"/>
    </row>
    <row r="94" ht="19.5" customHeight="1">
      <c r="A94" s="52"/>
      <c r="B94" s="171"/>
      <c r="C94" s="172"/>
      <c r="D94" s="172"/>
      <c r="E94" s="227"/>
      <c r="F94" s="228"/>
      <c r="G94" s="154"/>
      <c r="H94" s="162"/>
      <c r="I94" s="223"/>
      <c r="J94" s="162"/>
      <c r="K94" s="129"/>
      <c r="L94" s="79"/>
      <c r="M94" s="79"/>
      <c r="N94" s="79"/>
      <c r="O94" s="82"/>
    </row>
    <row r="95" ht="19.5" customHeight="1">
      <c r="A95" s="52"/>
      <c r="B95" s="171"/>
      <c r="C95" s="172"/>
      <c r="D95" s="172"/>
      <c r="E95" s="227"/>
      <c r="F95" s="228"/>
      <c r="G95" s="154"/>
      <c r="H95" s="162"/>
      <c r="I95" s="223"/>
      <c r="J95" s="162"/>
      <c r="K95" s="129"/>
      <c r="L95" s="79"/>
      <c r="M95" s="79"/>
      <c r="N95" s="79"/>
      <c r="O95" s="82"/>
    </row>
    <row r="96" ht="19.5" customHeight="1">
      <c r="A96" s="52"/>
      <c r="B96" s="171"/>
      <c r="C96" s="172"/>
      <c r="D96" s="172"/>
      <c r="E96" s="227"/>
      <c r="F96" s="228"/>
      <c r="G96" s="154"/>
      <c r="H96" s="162"/>
      <c r="I96" s="223"/>
      <c r="J96" s="162"/>
      <c r="K96" s="129"/>
      <c r="L96" s="79"/>
      <c r="M96" s="79"/>
      <c r="N96" s="79"/>
      <c r="O96" s="82"/>
    </row>
    <row r="97" ht="19.5" customHeight="1">
      <c r="A97" s="52"/>
      <c r="B97" s="171"/>
      <c r="C97" s="172"/>
      <c r="D97" s="172"/>
      <c r="E97" s="227"/>
      <c r="F97" s="228"/>
      <c r="G97" s="154"/>
      <c r="H97" s="162"/>
      <c r="I97" s="223"/>
      <c r="J97" s="162"/>
      <c r="K97" s="129"/>
      <c r="L97" s="79"/>
      <c r="M97" s="79"/>
      <c r="N97" s="79"/>
      <c r="O97" s="82"/>
    </row>
    <row r="98" ht="19.5" customHeight="1">
      <c r="A98" s="52"/>
      <c r="B98" s="171"/>
      <c r="C98" s="172"/>
      <c r="D98" s="172"/>
      <c r="E98" s="227"/>
      <c r="F98" s="228"/>
      <c r="G98" s="154"/>
      <c r="H98" s="162"/>
      <c r="I98" s="223"/>
      <c r="J98" s="162"/>
      <c r="K98" s="129"/>
      <c r="L98" s="79"/>
      <c r="M98" s="79"/>
      <c r="N98" s="79"/>
      <c r="O98" s="82"/>
    </row>
    <row r="99" ht="19.5" customHeight="1">
      <c r="A99" s="52"/>
      <c r="B99" s="171"/>
      <c r="C99" s="172"/>
      <c r="D99" s="172"/>
      <c r="E99" s="227"/>
      <c r="F99" s="228"/>
      <c r="G99" s="154"/>
      <c r="H99" s="162"/>
      <c r="I99" s="223"/>
      <c r="J99" s="162"/>
      <c r="K99" s="129"/>
      <c r="L99" s="79"/>
      <c r="M99" s="79"/>
      <c r="N99" s="79"/>
      <c r="O99" s="82"/>
    </row>
    <row r="100" ht="19.5" customHeight="1">
      <c r="A100" s="52"/>
      <c r="B100" s="171"/>
      <c r="C100" s="172"/>
      <c r="D100" s="172"/>
      <c r="E100" s="227"/>
      <c r="F100" s="228"/>
      <c r="G100" s="154"/>
      <c r="H100" s="162"/>
      <c r="I100" s="223"/>
      <c r="J100" s="162"/>
      <c r="K100" s="129"/>
      <c r="L100" s="79"/>
      <c r="M100" s="79"/>
      <c r="N100" s="79"/>
      <c r="O100" s="82"/>
    </row>
    <row r="101" ht="19.5" customHeight="1">
      <c r="A101" s="52"/>
      <c r="B101" s="171"/>
      <c r="C101" s="172"/>
      <c r="D101" s="172"/>
      <c r="E101" s="227"/>
      <c r="F101" s="228"/>
      <c r="G101" s="154"/>
      <c r="H101" s="162"/>
      <c r="I101" s="223"/>
      <c r="J101" s="162"/>
      <c r="K101" s="129"/>
      <c r="L101" s="79"/>
      <c r="M101" s="79"/>
      <c r="N101" s="79"/>
      <c r="O101" s="82"/>
    </row>
    <row r="102" ht="19.5" customHeight="1">
      <c r="A102" s="52"/>
      <c r="B102" s="171"/>
      <c r="C102" s="172"/>
      <c r="D102" s="172"/>
      <c r="E102" s="227"/>
      <c r="F102" s="228"/>
      <c r="G102" s="154"/>
      <c r="H102" s="162"/>
      <c r="I102" s="223"/>
      <c r="J102" s="162"/>
      <c r="K102" s="129"/>
      <c r="L102" s="79"/>
      <c r="M102" s="79"/>
      <c r="N102" s="79"/>
      <c r="O102" s="82"/>
    </row>
    <row r="103" ht="19.5" customHeight="1">
      <c r="A103" s="52"/>
      <c r="B103" s="171"/>
      <c r="C103" s="172"/>
      <c r="D103" s="172"/>
      <c r="E103" s="227"/>
      <c r="F103" s="228"/>
      <c r="G103" s="154"/>
      <c r="H103" s="162"/>
      <c r="I103" s="223"/>
      <c r="J103" s="162"/>
      <c r="K103" s="129"/>
      <c r="L103" s="79"/>
      <c r="M103" s="79"/>
      <c r="N103" s="79"/>
      <c r="O103" s="82"/>
    </row>
    <row r="104" ht="19.5" customHeight="1">
      <c r="A104" s="52"/>
      <c r="B104" s="171"/>
      <c r="C104" s="172"/>
      <c r="D104" s="172"/>
      <c r="E104" s="227"/>
      <c r="F104" s="228"/>
      <c r="G104" s="154"/>
      <c r="H104" s="162"/>
      <c r="I104" s="223"/>
      <c r="J104" s="162"/>
      <c r="K104" s="129"/>
      <c r="L104" s="79"/>
      <c r="M104" s="79"/>
      <c r="N104" s="79"/>
      <c r="O104" s="82"/>
    </row>
    <row r="105" ht="19.5" customHeight="1">
      <c r="A105" s="52"/>
      <c r="B105" s="171"/>
      <c r="C105" s="172"/>
      <c r="D105" s="172"/>
      <c r="E105" s="227"/>
      <c r="F105" s="228"/>
      <c r="G105" s="154"/>
      <c r="H105" s="162"/>
      <c r="I105" s="223"/>
      <c r="J105" s="162"/>
      <c r="K105" s="129"/>
      <c r="L105" s="79"/>
      <c r="M105" s="79"/>
      <c r="N105" s="79"/>
      <c r="O105" s="82"/>
    </row>
    <row r="106" ht="19.5" customHeight="1">
      <c r="A106" s="52"/>
      <c r="B106" s="171"/>
      <c r="C106" s="172"/>
      <c r="D106" s="172"/>
      <c r="E106" s="227"/>
      <c r="F106" s="228"/>
      <c r="G106" s="154"/>
      <c r="H106" s="162"/>
      <c r="I106" s="223"/>
      <c r="J106" s="162"/>
      <c r="K106" s="129"/>
      <c r="L106" s="79"/>
      <c r="M106" s="79"/>
      <c r="N106" s="79"/>
      <c r="O106" s="82"/>
    </row>
    <row r="107" ht="19.5" customHeight="1">
      <c r="A107" s="52"/>
      <c r="B107" s="171"/>
      <c r="C107" s="172"/>
      <c r="D107" s="172"/>
      <c r="E107" s="227"/>
      <c r="F107" s="228"/>
      <c r="G107" s="154"/>
      <c r="H107" s="162"/>
      <c r="I107" s="223"/>
      <c r="J107" s="162"/>
      <c r="K107" s="129"/>
      <c r="L107" s="79"/>
      <c r="M107" s="79"/>
      <c r="N107" s="79"/>
      <c r="O107" s="82"/>
    </row>
    <row r="108" ht="19.5" customHeight="1">
      <c r="A108" s="52"/>
      <c r="B108" s="171"/>
      <c r="C108" s="172"/>
      <c r="D108" s="172"/>
      <c r="E108" s="227"/>
      <c r="F108" s="228"/>
      <c r="G108" s="154"/>
      <c r="H108" s="162"/>
      <c r="I108" s="223"/>
      <c r="J108" s="162"/>
      <c r="K108" s="129"/>
      <c r="L108" s="79"/>
      <c r="M108" s="79"/>
      <c r="N108" s="79"/>
      <c r="O108" s="82"/>
    </row>
    <row r="109" ht="19.5" customHeight="1">
      <c r="A109" s="52"/>
      <c r="B109" s="171"/>
      <c r="C109" s="172"/>
      <c r="D109" s="172"/>
      <c r="E109" s="227"/>
      <c r="F109" s="228"/>
      <c r="G109" s="154"/>
      <c r="H109" s="162"/>
      <c r="I109" s="223"/>
      <c r="J109" s="162"/>
      <c r="K109" s="129"/>
      <c r="L109" s="79"/>
      <c r="M109" s="79"/>
      <c r="N109" s="79"/>
      <c r="O109" s="82"/>
    </row>
    <row r="110" ht="19.5" customHeight="1">
      <c r="A110" s="52"/>
      <c r="B110" s="171"/>
      <c r="C110" s="172"/>
      <c r="D110" s="172"/>
      <c r="E110" s="227"/>
      <c r="F110" s="228"/>
      <c r="G110" s="154"/>
      <c r="H110" s="162"/>
      <c r="I110" s="223"/>
      <c r="J110" s="162"/>
      <c r="K110" s="129"/>
      <c r="L110" s="79"/>
      <c r="M110" s="79"/>
      <c r="N110" s="79"/>
      <c r="O110" s="82"/>
    </row>
    <row r="111" ht="19.5" customHeight="1">
      <c r="A111" s="52"/>
      <c r="B111" s="171"/>
      <c r="C111" s="172"/>
      <c r="D111" s="172"/>
      <c r="E111" s="227"/>
      <c r="F111" s="228"/>
      <c r="G111" s="154"/>
      <c r="H111" s="162"/>
      <c r="I111" s="223"/>
      <c r="J111" s="162"/>
      <c r="K111" s="129"/>
      <c r="L111" s="79"/>
      <c r="M111" s="79"/>
      <c r="N111" s="79"/>
      <c r="O111" s="82"/>
    </row>
    <row r="112" ht="19.5" customHeight="1">
      <c r="A112" s="52"/>
      <c r="B112" s="171"/>
      <c r="C112" s="172"/>
      <c r="D112" s="172"/>
      <c r="E112" s="227"/>
      <c r="F112" s="228"/>
      <c r="G112" s="154"/>
      <c r="H112" s="162"/>
      <c r="I112" s="223"/>
      <c r="J112" s="162"/>
      <c r="K112" s="129"/>
      <c r="L112" s="79"/>
      <c r="M112" s="79"/>
      <c r="N112" s="79"/>
      <c r="O112" s="82"/>
    </row>
    <row r="113" ht="19.5" customHeight="1">
      <c r="A113" s="52"/>
      <c r="B113" s="171"/>
      <c r="C113" s="172"/>
      <c r="D113" s="172"/>
      <c r="E113" s="227"/>
      <c r="F113" s="228"/>
      <c r="G113" s="154"/>
      <c r="H113" s="162"/>
      <c r="I113" s="223"/>
      <c r="J113" s="162"/>
      <c r="K113" s="129"/>
      <c r="L113" s="79"/>
      <c r="M113" s="79"/>
      <c r="N113" s="79"/>
      <c r="O113" s="82"/>
    </row>
    <row r="114" ht="19.5" customHeight="1">
      <c r="A114" s="52"/>
      <c r="B114" s="171"/>
      <c r="C114" s="172"/>
      <c r="D114" s="172"/>
      <c r="E114" s="227"/>
      <c r="F114" s="228"/>
      <c r="G114" s="154"/>
      <c r="H114" s="162"/>
      <c r="I114" s="223"/>
      <c r="J114" s="162"/>
      <c r="K114" s="129"/>
      <c r="L114" s="79"/>
      <c r="M114" s="79"/>
      <c r="N114" s="79"/>
      <c r="O114" s="82"/>
    </row>
    <row r="115" ht="19.5" customHeight="1">
      <c r="A115" s="52"/>
      <c r="B115" s="171"/>
      <c r="C115" s="172"/>
      <c r="D115" s="172"/>
      <c r="E115" s="227"/>
      <c r="F115" s="228"/>
      <c r="G115" s="154"/>
      <c r="H115" s="162"/>
      <c r="I115" s="223"/>
      <c r="J115" s="162"/>
      <c r="K115" s="129"/>
      <c r="L115" s="79"/>
      <c r="M115" s="79"/>
      <c r="N115" s="79"/>
      <c r="O115" s="82"/>
    </row>
    <row r="116" ht="19.5" customHeight="1">
      <c r="A116" s="52"/>
      <c r="B116" s="171"/>
      <c r="C116" s="172"/>
      <c r="D116" s="172"/>
      <c r="E116" s="227"/>
      <c r="F116" s="228"/>
      <c r="G116" s="154"/>
      <c r="H116" s="162"/>
      <c r="I116" s="223"/>
      <c r="J116" s="162"/>
      <c r="K116" s="129"/>
      <c r="L116" s="79"/>
      <c r="M116" s="79"/>
      <c r="N116" s="79"/>
      <c r="O116" s="82"/>
    </row>
    <row r="117" ht="19.5" customHeight="1">
      <c r="A117" s="52"/>
      <c r="B117" s="171"/>
      <c r="C117" s="172"/>
      <c r="D117" s="172"/>
      <c r="E117" s="227"/>
      <c r="F117" s="228"/>
      <c r="G117" s="154"/>
      <c r="H117" s="162"/>
      <c r="I117" s="223"/>
      <c r="J117" s="162"/>
      <c r="K117" s="129"/>
      <c r="L117" s="79"/>
      <c r="M117" s="79"/>
      <c r="N117" s="79"/>
      <c r="O117" s="82"/>
    </row>
    <row r="118" ht="19.5" customHeight="1">
      <c r="A118" s="52"/>
      <c r="B118" s="171"/>
      <c r="C118" s="172"/>
      <c r="D118" s="172"/>
      <c r="E118" s="227"/>
      <c r="F118" s="228"/>
      <c r="G118" s="154"/>
      <c r="H118" s="162"/>
      <c r="I118" s="223"/>
      <c r="J118" s="162"/>
      <c r="K118" s="129"/>
      <c r="L118" s="79"/>
      <c r="M118" s="79"/>
      <c r="N118" s="79"/>
      <c r="O118" s="82"/>
    </row>
    <row r="119" ht="19.5" customHeight="1">
      <c r="A119" s="52"/>
      <c r="B119" s="171"/>
      <c r="C119" s="172"/>
      <c r="D119" s="172"/>
      <c r="E119" s="227"/>
      <c r="F119" s="228"/>
      <c r="G119" s="154"/>
      <c r="H119" s="162"/>
      <c r="I119" s="223"/>
      <c r="J119" s="162"/>
      <c r="K119" s="129"/>
      <c r="L119" s="79"/>
      <c r="M119" s="79"/>
      <c r="N119" s="79"/>
      <c r="O119" s="82"/>
    </row>
    <row r="120" ht="19.5" customHeight="1">
      <c r="A120" s="52"/>
      <c r="B120" s="171"/>
      <c r="C120" s="172"/>
      <c r="D120" s="172"/>
      <c r="E120" s="227"/>
      <c r="F120" s="228"/>
      <c r="G120" s="154"/>
      <c r="H120" s="162"/>
      <c r="I120" s="223"/>
      <c r="J120" s="162"/>
      <c r="K120" s="129"/>
      <c r="L120" s="79"/>
      <c r="M120" s="79"/>
      <c r="N120" s="79"/>
      <c r="O120" s="82"/>
    </row>
    <row r="121" ht="19.5" customHeight="1">
      <c r="A121" s="52"/>
      <c r="B121" s="171"/>
      <c r="C121" s="172"/>
      <c r="D121" s="172"/>
      <c r="E121" s="227"/>
      <c r="F121" s="228"/>
      <c r="G121" s="154"/>
      <c r="H121" s="162"/>
      <c r="I121" s="223"/>
      <c r="J121" s="162"/>
      <c r="K121" s="129"/>
      <c r="L121" s="79"/>
      <c r="M121" s="79"/>
      <c r="N121" s="79"/>
      <c r="O121" s="82"/>
    </row>
    <row r="122" ht="19.5" customHeight="1">
      <c r="A122" s="52"/>
      <c r="B122" s="171"/>
      <c r="C122" s="172"/>
      <c r="D122" s="172"/>
      <c r="E122" s="227"/>
      <c r="F122" s="228"/>
      <c r="G122" s="154"/>
      <c r="H122" s="162"/>
      <c r="I122" s="223"/>
      <c r="J122" s="162"/>
      <c r="K122" s="129"/>
      <c r="L122" s="79"/>
      <c r="M122" s="79"/>
      <c r="N122" s="79"/>
      <c r="O122" s="82"/>
    </row>
    <row r="123" ht="19.5" customHeight="1">
      <c r="A123" s="52"/>
      <c r="B123" s="171"/>
      <c r="C123" s="172"/>
      <c r="D123" s="172"/>
      <c r="E123" s="227"/>
      <c r="F123" s="228"/>
      <c r="G123" s="154"/>
      <c r="H123" s="162"/>
      <c r="I123" s="223"/>
      <c r="J123" s="162"/>
      <c r="K123" s="129"/>
      <c r="L123" s="79"/>
      <c r="M123" s="79"/>
      <c r="N123" s="79"/>
      <c r="O123" s="82"/>
    </row>
    <row r="124" ht="19.5" customHeight="1">
      <c r="A124" s="52"/>
      <c r="B124" s="171"/>
      <c r="C124" s="172"/>
      <c r="D124" s="172"/>
      <c r="E124" s="227"/>
      <c r="F124" s="228"/>
      <c r="G124" s="154"/>
      <c r="H124" s="162"/>
      <c r="I124" s="223"/>
      <c r="J124" s="162"/>
      <c r="K124" s="129"/>
      <c r="L124" s="79"/>
      <c r="M124" s="79"/>
      <c r="N124" s="79"/>
      <c r="O124" s="82"/>
    </row>
    <row r="125" ht="19.5" customHeight="1">
      <c r="A125" s="52"/>
      <c r="B125" s="171"/>
      <c r="C125" s="172"/>
      <c r="D125" s="172"/>
      <c r="E125" s="227"/>
      <c r="F125" s="228"/>
      <c r="G125" s="154"/>
      <c r="H125" s="162"/>
      <c r="I125" s="223"/>
      <c r="J125" s="162"/>
      <c r="K125" s="129"/>
      <c r="L125" s="79"/>
      <c r="M125" s="79"/>
      <c r="N125" s="79"/>
      <c r="O125" s="82"/>
    </row>
    <row r="126" ht="19.5" customHeight="1">
      <c r="A126" s="52"/>
      <c r="B126" s="171"/>
      <c r="C126" s="172"/>
      <c r="D126" s="172"/>
      <c r="E126" s="227"/>
      <c r="F126" s="228"/>
      <c r="G126" s="154"/>
      <c r="H126" s="162"/>
      <c r="I126" s="223"/>
      <c r="J126" s="162"/>
      <c r="K126" s="129"/>
      <c r="L126" s="79"/>
      <c r="M126" s="79"/>
      <c r="N126" s="79"/>
      <c r="O126" s="82"/>
    </row>
    <row r="127" ht="19.5" customHeight="1">
      <c r="A127" s="52"/>
      <c r="B127" s="171"/>
      <c r="C127" s="172"/>
      <c r="D127" s="172"/>
      <c r="E127" s="227"/>
      <c r="F127" s="228"/>
      <c r="G127" s="154"/>
      <c r="H127" s="162"/>
      <c r="I127" s="223"/>
      <c r="J127" s="162"/>
      <c r="K127" s="129"/>
      <c r="L127" s="79"/>
      <c r="M127" s="79"/>
      <c r="N127" s="79"/>
      <c r="O127" s="82"/>
    </row>
    <row r="128" ht="19.5" customHeight="1">
      <c r="A128" s="52"/>
      <c r="B128" s="171"/>
      <c r="C128" s="172"/>
      <c r="D128" s="172"/>
      <c r="E128" s="227"/>
      <c r="F128" s="228"/>
      <c r="G128" s="154"/>
      <c r="H128" s="162"/>
      <c r="I128" s="223"/>
      <c r="J128" s="162"/>
      <c r="K128" s="129"/>
      <c r="L128" s="79"/>
      <c r="M128" s="79"/>
      <c r="N128" s="79"/>
      <c r="O128" s="82"/>
    </row>
    <row r="129" ht="19.5" customHeight="1">
      <c r="A129" s="52"/>
      <c r="B129" s="171"/>
      <c r="C129" s="172"/>
      <c r="D129" s="172"/>
      <c r="E129" s="227"/>
      <c r="F129" s="228"/>
      <c r="G129" s="154"/>
      <c r="H129" s="162"/>
      <c r="I129" s="223"/>
      <c r="J129" s="162"/>
      <c r="K129" s="129"/>
      <c r="L129" s="79"/>
      <c r="M129" s="79"/>
      <c r="N129" s="79"/>
      <c r="O129" s="82"/>
    </row>
    <row r="130" ht="19.5" customHeight="1">
      <c r="A130" s="52"/>
      <c r="B130" s="171"/>
      <c r="C130" s="172"/>
      <c r="D130" s="172"/>
      <c r="E130" s="227"/>
      <c r="F130" s="228"/>
      <c r="G130" s="154"/>
      <c r="H130" s="162"/>
      <c r="I130" s="223"/>
      <c r="J130" s="162"/>
      <c r="K130" s="129"/>
      <c r="L130" s="79"/>
      <c r="M130" s="79"/>
      <c r="N130" s="79"/>
      <c r="O130" s="82"/>
    </row>
    <row r="131" ht="19.5" customHeight="1">
      <c r="A131" s="52"/>
      <c r="B131" s="171"/>
      <c r="C131" s="172"/>
      <c r="D131" s="172"/>
      <c r="E131" s="227"/>
      <c r="F131" s="228"/>
      <c r="G131" s="154"/>
      <c r="H131" s="162"/>
      <c r="I131" s="223"/>
      <c r="J131" s="162"/>
      <c r="K131" s="129"/>
      <c r="L131" s="79"/>
      <c r="M131" s="79"/>
      <c r="N131" s="79"/>
      <c r="O131" s="82"/>
    </row>
    <row r="132" ht="19.5" customHeight="1">
      <c r="A132" s="52"/>
      <c r="B132" s="171"/>
      <c r="C132" s="172"/>
      <c r="D132" s="172"/>
      <c r="E132" s="227"/>
      <c r="F132" s="228"/>
      <c r="G132" s="154"/>
      <c r="H132" s="162"/>
      <c r="I132" s="223"/>
      <c r="J132" s="162"/>
      <c r="K132" s="129"/>
      <c r="L132" s="79"/>
      <c r="M132" s="79"/>
      <c r="N132" s="79"/>
      <c r="O132" s="82"/>
    </row>
    <row r="133" ht="19.5" customHeight="1">
      <c r="A133" s="52"/>
      <c r="B133" s="171"/>
      <c r="C133" s="172"/>
      <c r="D133" s="172"/>
      <c r="E133" s="227"/>
      <c r="F133" s="228"/>
      <c r="G133" s="154"/>
      <c r="H133" s="162"/>
      <c r="I133" s="223"/>
      <c r="J133" s="162"/>
      <c r="K133" s="129"/>
      <c r="L133" s="79"/>
      <c r="M133" s="79"/>
      <c r="N133" s="79"/>
      <c r="O133" s="82"/>
    </row>
    <row r="134" ht="19.5" customHeight="1">
      <c r="A134" s="52"/>
      <c r="B134" s="171"/>
      <c r="C134" s="172"/>
      <c r="D134" s="172"/>
      <c r="E134" s="227"/>
      <c r="F134" s="228"/>
      <c r="G134" s="154"/>
      <c r="H134" s="162"/>
      <c r="I134" s="223"/>
      <c r="J134" s="162"/>
      <c r="K134" s="129"/>
      <c r="L134" s="79"/>
      <c r="M134" s="79"/>
      <c r="N134" s="79"/>
      <c r="O134" s="82"/>
    </row>
    <row r="135" ht="19.5" customHeight="1">
      <c r="A135" s="52"/>
      <c r="B135" s="171"/>
      <c r="C135" s="172"/>
      <c r="D135" s="172"/>
      <c r="E135" s="227"/>
      <c r="F135" s="228"/>
      <c r="G135" s="154"/>
      <c r="H135" s="162"/>
      <c r="I135" s="223"/>
      <c r="J135" s="162"/>
      <c r="K135" s="129"/>
      <c r="L135" s="79"/>
      <c r="M135" s="79"/>
      <c r="N135" s="79"/>
      <c r="O135" s="82"/>
    </row>
    <row r="136" ht="19.5" customHeight="1">
      <c r="A136" s="52"/>
      <c r="B136" s="171"/>
      <c r="C136" s="172"/>
      <c r="D136" s="172"/>
      <c r="E136" s="227"/>
      <c r="F136" s="228"/>
      <c r="G136" s="154"/>
      <c r="H136" s="162"/>
      <c r="I136" s="223"/>
      <c r="J136" s="162"/>
      <c r="K136" s="129"/>
      <c r="L136" s="79"/>
      <c r="M136" s="79"/>
      <c r="N136" s="79"/>
      <c r="O136" s="82"/>
    </row>
    <row r="137" ht="19.5" customHeight="1">
      <c r="A137" s="52"/>
      <c r="B137" s="171"/>
      <c r="C137" s="172"/>
      <c r="D137" s="172"/>
      <c r="E137" s="227"/>
      <c r="F137" s="228"/>
      <c r="G137" s="154"/>
      <c r="H137" s="162"/>
      <c r="I137" s="223"/>
      <c r="J137" s="162"/>
      <c r="K137" s="129"/>
      <c r="L137" s="79"/>
      <c r="M137" s="79"/>
      <c r="N137" s="79"/>
      <c r="O137" s="82"/>
    </row>
    <row r="138" ht="19.5" customHeight="1">
      <c r="A138" s="52"/>
      <c r="B138" s="171"/>
      <c r="C138" s="172"/>
      <c r="D138" s="172"/>
      <c r="E138" s="227"/>
      <c r="F138" s="228"/>
      <c r="G138" s="154"/>
      <c r="H138" s="162"/>
      <c r="I138" s="223"/>
      <c r="J138" s="162"/>
      <c r="K138" s="129"/>
      <c r="L138" s="79"/>
      <c r="M138" s="79"/>
      <c r="N138" s="79"/>
      <c r="O138" s="82"/>
    </row>
    <row r="139" ht="19.5" customHeight="1">
      <c r="A139" s="52"/>
      <c r="B139" s="171"/>
      <c r="C139" s="172"/>
      <c r="D139" s="172"/>
      <c r="E139" s="227"/>
      <c r="F139" s="228"/>
      <c r="G139" s="154"/>
      <c r="H139" s="162"/>
      <c r="I139" s="223"/>
      <c r="J139" s="162"/>
      <c r="K139" s="129"/>
      <c r="L139" s="79"/>
      <c r="M139" s="79"/>
      <c r="N139" s="79"/>
      <c r="O139" s="82"/>
    </row>
    <row r="140" ht="19.5" customHeight="1">
      <c r="A140" s="52"/>
      <c r="B140" s="171"/>
      <c r="C140" s="172"/>
      <c r="D140" s="172"/>
      <c r="E140" s="227"/>
      <c r="F140" s="228"/>
      <c r="G140" s="154"/>
      <c r="H140" s="162"/>
      <c r="I140" s="223"/>
      <c r="J140" s="162"/>
      <c r="K140" s="129"/>
      <c r="L140" s="79"/>
      <c r="M140" s="79"/>
      <c r="N140" s="79"/>
      <c r="O140" s="82"/>
    </row>
    <row r="141" ht="19.5" customHeight="1">
      <c r="A141" s="52"/>
      <c r="B141" s="171"/>
      <c r="C141" s="172"/>
      <c r="D141" s="172"/>
      <c r="E141" s="227"/>
      <c r="F141" s="228"/>
      <c r="G141" s="154"/>
      <c r="H141" s="162"/>
      <c r="I141" s="223"/>
      <c r="J141" s="162"/>
      <c r="K141" s="129"/>
      <c r="L141" s="79"/>
      <c r="M141" s="79"/>
      <c r="N141" s="79"/>
      <c r="O141" s="82"/>
    </row>
    <row r="142" ht="19.5" customHeight="1">
      <c r="A142" s="52"/>
      <c r="B142" s="171"/>
      <c r="C142" s="172"/>
      <c r="D142" s="172"/>
      <c r="E142" s="227"/>
      <c r="F142" s="228"/>
      <c r="G142" s="154"/>
      <c r="H142" s="162"/>
      <c r="I142" s="223"/>
      <c r="J142" s="162"/>
      <c r="K142" s="129"/>
      <c r="L142" s="79"/>
      <c r="M142" s="79"/>
      <c r="N142" s="79"/>
      <c r="O142" s="82"/>
    </row>
    <row r="143" ht="19.5" customHeight="1">
      <c r="A143" s="52"/>
      <c r="B143" s="171"/>
      <c r="C143" s="172"/>
      <c r="D143" s="172"/>
      <c r="E143" s="227"/>
      <c r="F143" s="228"/>
      <c r="G143" s="154"/>
      <c r="H143" s="162"/>
      <c r="I143" s="223"/>
      <c r="J143" s="162"/>
      <c r="K143" s="129"/>
      <c r="L143" s="79"/>
      <c r="M143" s="79"/>
      <c r="N143" s="79"/>
      <c r="O143" s="82"/>
    </row>
    <row r="144" ht="19.5" customHeight="1">
      <c r="A144" s="52"/>
      <c r="B144" s="171"/>
      <c r="C144" s="172"/>
      <c r="D144" s="172"/>
      <c r="E144" s="227"/>
      <c r="F144" s="228"/>
      <c r="G144" s="154"/>
      <c r="H144" s="162"/>
      <c r="I144" s="223"/>
      <c r="J144" s="162"/>
      <c r="K144" s="129"/>
      <c r="L144" s="79"/>
      <c r="M144" s="79"/>
      <c r="N144" s="79"/>
      <c r="O144" s="82"/>
    </row>
    <row r="145" ht="19.5" customHeight="1">
      <c r="A145" s="52"/>
      <c r="B145" s="171"/>
      <c r="C145" s="172"/>
      <c r="D145" s="172"/>
      <c r="E145" s="227"/>
      <c r="F145" s="228"/>
      <c r="G145" s="154"/>
      <c r="H145" s="162"/>
      <c r="I145" s="223"/>
      <c r="J145" s="162"/>
      <c r="K145" s="129"/>
      <c r="L145" s="79"/>
      <c r="M145" s="79"/>
      <c r="N145" s="79"/>
      <c r="O145" s="82"/>
    </row>
    <row r="146" ht="19.5" customHeight="1">
      <c r="A146" s="52"/>
      <c r="B146" s="171"/>
      <c r="C146" s="172"/>
      <c r="D146" s="172"/>
      <c r="E146" s="227"/>
      <c r="F146" s="228"/>
      <c r="G146" s="154"/>
      <c r="H146" s="162"/>
      <c r="I146" s="223"/>
      <c r="J146" s="162"/>
      <c r="K146" s="129"/>
      <c r="L146" s="79"/>
      <c r="M146" s="79"/>
      <c r="N146" s="79"/>
      <c r="O146" s="82"/>
    </row>
    <row r="147" ht="19.5" customHeight="1">
      <c r="A147" s="52"/>
      <c r="B147" s="171"/>
      <c r="C147" s="172"/>
      <c r="D147" s="172"/>
      <c r="E147" s="227"/>
      <c r="F147" s="228"/>
      <c r="G147" s="154"/>
      <c r="H147" s="162"/>
      <c r="I147" s="223"/>
      <c r="J147" s="162"/>
      <c r="K147" s="129"/>
      <c r="L147" s="79"/>
      <c r="M147" s="79"/>
      <c r="N147" s="79"/>
      <c r="O147" s="82"/>
    </row>
    <row r="148" ht="19.5" customHeight="1">
      <c r="A148" s="52"/>
      <c r="B148" s="171"/>
      <c r="C148" s="172"/>
      <c r="D148" s="172"/>
      <c r="E148" s="227"/>
      <c r="F148" s="228"/>
      <c r="G148" s="154"/>
      <c r="H148" s="162"/>
      <c r="I148" s="223"/>
      <c r="J148" s="162"/>
      <c r="K148" s="129"/>
      <c r="L148" s="79"/>
      <c r="M148" s="79"/>
      <c r="N148" s="79"/>
      <c r="O148" s="82"/>
    </row>
    <row r="149" ht="19.5" customHeight="1">
      <c r="A149" s="52"/>
      <c r="B149" s="171"/>
      <c r="C149" s="172"/>
      <c r="D149" s="172"/>
      <c r="E149" s="227"/>
      <c r="F149" s="228"/>
      <c r="G149" s="154"/>
      <c r="H149" s="162"/>
      <c r="I149" s="223"/>
      <c r="J149" s="162"/>
      <c r="K149" s="129"/>
      <c r="L149" s="79"/>
      <c r="M149" s="79"/>
      <c r="N149" s="79"/>
      <c r="O149" s="82"/>
    </row>
    <row r="150" ht="19.5" customHeight="1">
      <c r="A150" s="52"/>
      <c r="B150" s="171"/>
      <c r="C150" s="172"/>
      <c r="D150" s="172"/>
      <c r="E150" s="227"/>
      <c r="F150" s="228"/>
      <c r="G150" s="154"/>
      <c r="H150" s="162"/>
      <c r="I150" s="223"/>
      <c r="J150" s="162"/>
      <c r="K150" s="129"/>
      <c r="L150" s="79"/>
      <c r="M150" s="79"/>
      <c r="N150" s="79"/>
      <c r="O150" s="82"/>
    </row>
    <row r="151" ht="19.5" customHeight="1">
      <c r="A151" s="52"/>
      <c r="B151" s="171"/>
      <c r="C151" s="172"/>
      <c r="D151" s="172"/>
      <c r="E151" s="227"/>
      <c r="F151" s="228"/>
      <c r="G151" s="154"/>
      <c r="H151" s="162"/>
      <c r="I151" s="223"/>
      <c r="J151" s="162"/>
      <c r="K151" s="129"/>
      <c r="L151" s="79"/>
      <c r="M151" s="79"/>
      <c r="N151" s="79"/>
      <c r="O151" s="82"/>
    </row>
    <row r="152" ht="19.5" customHeight="1">
      <c r="A152" s="52"/>
      <c r="B152" s="171"/>
      <c r="C152" s="172"/>
      <c r="D152" s="172"/>
      <c r="E152" s="227"/>
      <c r="F152" s="228"/>
      <c r="G152" s="154"/>
      <c r="H152" s="162"/>
      <c r="I152" s="223"/>
      <c r="J152" s="162"/>
      <c r="K152" s="129"/>
      <c r="L152" s="79"/>
      <c r="M152" s="79"/>
      <c r="N152" s="79"/>
      <c r="O152" s="82"/>
    </row>
    <row r="153" ht="19.5" customHeight="1">
      <c r="A153" s="52"/>
      <c r="B153" s="171"/>
      <c r="C153" s="172"/>
      <c r="D153" s="172"/>
      <c r="E153" s="227"/>
      <c r="F153" s="228"/>
      <c r="G153" s="154"/>
      <c r="H153" s="162"/>
      <c r="I153" s="223"/>
      <c r="J153" s="162"/>
      <c r="K153" s="129"/>
      <c r="L153" s="79"/>
      <c r="M153" s="79"/>
      <c r="N153" s="79"/>
      <c r="O153" s="82"/>
    </row>
    <row r="154" ht="19.5" customHeight="1">
      <c r="A154" s="52"/>
      <c r="B154" s="171"/>
      <c r="C154" s="172"/>
      <c r="D154" s="172"/>
      <c r="E154" s="227"/>
      <c r="F154" s="228"/>
      <c r="G154" s="154"/>
      <c r="H154" s="162"/>
      <c r="I154" s="223"/>
      <c r="J154" s="162"/>
      <c r="K154" s="129"/>
      <c r="L154" s="79"/>
      <c r="M154" s="79"/>
      <c r="N154" s="79"/>
      <c r="O154" s="82"/>
    </row>
    <row r="155" ht="19.5" customHeight="1">
      <c r="A155" s="52"/>
      <c r="B155" s="171"/>
      <c r="C155" s="172"/>
      <c r="D155" s="172"/>
      <c r="E155" s="227"/>
      <c r="F155" s="228"/>
      <c r="G155" s="154"/>
      <c r="H155" s="162"/>
      <c r="I155" s="223"/>
      <c r="J155" s="162"/>
      <c r="K155" s="129"/>
      <c r="L155" s="79"/>
      <c r="M155" s="79"/>
      <c r="N155" s="79"/>
      <c r="O155" s="82"/>
    </row>
    <row r="156" ht="19.5" customHeight="1">
      <c r="A156" s="52"/>
      <c r="B156" s="171"/>
      <c r="C156" s="172"/>
      <c r="D156" s="172"/>
      <c r="E156" s="227"/>
      <c r="F156" s="228"/>
      <c r="G156" s="154"/>
      <c r="H156" s="162"/>
      <c r="I156" s="223"/>
      <c r="J156" s="162"/>
      <c r="K156" s="129"/>
      <c r="L156" s="79"/>
      <c r="M156" s="79"/>
      <c r="N156" s="79"/>
      <c r="O156" s="82"/>
    </row>
    <row r="157" ht="19.5" customHeight="1">
      <c r="A157" s="52"/>
      <c r="B157" s="171"/>
      <c r="C157" s="172"/>
      <c r="D157" s="172"/>
      <c r="E157" s="227"/>
      <c r="F157" s="228"/>
      <c r="G157" s="154"/>
      <c r="H157" s="162"/>
      <c r="I157" s="223"/>
      <c r="J157" s="162"/>
      <c r="K157" s="129"/>
      <c r="L157" s="79"/>
      <c r="M157" s="79"/>
      <c r="N157" s="79"/>
      <c r="O157" s="82"/>
    </row>
    <row r="158" ht="19.5" customHeight="1">
      <c r="A158" s="52"/>
      <c r="B158" s="171"/>
      <c r="C158" s="172"/>
      <c r="D158" s="172"/>
      <c r="E158" s="227"/>
      <c r="F158" s="228"/>
      <c r="G158" s="154"/>
      <c r="H158" s="162"/>
      <c r="I158" s="223"/>
      <c r="J158" s="162"/>
      <c r="K158" s="129"/>
      <c r="L158" s="79"/>
      <c r="M158" s="79"/>
      <c r="N158" s="79"/>
      <c r="O158" s="82"/>
    </row>
    <row r="159" ht="19.5" customHeight="1">
      <c r="A159" s="52"/>
      <c r="B159" s="171"/>
      <c r="C159" s="172"/>
      <c r="D159" s="172"/>
      <c r="E159" s="227"/>
      <c r="F159" s="228"/>
      <c r="G159" s="154"/>
      <c r="H159" s="162"/>
      <c r="I159" s="223"/>
      <c r="J159" s="162"/>
      <c r="K159" s="129"/>
      <c r="L159" s="79"/>
      <c r="M159" s="79"/>
      <c r="N159" s="79"/>
      <c r="O159" s="82"/>
    </row>
    <row r="160" ht="19.5" customHeight="1">
      <c r="A160" s="52"/>
      <c r="B160" s="171"/>
      <c r="C160" s="172"/>
      <c r="D160" s="172"/>
      <c r="E160" s="227"/>
      <c r="F160" s="228"/>
      <c r="G160" s="154"/>
      <c r="H160" s="162"/>
      <c r="I160" s="223"/>
      <c r="J160" s="162"/>
      <c r="K160" s="129"/>
      <c r="L160" s="79"/>
      <c r="M160" s="79"/>
      <c r="N160" s="79"/>
      <c r="O160" s="82"/>
    </row>
    <row r="161" ht="19.5" customHeight="1">
      <c r="A161" s="52"/>
      <c r="B161" s="171"/>
      <c r="C161" s="172"/>
      <c r="D161" s="172"/>
      <c r="E161" s="227"/>
      <c r="F161" s="228"/>
      <c r="G161" s="154"/>
      <c r="H161" s="162"/>
      <c r="I161" s="223"/>
      <c r="J161" s="162"/>
      <c r="K161" s="129"/>
      <c r="L161" s="79"/>
      <c r="M161" s="79"/>
      <c r="N161" s="79"/>
      <c r="O161" s="82"/>
    </row>
    <row r="162" ht="19.5" customHeight="1">
      <c r="A162" s="52"/>
      <c r="B162" s="171"/>
      <c r="C162" s="172"/>
      <c r="D162" s="172"/>
      <c r="E162" s="227"/>
      <c r="F162" s="228"/>
      <c r="G162" s="154"/>
      <c r="H162" s="162"/>
      <c r="I162" s="223"/>
      <c r="J162" s="162"/>
      <c r="K162" s="129"/>
      <c r="L162" s="79"/>
      <c r="M162" s="79"/>
      <c r="N162" s="79"/>
      <c r="O162" s="82"/>
    </row>
    <row r="163" ht="19.5" customHeight="1">
      <c r="A163" s="52"/>
      <c r="B163" s="171"/>
      <c r="C163" s="172"/>
      <c r="D163" s="172"/>
      <c r="E163" s="227"/>
      <c r="F163" s="228"/>
      <c r="G163" s="154"/>
      <c r="H163" s="162"/>
      <c r="I163" s="223"/>
      <c r="J163" s="162"/>
      <c r="K163" s="129"/>
      <c r="L163" s="79"/>
      <c r="M163" s="79"/>
      <c r="N163" s="79"/>
      <c r="O163" s="82"/>
    </row>
    <row r="164" ht="19.5" customHeight="1">
      <c r="A164" s="52"/>
      <c r="B164" s="171"/>
      <c r="C164" s="172"/>
      <c r="D164" s="172"/>
      <c r="E164" s="227"/>
      <c r="F164" s="228"/>
      <c r="G164" s="154"/>
      <c r="H164" s="162"/>
      <c r="I164" s="223"/>
      <c r="J164" s="162"/>
      <c r="K164" s="129"/>
      <c r="L164" s="79"/>
      <c r="M164" s="79"/>
      <c r="N164" s="79"/>
      <c r="O164" s="82"/>
    </row>
    <row r="165" ht="19.5" customHeight="1">
      <c r="A165" s="52"/>
      <c r="B165" s="171"/>
      <c r="C165" s="172"/>
      <c r="D165" s="172"/>
      <c r="E165" s="227"/>
      <c r="F165" s="228"/>
      <c r="G165" s="154"/>
      <c r="H165" s="162"/>
      <c r="I165" s="223"/>
      <c r="J165" s="162"/>
      <c r="K165" s="129"/>
      <c r="L165" s="79"/>
      <c r="M165" s="79"/>
      <c r="N165" s="79"/>
      <c r="O165" s="82"/>
    </row>
    <row r="166" ht="19.5" customHeight="1">
      <c r="A166" s="52"/>
      <c r="B166" s="171"/>
      <c r="C166" s="172"/>
      <c r="D166" s="172"/>
      <c r="E166" s="227"/>
      <c r="F166" s="228"/>
      <c r="G166" s="154"/>
      <c r="H166" s="162"/>
      <c r="I166" s="223"/>
      <c r="J166" s="162"/>
      <c r="K166" s="129"/>
      <c r="L166" s="79"/>
      <c r="M166" s="79"/>
      <c r="N166" s="79"/>
      <c r="O166" s="82"/>
    </row>
    <row r="167" ht="19.5" customHeight="1">
      <c r="A167" s="52"/>
      <c r="B167" s="171"/>
      <c r="C167" s="172"/>
      <c r="D167" s="172"/>
      <c r="E167" s="227"/>
      <c r="F167" s="228"/>
      <c r="G167" s="154"/>
      <c r="H167" s="162"/>
      <c r="I167" s="223"/>
      <c r="J167" s="162"/>
      <c r="K167" s="129"/>
      <c r="L167" s="79"/>
      <c r="M167" s="79"/>
      <c r="N167" s="79"/>
      <c r="O167" s="82"/>
    </row>
    <row r="168" ht="19.5" customHeight="1">
      <c r="A168" s="52"/>
      <c r="B168" s="171"/>
      <c r="C168" s="172"/>
      <c r="D168" s="172"/>
      <c r="E168" s="227"/>
      <c r="F168" s="228"/>
      <c r="G168" s="154"/>
      <c r="H168" s="162"/>
      <c r="I168" s="223"/>
      <c r="J168" s="162"/>
      <c r="K168" s="129"/>
      <c r="L168" s="79"/>
      <c r="M168" s="79"/>
      <c r="N168" s="79"/>
      <c r="O168" s="82"/>
    </row>
    <row r="169" ht="19.5" customHeight="1">
      <c r="A169" s="52"/>
      <c r="B169" s="171"/>
      <c r="C169" s="172"/>
      <c r="D169" s="172"/>
      <c r="E169" s="227"/>
      <c r="F169" s="228"/>
      <c r="G169" s="154"/>
      <c r="H169" s="162"/>
      <c r="I169" s="223"/>
      <c r="J169" s="162"/>
      <c r="K169" s="129"/>
      <c r="L169" s="79"/>
      <c r="M169" s="79"/>
      <c r="N169" s="79"/>
      <c r="O169" s="82"/>
    </row>
    <row r="170" ht="19.5" customHeight="1">
      <c r="A170" s="52"/>
      <c r="B170" s="171"/>
      <c r="C170" s="172"/>
      <c r="D170" s="172"/>
      <c r="E170" s="227"/>
      <c r="F170" s="228"/>
      <c r="G170" s="154"/>
      <c r="H170" s="162"/>
      <c r="I170" s="223"/>
      <c r="J170" s="162"/>
      <c r="K170" s="129"/>
      <c r="L170" s="79"/>
      <c r="M170" s="79"/>
      <c r="N170" s="79"/>
      <c r="O170" s="82"/>
    </row>
    <row r="171" ht="19.5" customHeight="1">
      <c r="A171" s="52"/>
      <c r="B171" s="171"/>
      <c r="C171" s="172"/>
      <c r="D171" s="172"/>
      <c r="E171" s="227"/>
      <c r="F171" s="228"/>
      <c r="G171" s="154"/>
      <c r="H171" s="162"/>
      <c r="I171" s="223"/>
      <c r="J171" s="162"/>
      <c r="K171" s="129"/>
      <c r="L171" s="79"/>
      <c r="M171" s="79"/>
      <c r="N171" s="79"/>
      <c r="O171" s="82"/>
    </row>
    <row r="172" ht="19.5" customHeight="1">
      <c r="A172" s="52"/>
      <c r="B172" s="171"/>
      <c r="C172" s="172"/>
      <c r="D172" s="172"/>
      <c r="E172" s="227"/>
      <c r="F172" s="228"/>
      <c r="G172" s="154"/>
      <c r="H172" s="162"/>
      <c r="I172" s="223"/>
      <c r="J172" s="162"/>
      <c r="K172" s="129"/>
      <c r="L172" s="79"/>
      <c r="M172" s="79"/>
      <c r="N172" s="79"/>
      <c r="O172" s="82"/>
    </row>
    <row r="173" ht="19.5" customHeight="1">
      <c r="A173" s="52"/>
      <c r="B173" s="171"/>
      <c r="C173" s="172"/>
      <c r="D173" s="172"/>
      <c r="E173" s="227"/>
      <c r="F173" s="228"/>
      <c r="G173" s="154"/>
      <c r="H173" s="162"/>
      <c r="I173" s="223"/>
      <c r="J173" s="162"/>
      <c r="K173" s="129"/>
      <c r="L173" s="79"/>
      <c r="M173" s="79"/>
      <c r="N173" s="79"/>
      <c r="O173" s="82"/>
    </row>
    <row r="174" ht="19.5" customHeight="1">
      <c r="A174" s="52"/>
      <c r="B174" s="171"/>
      <c r="C174" s="172"/>
      <c r="D174" s="172"/>
      <c r="E174" s="227"/>
      <c r="F174" s="228"/>
      <c r="G174" s="154"/>
      <c r="H174" s="162"/>
      <c r="I174" s="223"/>
      <c r="J174" s="162"/>
      <c r="K174" s="129"/>
      <c r="L174" s="79"/>
      <c r="M174" s="79"/>
      <c r="N174" s="79"/>
      <c r="O174" s="82"/>
    </row>
    <row r="175" ht="19.5" customHeight="1">
      <c r="A175" s="52"/>
      <c r="B175" s="171"/>
      <c r="C175" s="172"/>
      <c r="D175" s="172"/>
      <c r="E175" s="227"/>
      <c r="F175" s="228"/>
      <c r="G175" s="154"/>
      <c r="H175" s="162"/>
      <c r="I175" s="223"/>
      <c r="J175" s="162"/>
      <c r="K175" s="129"/>
      <c r="L175" s="79"/>
      <c r="M175" s="79"/>
      <c r="N175" s="79"/>
      <c r="O175" s="82"/>
    </row>
    <row r="176" ht="19.5" customHeight="1">
      <c r="A176" s="52"/>
      <c r="B176" s="171"/>
      <c r="C176" s="172"/>
      <c r="D176" s="172"/>
      <c r="E176" s="227"/>
      <c r="F176" s="228"/>
      <c r="G176" s="154"/>
      <c r="H176" s="162"/>
      <c r="I176" s="223"/>
      <c r="J176" s="162"/>
      <c r="K176" s="129"/>
      <c r="L176" s="79"/>
      <c r="M176" s="79"/>
      <c r="N176" s="79"/>
      <c r="O176" s="82"/>
    </row>
    <row r="177" ht="19.5" customHeight="1">
      <c r="A177" s="52"/>
      <c r="B177" s="171"/>
      <c r="C177" s="172"/>
      <c r="D177" s="172"/>
      <c r="E177" s="227"/>
      <c r="F177" s="228"/>
      <c r="G177" s="154"/>
      <c r="H177" s="162"/>
      <c r="I177" s="223"/>
      <c r="J177" s="162"/>
      <c r="K177" s="129"/>
      <c r="L177" s="79"/>
      <c r="M177" s="79"/>
      <c r="N177" s="79"/>
      <c r="O177" s="82"/>
    </row>
    <row r="178" ht="19.5" customHeight="1">
      <c r="A178" s="52"/>
      <c r="B178" s="171"/>
      <c r="C178" s="172"/>
      <c r="D178" s="172"/>
      <c r="E178" s="227"/>
      <c r="F178" s="228"/>
      <c r="G178" s="154"/>
      <c r="H178" s="162"/>
      <c r="I178" s="223"/>
      <c r="J178" s="162"/>
      <c r="K178" s="129"/>
      <c r="L178" s="79"/>
      <c r="M178" s="79"/>
      <c r="N178" s="79"/>
      <c r="O178" s="82"/>
    </row>
    <row r="179" ht="19.5" customHeight="1">
      <c r="A179" s="52"/>
      <c r="B179" s="171"/>
      <c r="C179" s="172"/>
      <c r="D179" s="172"/>
      <c r="E179" s="227"/>
      <c r="F179" s="228"/>
      <c r="G179" s="154"/>
      <c r="H179" s="162"/>
      <c r="I179" s="223"/>
      <c r="J179" s="162"/>
      <c r="K179" s="129"/>
      <c r="L179" s="79"/>
      <c r="M179" s="79"/>
      <c r="N179" s="79"/>
      <c r="O179" s="82"/>
    </row>
    <row r="180" ht="19.5" customHeight="1">
      <c r="A180" s="52"/>
      <c r="B180" s="171"/>
      <c r="C180" s="172"/>
      <c r="D180" s="172"/>
      <c r="E180" s="227"/>
      <c r="F180" s="228"/>
      <c r="G180" s="154"/>
      <c r="H180" s="162"/>
      <c r="I180" s="223"/>
      <c r="J180" s="162"/>
      <c r="K180" s="129"/>
      <c r="L180" s="79"/>
      <c r="M180" s="79"/>
      <c r="N180" s="79"/>
      <c r="O180" s="82"/>
    </row>
    <row r="181" ht="19.5" customHeight="1">
      <c r="A181" s="52"/>
      <c r="B181" s="171"/>
      <c r="C181" s="172"/>
      <c r="D181" s="172"/>
      <c r="E181" s="227"/>
      <c r="F181" s="228"/>
      <c r="G181" s="154"/>
      <c r="H181" s="162"/>
      <c r="I181" s="223"/>
      <c r="J181" s="162"/>
      <c r="K181" s="129"/>
      <c r="L181" s="79"/>
      <c r="M181" s="79"/>
      <c r="N181" s="79"/>
      <c r="O181" s="82"/>
    </row>
    <row r="182" ht="19.5" customHeight="1">
      <c r="A182" s="52"/>
      <c r="B182" s="171"/>
      <c r="C182" s="172"/>
      <c r="D182" s="172"/>
      <c r="E182" s="227"/>
      <c r="F182" s="228"/>
      <c r="G182" s="154"/>
      <c r="H182" s="162"/>
      <c r="I182" s="223"/>
      <c r="J182" s="162"/>
      <c r="K182" s="129"/>
      <c r="L182" s="79"/>
      <c r="M182" s="79"/>
      <c r="N182" s="79"/>
      <c r="O182" s="82"/>
    </row>
    <row r="183" ht="19.5" customHeight="1">
      <c r="A183" s="52"/>
      <c r="B183" s="171"/>
      <c r="C183" s="172"/>
      <c r="D183" s="172"/>
      <c r="E183" s="227"/>
      <c r="F183" s="228"/>
      <c r="G183" s="154"/>
      <c r="H183" s="162"/>
      <c r="I183" s="223"/>
      <c r="J183" s="162"/>
      <c r="K183" s="129"/>
      <c r="L183" s="79"/>
      <c r="M183" s="79"/>
      <c r="N183" s="79"/>
      <c r="O183" s="82"/>
    </row>
    <row r="184" ht="19.5" customHeight="1">
      <c r="A184" s="52"/>
      <c r="B184" s="171"/>
      <c r="C184" s="172"/>
      <c r="D184" s="172"/>
      <c r="E184" s="227"/>
      <c r="F184" s="228"/>
      <c r="G184" s="154"/>
      <c r="H184" s="162"/>
      <c r="I184" s="223"/>
      <c r="J184" s="162"/>
      <c r="K184" s="129"/>
      <c r="L184" s="79"/>
      <c r="M184" s="79"/>
      <c r="N184" s="79"/>
      <c r="O184" s="82"/>
    </row>
    <row r="185" ht="19.5" customHeight="1">
      <c r="A185" s="52"/>
      <c r="B185" s="171"/>
      <c r="C185" s="172"/>
      <c r="D185" s="172"/>
      <c r="E185" s="227"/>
      <c r="F185" s="228"/>
      <c r="G185" s="154"/>
      <c r="H185" s="162"/>
      <c r="I185" s="223"/>
      <c r="J185" s="162"/>
      <c r="K185" s="129"/>
      <c r="L185" s="79"/>
      <c r="M185" s="79"/>
      <c r="N185" s="79"/>
      <c r="O185" s="82"/>
    </row>
    <row r="186" ht="19.5" customHeight="1">
      <c r="A186" s="52"/>
      <c r="B186" s="171"/>
      <c r="C186" s="172"/>
      <c r="D186" s="172"/>
      <c r="E186" s="227"/>
      <c r="F186" s="228"/>
      <c r="G186" s="154"/>
      <c r="H186" s="162"/>
      <c r="I186" s="223"/>
      <c r="J186" s="162"/>
      <c r="K186" s="129"/>
      <c r="L186" s="79"/>
      <c r="M186" s="79"/>
      <c r="N186" s="79"/>
      <c r="O186" s="82"/>
    </row>
    <row r="187" ht="19.5" customHeight="1">
      <c r="A187" s="52"/>
      <c r="B187" s="171"/>
      <c r="C187" s="172"/>
      <c r="D187" s="172"/>
      <c r="E187" s="227"/>
      <c r="F187" s="228"/>
      <c r="G187" s="154"/>
      <c r="H187" s="162"/>
      <c r="I187" s="223"/>
      <c r="J187" s="162"/>
      <c r="K187" s="129"/>
      <c r="L187" s="79"/>
      <c r="M187" s="79"/>
      <c r="N187" s="79"/>
      <c r="O187" s="82"/>
    </row>
    <row r="188" ht="19.5" customHeight="1">
      <c r="A188" s="52"/>
      <c r="B188" s="171"/>
      <c r="C188" s="172"/>
      <c r="D188" s="172"/>
      <c r="E188" s="227"/>
      <c r="F188" s="228"/>
      <c r="G188" s="154"/>
      <c r="H188" s="162"/>
      <c r="I188" s="223"/>
      <c r="J188" s="162"/>
      <c r="K188" s="129"/>
      <c r="L188" s="79"/>
      <c r="M188" s="79"/>
      <c r="N188" s="79"/>
      <c r="O188" s="82"/>
    </row>
    <row r="189" ht="19.5" customHeight="1">
      <c r="A189" s="52"/>
      <c r="B189" s="171"/>
      <c r="C189" s="172"/>
      <c r="D189" s="172"/>
      <c r="E189" s="227"/>
      <c r="F189" s="228"/>
      <c r="G189" s="154"/>
      <c r="H189" s="162"/>
      <c r="I189" s="223"/>
      <c r="J189" s="162"/>
      <c r="K189" s="129"/>
      <c r="L189" s="79"/>
      <c r="M189" s="79"/>
      <c r="N189" s="79"/>
      <c r="O189" s="82"/>
    </row>
    <row r="190" ht="19.5" customHeight="1">
      <c r="A190" s="52"/>
      <c r="B190" s="171"/>
      <c r="C190" s="172"/>
      <c r="D190" s="172"/>
      <c r="E190" s="227"/>
      <c r="F190" s="228"/>
      <c r="G190" s="154"/>
      <c r="H190" s="162"/>
      <c r="I190" s="223"/>
      <c r="J190" s="162"/>
      <c r="K190" s="129"/>
      <c r="L190" s="79"/>
      <c r="M190" s="79"/>
      <c r="N190" s="79"/>
      <c r="O190" s="82"/>
    </row>
    <row r="191" ht="19.5" customHeight="1">
      <c r="A191" s="52"/>
      <c r="B191" s="171"/>
      <c r="C191" s="172"/>
      <c r="D191" s="172"/>
      <c r="E191" s="227"/>
      <c r="F191" s="228"/>
      <c r="G191" s="154"/>
      <c r="H191" s="162"/>
      <c r="I191" s="223"/>
      <c r="J191" s="162"/>
      <c r="K191" s="129"/>
      <c r="L191" s="79"/>
      <c r="M191" s="79"/>
      <c r="N191" s="79"/>
      <c r="O191" s="82"/>
    </row>
    <row r="192" ht="19.5" customHeight="1">
      <c r="A192" s="52"/>
      <c r="B192" s="171"/>
      <c r="C192" s="172"/>
      <c r="D192" s="172"/>
      <c r="E192" s="227"/>
      <c r="F192" s="228"/>
      <c r="G192" s="154"/>
      <c r="H192" s="162"/>
      <c r="I192" s="223"/>
      <c r="J192" s="162"/>
      <c r="K192" s="129"/>
      <c r="L192" s="79"/>
      <c r="M192" s="79"/>
      <c r="N192" s="79"/>
      <c r="O192" s="82"/>
    </row>
    <row r="193" ht="19.5" customHeight="1">
      <c r="A193" s="52"/>
      <c r="B193" s="171"/>
      <c r="C193" s="172"/>
      <c r="D193" s="172"/>
      <c r="E193" s="227"/>
      <c r="F193" s="228"/>
      <c r="G193" s="154"/>
      <c r="H193" s="162"/>
      <c r="I193" s="223"/>
      <c r="J193" s="162"/>
      <c r="K193" s="129"/>
      <c r="L193" s="79"/>
      <c r="M193" s="79"/>
      <c r="N193" s="79"/>
      <c r="O193" s="82"/>
    </row>
    <row r="194" ht="19.5" customHeight="1">
      <c r="A194" s="52"/>
      <c r="B194" s="171"/>
      <c r="C194" s="172"/>
      <c r="D194" s="172"/>
      <c r="E194" s="227"/>
      <c r="F194" s="228"/>
      <c r="G194" s="154"/>
      <c r="H194" s="162"/>
      <c r="I194" s="223"/>
      <c r="J194" s="162"/>
      <c r="K194" s="129"/>
      <c r="L194" s="79"/>
      <c r="M194" s="79"/>
      <c r="N194" s="79"/>
      <c r="O194" s="82"/>
    </row>
    <row r="195" ht="19.5" customHeight="1">
      <c r="A195" s="52"/>
      <c r="B195" s="171"/>
      <c r="C195" s="172"/>
      <c r="D195" s="172"/>
      <c r="E195" s="227"/>
      <c r="F195" s="228"/>
      <c r="G195" s="154"/>
      <c r="H195" s="162"/>
      <c r="I195" s="223"/>
      <c r="J195" s="162"/>
      <c r="K195" s="129"/>
      <c r="L195" s="79"/>
      <c r="M195" s="79"/>
      <c r="N195" s="79"/>
      <c r="O195" s="82"/>
    </row>
    <row r="196" ht="19.5" customHeight="1">
      <c r="A196" s="52"/>
      <c r="B196" s="171"/>
      <c r="C196" s="172"/>
      <c r="D196" s="172"/>
      <c r="E196" s="227"/>
      <c r="F196" s="228"/>
      <c r="G196" s="154"/>
      <c r="H196" s="162"/>
      <c r="I196" s="223"/>
      <c r="J196" s="162"/>
      <c r="K196" s="129"/>
      <c r="L196" s="79"/>
      <c r="M196" s="79"/>
      <c r="N196" s="79"/>
      <c r="O196" s="82"/>
    </row>
    <row r="197" ht="19.5" customHeight="1">
      <c r="A197" s="52"/>
      <c r="B197" s="171"/>
      <c r="C197" s="172"/>
      <c r="D197" s="172"/>
      <c r="E197" s="227"/>
      <c r="F197" s="228"/>
      <c r="G197" s="154"/>
      <c r="H197" s="162"/>
      <c r="I197" s="223"/>
      <c r="J197" s="162"/>
      <c r="K197" s="129"/>
      <c r="L197" s="79"/>
      <c r="M197" s="79"/>
      <c r="N197" s="79"/>
      <c r="O197" s="82"/>
    </row>
    <row r="198" ht="19.5" customHeight="1">
      <c r="A198" s="52"/>
      <c r="B198" s="171"/>
      <c r="C198" s="172"/>
      <c r="D198" s="172"/>
      <c r="E198" s="227"/>
      <c r="F198" s="228"/>
      <c r="G198" s="154"/>
      <c r="H198" s="162"/>
      <c r="I198" s="223"/>
      <c r="J198" s="162"/>
      <c r="K198" s="129"/>
      <c r="L198" s="79"/>
      <c r="M198" s="79"/>
      <c r="N198" s="79"/>
      <c r="O198" s="82"/>
    </row>
    <row r="199" ht="19.5" customHeight="1">
      <c r="A199" s="52"/>
      <c r="B199" s="171"/>
      <c r="C199" s="172"/>
      <c r="D199" s="172"/>
      <c r="E199" s="227"/>
      <c r="F199" s="228"/>
      <c r="G199" s="154"/>
      <c r="H199" s="162"/>
      <c r="I199" s="223"/>
      <c r="J199" s="162"/>
      <c r="K199" s="129"/>
      <c r="L199" s="79"/>
      <c r="M199" s="79"/>
      <c r="N199" s="79"/>
      <c r="O199" s="82"/>
    </row>
    <row r="200" ht="19.5" customHeight="1">
      <c r="A200" s="52"/>
      <c r="B200" s="171"/>
      <c r="C200" s="172"/>
      <c r="D200" s="172"/>
      <c r="E200" s="227"/>
      <c r="F200" s="228"/>
      <c r="G200" s="154"/>
      <c r="H200" s="162"/>
      <c r="I200" s="223"/>
      <c r="J200" s="162"/>
      <c r="K200" s="129"/>
      <c r="L200" s="79"/>
      <c r="M200" s="79"/>
      <c r="N200" s="79"/>
      <c r="O200" s="82"/>
    </row>
    <row r="201" ht="19.5" customHeight="1">
      <c r="A201" s="52"/>
      <c r="B201" s="171"/>
      <c r="C201" s="172"/>
      <c r="D201" s="172"/>
      <c r="E201" s="227"/>
      <c r="F201" s="228"/>
      <c r="G201" s="154"/>
      <c r="H201" s="162"/>
      <c r="I201" s="223"/>
      <c r="J201" s="162"/>
      <c r="K201" s="129"/>
      <c r="L201" s="79"/>
      <c r="M201" s="79"/>
      <c r="N201" s="79"/>
      <c r="O201" s="82"/>
    </row>
    <row r="202" ht="19.5" customHeight="1">
      <c r="A202" s="52"/>
      <c r="B202" s="171"/>
      <c r="C202" s="172"/>
      <c r="D202" s="172"/>
      <c r="E202" s="227"/>
      <c r="F202" s="228"/>
      <c r="G202" s="154"/>
      <c r="H202" s="162"/>
      <c r="I202" s="223"/>
      <c r="J202" s="162"/>
      <c r="K202" s="129"/>
      <c r="L202" s="79"/>
      <c r="M202" s="79"/>
      <c r="N202" s="79"/>
      <c r="O202" s="82"/>
    </row>
    <row r="203" ht="19.5" customHeight="1">
      <c r="A203" s="52"/>
      <c r="B203" s="171"/>
      <c r="C203" s="172"/>
      <c r="D203" s="172"/>
      <c r="E203" s="227"/>
      <c r="F203" s="228"/>
      <c r="G203" s="154"/>
      <c r="H203" s="162"/>
      <c r="I203" s="223"/>
      <c r="J203" s="162"/>
      <c r="K203" s="129"/>
      <c r="L203" s="79"/>
      <c r="M203" s="79"/>
      <c r="N203" s="79"/>
      <c r="O203" s="82"/>
    </row>
    <row r="204" ht="19.5" customHeight="1">
      <c r="A204" s="52"/>
      <c r="B204" s="171"/>
      <c r="C204" s="172"/>
      <c r="D204" s="172"/>
      <c r="E204" s="227"/>
      <c r="F204" s="228"/>
      <c r="G204" s="154"/>
      <c r="H204" s="162"/>
      <c r="I204" s="223"/>
      <c r="J204" s="162"/>
      <c r="K204" s="129"/>
      <c r="L204" s="79"/>
      <c r="M204" s="79"/>
      <c r="N204" s="79"/>
      <c r="O204" s="82"/>
    </row>
    <row r="205" ht="19.5" customHeight="1">
      <c r="A205" s="52"/>
      <c r="B205" s="171"/>
      <c r="C205" s="172"/>
      <c r="D205" s="172"/>
      <c r="E205" s="227"/>
      <c r="F205" s="228"/>
      <c r="G205" s="154"/>
      <c r="H205" s="162"/>
      <c r="I205" s="223"/>
      <c r="J205" s="162"/>
      <c r="K205" s="129"/>
      <c r="L205" s="79"/>
      <c r="M205" s="79"/>
      <c r="N205" s="79"/>
      <c r="O205" s="82"/>
    </row>
    <row r="206" ht="19.5" customHeight="1">
      <c r="A206" s="52"/>
      <c r="B206" s="171"/>
      <c r="C206" s="172"/>
      <c r="D206" s="172"/>
      <c r="E206" s="227"/>
      <c r="F206" s="228"/>
      <c r="G206" s="154"/>
      <c r="H206" s="162"/>
      <c r="I206" s="223"/>
      <c r="J206" s="162"/>
      <c r="K206" s="129"/>
      <c r="L206" s="79"/>
      <c r="M206" s="79"/>
      <c r="N206" s="79"/>
      <c r="O206" s="82"/>
    </row>
    <row r="207" ht="19.5" customHeight="1">
      <c r="A207" s="52"/>
      <c r="B207" s="171"/>
      <c r="C207" s="172"/>
      <c r="D207" s="172"/>
      <c r="E207" s="227"/>
      <c r="F207" s="228"/>
      <c r="G207" s="154"/>
      <c r="H207" s="162"/>
      <c r="I207" s="223"/>
      <c r="J207" s="162"/>
      <c r="K207" s="129"/>
      <c r="L207" s="79"/>
      <c r="M207" s="79"/>
      <c r="N207" s="79"/>
      <c r="O207" s="82"/>
    </row>
    <row r="208" ht="19.5" customHeight="1">
      <c r="A208" s="52"/>
      <c r="B208" s="171"/>
      <c r="C208" s="172"/>
      <c r="D208" s="172"/>
      <c r="E208" s="227"/>
      <c r="F208" s="228"/>
      <c r="G208" s="154"/>
      <c r="H208" s="162"/>
      <c r="I208" s="223"/>
      <c r="J208" s="162"/>
      <c r="K208" s="129"/>
      <c r="L208" s="79"/>
      <c r="M208" s="79"/>
      <c r="N208" s="79"/>
      <c r="O208" s="82"/>
    </row>
    <row r="209" ht="19.5" customHeight="1">
      <c r="A209" s="52"/>
      <c r="B209" s="171"/>
      <c r="C209" s="172"/>
      <c r="D209" s="172"/>
      <c r="E209" s="227"/>
      <c r="F209" s="228"/>
      <c r="G209" s="154"/>
      <c r="H209" s="162"/>
      <c r="I209" s="223"/>
      <c r="J209" s="162"/>
      <c r="K209" s="129"/>
      <c r="L209" s="79"/>
      <c r="M209" s="79"/>
      <c r="N209" s="79"/>
      <c r="O209" s="82"/>
    </row>
    <row r="210" ht="19.5" customHeight="1">
      <c r="A210" s="52"/>
      <c r="B210" s="171"/>
      <c r="C210" s="172"/>
      <c r="D210" s="172"/>
      <c r="E210" s="227"/>
      <c r="F210" s="228"/>
      <c r="G210" s="154"/>
      <c r="H210" s="162"/>
      <c r="I210" s="223"/>
      <c r="J210" s="162"/>
      <c r="K210" s="129"/>
      <c r="L210" s="79"/>
      <c r="M210" s="79"/>
      <c r="N210" s="79"/>
      <c r="O210" s="82"/>
    </row>
    <row r="211" ht="19.5" customHeight="1">
      <c r="A211" s="52"/>
      <c r="B211" s="171"/>
      <c r="C211" s="172"/>
      <c r="D211" s="172"/>
      <c r="E211" s="227"/>
      <c r="F211" s="228"/>
      <c r="G211" s="154"/>
      <c r="H211" s="162"/>
      <c r="I211" s="223"/>
      <c r="J211" s="162"/>
      <c r="K211" s="129"/>
      <c r="L211" s="79"/>
      <c r="M211" s="79"/>
      <c r="N211" s="79"/>
      <c r="O211" s="82"/>
    </row>
    <row r="212" ht="19.5" customHeight="1">
      <c r="A212" s="52"/>
      <c r="B212" s="171"/>
      <c r="C212" s="172"/>
      <c r="D212" s="172"/>
      <c r="E212" s="227"/>
      <c r="F212" s="228"/>
      <c r="G212" s="154"/>
      <c r="H212" s="162"/>
      <c r="I212" s="223"/>
      <c r="J212" s="162"/>
      <c r="K212" s="129"/>
      <c r="L212" s="79"/>
      <c r="M212" s="79"/>
      <c r="N212" s="79"/>
      <c r="O212" s="82"/>
    </row>
    <row r="213" ht="19.5" customHeight="1">
      <c r="A213" s="52"/>
      <c r="B213" s="171"/>
      <c r="C213" s="172"/>
      <c r="D213" s="172"/>
      <c r="E213" s="227"/>
      <c r="F213" s="228"/>
      <c r="G213" s="154"/>
      <c r="H213" s="162"/>
      <c r="I213" s="223"/>
      <c r="J213" s="162"/>
      <c r="K213" s="129"/>
      <c r="L213" s="79"/>
      <c r="M213" s="79"/>
      <c r="N213" s="79"/>
      <c r="O213" s="82"/>
    </row>
    <row r="214" ht="19.5" customHeight="1">
      <c r="A214" s="52"/>
      <c r="B214" s="171"/>
      <c r="C214" s="172"/>
      <c r="D214" s="172"/>
      <c r="E214" s="227"/>
      <c r="F214" s="228"/>
      <c r="G214" s="154"/>
      <c r="H214" s="162"/>
      <c r="I214" s="223"/>
      <c r="J214" s="162"/>
      <c r="K214" s="129"/>
      <c r="L214" s="79"/>
      <c r="M214" s="79"/>
      <c r="N214" s="79"/>
      <c r="O214" s="82"/>
    </row>
    <row r="215" ht="19.5" customHeight="1">
      <c r="A215" s="52"/>
      <c r="B215" s="171"/>
      <c r="C215" s="172"/>
      <c r="D215" s="172"/>
      <c r="E215" s="227"/>
      <c r="F215" s="228"/>
      <c r="G215" s="154"/>
      <c r="H215" s="162"/>
      <c r="I215" s="223"/>
      <c r="J215" s="162"/>
      <c r="K215" s="129"/>
      <c r="L215" s="79"/>
      <c r="M215" s="79"/>
      <c r="N215" s="79"/>
      <c r="O215" s="82"/>
    </row>
    <row r="216" ht="19.5" customHeight="1">
      <c r="A216" s="52"/>
      <c r="B216" s="171"/>
      <c r="C216" s="172"/>
      <c r="D216" s="172"/>
      <c r="E216" s="227"/>
      <c r="F216" s="228"/>
      <c r="G216" s="154"/>
      <c r="H216" s="162"/>
      <c r="I216" s="223"/>
      <c r="J216" s="162"/>
      <c r="K216" s="129"/>
      <c r="L216" s="79"/>
      <c r="M216" s="79"/>
      <c r="N216" s="79"/>
      <c r="O216" s="82"/>
    </row>
    <row r="217" ht="19.5" customHeight="1">
      <c r="A217" s="52"/>
      <c r="B217" s="171"/>
      <c r="C217" s="172"/>
      <c r="D217" s="172"/>
      <c r="E217" s="227"/>
      <c r="F217" s="228"/>
      <c r="G217" s="154"/>
      <c r="H217" s="162"/>
      <c r="I217" s="223"/>
      <c r="J217" s="162"/>
      <c r="K217" s="129"/>
      <c r="L217" s="79"/>
      <c r="M217" s="79"/>
      <c r="N217" s="79"/>
      <c r="O217" s="82"/>
    </row>
    <row r="218" ht="19.5" customHeight="1">
      <c r="A218" s="52"/>
      <c r="B218" s="171"/>
      <c r="C218" s="172"/>
      <c r="D218" s="172"/>
      <c r="E218" s="227"/>
      <c r="F218" s="228"/>
      <c r="G218" s="154"/>
      <c r="H218" s="162"/>
      <c r="I218" s="223"/>
      <c r="J218" s="162"/>
      <c r="K218" s="129"/>
      <c r="L218" s="79"/>
      <c r="M218" s="79"/>
      <c r="N218" s="79"/>
      <c r="O218" s="82"/>
    </row>
    <row r="219" ht="19.5" customHeight="1">
      <c r="A219" s="52"/>
      <c r="B219" s="171"/>
      <c r="C219" s="172"/>
      <c r="D219" s="172"/>
      <c r="E219" s="227"/>
      <c r="F219" s="228"/>
      <c r="G219" s="154"/>
      <c r="H219" s="162"/>
      <c r="I219" s="223"/>
      <c r="J219" s="162"/>
      <c r="K219" s="129"/>
      <c r="L219" s="79"/>
      <c r="M219" s="79"/>
      <c r="N219" s="79"/>
      <c r="O219" s="82"/>
    </row>
    <row r="220" ht="19.5" customHeight="1">
      <c r="A220" s="52"/>
      <c r="B220" s="171"/>
      <c r="C220" s="172"/>
      <c r="D220" s="172"/>
      <c r="E220" s="227"/>
      <c r="F220" s="228"/>
      <c r="G220" s="154"/>
      <c r="H220" s="162"/>
      <c r="I220" s="223"/>
      <c r="J220" s="162"/>
      <c r="K220" s="129"/>
      <c r="L220" s="79"/>
      <c r="M220" s="79"/>
      <c r="N220" s="79"/>
      <c r="O220" s="82"/>
    </row>
    <row r="221" ht="19.5" customHeight="1">
      <c r="A221" s="52"/>
      <c r="B221" s="171"/>
      <c r="C221" s="172"/>
      <c r="D221" s="172"/>
      <c r="E221" s="227"/>
      <c r="F221" s="228"/>
      <c r="G221" s="154"/>
      <c r="H221" s="162"/>
      <c r="I221" s="223"/>
      <c r="J221" s="162"/>
      <c r="K221" s="129"/>
      <c r="L221" s="79"/>
      <c r="M221" s="79"/>
      <c r="N221" s="79"/>
      <c r="O221" s="82"/>
    </row>
    <row r="222" ht="19.5" customHeight="1">
      <c r="A222" s="52"/>
      <c r="B222" s="171"/>
      <c r="C222" s="172"/>
      <c r="D222" s="172"/>
      <c r="E222" s="227"/>
      <c r="F222" s="228"/>
      <c r="G222" s="154"/>
      <c r="H222" s="162"/>
      <c r="I222" s="223"/>
      <c r="J222" s="162"/>
      <c r="K222" s="129"/>
      <c r="L222" s="79"/>
      <c r="M222" s="79"/>
      <c r="N222" s="79"/>
      <c r="O222" s="82"/>
    </row>
    <row r="223" ht="15.75" customHeight="1">
      <c r="A223" s="261"/>
      <c r="B223" s="171"/>
      <c r="C223" s="172"/>
      <c r="D223" s="172"/>
      <c r="E223" s="227"/>
      <c r="F223" s="228"/>
      <c r="G223" s="154"/>
      <c r="H223" s="162"/>
      <c r="I223" s="223"/>
      <c r="J223" s="162"/>
      <c r="K223" s="129"/>
      <c r="L223" s="79"/>
      <c r="M223" s="79"/>
      <c r="N223" s="79"/>
      <c r="O223" s="82"/>
    </row>
    <row r="224" ht="15.75" customHeight="1">
      <c r="A224" s="261"/>
      <c r="B224" s="171"/>
      <c r="C224" s="172"/>
      <c r="D224" s="172"/>
      <c r="E224" s="227"/>
      <c r="F224" s="228"/>
      <c r="G224" s="154"/>
      <c r="H224" s="162"/>
      <c r="I224" s="223"/>
      <c r="J224" s="162"/>
      <c r="K224" s="129"/>
      <c r="L224" s="79"/>
      <c r="M224" s="79"/>
      <c r="N224" s="79"/>
      <c r="O224" s="82"/>
    </row>
    <row r="225" ht="15.75" customHeight="1">
      <c r="A225" s="261"/>
      <c r="B225" s="171"/>
      <c r="C225" s="172"/>
      <c r="D225" s="172"/>
      <c r="E225" s="227"/>
      <c r="F225" s="228"/>
      <c r="G225" s="154"/>
      <c r="H225" s="162"/>
      <c r="I225" s="223"/>
      <c r="J225" s="162"/>
      <c r="K225" s="129"/>
      <c r="L225" s="79"/>
      <c r="M225" s="79"/>
      <c r="N225" s="79"/>
      <c r="O225" s="82"/>
    </row>
    <row r="226" ht="15.75" customHeight="1">
      <c r="A226" s="261"/>
      <c r="B226" s="171"/>
      <c r="C226" s="172"/>
      <c r="D226" s="172"/>
      <c r="E226" s="227"/>
      <c r="F226" s="228"/>
      <c r="G226" s="154"/>
      <c r="H226" s="162"/>
      <c r="I226" s="223"/>
      <c r="J226" s="162"/>
      <c r="K226" s="129"/>
      <c r="L226" s="79"/>
      <c r="M226" s="79"/>
      <c r="N226" s="79"/>
      <c r="O226" s="82"/>
    </row>
    <row r="227" ht="15.75" customHeight="1">
      <c r="A227" s="261"/>
      <c r="B227" s="171"/>
      <c r="C227" s="172"/>
      <c r="D227" s="172"/>
      <c r="E227" s="227"/>
      <c r="F227" s="228"/>
      <c r="G227" s="154"/>
      <c r="H227" s="162"/>
      <c r="I227" s="223"/>
      <c r="J227" s="162"/>
      <c r="K227" s="129"/>
      <c r="L227" s="79"/>
      <c r="M227" s="79"/>
      <c r="N227" s="79"/>
      <c r="O227" s="82"/>
    </row>
    <row r="228" ht="15.75" customHeight="1">
      <c r="A228" s="261"/>
      <c r="B228" s="171"/>
      <c r="C228" s="172"/>
      <c r="D228" s="172"/>
      <c r="E228" s="227"/>
      <c r="F228" s="228"/>
      <c r="G228" s="154"/>
      <c r="H228" s="162"/>
      <c r="I228" s="223"/>
      <c r="J228" s="162"/>
      <c r="K228" s="129"/>
      <c r="L228" s="79"/>
      <c r="M228" s="79"/>
      <c r="N228" s="79"/>
      <c r="O228" s="82"/>
    </row>
    <row r="229" ht="15.75" customHeight="1">
      <c r="A229" s="261"/>
      <c r="B229" s="171"/>
      <c r="C229" s="172"/>
      <c r="D229" s="172"/>
      <c r="E229" s="227"/>
      <c r="F229" s="228"/>
      <c r="G229" s="154"/>
      <c r="H229" s="162"/>
      <c r="I229" s="223"/>
      <c r="J229" s="162"/>
      <c r="K229" s="129"/>
      <c r="L229" s="79"/>
      <c r="M229" s="79"/>
      <c r="N229" s="79"/>
      <c r="O229" s="82"/>
    </row>
    <row r="230" ht="15.75" customHeight="1">
      <c r="A230" s="261"/>
      <c r="B230" s="171"/>
      <c r="C230" s="172"/>
      <c r="D230" s="172"/>
      <c r="E230" s="227"/>
      <c r="F230" s="228"/>
      <c r="G230" s="154"/>
      <c r="H230" s="162"/>
      <c r="I230" s="223"/>
      <c r="J230" s="162"/>
      <c r="K230" s="129"/>
      <c r="L230" s="79"/>
      <c r="M230" s="79"/>
      <c r="N230" s="79"/>
      <c r="O230" s="82"/>
    </row>
    <row r="231" ht="15.75" customHeight="1">
      <c r="A231" s="261"/>
      <c r="B231" s="171"/>
      <c r="C231" s="172"/>
      <c r="D231" s="172"/>
      <c r="E231" s="227"/>
      <c r="F231" s="228"/>
      <c r="G231" s="154"/>
      <c r="H231" s="162"/>
      <c r="I231" s="223"/>
      <c r="J231" s="162"/>
      <c r="K231" s="129"/>
      <c r="L231" s="79"/>
      <c r="M231" s="79"/>
      <c r="N231" s="79"/>
      <c r="O231" s="82"/>
    </row>
    <row r="232" ht="15.75" customHeight="1">
      <c r="A232" s="261"/>
      <c r="B232" s="171"/>
      <c r="C232" s="172"/>
      <c r="D232" s="172"/>
      <c r="E232" s="227"/>
      <c r="F232" s="228"/>
      <c r="G232" s="154"/>
      <c r="H232" s="162"/>
      <c r="I232" s="223"/>
      <c r="J232" s="162"/>
      <c r="K232" s="129"/>
      <c r="L232" s="79"/>
      <c r="M232" s="79"/>
      <c r="N232" s="79"/>
      <c r="O232" s="82"/>
    </row>
    <row r="233" ht="15.75" customHeight="1">
      <c r="A233" s="261"/>
      <c r="B233" s="171"/>
      <c r="C233" s="172"/>
      <c r="D233" s="172"/>
      <c r="E233" s="227"/>
      <c r="F233" s="228"/>
      <c r="G233" s="154"/>
      <c r="H233" s="162"/>
      <c r="I233" s="223"/>
      <c r="J233" s="162"/>
      <c r="K233" s="129"/>
      <c r="L233" s="79"/>
      <c r="M233" s="79"/>
      <c r="N233" s="79"/>
      <c r="O233" s="82"/>
    </row>
    <row r="234" ht="15.75" customHeight="1">
      <c r="A234" s="261"/>
      <c r="B234" s="171"/>
      <c r="C234" s="172"/>
      <c r="D234" s="172"/>
      <c r="E234" s="227"/>
      <c r="F234" s="228"/>
      <c r="G234" s="154"/>
      <c r="H234" s="162"/>
      <c r="I234" s="223"/>
      <c r="J234" s="162"/>
      <c r="K234" s="129"/>
      <c r="L234" s="79"/>
      <c r="M234" s="79"/>
      <c r="N234" s="79"/>
      <c r="O234" s="82"/>
    </row>
    <row r="235" ht="15.75" customHeight="1">
      <c r="A235" s="261"/>
      <c r="B235" s="171"/>
      <c r="C235" s="172"/>
      <c r="D235" s="172"/>
      <c r="E235" s="227"/>
      <c r="F235" s="228"/>
      <c r="G235" s="154"/>
      <c r="H235" s="162"/>
      <c r="I235" s="223"/>
      <c r="J235" s="162"/>
      <c r="K235" s="129"/>
      <c r="L235" s="79"/>
      <c r="M235" s="79"/>
      <c r="N235" s="79"/>
      <c r="O235" s="82"/>
    </row>
    <row r="236" ht="15.75" customHeight="1">
      <c r="A236" s="261"/>
      <c r="B236" s="171"/>
      <c r="C236" s="172"/>
      <c r="D236" s="172"/>
      <c r="E236" s="227"/>
      <c r="F236" s="228"/>
      <c r="G236" s="154"/>
      <c r="H236" s="162"/>
      <c r="I236" s="223"/>
      <c r="J236" s="162"/>
      <c r="K236" s="129"/>
      <c r="L236" s="79"/>
      <c r="M236" s="79"/>
      <c r="N236" s="79"/>
      <c r="O236" s="82"/>
    </row>
    <row r="237" ht="15.75" customHeight="1">
      <c r="A237" s="261"/>
      <c r="B237" s="171"/>
      <c r="C237" s="172"/>
      <c r="D237" s="172"/>
      <c r="E237" s="227"/>
      <c r="F237" s="228"/>
      <c r="G237" s="154"/>
      <c r="H237" s="162"/>
      <c r="I237" s="223"/>
      <c r="J237" s="162"/>
      <c r="K237" s="129"/>
      <c r="L237" s="79"/>
      <c r="M237" s="79"/>
      <c r="N237" s="79"/>
      <c r="O237" s="82"/>
    </row>
    <row r="238" ht="15.75" customHeight="1">
      <c r="A238" s="261"/>
      <c r="B238" s="171"/>
      <c r="C238" s="172"/>
      <c r="D238" s="172"/>
      <c r="E238" s="227"/>
      <c r="F238" s="228"/>
      <c r="G238" s="154"/>
      <c r="H238" s="162"/>
      <c r="I238" s="223"/>
      <c r="J238" s="162"/>
      <c r="K238" s="129"/>
      <c r="L238" s="79"/>
      <c r="M238" s="79"/>
      <c r="N238" s="79"/>
      <c r="O238" s="82"/>
    </row>
    <row r="239" ht="15.75" customHeight="1">
      <c r="A239" s="261"/>
      <c r="B239" s="171"/>
      <c r="C239" s="172"/>
      <c r="D239" s="172"/>
      <c r="E239" s="227"/>
      <c r="F239" s="228"/>
      <c r="G239" s="154"/>
      <c r="H239" s="162"/>
      <c r="I239" s="223"/>
      <c r="J239" s="162"/>
      <c r="K239" s="129"/>
      <c r="L239" s="79"/>
      <c r="M239" s="79"/>
      <c r="N239" s="79"/>
      <c r="O239" s="82"/>
    </row>
    <row r="240" ht="15.75" customHeight="1">
      <c r="A240" s="261"/>
      <c r="B240" s="171"/>
      <c r="C240" s="172"/>
      <c r="D240" s="172"/>
      <c r="E240" s="227"/>
      <c r="F240" s="228"/>
      <c r="G240" s="154"/>
      <c r="H240" s="162"/>
      <c r="I240" s="223"/>
      <c r="J240" s="162"/>
      <c r="K240" s="129"/>
      <c r="L240" s="79"/>
      <c r="M240" s="79"/>
      <c r="N240" s="79"/>
      <c r="O240" s="82"/>
    </row>
    <row r="241" ht="15.75" customHeight="1">
      <c r="A241" s="261"/>
      <c r="B241" s="171"/>
      <c r="C241" s="172"/>
      <c r="D241" s="172"/>
      <c r="E241" s="227"/>
      <c r="F241" s="228"/>
      <c r="G241" s="154"/>
      <c r="H241" s="162"/>
      <c r="I241" s="223"/>
      <c r="J241" s="162"/>
      <c r="K241" s="129"/>
      <c r="L241" s="79"/>
      <c r="M241" s="79"/>
      <c r="N241" s="79"/>
      <c r="O241" s="82"/>
    </row>
    <row r="242" ht="15.75" customHeight="1">
      <c r="A242" s="261"/>
      <c r="B242" s="171"/>
      <c r="C242" s="172"/>
      <c r="D242" s="172"/>
      <c r="E242" s="227"/>
      <c r="F242" s="228"/>
      <c r="G242" s="154"/>
      <c r="H242" s="162"/>
      <c r="I242" s="223"/>
      <c r="J242" s="162"/>
      <c r="K242" s="129"/>
      <c r="L242" s="79"/>
      <c r="M242" s="79"/>
      <c r="N242" s="79"/>
      <c r="O242" s="82"/>
    </row>
    <row r="243" ht="15.75" customHeight="1">
      <c r="A243" s="261"/>
      <c r="B243" s="171"/>
      <c r="C243" s="172"/>
      <c r="D243" s="172"/>
      <c r="E243" s="227"/>
      <c r="F243" s="228"/>
      <c r="G243" s="154"/>
      <c r="H243" s="162"/>
      <c r="I243" s="223"/>
      <c r="J243" s="162"/>
      <c r="K243" s="129"/>
      <c r="L243" s="79"/>
      <c r="M243" s="79"/>
      <c r="N243" s="79"/>
      <c r="O243" s="82"/>
    </row>
    <row r="244" ht="15.75" customHeight="1">
      <c r="A244" s="261"/>
      <c r="B244" s="171"/>
      <c r="C244" s="172"/>
      <c r="D244" s="172"/>
      <c r="E244" s="227"/>
      <c r="F244" s="228"/>
      <c r="G244" s="154"/>
      <c r="H244" s="162"/>
      <c r="I244" s="223"/>
      <c r="J244" s="162"/>
      <c r="K244" s="129"/>
      <c r="L244" s="79"/>
      <c r="M244" s="79"/>
      <c r="N244" s="79"/>
      <c r="O244" s="82"/>
    </row>
    <row r="245" ht="15.75" customHeight="1">
      <c r="A245" s="261"/>
      <c r="B245" s="171"/>
      <c r="C245" s="172"/>
      <c r="D245" s="172"/>
      <c r="E245" s="227"/>
      <c r="F245" s="228"/>
      <c r="G245" s="154"/>
      <c r="H245" s="162"/>
      <c r="I245" s="223"/>
      <c r="J245" s="162"/>
      <c r="K245" s="129"/>
      <c r="L245" s="79"/>
      <c r="M245" s="79"/>
      <c r="N245" s="79"/>
      <c r="O245" s="82"/>
    </row>
    <row r="246" ht="15.75" customHeight="1">
      <c r="A246" s="261"/>
      <c r="B246" s="171"/>
      <c r="C246" s="172"/>
      <c r="D246" s="172"/>
      <c r="E246" s="227"/>
      <c r="F246" s="228"/>
      <c r="G246" s="154"/>
      <c r="H246" s="162"/>
      <c r="I246" s="223"/>
      <c r="J246" s="162"/>
      <c r="K246" s="129"/>
      <c r="L246" s="79"/>
      <c r="M246" s="79"/>
      <c r="N246" s="79"/>
      <c r="O246" s="82"/>
    </row>
    <row r="247" ht="15.75" customHeight="1">
      <c r="A247" s="261"/>
      <c r="B247" s="171"/>
      <c r="C247" s="172"/>
      <c r="D247" s="172"/>
      <c r="E247" s="227"/>
      <c r="F247" s="228"/>
      <c r="G247" s="154"/>
      <c r="H247" s="162"/>
      <c r="I247" s="223"/>
      <c r="J247" s="162"/>
      <c r="K247" s="129"/>
      <c r="L247" s="79"/>
      <c r="M247" s="79"/>
      <c r="N247" s="79"/>
      <c r="O247" s="82"/>
    </row>
    <row r="248" ht="15.75" customHeight="1">
      <c r="A248" s="261"/>
      <c r="B248" s="171"/>
      <c r="C248" s="172"/>
      <c r="D248" s="172"/>
      <c r="E248" s="227"/>
      <c r="F248" s="228"/>
      <c r="G248" s="154"/>
      <c r="H248" s="162"/>
      <c r="I248" s="223"/>
      <c r="J248" s="162"/>
      <c r="K248" s="129"/>
      <c r="L248" s="79"/>
      <c r="M248" s="79"/>
      <c r="N248" s="79"/>
      <c r="O248" s="82"/>
    </row>
    <row r="249" ht="15.75" customHeight="1">
      <c r="A249" s="261"/>
      <c r="B249" s="171"/>
      <c r="C249" s="172"/>
      <c r="D249" s="172"/>
      <c r="E249" s="227"/>
      <c r="F249" s="228"/>
      <c r="G249" s="154"/>
      <c r="H249" s="162"/>
      <c r="I249" s="223"/>
      <c r="J249" s="162"/>
      <c r="K249" s="129"/>
      <c r="L249" s="79"/>
      <c r="M249" s="79"/>
      <c r="N249" s="79"/>
      <c r="O249" s="82"/>
    </row>
    <row r="250" ht="15.75" customHeight="1">
      <c r="A250" s="261"/>
      <c r="B250" s="171"/>
      <c r="C250" s="172"/>
      <c r="D250" s="172"/>
      <c r="E250" s="227"/>
      <c r="F250" s="228"/>
      <c r="G250" s="154"/>
      <c r="H250" s="162"/>
      <c r="I250" s="223"/>
      <c r="J250" s="162"/>
      <c r="K250" s="129"/>
      <c r="L250" s="79"/>
      <c r="M250" s="79"/>
      <c r="N250" s="79"/>
      <c r="O250" s="82"/>
    </row>
    <row r="251" ht="15.75" customHeight="1">
      <c r="A251" s="261"/>
      <c r="B251" s="171"/>
      <c r="C251" s="172"/>
      <c r="D251" s="172"/>
      <c r="E251" s="227"/>
      <c r="F251" s="228"/>
      <c r="G251" s="154"/>
      <c r="H251" s="162"/>
      <c r="I251" s="223"/>
      <c r="J251" s="162"/>
      <c r="K251" s="129"/>
      <c r="L251" s="79"/>
      <c r="M251" s="79"/>
      <c r="N251" s="79"/>
      <c r="O251" s="82"/>
    </row>
    <row r="252" ht="15.75" customHeight="1">
      <c r="A252" s="261"/>
      <c r="B252" s="171"/>
      <c r="C252" s="172"/>
      <c r="D252" s="172"/>
      <c r="E252" s="227"/>
      <c r="F252" s="228"/>
      <c r="G252" s="154"/>
      <c r="H252" s="162"/>
      <c r="I252" s="223"/>
      <c r="J252" s="162"/>
      <c r="K252" s="129"/>
      <c r="L252" s="79"/>
      <c r="M252" s="79"/>
      <c r="N252" s="79"/>
      <c r="O252" s="82"/>
    </row>
    <row r="253" ht="15.75" customHeight="1">
      <c r="A253" s="261"/>
      <c r="B253" s="171"/>
      <c r="C253" s="172"/>
      <c r="D253" s="172"/>
      <c r="E253" s="227"/>
      <c r="F253" s="228"/>
      <c r="G253" s="154"/>
      <c r="H253" s="162"/>
      <c r="I253" s="223"/>
      <c r="J253" s="162"/>
      <c r="K253" s="129"/>
      <c r="L253" s="79"/>
      <c r="M253" s="79"/>
      <c r="N253" s="79"/>
      <c r="O253" s="82"/>
    </row>
    <row r="254" ht="15.75" customHeight="1">
      <c r="A254" s="261"/>
      <c r="B254" s="171"/>
      <c r="C254" s="172"/>
      <c r="D254" s="172"/>
      <c r="E254" s="227"/>
      <c r="F254" s="228"/>
      <c r="G254" s="154"/>
      <c r="H254" s="162"/>
      <c r="I254" s="223"/>
      <c r="J254" s="162"/>
      <c r="K254" s="129"/>
      <c r="L254" s="79"/>
      <c r="M254" s="79"/>
      <c r="N254" s="79"/>
      <c r="O254" s="82"/>
    </row>
    <row r="255" ht="15.75" customHeight="1">
      <c r="A255" s="261"/>
      <c r="B255" s="171"/>
      <c r="C255" s="172"/>
      <c r="D255" s="172"/>
      <c r="E255" s="227"/>
      <c r="F255" s="228"/>
      <c r="G255" s="154"/>
      <c r="H255" s="162"/>
      <c r="I255" s="223"/>
      <c r="J255" s="162"/>
      <c r="K255" s="129"/>
      <c r="L255" s="79"/>
      <c r="M255" s="79"/>
      <c r="N255" s="79"/>
      <c r="O255" s="82"/>
    </row>
    <row r="256" ht="15.75" customHeight="1">
      <c r="A256" s="261"/>
      <c r="B256" s="171"/>
      <c r="C256" s="172"/>
      <c r="D256" s="172"/>
      <c r="E256" s="227"/>
      <c r="F256" s="228"/>
      <c r="G256" s="154"/>
      <c r="H256" s="162"/>
      <c r="I256" s="223"/>
      <c r="J256" s="162"/>
      <c r="K256" s="129"/>
      <c r="L256" s="79"/>
      <c r="M256" s="79"/>
      <c r="N256" s="79"/>
      <c r="O256" s="82"/>
    </row>
    <row r="257" ht="15.75" customHeight="1">
      <c r="A257" s="261"/>
      <c r="B257" s="171"/>
      <c r="C257" s="172"/>
      <c r="D257" s="172"/>
      <c r="E257" s="227"/>
      <c r="F257" s="228"/>
      <c r="G257" s="154"/>
      <c r="H257" s="162"/>
      <c r="I257" s="223"/>
      <c r="J257" s="162"/>
      <c r="K257" s="129"/>
      <c r="L257" s="79"/>
      <c r="M257" s="79"/>
      <c r="N257" s="79"/>
      <c r="O257" s="82"/>
    </row>
    <row r="258" ht="15.75" customHeight="1">
      <c r="A258" s="261"/>
      <c r="B258" s="171"/>
      <c r="C258" s="172"/>
      <c r="D258" s="172"/>
      <c r="E258" s="227"/>
      <c r="F258" s="228"/>
      <c r="G258" s="154"/>
      <c r="H258" s="162"/>
      <c r="I258" s="223"/>
      <c r="J258" s="162"/>
      <c r="K258" s="129"/>
      <c r="L258" s="79"/>
      <c r="M258" s="79"/>
      <c r="N258" s="79"/>
      <c r="O258" s="82"/>
    </row>
    <row r="259" ht="15.75" customHeight="1">
      <c r="A259" s="261"/>
      <c r="B259" s="171"/>
      <c r="C259" s="172"/>
      <c r="D259" s="172"/>
      <c r="E259" s="227"/>
      <c r="F259" s="228"/>
      <c r="G259" s="154"/>
      <c r="H259" s="162"/>
      <c r="I259" s="223"/>
      <c r="J259" s="162"/>
      <c r="K259" s="129"/>
      <c r="L259" s="79"/>
      <c r="M259" s="79"/>
      <c r="N259" s="79"/>
      <c r="O259" s="82"/>
    </row>
    <row r="260" ht="15.75" customHeight="1">
      <c r="A260" s="261"/>
      <c r="B260" s="171"/>
      <c r="C260" s="172"/>
      <c r="D260" s="172"/>
      <c r="E260" s="227"/>
      <c r="F260" s="228"/>
      <c r="G260" s="154"/>
      <c r="H260" s="162"/>
      <c r="I260" s="223"/>
      <c r="J260" s="162"/>
      <c r="K260" s="129"/>
      <c r="L260" s="79"/>
      <c r="M260" s="79"/>
      <c r="N260" s="79"/>
      <c r="O260" s="82"/>
    </row>
    <row r="261" ht="15.75" customHeight="1">
      <c r="A261" s="261"/>
      <c r="B261" s="171"/>
      <c r="C261" s="172"/>
      <c r="D261" s="172"/>
      <c r="E261" s="227"/>
      <c r="F261" s="228"/>
      <c r="G261" s="154"/>
      <c r="H261" s="162"/>
      <c r="I261" s="223"/>
      <c r="J261" s="162"/>
      <c r="K261" s="129"/>
      <c r="L261" s="79"/>
      <c r="M261" s="79"/>
      <c r="N261" s="79"/>
      <c r="O261" s="82"/>
    </row>
    <row r="262" ht="15.75" customHeight="1">
      <c r="A262" s="261"/>
      <c r="B262" s="171"/>
      <c r="C262" s="172"/>
      <c r="D262" s="172"/>
      <c r="E262" s="227"/>
      <c r="F262" s="228"/>
      <c r="G262" s="154"/>
      <c r="H262" s="162"/>
      <c r="I262" s="223"/>
      <c r="J262" s="162"/>
      <c r="K262" s="129"/>
      <c r="L262" s="79"/>
      <c r="M262" s="79"/>
      <c r="N262" s="79"/>
      <c r="O262" s="82"/>
    </row>
    <row r="263" ht="15.75" customHeight="1">
      <c r="A263" s="261"/>
      <c r="B263" s="171"/>
      <c r="C263" s="172"/>
      <c r="D263" s="172"/>
      <c r="E263" s="227"/>
      <c r="F263" s="228"/>
      <c r="G263" s="154"/>
      <c r="H263" s="162"/>
      <c r="I263" s="223"/>
      <c r="J263" s="162"/>
      <c r="K263" s="129"/>
      <c r="L263" s="79"/>
      <c r="M263" s="79"/>
      <c r="N263" s="79"/>
      <c r="O263" s="82"/>
    </row>
    <row r="264" ht="15.75" customHeight="1">
      <c r="A264" s="261"/>
      <c r="B264" s="171"/>
      <c r="C264" s="172"/>
      <c r="D264" s="172"/>
      <c r="E264" s="227"/>
      <c r="F264" s="228"/>
      <c r="G264" s="154"/>
      <c r="H264" s="162"/>
      <c r="I264" s="223"/>
      <c r="J264" s="162"/>
      <c r="K264" s="129"/>
      <c r="L264" s="79"/>
      <c r="M264" s="79"/>
      <c r="N264" s="79"/>
      <c r="O264" s="82"/>
    </row>
    <row r="265" ht="15.75" customHeight="1">
      <c r="A265" s="261"/>
      <c r="B265" s="171"/>
      <c r="C265" s="172"/>
      <c r="D265" s="172"/>
      <c r="E265" s="227"/>
      <c r="F265" s="228"/>
      <c r="G265" s="154"/>
      <c r="H265" s="162"/>
      <c r="I265" s="223"/>
      <c r="J265" s="162"/>
      <c r="K265" s="129"/>
      <c r="L265" s="79"/>
      <c r="M265" s="79"/>
      <c r="N265" s="79"/>
      <c r="O265" s="82"/>
    </row>
    <row r="266" ht="15.75" customHeight="1">
      <c r="A266" s="261"/>
      <c r="B266" s="171"/>
      <c r="C266" s="172"/>
      <c r="D266" s="172"/>
      <c r="E266" s="227"/>
      <c r="F266" s="228"/>
      <c r="G266" s="154"/>
      <c r="H266" s="162"/>
      <c r="I266" s="223"/>
      <c r="J266" s="162"/>
      <c r="K266" s="129"/>
      <c r="L266" s="79"/>
      <c r="M266" s="79"/>
      <c r="N266" s="79"/>
      <c r="O266" s="82"/>
    </row>
    <row r="267" ht="15.75" customHeight="1">
      <c r="A267" s="261"/>
      <c r="B267" s="171"/>
      <c r="C267" s="172"/>
      <c r="D267" s="172"/>
      <c r="E267" s="227"/>
      <c r="F267" s="228"/>
      <c r="G267" s="154"/>
      <c r="H267" s="162"/>
      <c r="I267" s="223"/>
      <c r="J267" s="162"/>
      <c r="K267" s="129"/>
      <c r="L267" s="79"/>
      <c r="M267" s="79"/>
      <c r="N267" s="79"/>
      <c r="O267" s="82"/>
    </row>
    <row r="268" ht="15.75" customHeight="1">
      <c r="A268" s="261"/>
      <c r="B268" s="171"/>
      <c r="C268" s="172"/>
      <c r="D268" s="172"/>
      <c r="E268" s="227"/>
      <c r="F268" s="228"/>
      <c r="G268" s="154"/>
      <c r="H268" s="162"/>
      <c r="I268" s="223"/>
      <c r="J268" s="162"/>
      <c r="K268" s="129"/>
      <c r="L268" s="79"/>
      <c r="M268" s="79"/>
      <c r="N268" s="79"/>
      <c r="O268" s="82"/>
    </row>
    <row r="269" ht="15.75" customHeight="1">
      <c r="A269" s="261"/>
      <c r="B269" s="171"/>
      <c r="C269" s="172"/>
      <c r="D269" s="172"/>
      <c r="E269" s="227"/>
      <c r="F269" s="228"/>
      <c r="G269" s="154"/>
      <c r="H269" s="162"/>
      <c r="I269" s="223"/>
      <c r="J269" s="162"/>
      <c r="K269" s="129"/>
      <c r="L269" s="79"/>
      <c r="M269" s="79"/>
      <c r="N269" s="79"/>
      <c r="O269" s="82"/>
    </row>
    <row r="270" ht="15.75" customHeight="1">
      <c r="A270" s="261"/>
      <c r="B270" s="171"/>
      <c r="C270" s="172"/>
      <c r="D270" s="172"/>
      <c r="E270" s="227"/>
      <c r="F270" s="228"/>
      <c r="G270" s="154"/>
      <c r="H270" s="162"/>
      <c r="I270" s="223"/>
      <c r="J270" s="162"/>
      <c r="K270" s="129"/>
      <c r="L270" s="79"/>
      <c r="M270" s="79"/>
      <c r="N270" s="79"/>
      <c r="O270" s="82"/>
    </row>
    <row r="271" ht="15.75" customHeight="1">
      <c r="A271" s="261"/>
      <c r="B271" s="171"/>
      <c r="C271" s="172"/>
      <c r="D271" s="172"/>
      <c r="E271" s="227"/>
      <c r="F271" s="228"/>
      <c r="G271" s="154"/>
      <c r="H271" s="162"/>
      <c r="I271" s="223"/>
      <c r="J271" s="162"/>
      <c r="K271" s="129"/>
      <c r="L271" s="79"/>
      <c r="M271" s="79"/>
      <c r="N271" s="79"/>
      <c r="O271" s="82"/>
    </row>
    <row r="272" ht="15.75" customHeight="1">
      <c r="A272" s="261"/>
      <c r="B272" s="171"/>
      <c r="C272" s="172"/>
      <c r="D272" s="172"/>
      <c r="E272" s="227"/>
      <c r="F272" s="228"/>
      <c r="G272" s="154"/>
      <c r="H272" s="162"/>
      <c r="I272" s="223"/>
      <c r="J272" s="162"/>
      <c r="K272" s="129"/>
      <c r="L272" s="79"/>
      <c r="M272" s="79"/>
      <c r="N272" s="79"/>
      <c r="O272" s="82"/>
    </row>
    <row r="273" ht="15.75" customHeight="1">
      <c r="A273" s="261"/>
      <c r="B273" s="171"/>
      <c r="C273" s="172"/>
      <c r="D273" s="172"/>
      <c r="E273" s="227"/>
      <c r="F273" s="228"/>
      <c r="G273" s="154"/>
      <c r="H273" s="162"/>
      <c r="I273" s="223"/>
      <c r="J273" s="162"/>
      <c r="K273" s="129"/>
      <c r="L273" s="79"/>
      <c r="M273" s="79"/>
      <c r="N273" s="79"/>
      <c r="O273" s="82"/>
    </row>
    <row r="274" ht="15.75" customHeight="1">
      <c r="A274" s="261"/>
      <c r="B274" s="171"/>
      <c r="C274" s="172"/>
      <c r="D274" s="172"/>
      <c r="E274" s="227"/>
      <c r="F274" s="228"/>
      <c r="G274" s="154"/>
      <c r="H274" s="162"/>
      <c r="I274" s="223"/>
      <c r="J274" s="162"/>
      <c r="K274" s="129"/>
      <c r="L274" s="79"/>
      <c r="M274" s="79"/>
      <c r="N274" s="79"/>
      <c r="O274" s="82"/>
    </row>
    <row r="275" ht="15.75" customHeight="1">
      <c r="A275" s="261"/>
      <c r="B275" s="171"/>
      <c r="C275" s="172"/>
      <c r="D275" s="172"/>
      <c r="E275" s="227"/>
      <c r="F275" s="228"/>
      <c r="G275" s="154"/>
      <c r="H275" s="162"/>
      <c r="I275" s="223"/>
      <c r="J275" s="162"/>
      <c r="K275" s="129"/>
      <c r="L275" s="79"/>
      <c r="M275" s="79"/>
      <c r="N275" s="79"/>
      <c r="O275" s="82"/>
    </row>
    <row r="276" ht="15.75" customHeight="1">
      <c r="A276" s="261"/>
      <c r="B276" s="171"/>
      <c r="C276" s="172"/>
      <c r="D276" s="172"/>
      <c r="E276" s="227"/>
      <c r="F276" s="228"/>
      <c r="G276" s="154"/>
      <c r="H276" s="162"/>
      <c r="I276" s="223"/>
      <c r="J276" s="162"/>
      <c r="K276" s="129"/>
      <c r="L276" s="79"/>
      <c r="M276" s="79"/>
      <c r="N276" s="79"/>
      <c r="O276" s="82"/>
    </row>
    <row r="277" ht="15.75" customHeight="1">
      <c r="A277" s="261"/>
      <c r="B277" s="171"/>
      <c r="C277" s="172"/>
      <c r="D277" s="172"/>
      <c r="E277" s="227"/>
      <c r="F277" s="228"/>
      <c r="G277" s="154"/>
      <c r="H277" s="162"/>
      <c r="I277" s="223"/>
      <c r="J277" s="162"/>
      <c r="K277" s="129"/>
      <c r="L277" s="79"/>
      <c r="M277" s="79"/>
      <c r="N277" s="79"/>
      <c r="O277" s="82"/>
    </row>
    <row r="278" ht="15.75" customHeight="1">
      <c r="A278" s="261"/>
      <c r="B278" s="171"/>
      <c r="C278" s="172"/>
      <c r="D278" s="172"/>
      <c r="E278" s="227"/>
      <c r="F278" s="228"/>
      <c r="G278" s="154"/>
      <c r="H278" s="162"/>
      <c r="I278" s="223"/>
      <c r="J278" s="162"/>
      <c r="K278" s="129"/>
      <c r="L278" s="79"/>
      <c r="M278" s="79"/>
      <c r="N278" s="79"/>
      <c r="O278" s="82"/>
    </row>
    <row r="279" ht="15.75" customHeight="1">
      <c r="A279" s="261"/>
      <c r="B279" s="171"/>
      <c r="C279" s="172"/>
      <c r="D279" s="172"/>
      <c r="E279" s="227"/>
      <c r="F279" s="228"/>
      <c r="G279" s="154"/>
      <c r="H279" s="162"/>
      <c r="I279" s="223"/>
      <c r="J279" s="162"/>
      <c r="K279" s="129"/>
      <c r="L279" s="79"/>
      <c r="M279" s="79"/>
      <c r="N279" s="79"/>
      <c r="O279" s="82"/>
    </row>
    <row r="280" ht="15.75" customHeight="1">
      <c r="A280" s="261"/>
      <c r="B280" s="171"/>
      <c r="C280" s="172"/>
      <c r="D280" s="172"/>
      <c r="E280" s="227"/>
      <c r="F280" s="228"/>
      <c r="G280" s="154"/>
      <c r="H280" s="162"/>
      <c r="I280" s="223"/>
      <c r="J280" s="162"/>
      <c r="K280" s="129"/>
      <c r="L280" s="79"/>
      <c r="M280" s="79"/>
      <c r="N280" s="79"/>
      <c r="O280" s="82"/>
    </row>
    <row r="281" ht="15.75" customHeight="1">
      <c r="A281" s="261"/>
      <c r="B281" s="171"/>
      <c r="C281" s="172"/>
      <c r="D281" s="172"/>
      <c r="E281" s="227"/>
      <c r="F281" s="228"/>
      <c r="G281" s="154"/>
      <c r="H281" s="162"/>
      <c r="I281" s="223"/>
      <c r="J281" s="162"/>
      <c r="K281" s="129"/>
      <c r="L281" s="79"/>
      <c r="M281" s="79"/>
      <c r="N281" s="79"/>
      <c r="O281" s="82"/>
    </row>
    <row r="282" ht="15.75" customHeight="1">
      <c r="A282" s="261"/>
      <c r="B282" s="171"/>
      <c r="C282" s="172"/>
      <c r="D282" s="172"/>
      <c r="E282" s="227"/>
      <c r="F282" s="228"/>
      <c r="G282" s="154"/>
      <c r="H282" s="162"/>
      <c r="I282" s="223"/>
      <c r="J282" s="162"/>
      <c r="K282" s="129"/>
      <c r="L282" s="79"/>
      <c r="M282" s="79"/>
      <c r="N282" s="79"/>
      <c r="O282" s="82"/>
    </row>
    <row r="283" ht="15.75" customHeight="1">
      <c r="A283" s="261"/>
      <c r="B283" s="171"/>
      <c r="C283" s="172"/>
      <c r="D283" s="172"/>
      <c r="E283" s="227"/>
      <c r="F283" s="228"/>
      <c r="G283" s="154"/>
      <c r="H283" s="162"/>
      <c r="I283" s="223"/>
      <c r="J283" s="162"/>
      <c r="K283" s="129"/>
      <c r="L283" s="79"/>
      <c r="M283" s="79"/>
      <c r="N283" s="79"/>
      <c r="O283" s="82"/>
    </row>
    <row r="284" ht="15.75" customHeight="1">
      <c r="A284" s="261"/>
      <c r="B284" s="171"/>
      <c r="C284" s="172"/>
      <c r="D284" s="172"/>
      <c r="E284" s="227"/>
      <c r="F284" s="228"/>
      <c r="G284" s="154"/>
      <c r="H284" s="162"/>
      <c r="I284" s="223"/>
      <c r="J284" s="162"/>
      <c r="K284" s="129"/>
      <c r="L284" s="79"/>
      <c r="M284" s="79"/>
      <c r="N284" s="79"/>
      <c r="O284" s="82"/>
    </row>
    <row r="285" ht="15.75" customHeight="1">
      <c r="A285" s="261"/>
      <c r="B285" s="171"/>
      <c r="C285" s="172"/>
      <c r="D285" s="172"/>
      <c r="E285" s="227"/>
      <c r="F285" s="228"/>
      <c r="G285" s="154"/>
      <c r="H285" s="162"/>
      <c r="I285" s="223"/>
      <c r="J285" s="162"/>
      <c r="K285" s="129"/>
      <c r="L285" s="79"/>
      <c r="M285" s="79"/>
      <c r="N285" s="79"/>
      <c r="O285" s="82"/>
    </row>
    <row r="286" ht="15.75" customHeight="1">
      <c r="A286" s="261"/>
      <c r="B286" s="171"/>
      <c r="C286" s="172"/>
      <c r="D286" s="172"/>
      <c r="E286" s="227"/>
      <c r="F286" s="228"/>
      <c r="G286" s="154"/>
      <c r="H286" s="162"/>
      <c r="I286" s="223"/>
      <c r="J286" s="162"/>
      <c r="K286" s="129"/>
      <c r="L286" s="79"/>
      <c r="M286" s="79"/>
      <c r="N286" s="79"/>
      <c r="O286" s="82"/>
    </row>
    <row r="287" ht="15.75" customHeight="1">
      <c r="A287" s="261"/>
      <c r="B287" s="171"/>
      <c r="C287" s="172"/>
      <c r="D287" s="172"/>
      <c r="E287" s="227"/>
      <c r="F287" s="228"/>
      <c r="G287" s="154"/>
      <c r="H287" s="162"/>
      <c r="I287" s="223"/>
      <c r="J287" s="162"/>
      <c r="K287" s="129"/>
      <c r="L287" s="79"/>
      <c r="M287" s="79"/>
      <c r="N287" s="79"/>
      <c r="O287" s="82"/>
    </row>
    <row r="288" ht="15.75" customHeight="1">
      <c r="A288" s="261"/>
      <c r="B288" s="171"/>
      <c r="C288" s="172"/>
      <c r="D288" s="172"/>
      <c r="E288" s="227"/>
      <c r="F288" s="228"/>
      <c r="G288" s="154"/>
      <c r="H288" s="162"/>
      <c r="I288" s="223"/>
      <c r="J288" s="162"/>
      <c r="K288" s="129"/>
      <c r="L288" s="79"/>
      <c r="M288" s="79"/>
      <c r="N288" s="79"/>
      <c r="O288" s="82"/>
    </row>
    <row r="289" ht="15.75" customHeight="1">
      <c r="A289" s="261"/>
      <c r="B289" s="171"/>
      <c r="C289" s="172"/>
      <c r="D289" s="172"/>
      <c r="E289" s="227"/>
      <c r="F289" s="228"/>
      <c r="G289" s="154"/>
      <c r="H289" s="162"/>
      <c r="I289" s="223"/>
      <c r="J289" s="162"/>
      <c r="K289" s="129"/>
      <c r="L289" s="79"/>
      <c r="M289" s="79"/>
      <c r="N289" s="79"/>
      <c r="O289" s="82"/>
    </row>
    <row r="290" ht="15.75" customHeight="1">
      <c r="A290" s="261"/>
      <c r="B290" s="171"/>
      <c r="C290" s="172"/>
      <c r="D290" s="172"/>
      <c r="E290" s="227"/>
      <c r="F290" s="228"/>
      <c r="G290" s="154"/>
      <c r="H290" s="162"/>
      <c r="I290" s="223"/>
      <c r="J290" s="162"/>
      <c r="K290" s="129"/>
      <c r="L290" s="79"/>
      <c r="M290" s="79"/>
      <c r="N290" s="79"/>
      <c r="O290" s="82"/>
    </row>
    <row r="291" ht="15.75" customHeight="1">
      <c r="A291" s="261"/>
      <c r="B291" s="171"/>
      <c r="C291" s="172"/>
      <c r="D291" s="172"/>
      <c r="E291" s="227"/>
      <c r="F291" s="228"/>
      <c r="G291" s="154"/>
      <c r="H291" s="162"/>
      <c r="I291" s="223"/>
      <c r="J291" s="162"/>
      <c r="K291" s="129"/>
      <c r="L291" s="79"/>
      <c r="M291" s="79"/>
      <c r="N291" s="79"/>
      <c r="O291" s="82"/>
    </row>
    <row r="292" ht="15.75" customHeight="1">
      <c r="A292" s="261"/>
      <c r="B292" s="171"/>
      <c r="C292" s="172"/>
      <c r="D292" s="172"/>
      <c r="E292" s="227"/>
      <c r="F292" s="228"/>
      <c r="G292" s="154"/>
      <c r="H292" s="162"/>
      <c r="I292" s="223"/>
      <c r="J292" s="162"/>
      <c r="K292" s="129"/>
      <c r="L292" s="79"/>
      <c r="M292" s="79"/>
      <c r="N292" s="79"/>
      <c r="O292" s="82"/>
    </row>
    <row r="293" ht="15.75" customHeight="1">
      <c r="A293" s="261"/>
      <c r="B293" s="171"/>
      <c r="C293" s="172"/>
      <c r="D293" s="172"/>
      <c r="E293" s="227"/>
      <c r="F293" s="228"/>
      <c r="G293" s="154"/>
      <c r="H293" s="162"/>
      <c r="I293" s="223"/>
      <c r="J293" s="162"/>
      <c r="K293" s="129"/>
      <c r="L293" s="79"/>
      <c r="M293" s="79"/>
      <c r="N293" s="79"/>
      <c r="O293" s="82"/>
    </row>
    <row r="294" ht="15.75" customHeight="1">
      <c r="A294" s="261"/>
      <c r="B294" s="171"/>
      <c r="C294" s="172"/>
      <c r="D294" s="172"/>
      <c r="E294" s="227"/>
      <c r="F294" s="228"/>
      <c r="G294" s="154"/>
      <c r="H294" s="162"/>
      <c r="I294" s="223"/>
      <c r="J294" s="162"/>
      <c r="K294" s="129"/>
      <c r="L294" s="79"/>
      <c r="M294" s="79"/>
      <c r="N294" s="79"/>
      <c r="O294" s="82"/>
    </row>
    <row r="295" ht="15.75" customHeight="1">
      <c r="A295" s="261"/>
      <c r="B295" s="171"/>
      <c r="C295" s="172"/>
      <c r="D295" s="172"/>
      <c r="E295" s="227"/>
      <c r="F295" s="228"/>
      <c r="G295" s="154"/>
      <c r="H295" s="162"/>
      <c r="I295" s="223"/>
      <c r="J295" s="162"/>
      <c r="K295" s="129"/>
      <c r="L295" s="79"/>
      <c r="M295" s="79"/>
      <c r="N295" s="79"/>
      <c r="O295" s="82"/>
    </row>
    <row r="296" ht="15.75" customHeight="1">
      <c r="A296" s="261"/>
      <c r="B296" s="171"/>
      <c r="C296" s="172"/>
      <c r="D296" s="172"/>
      <c r="E296" s="227"/>
      <c r="F296" s="228"/>
      <c r="G296" s="154"/>
      <c r="H296" s="162"/>
      <c r="I296" s="223"/>
      <c r="J296" s="162"/>
      <c r="K296" s="129"/>
      <c r="L296" s="79"/>
      <c r="M296" s="79"/>
      <c r="N296" s="79"/>
      <c r="O296" s="82"/>
    </row>
    <row r="297" ht="15.75" customHeight="1">
      <c r="A297" s="261"/>
      <c r="B297" s="171"/>
      <c r="C297" s="172"/>
      <c r="D297" s="172"/>
      <c r="E297" s="227"/>
      <c r="F297" s="228"/>
      <c r="G297" s="154"/>
      <c r="H297" s="162"/>
      <c r="I297" s="223"/>
      <c r="J297" s="162"/>
      <c r="K297" s="129"/>
      <c r="L297" s="79"/>
      <c r="M297" s="79"/>
      <c r="N297" s="79"/>
      <c r="O297" s="82"/>
    </row>
    <row r="298" ht="15.75" customHeight="1">
      <c r="A298" s="261"/>
      <c r="B298" s="171"/>
      <c r="C298" s="172"/>
      <c r="D298" s="172"/>
      <c r="E298" s="227"/>
      <c r="F298" s="228"/>
      <c r="G298" s="154"/>
      <c r="H298" s="162"/>
      <c r="I298" s="223"/>
      <c r="J298" s="162"/>
      <c r="K298" s="129"/>
      <c r="L298" s="79"/>
      <c r="M298" s="79"/>
      <c r="N298" s="79"/>
      <c r="O298" s="82"/>
    </row>
    <row r="299" ht="15.75" customHeight="1">
      <c r="A299" s="261"/>
      <c r="B299" s="171"/>
      <c r="C299" s="172"/>
      <c r="D299" s="172"/>
      <c r="E299" s="227"/>
      <c r="F299" s="228"/>
      <c r="G299" s="154"/>
      <c r="H299" s="162"/>
      <c r="I299" s="223"/>
      <c r="J299" s="162"/>
      <c r="K299" s="129"/>
      <c r="L299" s="79"/>
      <c r="M299" s="79"/>
      <c r="N299" s="79"/>
      <c r="O299" s="82"/>
    </row>
    <row r="300" ht="15.75" customHeight="1">
      <c r="A300" s="261"/>
      <c r="B300" s="171"/>
      <c r="C300" s="172"/>
      <c r="D300" s="172"/>
      <c r="E300" s="227"/>
      <c r="F300" s="228"/>
      <c r="G300" s="154"/>
      <c r="H300" s="162"/>
      <c r="I300" s="223"/>
      <c r="J300" s="162"/>
      <c r="K300" s="129"/>
      <c r="L300" s="79"/>
      <c r="M300" s="79"/>
      <c r="N300" s="79"/>
      <c r="O300" s="82"/>
    </row>
    <row r="301" ht="15.75" customHeight="1">
      <c r="A301" s="261"/>
      <c r="B301" s="171"/>
      <c r="C301" s="172"/>
      <c r="D301" s="172"/>
      <c r="E301" s="227"/>
      <c r="F301" s="228"/>
      <c r="G301" s="154"/>
      <c r="H301" s="162"/>
      <c r="I301" s="223"/>
      <c r="J301" s="162"/>
      <c r="K301" s="129"/>
      <c r="L301" s="79"/>
      <c r="M301" s="79"/>
      <c r="N301" s="79"/>
      <c r="O301" s="82"/>
    </row>
    <row r="302" ht="15.75" customHeight="1">
      <c r="A302" s="261"/>
      <c r="B302" s="171"/>
      <c r="C302" s="172"/>
      <c r="D302" s="172"/>
      <c r="E302" s="227"/>
      <c r="F302" s="228"/>
      <c r="G302" s="154"/>
      <c r="H302" s="162"/>
      <c r="I302" s="223"/>
      <c r="J302" s="162"/>
      <c r="K302" s="129"/>
      <c r="L302" s="79"/>
      <c r="M302" s="79"/>
      <c r="N302" s="79"/>
      <c r="O302" s="82"/>
    </row>
    <row r="303" ht="15.75" customHeight="1">
      <c r="A303" s="261"/>
      <c r="B303" s="171"/>
      <c r="C303" s="172"/>
      <c r="D303" s="172"/>
      <c r="E303" s="227"/>
      <c r="F303" s="228"/>
      <c r="G303" s="154"/>
      <c r="H303" s="162"/>
      <c r="I303" s="223"/>
      <c r="J303" s="162"/>
      <c r="K303" s="129"/>
      <c r="L303" s="79"/>
      <c r="M303" s="79"/>
      <c r="N303" s="79"/>
      <c r="O303" s="82"/>
    </row>
    <row r="304" ht="15.75" customHeight="1">
      <c r="A304" s="261"/>
      <c r="B304" s="171"/>
      <c r="C304" s="172"/>
      <c r="D304" s="172"/>
      <c r="E304" s="227"/>
      <c r="F304" s="228"/>
      <c r="G304" s="154"/>
      <c r="H304" s="162"/>
      <c r="I304" s="223"/>
      <c r="J304" s="162"/>
      <c r="K304" s="129"/>
      <c r="L304" s="79"/>
      <c r="M304" s="79"/>
      <c r="N304" s="79"/>
      <c r="O304" s="82"/>
    </row>
    <row r="305" ht="15.75" customHeight="1">
      <c r="A305" s="261"/>
      <c r="B305" s="171"/>
      <c r="C305" s="172"/>
      <c r="D305" s="172"/>
      <c r="E305" s="227"/>
      <c r="F305" s="228"/>
      <c r="G305" s="154"/>
      <c r="H305" s="162"/>
      <c r="I305" s="223"/>
      <c r="J305" s="162"/>
      <c r="K305" s="129"/>
      <c r="L305" s="79"/>
      <c r="M305" s="79"/>
      <c r="N305" s="79"/>
      <c r="O305" s="82"/>
    </row>
    <row r="306" ht="15.75" customHeight="1">
      <c r="A306" s="261"/>
      <c r="B306" s="171"/>
      <c r="C306" s="172"/>
      <c r="D306" s="172"/>
      <c r="E306" s="227"/>
      <c r="F306" s="228"/>
      <c r="G306" s="154"/>
      <c r="H306" s="162"/>
      <c r="I306" s="223"/>
      <c r="J306" s="162"/>
      <c r="K306" s="129"/>
      <c r="L306" s="79"/>
      <c r="M306" s="79"/>
      <c r="N306" s="79"/>
      <c r="O306" s="82"/>
    </row>
    <row r="307" ht="15.75" customHeight="1">
      <c r="A307" s="261"/>
      <c r="B307" s="171"/>
      <c r="C307" s="172"/>
      <c r="D307" s="172"/>
      <c r="E307" s="227"/>
      <c r="F307" s="228"/>
      <c r="G307" s="154"/>
      <c r="H307" s="162"/>
      <c r="I307" s="223"/>
      <c r="J307" s="162"/>
      <c r="K307" s="129"/>
      <c r="L307" s="79"/>
      <c r="M307" s="79"/>
      <c r="N307" s="79"/>
      <c r="O307" s="82"/>
    </row>
    <row r="308" ht="15.75" customHeight="1">
      <c r="A308" s="261"/>
      <c r="B308" s="171"/>
      <c r="C308" s="172"/>
      <c r="D308" s="172"/>
      <c r="E308" s="227"/>
      <c r="F308" s="228"/>
      <c r="G308" s="154"/>
      <c r="H308" s="162"/>
      <c r="I308" s="223"/>
      <c r="J308" s="162"/>
      <c r="K308" s="129"/>
      <c r="L308" s="79"/>
      <c r="M308" s="79"/>
      <c r="N308" s="79"/>
      <c r="O308" s="82"/>
    </row>
    <row r="309" ht="15.75" customHeight="1">
      <c r="A309" s="261"/>
      <c r="B309" s="171"/>
      <c r="C309" s="172"/>
      <c r="D309" s="172"/>
      <c r="E309" s="227"/>
      <c r="F309" s="228"/>
      <c r="G309" s="154"/>
      <c r="H309" s="162"/>
      <c r="I309" s="223"/>
      <c r="J309" s="162"/>
      <c r="K309" s="129"/>
      <c r="L309" s="79"/>
      <c r="M309" s="79"/>
      <c r="N309" s="79"/>
      <c r="O309" s="82"/>
    </row>
    <row r="310" ht="15.75" customHeight="1">
      <c r="A310" s="261"/>
      <c r="B310" s="171"/>
      <c r="C310" s="172"/>
      <c r="D310" s="172"/>
      <c r="E310" s="227"/>
      <c r="F310" s="228"/>
      <c r="G310" s="154"/>
      <c r="H310" s="162"/>
      <c r="I310" s="223"/>
      <c r="J310" s="162"/>
      <c r="K310" s="129"/>
      <c r="L310" s="79"/>
      <c r="M310" s="79"/>
      <c r="N310" s="79"/>
      <c r="O310" s="82"/>
    </row>
    <row r="311" ht="15.75" customHeight="1">
      <c r="A311" s="261"/>
      <c r="B311" s="171"/>
      <c r="C311" s="172"/>
      <c r="D311" s="172"/>
      <c r="E311" s="227"/>
      <c r="F311" s="228"/>
      <c r="G311" s="154"/>
      <c r="H311" s="162"/>
      <c r="I311" s="223"/>
      <c r="J311" s="162"/>
      <c r="K311" s="129"/>
      <c r="L311" s="79"/>
      <c r="M311" s="79"/>
      <c r="N311" s="79"/>
      <c r="O311" s="82"/>
    </row>
    <row r="312" ht="15.75" customHeight="1">
      <c r="A312" s="261"/>
      <c r="B312" s="171"/>
      <c r="C312" s="172"/>
      <c r="D312" s="172"/>
      <c r="E312" s="227"/>
      <c r="F312" s="228"/>
      <c r="G312" s="154"/>
      <c r="H312" s="162"/>
      <c r="I312" s="223"/>
      <c r="J312" s="162"/>
      <c r="K312" s="129"/>
      <c r="L312" s="79"/>
      <c r="M312" s="79"/>
      <c r="N312" s="79"/>
      <c r="O312" s="82"/>
    </row>
    <row r="313" ht="15.75" customHeight="1">
      <c r="A313" s="261"/>
      <c r="B313" s="171"/>
      <c r="C313" s="172"/>
      <c r="D313" s="172"/>
      <c r="E313" s="227"/>
      <c r="F313" s="228"/>
      <c r="G313" s="154"/>
      <c r="H313" s="162"/>
      <c r="I313" s="223"/>
      <c r="J313" s="162"/>
      <c r="K313" s="129"/>
      <c r="L313" s="79"/>
      <c r="M313" s="79"/>
      <c r="N313" s="79"/>
      <c r="O313" s="82"/>
    </row>
    <row r="314" ht="15.75" customHeight="1">
      <c r="A314" s="261"/>
      <c r="B314" s="171"/>
      <c r="C314" s="172"/>
      <c r="D314" s="172"/>
      <c r="E314" s="227"/>
      <c r="F314" s="228"/>
      <c r="G314" s="154"/>
      <c r="H314" s="162"/>
      <c r="I314" s="223"/>
      <c r="J314" s="162"/>
      <c r="K314" s="129"/>
      <c r="L314" s="79"/>
      <c r="M314" s="79"/>
      <c r="N314" s="79"/>
      <c r="O314" s="82"/>
    </row>
    <row r="315" ht="15.75" customHeight="1">
      <c r="A315" s="261"/>
      <c r="B315" s="171"/>
      <c r="C315" s="172"/>
      <c r="D315" s="172"/>
      <c r="E315" s="227"/>
      <c r="F315" s="228"/>
      <c r="G315" s="154"/>
      <c r="H315" s="162"/>
      <c r="I315" s="223"/>
      <c r="J315" s="162"/>
      <c r="K315" s="129"/>
      <c r="L315" s="79"/>
      <c r="M315" s="79"/>
      <c r="N315" s="79"/>
      <c r="O315" s="82"/>
    </row>
    <row r="316" ht="15.75" customHeight="1">
      <c r="A316" s="261"/>
      <c r="B316" s="171"/>
      <c r="C316" s="172"/>
      <c r="D316" s="172"/>
      <c r="E316" s="227"/>
      <c r="F316" s="228"/>
      <c r="G316" s="154"/>
      <c r="H316" s="162"/>
      <c r="I316" s="223"/>
      <c r="J316" s="162"/>
      <c r="K316" s="129"/>
      <c r="L316" s="79"/>
      <c r="M316" s="79"/>
      <c r="N316" s="79"/>
      <c r="O316" s="82"/>
    </row>
    <row r="317" ht="15.75" customHeight="1">
      <c r="A317" s="261"/>
      <c r="B317" s="171"/>
      <c r="C317" s="172"/>
      <c r="D317" s="172"/>
      <c r="E317" s="227"/>
      <c r="F317" s="228"/>
      <c r="G317" s="154"/>
      <c r="H317" s="162"/>
      <c r="I317" s="223"/>
      <c r="J317" s="162"/>
      <c r="K317" s="129"/>
      <c r="L317" s="79"/>
      <c r="M317" s="79"/>
      <c r="N317" s="79"/>
      <c r="O317" s="82"/>
    </row>
    <row r="318" ht="15.75" customHeight="1">
      <c r="A318" s="261"/>
      <c r="B318" s="171"/>
      <c r="C318" s="172"/>
      <c r="D318" s="172"/>
      <c r="E318" s="227"/>
      <c r="F318" s="228"/>
      <c r="G318" s="154"/>
      <c r="H318" s="162"/>
      <c r="I318" s="223"/>
      <c r="J318" s="162"/>
      <c r="K318" s="129"/>
      <c r="L318" s="79"/>
      <c r="M318" s="79"/>
      <c r="N318" s="79"/>
      <c r="O318" s="82"/>
    </row>
    <row r="319" ht="15.75" customHeight="1">
      <c r="A319" s="261"/>
      <c r="B319" s="171"/>
      <c r="C319" s="172"/>
      <c r="D319" s="172"/>
      <c r="E319" s="227"/>
      <c r="F319" s="228"/>
      <c r="G319" s="154"/>
      <c r="H319" s="162"/>
      <c r="I319" s="223"/>
      <c r="J319" s="162"/>
      <c r="K319" s="129"/>
      <c r="L319" s="79"/>
      <c r="M319" s="79"/>
      <c r="N319" s="79"/>
      <c r="O319" s="82"/>
    </row>
    <row r="320" ht="15.75" customHeight="1">
      <c r="A320" s="261"/>
      <c r="B320" s="171"/>
      <c r="C320" s="172"/>
      <c r="D320" s="172"/>
      <c r="E320" s="227"/>
      <c r="F320" s="228"/>
      <c r="G320" s="154"/>
      <c r="H320" s="162"/>
      <c r="I320" s="223"/>
      <c r="J320" s="162"/>
      <c r="K320" s="129"/>
      <c r="L320" s="79"/>
      <c r="M320" s="79"/>
      <c r="N320" s="79"/>
      <c r="O320" s="82"/>
    </row>
    <row r="321" ht="15.75" customHeight="1">
      <c r="A321" s="261"/>
      <c r="B321" s="171"/>
      <c r="C321" s="172"/>
      <c r="D321" s="172"/>
      <c r="E321" s="227"/>
      <c r="F321" s="228"/>
      <c r="G321" s="154"/>
      <c r="H321" s="162"/>
      <c r="I321" s="223"/>
      <c r="J321" s="162"/>
      <c r="K321" s="129"/>
      <c r="L321" s="79"/>
      <c r="M321" s="79"/>
      <c r="N321" s="79"/>
      <c r="O321" s="82"/>
    </row>
    <row r="322" ht="15.75" customHeight="1">
      <c r="A322" s="261"/>
      <c r="B322" s="171"/>
      <c r="C322" s="172"/>
      <c r="D322" s="172"/>
      <c r="E322" s="227"/>
      <c r="F322" s="228"/>
      <c r="G322" s="154"/>
      <c r="H322" s="162"/>
      <c r="I322" s="223"/>
      <c r="J322" s="162"/>
      <c r="K322" s="129"/>
      <c r="L322" s="79"/>
      <c r="M322" s="79"/>
      <c r="N322" s="79"/>
      <c r="O322" s="82"/>
    </row>
    <row r="323" ht="15.75" customHeight="1">
      <c r="A323" s="261"/>
      <c r="B323" s="171"/>
      <c r="C323" s="172"/>
      <c r="D323" s="172"/>
      <c r="E323" s="227"/>
      <c r="F323" s="228"/>
      <c r="G323" s="154"/>
      <c r="H323" s="162"/>
      <c r="I323" s="223"/>
      <c r="J323" s="162"/>
      <c r="K323" s="129"/>
      <c r="L323" s="79"/>
      <c r="M323" s="79"/>
      <c r="N323" s="79"/>
      <c r="O323" s="82"/>
    </row>
    <row r="324" ht="15.75" customHeight="1">
      <c r="A324" s="261"/>
      <c r="B324" s="171"/>
      <c r="C324" s="172"/>
      <c r="D324" s="172"/>
      <c r="E324" s="227"/>
      <c r="F324" s="228"/>
      <c r="G324" s="154"/>
      <c r="H324" s="162"/>
      <c r="I324" s="223"/>
      <c r="J324" s="162"/>
      <c r="K324" s="129"/>
      <c r="L324" s="79"/>
      <c r="M324" s="79"/>
      <c r="N324" s="79"/>
      <c r="O324" s="82"/>
    </row>
    <row r="325" ht="15.75" customHeight="1">
      <c r="A325" s="261"/>
      <c r="B325" s="171"/>
      <c r="C325" s="172"/>
      <c r="D325" s="172"/>
      <c r="E325" s="227"/>
      <c r="F325" s="228"/>
      <c r="G325" s="154"/>
      <c r="H325" s="162"/>
      <c r="I325" s="223"/>
      <c r="J325" s="162"/>
      <c r="K325" s="129"/>
      <c r="L325" s="79"/>
      <c r="M325" s="79"/>
      <c r="N325" s="79"/>
      <c r="O325" s="82"/>
    </row>
    <row r="326" ht="15.75" customHeight="1">
      <c r="A326" s="261"/>
      <c r="B326" s="171"/>
      <c r="C326" s="172"/>
      <c r="D326" s="172"/>
      <c r="E326" s="227"/>
      <c r="F326" s="228"/>
      <c r="G326" s="154"/>
      <c r="H326" s="162"/>
      <c r="I326" s="223"/>
      <c r="J326" s="162"/>
      <c r="K326" s="129"/>
      <c r="L326" s="79"/>
      <c r="M326" s="79"/>
      <c r="N326" s="79"/>
      <c r="O326" s="82"/>
    </row>
    <row r="327" ht="15.75" customHeight="1">
      <c r="A327" s="261"/>
      <c r="B327" s="171"/>
      <c r="C327" s="172"/>
      <c r="D327" s="172"/>
      <c r="E327" s="227"/>
      <c r="F327" s="228"/>
      <c r="G327" s="154"/>
      <c r="H327" s="162"/>
      <c r="I327" s="223"/>
      <c r="J327" s="162"/>
      <c r="K327" s="129"/>
      <c r="L327" s="79"/>
      <c r="M327" s="79"/>
      <c r="N327" s="79"/>
      <c r="O327" s="82"/>
    </row>
    <row r="328" ht="15.75" customHeight="1">
      <c r="A328" s="261"/>
      <c r="B328" s="171"/>
      <c r="C328" s="172"/>
      <c r="D328" s="172"/>
      <c r="E328" s="227"/>
      <c r="F328" s="228"/>
      <c r="G328" s="154"/>
      <c r="H328" s="162"/>
      <c r="I328" s="223"/>
      <c r="J328" s="162"/>
      <c r="K328" s="129"/>
      <c r="L328" s="79"/>
      <c r="M328" s="79"/>
      <c r="N328" s="79"/>
      <c r="O328" s="82"/>
    </row>
    <row r="329" ht="15.75" customHeight="1">
      <c r="A329" s="261"/>
      <c r="B329" s="171"/>
      <c r="C329" s="172"/>
      <c r="D329" s="172"/>
      <c r="E329" s="227"/>
      <c r="F329" s="228"/>
      <c r="G329" s="154"/>
      <c r="H329" s="162"/>
      <c r="I329" s="223"/>
      <c r="J329" s="162"/>
      <c r="K329" s="129"/>
      <c r="L329" s="79"/>
      <c r="M329" s="79"/>
      <c r="N329" s="79"/>
      <c r="O329" s="82"/>
    </row>
    <row r="330" ht="15.75" customHeight="1">
      <c r="A330" s="261"/>
      <c r="B330" s="171"/>
      <c r="C330" s="172"/>
      <c r="D330" s="172"/>
      <c r="E330" s="227"/>
      <c r="F330" s="228"/>
      <c r="G330" s="154"/>
      <c r="H330" s="162"/>
      <c r="I330" s="223"/>
      <c r="J330" s="162"/>
      <c r="K330" s="129"/>
      <c r="L330" s="79"/>
      <c r="M330" s="79"/>
      <c r="N330" s="79"/>
      <c r="O330" s="82"/>
    </row>
    <row r="331" ht="15.75" customHeight="1">
      <c r="A331" s="261"/>
      <c r="B331" s="171"/>
      <c r="C331" s="172"/>
      <c r="D331" s="172"/>
      <c r="E331" s="227"/>
      <c r="F331" s="228"/>
      <c r="G331" s="154"/>
      <c r="H331" s="162"/>
      <c r="I331" s="223"/>
      <c r="J331" s="162"/>
      <c r="K331" s="129"/>
      <c r="L331" s="79"/>
      <c r="M331" s="79"/>
      <c r="N331" s="79"/>
      <c r="O331" s="82"/>
    </row>
    <row r="332" ht="15.75" customHeight="1">
      <c r="A332" s="261"/>
      <c r="B332" s="171"/>
      <c r="C332" s="172"/>
      <c r="D332" s="172"/>
      <c r="E332" s="227"/>
      <c r="F332" s="228"/>
      <c r="G332" s="154"/>
      <c r="H332" s="162"/>
      <c r="I332" s="223"/>
      <c r="J332" s="162"/>
      <c r="K332" s="129"/>
      <c r="L332" s="79"/>
      <c r="M332" s="79"/>
      <c r="N332" s="79"/>
      <c r="O332" s="82"/>
    </row>
    <row r="333" ht="15.75" customHeight="1">
      <c r="A333" s="261"/>
      <c r="B333" s="171"/>
      <c r="C333" s="172"/>
      <c r="D333" s="172"/>
      <c r="E333" s="227"/>
      <c r="F333" s="228"/>
      <c r="G333" s="154"/>
      <c r="H333" s="162"/>
      <c r="I333" s="223"/>
      <c r="J333" s="162"/>
      <c r="K333" s="129"/>
      <c r="L333" s="79"/>
      <c r="M333" s="79"/>
      <c r="N333" s="79"/>
      <c r="O333" s="82"/>
    </row>
    <row r="334" ht="15.75" customHeight="1">
      <c r="A334" s="261"/>
      <c r="B334" s="171"/>
      <c r="C334" s="172"/>
      <c r="D334" s="172"/>
      <c r="E334" s="227"/>
      <c r="F334" s="228"/>
      <c r="G334" s="154"/>
      <c r="H334" s="162"/>
      <c r="I334" s="223"/>
      <c r="J334" s="162"/>
      <c r="K334" s="129"/>
      <c r="L334" s="79"/>
      <c r="M334" s="79"/>
      <c r="N334" s="79"/>
      <c r="O334" s="82"/>
    </row>
    <row r="335" ht="15.75" customHeight="1">
      <c r="A335" s="261"/>
      <c r="B335" s="171"/>
      <c r="C335" s="172"/>
      <c r="D335" s="172"/>
      <c r="E335" s="227"/>
      <c r="F335" s="228"/>
      <c r="G335" s="154"/>
      <c r="H335" s="162"/>
      <c r="I335" s="223"/>
      <c r="J335" s="162"/>
      <c r="K335" s="129"/>
      <c r="L335" s="79"/>
      <c r="M335" s="79"/>
      <c r="N335" s="79"/>
      <c r="O335" s="82"/>
    </row>
    <row r="336" ht="15.75" customHeight="1">
      <c r="A336" s="261"/>
      <c r="B336" s="171"/>
      <c r="C336" s="172"/>
      <c r="D336" s="172"/>
      <c r="E336" s="227"/>
      <c r="F336" s="228"/>
      <c r="G336" s="154"/>
      <c r="H336" s="162"/>
      <c r="I336" s="223"/>
      <c r="J336" s="162"/>
      <c r="K336" s="129"/>
      <c r="L336" s="79"/>
      <c r="M336" s="79"/>
      <c r="N336" s="79"/>
      <c r="O336" s="82"/>
    </row>
    <row r="337" ht="15.75" customHeight="1">
      <c r="A337" s="261"/>
      <c r="B337" s="171"/>
      <c r="C337" s="172"/>
      <c r="D337" s="172"/>
      <c r="E337" s="227"/>
      <c r="F337" s="228"/>
      <c r="G337" s="154"/>
      <c r="H337" s="162"/>
      <c r="I337" s="223"/>
      <c r="J337" s="162"/>
      <c r="K337" s="129"/>
      <c r="L337" s="79"/>
      <c r="M337" s="79"/>
      <c r="N337" s="79"/>
      <c r="O337" s="82"/>
    </row>
    <row r="338" ht="15.75" customHeight="1">
      <c r="A338" s="261"/>
      <c r="B338" s="171"/>
      <c r="C338" s="172"/>
      <c r="D338" s="172"/>
      <c r="E338" s="227"/>
      <c r="F338" s="228"/>
      <c r="G338" s="154"/>
      <c r="H338" s="162"/>
      <c r="I338" s="223"/>
      <c r="J338" s="162"/>
      <c r="K338" s="129"/>
      <c r="L338" s="79"/>
      <c r="M338" s="79"/>
      <c r="N338" s="79"/>
      <c r="O338" s="82"/>
    </row>
    <row r="339" ht="15.75" customHeight="1">
      <c r="A339" s="261"/>
      <c r="B339" s="171"/>
      <c r="C339" s="172"/>
      <c r="D339" s="172"/>
      <c r="E339" s="227"/>
      <c r="F339" s="228"/>
      <c r="G339" s="154"/>
      <c r="H339" s="162"/>
      <c r="I339" s="223"/>
      <c r="J339" s="162"/>
      <c r="K339" s="129"/>
      <c r="L339" s="79"/>
      <c r="M339" s="79"/>
      <c r="N339" s="79"/>
      <c r="O339" s="82"/>
    </row>
    <row r="340" ht="15.75" customHeight="1">
      <c r="A340" s="261"/>
      <c r="B340" s="171"/>
      <c r="C340" s="172"/>
      <c r="D340" s="172"/>
      <c r="E340" s="227"/>
      <c r="F340" s="228"/>
      <c r="G340" s="154"/>
      <c r="H340" s="162"/>
      <c r="I340" s="223"/>
      <c r="J340" s="162"/>
      <c r="K340" s="129"/>
      <c r="L340" s="79"/>
      <c r="M340" s="79"/>
      <c r="N340" s="79"/>
      <c r="O340" s="82"/>
    </row>
    <row r="341" ht="15.75" customHeight="1">
      <c r="A341" s="261"/>
      <c r="B341" s="171"/>
      <c r="C341" s="172"/>
      <c r="D341" s="172"/>
      <c r="E341" s="227"/>
      <c r="F341" s="228"/>
      <c r="G341" s="154"/>
      <c r="H341" s="162"/>
      <c r="I341" s="223"/>
      <c r="J341" s="162"/>
      <c r="K341" s="129"/>
      <c r="L341" s="79"/>
      <c r="M341" s="79"/>
      <c r="N341" s="79"/>
      <c r="O341" s="82"/>
    </row>
    <row r="342" ht="15.75" customHeight="1">
      <c r="A342" s="261"/>
      <c r="B342" s="171"/>
      <c r="C342" s="172"/>
      <c r="D342" s="172"/>
      <c r="E342" s="227"/>
      <c r="F342" s="228"/>
      <c r="G342" s="154"/>
      <c r="H342" s="162"/>
      <c r="I342" s="223"/>
      <c r="J342" s="162"/>
      <c r="K342" s="129"/>
      <c r="L342" s="79"/>
      <c r="M342" s="79"/>
      <c r="N342" s="79"/>
      <c r="O342" s="82"/>
    </row>
    <row r="343" ht="15.75" customHeight="1">
      <c r="A343" s="261"/>
      <c r="B343" s="171"/>
      <c r="C343" s="172"/>
      <c r="D343" s="172"/>
      <c r="E343" s="227"/>
      <c r="F343" s="228"/>
      <c r="G343" s="154"/>
      <c r="H343" s="162"/>
      <c r="I343" s="223"/>
      <c r="J343" s="162"/>
      <c r="K343" s="129"/>
      <c r="L343" s="79"/>
      <c r="M343" s="79"/>
      <c r="N343" s="79"/>
      <c r="O343" s="82"/>
    </row>
    <row r="344" ht="15.75" customHeight="1">
      <c r="A344" s="261"/>
      <c r="B344" s="171"/>
      <c r="C344" s="172"/>
      <c r="D344" s="172"/>
      <c r="E344" s="227"/>
      <c r="F344" s="228"/>
      <c r="G344" s="154"/>
      <c r="H344" s="162"/>
      <c r="I344" s="223"/>
      <c r="J344" s="162"/>
      <c r="K344" s="129"/>
      <c r="L344" s="79"/>
      <c r="M344" s="79"/>
      <c r="N344" s="79"/>
      <c r="O344" s="82"/>
    </row>
    <row r="345" ht="15.75" customHeight="1">
      <c r="A345" s="261"/>
      <c r="B345" s="171"/>
      <c r="C345" s="172"/>
      <c r="D345" s="172"/>
      <c r="E345" s="227"/>
      <c r="F345" s="228"/>
      <c r="G345" s="154"/>
      <c r="H345" s="162"/>
      <c r="I345" s="223"/>
      <c r="J345" s="162"/>
      <c r="K345" s="129"/>
      <c r="L345" s="79"/>
      <c r="M345" s="79"/>
      <c r="N345" s="79"/>
      <c r="O345" s="82"/>
    </row>
    <row r="346" ht="15.75" customHeight="1">
      <c r="A346" s="261"/>
      <c r="B346" s="171"/>
      <c r="C346" s="172"/>
      <c r="D346" s="172"/>
      <c r="E346" s="227"/>
      <c r="F346" s="228"/>
      <c r="G346" s="154"/>
      <c r="H346" s="162"/>
      <c r="I346" s="223"/>
      <c r="J346" s="162"/>
      <c r="K346" s="129"/>
      <c r="L346" s="79"/>
      <c r="M346" s="79"/>
      <c r="N346" s="79"/>
      <c r="O346" s="82"/>
    </row>
    <row r="347" ht="15.75" customHeight="1">
      <c r="A347" s="261"/>
      <c r="B347" s="171"/>
      <c r="C347" s="172"/>
      <c r="D347" s="172"/>
      <c r="E347" s="227"/>
      <c r="F347" s="228"/>
      <c r="G347" s="154"/>
      <c r="H347" s="162"/>
      <c r="I347" s="223"/>
      <c r="J347" s="162"/>
      <c r="K347" s="129"/>
      <c r="L347" s="79"/>
      <c r="M347" s="79"/>
      <c r="N347" s="79"/>
      <c r="O347" s="82"/>
    </row>
    <row r="348" ht="15.75" customHeight="1">
      <c r="A348" s="261"/>
      <c r="B348" s="171"/>
      <c r="C348" s="172"/>
      <c r="D348" s="172"/>
      <c r="E348" s="227"/>
      <c r="F348" s="228"/>
      <c r="G348" s="154"/>
      <c r="H348" s="162"/>
      <c r="I348" s="223"/>
      <c r="J348" s="162"/>
      <c r="K348" s="129"/>
      <c r="L348" s="79"/>
      <c r="M348" s="79"/>
      <c r="N348" s="79"/>
      <c r="O348" s="82"/>
    </row>
    <row r="349" ht="15.75" customHeight="1">
      <c r="A349" s="261"/>
      <c r="B349" s="171"/>
      <c r="C349" s="172"/>
      <c r="D349" s="172"/>
      <c r="E349" s="227"/>
      <c r="F349" s="228"/>
      <c r="G349" s="154"/>
      <c r="H349" s="162"/>
      <c r="I349" s="223"/>
      <c r="J349" s="162"/>
      <c r="K349" s="129"/>
      <c r="L349" s="79"/>
      <c r="M349" s="79"/>
      <c r="N349" s="79"/>
      <c r="O349" s="82"/>
    </row>
    <row r="350" ht="15.75" customHeight="1">
      <c r="A350" s="261"/>
      <c r="B350" s="171"/>
      <c r="C350" s="172"/>
      <c r="D350" s="172"/>
      <c r="E350" s="227"/>
      <c r="F350" s="228"/>
      <c r="G350" s="154"/>
      <c r="H350" s="162"/>
      <c r="I350" s="223"/>
      <c r="J350" s="162"/>
      <c r="K350" s="129"/>
      <c r="L350" s="79"/>
      <c r="M350" s="79"/>
      <c r="N350" s="79"/>
      <c r="O350" s="82"/>
    </row>
    <row r="351" ht="15.75" customHeight="1">
      <c r="A351" s="261"/>
      <c r="B351" s="171"/>
      <c r="C351" s="172"/>
      <c r="D351" s="172"/>
      <c r="E351" s="227"/>
      <c r="F351" s="228"/>
      <c r="G351" s="154"/>
      <c r="H351" s="162"/>
      <c r="I351" s="223"/>
      <c r="J351" s="162"/>
      <c r="K351" s="129"/>
      <c r="L351" s="79"/>
      <c r="M351" s="79"/>
      <c r="N351" s="79"/>
      <c r="O351" s="82"/>
    </row>
    <row r="352" ht="15.75" customHeight="1">
      <c r="A352" s="261"/>
      <c r="B352" s="171"/>
      <c r="C352" s="172"/>
      <c r="D352" s="172"/>
      <c r="E352" s="227"/>
      <c r="F352" s="228"/>
      <c r="G352" s="154"/>
      <c r="H352" s="162"/>
      <c r="I352" s="223"/>
      <c r="J352" s="162"/>
      <c r="K352" s="129"/>
      <c r="L352" s="79"/>
      <c r="M352" s="79"/>
      <c r="N352" s="79"/>
      <c r="O352" s="82"/>
    </row>
    <row r="353" ht="15.75" customHeight="1">
      <c r="A353" s="261"/>
      <c r="B353" s="171"/>
      <c r="C353" s="172"/>
      <c r="D353" s="172"/>
      <c r="E353" s="227"/>
      <c r="F353" s="228"/>
      <c r="G353" s="154"/>
      <c r="H353" s="162"/>
      <c r="I353" s="223"/>
      <c r="J353" s="162"/>
      <c r="K353" s="129"/>
      <c r="L353" s="79"/>
      <c r="M353" s="79"/>
      <c r="N353" s="79"/>
      <c r="O353" s="82"/>
    </row>
    <row r="354" ht="15.75" customHeight="1">
      <c r="A354" s="261"/>
      <c r="B354" s="171"/>
      <c r="C354" s="172"/>
      <c r="D354" s="172"/>
      <c r="E354" s="227"/>
      <c r="F354" s="228"/>
      <c r="G354" s="154"/>
      <c r="H354" s="162"/>
      <c r="I354" s="223"/>
      <c r="J354" s="162"/>
      <c r="K354" s="129"/>
      <c r="L354" s="79"/>
      <c r="M354" s="79"/>
      <c r="N354" s="79"/>
      <c r="O354" s="82"/>
    </row>
    <row r="355" ht="15.75" customHeight="1">
      <c r="A355" s="261"/>
      <c r="B355" s="171"/>
      <c r="C355" s="172"/>
      <c r="D355" s="172"/>
      <c r="E355" s="227"/>
      <c r="F355" s="228"/>
      <c r="G355" s="154"/>
      <c r="H355" s="162"/>
      <c r="I355" s="223"/>
      <c r="J355" s="162"/>
      <c r="K355" s="129"/>
      <c r="L355" s="79"/>
      <c r="M355" s="79"/>
      <c r="N355" s="79"/>
      <c r="O355" s="82"/>
    </row>
    <row r="356" ht="15.75" customHeight="1">
      <c r="A356" s="261"/>
      <c r="B356" s="171"/>
      <c r="C356" s="172"/>
      <c r="D356" s="172"/>
      <c r="E356" s="227"/>
      <c r="F356" s="228"/>
      <c r="G356" s="154"/>
      <c r="H356" s="162"/>
      <c r="I356" s="223"/>
      <c r="J356" s="162"/>
      <c r="K356" s="129"/>
      <c r="L356" s="79"/>
      <c r="M356" s="79"/>
      <c r="N356" s="79"/>
      <c r="O356" s="82"/>
    </row>
    <row r="357" ht="15.75" customHeight="1">
      <c r="A357" s="261"/>
      <c r="B357" s="171"/>
      <c r="C357" s="172"/>
      <c r="D357" s="172"/>
      <c r="E357" s="227"/>
      <c r="F357" s="228"/>
      <c r="G357" s="154"/>
      <c r="H357" s="162"/>
      <c r="I357" s="223"/>
      <c r="J357" s="162"/>
      <c r="K357" s="129"/>
      <c r="L357" s="79"/>
      <c r="M357" s="79"/>
      <c r="N357" s="79"/>
      <c r="O357" s="82"/>
    </row>
    <row r="358" ht="15.75" customHeight="1">
      <c r="A358" s="261"/>
      <c r="B358" s="171"/>
      <c r="C358" s="172"/>
      <c r="D358" s="172"/>
      <c r="E358" s="227"/>
      <c r="F358" s="228"/>
      <c r="G358" s="154"/>
      <c r="H358" s="162"/>
      <c r="I358" s="223"/>
      <c r="J358" s="162"/>
      <c r="K358" s="129"/>
      <c r="L358" s="79"/>
      <c r="M358" s="79"/>
      <c r="N358" s="79"/>
      <c r="O358" s="82"/>
    </row>
    <row r="359" ht="15.75" customHeight="1">
      <c r="A359" s="261"/>
      <c r="B359" s="171"/>
      <c r="C359" s="172"/>
      <c r="D359" s="172"/>
      <c r="E359" s="227"/>
      <c r="F359" s="228"/>
      <c r="G359" s="154"/>
      <c r="H359" s="162"/>
      <c r="I359" s="223"/>
      <c r="J359" s="162"/>
      <c r="K359" s="129"/>
      <c r="L359" s="79"/>
      <c r="M359" s="79"/>
      <c r="N359" s="79"/>
      <c r="O359" s="82"/>
    </row>
    <row r="360" ht="15.75" customHeight="1">
      <c r="A360" s="261"/>
      <c r="B360" s="171"/>
      <c r="C360" s="172"/>
      <c r="D360" s="172"/>
      <c r="E360" s="227"/>
      <c r="F360" s="228"/>
      <c r="G360" s="154"/>
      <c r="H360" s="162"/>
      <c r="I360" s="223"/>
      <c r="J360" s="162"/>
      <c r="K360" s="129"/>
      <c r="L360" s="79"/>
      <c r="M360" s="79"/>
      <c r="N360" s="79"/>
      <c r="O360" s="82"/>
    </row>
    <row r="361" ht="15.75" customHeight="1">
      <c r="A361" s="261"/>
      <c r="B361" s="171"/>
      <c r="C361" s="172"/>
      <c r="D361" s="172"/>
      <c r="E361" s="227"/>
      <c r="F361" s="228"/>
      <c r="G361" s="154"/>
      <c r="H361" s="162"/>
      <c r="I361" s="223"/>
      <c r="J361" s="162"/>
      <c r="K361" s="129"/>
      <c r="L361" s="79"/>
      <c r="M361" s="79"/>
      <c r="N361" s="79"/>
      <c r="O361" s="82"/>
    </row>
    <row r="362" ht="15.75" customHeight="1">
      <c r="A362" s="261"/>
      <c r="B362" s="171"/>
      <c r="C362" s="172"/>
      <c r="D362" s="172"/>
      <c r="E362" s="227"/>
      <c r="F362" s="228"/>
      <c r="G362" s="154"/>
      <c r="H362" s="162"/>
      <c r="I362" s="223"/>
      <c r="J362" s="162"/>
      <c r="K362" s="129"/>
      <c r="L362" s="79"/>
      <c r="M362" s="79"/>
      <c r="N362" s="79"/>
      <c r="O362" s="82"/>
    </row>
    <row r="363" ht="15.75" customHeight="1">
      <c r="A363" s="261"/>
      <c r="B363" s="171"/>
      <c r="C363" s="172"/>
      <c r="D363" s="172"/>
      <c r="E363" s="227"/>
      <c r="F363" s="228"/>
      <c r="G363" s="154"/>
      <c r="H363" s="162"/>
      <c r="I363" s="223"/>
      <c r="J363" s="162"/>
      <c r="K363" s="129"/>
      <c r="L363" s="79"/>
      <c r="M363" s="79"/>
      <c r="N363" s="79"/>
      <c r="O363" s="82"/>
    </row>
    <row r="364" ht="15.75" customHeight="1">
      <c r="A364" s="261"/>
      <c r="B364" s="171"/>
      <c r="C364" s="172"/>
      <c r="D364" s="172"/>
      <c r="E364" s="227"/>
      <c r="F364" s="228"/>
      <c r="G364" s="154"/>
      <c r="H364" s="162"/>
      <c r="I364" s="223"/>
      <c r="J364" s="162"/>
      <c r="K364" s="129"/>
      <c r="L364" s="79"/>
      <c r="M364" s="79"/>
      <c r="N364" s="79"/>
      <c r="O364" s="82"/>
    </row>
    <row r="365" ht="15.75" customHeight="1">
      <c r="A365" s="261"/>
      <c r="B365" s="171"/>
      <c r="C365" s="172"/>
      <c r="D365" s="172"/>
      <c r="E365" s="227"/>
      <c r="F365" s="228"/>
      <c r="G365" s="154"/>
      <c r="H365" s="162"/>
      <c r="I365" s="223"/>
      <c r="J365" s="162"/>
      <c r="K365" s="129"/>
      <c r="L365" s="79"/>
      <c r="M365" s="79"/>
      <c r="N365" s="79"/>
      <c r="O365" s="82"/>
    </row>
    <row r="366" ht="15.75" customHeight="1">
      <c r="A366" s="261"/>
      <c r="B366" s="171"/>
      <c r="C366" s="172"/>
      <c r="D366" s="172"/>
      <c r="E366" s="227"/>
      <c r="F366" s="228"/>
      <c r="G366" s="154"/>
      <c r="H366" s="162"/>
      <c r="I366" s="223"/>
      <c r="J366" s="162"/>
      <c r="K366" s="129"/>
      <c r="L366" s="79"/>
      <c r="M366" s="79"/>
      <c r="N366" s="79"/>
      <c r="O366" s="82"/>
    </row>
    <row r="367" ht="15.75" customHeight="1">
      <c r="A367" s="261"/>
      <c r="B367" s="171"/>
      <c r="C367" s="172"/>
      <c r="D367" s="172"/>
      <c r="E367" s="227"/>
      <c r="F367" s="228"/>
      <c r="G367" s="154"/>
      <c r="H367" s="162"/>
      <c r="I367" s="223"/>
      <c r="J367" s="162"/>
      <c r="K367" s="129"/>
      <c r="L367" s="79"/>
      <c r="M367" s="79"/>
      <c r="N367" s="79"/>
      <c r="O367" s="82"/>
    </row>
    <row r="368" ht="15.75" customHeight="1">
      <c r="A368" s="261"/>
      <c r="B368" s="171"/>
      <c r="C368" s="172"/>
      <c r="D368" s="172"/>
      <c r="E368" s="227"/>
      <c r="F368" s="228"/>
      <c r="G368" s="154"/>
      <c r="H368" s="162"/>
      <c r="I368" s="223"/>
      <c r="J368" s="162"/>
      <c r="K368" s="129"/>
      <c r="L368" s="79"/>
      <c r="M368" s="79"/>
      <c r="N368" s="79"/>
      <c r="O368" s="82"/>
    </row>
    <row r="369" ht="15.75" customHeight="1">
      <c r="A369" s="261"/>
      <c r="B369" s="171"/>
      <c r="C369" s="172"/>
      <c r="D369" s="172"/>
      <c r="E369" s="227"/>
      <c r="F369" s="228"/>
      <c r="G369" s="154"/>
      <c r="H369" s="162"/>
      <c r="I369" s="223"/>
      <c r="J369" s="162"/>
      <c r="K369" s="129"/>
      <c r="L369" s="79"/>
      <c r="M369" s="79"/>
      <c r="N369" s="79"/>
      <c r="O369" s="82"/>
    </row>
    <row r="370" ht="15.75" customHeight="1">
      <c r="A370" s="261"/>
      <c r="B370" s="171"/>
      <c r="C370" s="172"/>
      <c r="D370" s="172"/>
      <c r="E370" s="227"/>
      <c r="F370" s="228"/>
      <c r="G370" s="154"/>
      <c r="H370" s="162"/>
      <c r="I370" s="223"/>
      <c r="J370" s="162"/>
      <c r="K370" s="129"/>
      <c r="L370" s="79"/>
      <c r="M370" s="79"/>
      <c r="N370" s="79"/>
      <c r="O370" s="82"/>
    </row>
    <row r="371" ht="15.75" customHeight="1">
      <c r="A371" s="261"/>
      <c r="B371" s="171"/>
      <c r="C371" s="172"/>
      <c r="D371" s="172"/>
      <c r="E371" s="227"/>
      <c r="F371" s="228"/>
      <c r="G371" s="154"/>
      <c r="H371" s="162"/>
      <c r="I371" s="223"/>
      <c r="J371" s="162"/>
      <c r="K371" s="129"/>
      <c r="L371" s="79"/>
      <c r="M371" s="79"/>
      <c r="N371" s="79"/>
      <c r="O371" s="82"/>
    </row>
    <row r="372" ht="15.75" customHeight="1">
      <c r="A372" s="261"/>
      <c r="B372" s="171"/>
      <c r="C372" s="172"/>
      <c r="D372" s="172"/>
      <c r="E372" s="227"/>
      <c r="F372" s="228"/>
      <c r="G372" s="154"/>
      <c r="H372" s="162"/>
      <c r="I372" s="223"/>
      <c r="J372" s="162"/>
      <c r="K372" s="129"/>
      <c r="L372" s="79"/>
      <c r="M372" s="79"/>
      <c r="N372" s="79"/>
      <c r="O372" s="82"/>
    </row>
    <row r="373" ht="15.75" customHeight="1">
      <c r="A373" s="261"/>
      <c r="B373" s="171"/>
      <c r="C373" s="172"/>
      <c r="D373" s="172"/>
      <c r="E373" s="227"/>
      <c r="F373" s="228"/>
      <c r="G373" s="154"/>
      <c r="H373" s="162"/>
      <c r="I373" s="223"/>
      <c r="J373" s="162"/>
      <c r="K373" s="129"/>
      <c r="L373" s="79"/>
      <c r="M373" s="79"/>
      <c r="N373" s="79"/>
      <c r="O373" s="82"/>
    </row>
    <row r="374" ht="15.75" customHeight="1">
      <c r="A374" s="261"/>
      <c r="B374" s="171"/>
      <c r="C374" s="172"/>
      <c r="D374" s="172"/>
      <c r="E374" s="227"/>
      <c r="F374" s="228"/>
      <c r="G374" s="154"/>
      <c r="H374" s="162"/>
      <c r="I374" s="223"/>
      <c r="J374" s="162"/>
      <c r="K374" s="129"/>
      <c r="L374" s="79"/>
      <c r="M374" s="79"/>
      <c r="N374" s="79"/>
      <c r="O374" s="82"/>
    </row>
    <row r="375" ht="15.75" customHeight="1">
      <c r="A375" s="261"/>
      <c r="B375" s="171"/>
      <c r="C375" s="172"/>
      <c r="D375" s="172"/>
      <c r="E375" s="227"/>
      <c r="F375" s="228"/>
      <c r="G375" s="154"/>
      <c r="H375" s="162"/>
      <c r="I375" s="223"/>
      <c r="J375" s="162"/>
      <c r="K375" s="129"/>
      <c r="L375" s="79"/>
      <c r="M375" s="79"/>
      <c r="N375" s="79"/>
      <c r="O375" s="82"/>
    </row>
    <row r="376" ht="15.75" customHeight="1">
      <c r="A376" s="261"/>
      <c r="B376" s="171"/>
      <c r="C376" s="172"/>
      <c r="D376" s="172"/>
      <c r="E376" s="227"/>
      <c r="F376" s="228"/>
      <c r="G376" s="154"/>
      <c r="H376" s="162"/>
      <c r="I376" s="223"/>
      <c r="J376" s="162"/>
      <c r="K376" s="129"/>
      <c r="L376" s="79"/>
      <c r="M376" s="79"/>
      <c r="N376" s="79"/>
      <c r="O376" s="82"/>
    </row>
    <row r="377" ht="15.75" customHeight="1">
      <c r="A377" s="261"/>
      <c r="B377" s="171"/>
      <c r="C377" s="172"/>
      <c r="D377" s="172"/>
      <c r="E377" s="227"/>
      <c r="F377" s="228"/>
      <c r="G377" s="154"/>
      <c r="H377" s="162"/>
      <c r="I377" s="223"/>
      <c r="J377" s="162"/>
      <c r="K377" s="129"/>
      <c r="L377" s="79"/>
      <c r="M377" s="79"/>
      <c r="N377" s="79"/>
      <c r="O377" s="82"/>
    </row>
    <row r="378" ht="15.75" customHeight="1">
      <c r="A378" s="261"/>
      <c r="B378" s="171"/>
      <c r="C378" s="172"/>
      <c r="D378" s="172"/>
      <c r="E378" s="227"/>
      <c r="F378" s="228"/>
      <c r="G378" s="154"/>
      <c r="H378" s="162"/>
      <c r="I378" s="223"/>
      <c r="J378" s="162"/>
      <c r="K378" s="129"/>
      <c r="L378" s="79"/>
      <c r="M378" s="79"/>
      <c r="N378" s="79"/>
      <c r="O378" s="82"/>
    </row>
    <row r="379" ht="15.75" customHeight="1">
      <c r="A379" s="261"/>
      <c r="B379" s="171"/>
      <c r="C379" s="172"/>
      <c r="D379" s="172"/>
      <c r="E379" s="227"/>
      <c r="F379" s="228"/>
      <c r="G379" s="154"/>
      <c r="H379" s="162"/>
      <c r="I379" s="223"/>
      <c r="J379" s="162"/>
      <c r="K379" s="129"/>
      <c r="L379" s="79"/>
      <c r="M379" s="79"/>
      <c r="N379" s="79"/>
      <c r="O379" s="82"/>
    </row>
    <row r="380" ht="15.75" customHeight="1">
      <c r="A380" s="261"/>
      <c r="B380" s="171"/>
      <c r="C380" s="172"/>
      <c r="D380" s="172"/>
      <c r="E380" s="227"/>
      <c r="F380" s="228"/>
      <c r="G380" s="154"/>
      <c r="H380" s="162"/>
      <c r="I380" s="223"/>
      <c r="J380" s="162"/>
      <c r="K380" s="129"/>
      <c r="L380" s="79"/>
      <c r="M380" s="79"/>
      <c r="N380" s="79"/>
      <c r="O380" s="82"/>
    </row>
    <row r="381" ht="15.75" customHeight="1">
      <c r="A381" s="261"/>
      <c r="B381" s="171"/>
      <c r="C381" s="172"/>
      <c r="D381" s="172"/>
      <c r="E381" s="227"/>
      <c r="F381" s="228"/>
      <c r="G381" s="154"/>
      <c r="H381" s="162"/>
      <c r="I381" s="223"/>
      <c r="J381" s="162"/>
      <c r="K381" s="129"/>
      <c r="L381" s="79"/>
      <c r="M381" s="79"/>
      <c r="N381" s="79"/>
      <c r="O381" s="82"/>
    </row>
    <row r="382" ht="15.75" customHeight="1">
      <c r="A382" s="261"/>
      <c r="B382" s="171"/>
      <c r="C382" s="172"/>
      <c r="D382" s="172"/>
      <c r="E382" s="227"/>
      <c r="F382" s="228"/>
      <c r="G382" s="154"/>
      <c r="H382" s="162"/>
      <c r="I382" s="223"/>
      <c r="J382" s="162"/>
      <c r="K382" s="129"/>
      <c r="L382" s="79"/>
      <c r="M382" s="79"/>
      <c r="N382" s="79"/>
      <c r="O382" s="82"/>
    </row>
    <row r="383" ht="15.75" customHeight="1">
      <c r="A383" s="261"/>
      <c r="B383" s="171"/>
      <c r="C383" s="172"/>
      <c r="D383" s="172"/>
      <c r="E383" s="227"/>
      <c r="F383" s="228"/>
      <c r="G383" s="154"/>
      <c r="H383" s="162"/>
      <c r="I383" s="223"/>
      <c r="J383" s="162"/>
      <c r="K383" s="129"/>
      <c r="L383" s="79"/>
      <c r="M383" s="79"/>
      <c r="N383" s="79"/>
      <c r="O383" s="82"/>
    </row>
    <row r="384" ht="15.75" customHeight="1">
      <c r="A384" s="261"/>
      <c r="B384" s="171"/>
      <c r="C384" s="172"/>
      <c r="D384" s="172"/>
      <c r="E384" s="227"/>
      <c r="F384" s="228"/>
      <c r="G384" s="154"/>
      <c r="H384" s="162"/>
      <c r="I384" s="223"/>
      <c r="J384" s="162"/>
      <c r="K384" s="129"/>
      <c r="L384" s="79"/>
      <c r="M384" s="79"/>
      <c r="N384" s="79"/>
      <c r="O384" s="82"/>
    </row>
    <row r="385" ht="15.75" customHeight="1">
      <c r="A385" s="261"/>
      <c r="B385" s="171"/>
      <c r="C385" s="172"/>
      <c r="D385" s="172"/>
      <c r="E385" s="227"/>
      <c r="F385" s="228"/>
      <c r="G385" s="154"/>
      <c r="H385" s="162"/>
      <c r="I385" s="223"/>
      <c r="J385" s="162"/>
      <c r="K385" s="129"/>
      <c r="L385" s="79"/>
      <c r="M385" s="79"/>
      <c r="N385" s="79"/>
      <c r="O385" s="82"/>
    </row>
    <row r="386" ht="15.75" customHeight="1">
      <c r="A386" s="261"/>
      <c r="B386" s="171"/>
      <c r="C386" s="172"/>
      <c r="D386" s="172"/>
      <c r="E386" s="227"/>
      <c r="F386" s="228"/>
      <c r="G386" s="154"/>
      <c r="H386" s="162"/>
      <c r="I386" s="223"/>
      <c r="J386" s="162"/>
      <c r="K386" s="129"/>
      <c r="L386" s="79"/>
      <c r="M386" s="79"/>
      <c r="N386" s="79"/>
      <c r="O386" s="82"/>
    </row>
    <row r="387" ht="15.75" customHeight="1">
      <c r="A387" s="261"/>
      <c r="B387" s="171"/>
      <c r="C387" s="172"/>
      <c r="D387" s="172"/>
      <c r="E387" s="227"/>
      <c r="F387" s="228"/>
      <c r="G387" s="154"/>
      <c r="H387" s="162"/>
      <c r="I387" s="223"/>
      <c r="J387" s="162"/>
      <c r="K387" s="129"/>
      <c r="L387" s="79"/>
      <c r="M387" s="79"/>
      <c r="N387" s="79"/>
      <c r="O387" s="82"/>
    </row>
    <row r="388" ht="15.75" customHeight="1">
      <c r="A388" s="261"/>
      <c r="B388" s="171"/>
      <c r="C388" s="172"/>
      <c r="D388" s="172"/>
      <c r="E388" s="227"/>
      <c r="F388" s="228"/>
      <c r="G388" s="154"/>
      <c r="H388" s="162"/>
      <c r="I388" s="223"/>
      <c r="J388" s="162"/>
      <c r="K388" s="129"/>
      <c r="L388" s="79"/>
      <c r="M388" s="79"/>
      <c r="N388" s="79"/>
      <c r="O388" s="82"/>
    </row>
    <row r="389" ht="15.75" customHeight="1">
      <c r="A389" s="261"/>
      <c r="B389" s="171"/>
      <c r="C389" s="172"/>
      <c r="D389" s="172"/>
      <c r="E389" s="227"/>
      <c r="F389" s="228"/>
      <c r="G389" s="154"/>
      <c r="H389" s="162"/>
      <c r="I389" s="223"/>
      <c r="J389" s="162"/>
      <c r="K389" s="129"/>
      <c r="L389" s="79"/>
      <c r="M389" s="79"/>
      <c r="N389" s="79"/>
      <c r="O389" s="82"/>
    </row>
    <row r="390" ht="15.75" customHeight="1">
      <c r="A390" s="261"/>
      <c r="B390" s="171"/>
      <c r="C390" s="172"/>
      <c r="D390" s="172"/>
      <c r="E390" s="227"/>
      <c r="F390" s="228"/>
      <c r="G390" s="154"/>
      <c r="H390" s="162"/>
      <c r="I390" s="223"/>
      <c r="J390" s="162"/>
      <c r="K390" s="129"/>
      <c r="L390" s="79"/>
      <c r="M390" s="79"/>
      <c r="N390" s="79"/>
      <c r="O390" s="82"/>
    </row>
    <row r="391" ht="15.75" customHeight="1">
      <c r="A391" s="261"/>
      <c r="B391" s="171"/>
      <c r="C391" s="172"/>
      <c r="D391" s="172"/>
      <c r="E391" s="227"/>
      <c r="F391" s="228"/>
      <c r="G391" s="154"/>
      <c r="H391" s="162"/>
      <c r="I391" s="223"/>
      <c r="J391" s="162"/>
      <c r="K391" s="129"/>
      <c r="L391" s="79"/>
      <c r="M391" s="79"/>
      <c r="N391" s="79"/>
      <c r="O391" s="82"/>
    </row>
    <row r="392" ht="15.75" customHeight="1">
      <c r="A392" s="261"/>
      <c r="B392" s="171"/>
      <c r="C392" s="172"/>
      <c r="D392" s="172"/>
      <c r="E392" s="227"/>
      <c r="F392" s="228"/>
      <c r="G392" s="154"/>
      <c r="H392" s="162"/>
      <c r="I392" s="223"/>
      <c r="J392" s="162"/>
      <c r="K392" s="129"/>
      <c r="L392" s="79"/>
      <c r="M392" s="79"/>
      <c r="N392" s="79"/>
      <c r="O392" s="82"/>
    </row>
    <row r="393" ht="15.75" customHeight="1">
      <c r="A393" s="261"/>
      <c r="B393" s="171"/>
      <c r="C393" s="172"/>
      <c r="D393" s="172"/>
      <c r="E393" s="227"/>
      <c r="F393" s="228"/>
      <c r="G393" s="154"/>
      <c r="H393" s="162"/>
      <c r="I393" s="223"/>
      <c r="J393" s="162"/>
      <c r="K393" s="129"/>
      <c r="L393" s="79"/>
      <c r="M393" s="79"/>
      <c r="N393" s="79"/>
      <c r="O393" s="82"/>
    </row>
    <row r="394" ht="15.75" customHeight="1">
      <c r="A394" s="261"/>
      <c r="B394" s="171"/>
      <c r="C394" s="172"/>
      <c r="D394" s="172"/>
      <c r="E394" s="227"/>
      <c r="F394" s="228"/>
      <c r="G394" s="154"/>
      <c r="H394" s="162"/>
      <c r="I394" s="223"/>
      <c r="J394" s="162"/>
      <c r="K394" s="129"/>
      <c r="L394" s="79"/>
      <c r="M394" s="79"/>
      <c r="N394" s="79"/>
      <c r="O394" s="82"/>
    </row>
    <row r="395" ht="15.75" customHeight="1">
      <c r="A395" s="261"/>
      <c r="B395" s="171"/>
      <c r="C395" s="172"/>
      <c r="D395" s="172"/>
      <c r="E395" s="227"/>
      <c r="F395" s="228"/>
      <c r="G395" s="154"/>
      <c r="H395" s="162"/>
      <c r="I395" s="223"/>
      <c r="J395" s="162"/>
      <c r="K395" s="129"/>
      <c r="L395" s="79"/>
      <c r="M395" s="79"/>
      <c r="N395" s="79"/>
      <c r="O395" s="82"/>
    </row>
    <row r="396" ht="15.75" customHeight="1">
      <c r="A396" s="261"/>
      <c r="B396" s="171"/>
      <c r="C396" s="172"/>
      <c r="D396" s="172"/>
      <c r="E396" s="227"/>
      <c r="F396" s="228"/>
      <c r="G396" s="154"/>
      <c r="H396" s="162"/>
      <c r="I396" s="223"/>
      <c r="J396" s="162"/>
      <c r="K396" s="129"/>
      <c r="L396" s="79"/>
      <c r="M396" s="79"/>
      <c r="N396" s="79"/>
      <c r="O396" s="82"/>
    </row>
    <row r="397" ht="15.75" customHeight="1">
      <c r="A397" s="261"/>
      <c r="B397" s="171"/>
      <c r="C397" s="172"/>
      <c r="D397" s="172"/>
      <c r="E397" s="227"/>
      <c r="F397" s="228"/>
      <c r="G397" s="154"/>
      <c r="H397" s="162"/>
      <c r="I397" s="223"/>
      <c r="J397" s="162"/>
      <c r="K397" s="129"/>
      <c r="L397" s="79"/>
      <c r="M397" s="79"/>
      <c r="N397" s="79"/>
      <c r="O397" s="82"/>
    </row>
    <row r="398" ht="15.75" customHeight="1">
      <c r="A398" s="261"/>
      <c r="B398" s="171"/>
      <c r="C398" s="172"/>
      <c r="D398" s="172"/>
      <c r="E398" s="227"/>
      <c r="F398" s="228"/>
      <c r="G398" s="154"/>
      <c r="H398" s="162"/>
      <c r="I398" s="223"/>
      <c r="J398" s="162"/>
      <c r="K398" s="129"/>
      <c r="L398" s="79"/>
      <c r="M398" s="79"/>
      <c r="N398" s="79"/>
      <c r="O398" s="82"/>
    </row>
    <row r="399" ht="15.75" customHeight="1">
      <c r="A399" s="261"/>
      <c r="B399" s="171"/>
      <c r="C399" s="172"/>
      <c r="D399" s="172"/>
      <c r="E399" s="227"/>
      <c r="F399" s="228"/>
      <c r="G399" s="154"/>
      <c r="H399" s="162"/>
      <c r="I399" s="223"/>
      <c r="J399" s="162"/>
      <c r="K399" s="129"/>
      <c r="L399" s="79"/>
      <c r="M399" s="79"/>
      <c r="N399" s="79"/>
      <c r="O399" s="82"/>
    </row>
    <row r="400" ht="15.75" customHeight="1">
      <c r="A400" s="261"/>
      <c r="B400" s="171"/>
      <c r="C400" s="172"/>
      <c r="D400" s="172"/>
      <c r="E400" s="227"/>
      <c r="F400" s="228"/>
      <c r="G400" s="154"/>
      <c r="H400" s="162"/>
      <c r="I400" s="223"/>
      <c r="J400" s="162"/>
      <c r="K400" s="129"/>
      <c r="L400" s="79"/>
      <c r="M400" s="79"/>
      <c r="N400" s="79"/>
      <c r="O400" s="82"/>
    </row>
    <row r="401" ht="15.75" customHeight="1">
      <c r="A401" s="261"/>
      <c r="B401" s="171"/>
      <c r="C401" s="172"/>
      <c r="D401" s="172"/>
      <c r="E401" s="227"/>
      <c r="F401" s="228"/>
      <c r="G401" s="154"/>
      <c r="H401" s="162"/>
      <c r="I401" s="223"/>
      <c r="J401" s="162"/>
      <c r="K401" s="129"/>
      <c r="L401" s="79"/>
      <c r="M401" s="79"/>
      <c r="N401" s="79"/>
      <c r="O401" s="82"/>
    </row>
    <row r="402" ht="15.75" customHeight="1">
      <c r="A402" s="261"/>
      <c r="B402" s="171"/>
      <c r="C402" s="172"/>
      <c r="D402" s="172"/>
      <c r="E402" s="227"/>
      <c r="F402" s="228"/>
      <c r="G402" s="154"/>
      <c r="H402" s="162"/>
      <c r="I402" s="223"/>
      <c r="J402" s="162"/>
      <c r="K402" s="129"/>
      <c r="L402" s="79"/>
      <c r="M402" s="79"/>
      <c r="N402" s="79"/>
      <c r="O402" s="82"/>
    </row>
    <row r="403" ht="15.75" customHeight="1">
      <c r="A403" s="261"/>
      <c r="B403" s="171"/>
      <c r="C403" s="172"/>
      <c r="D403" s="172"/>
      <c r="E403" s="227"/>
      <c r="F403" s="228"/>
      <c r="G403" s="154"/>
      <c r="H403" s="162"/>
      <c r="I403" s="223"/>
      <c r="J403" s="162"/>
      <c r="K403" s="129"/>
      <c r="L403" s="79"/>
      <c r="M403" s="79"/>
      <c r="N403" s="79"/>
      <c r="O403" s="82"/>
    </row>
    <row r="404" ht="15.75" customHeight="1">
      <c r="A404" s="261"/>
      <c r="B404" s="171"/>
      <c r="C404" s="172"/>
      <c r="D404" s="172"/>
      <c r="E404" s="227"/>
      <c r="F404" s="228"/>
      <c r="G404" s="154"/>
      <c r="H404" s="162"/>
      <c r="I404" s="223"/>
      <c r="J404" s="162"/>
      <c r="K404" s="129"/>
      <c r="L404" s="79"/>
      <c r="M404" s="79"/>
      <c r="N404" s="79"/>
      <c r="O404" s="82"/>
    </row>
    <row r="405" ht="15.75" customHeight="1">
      <c r="A405" s="261"/>
      <c r="B405" s="171"/>
      <c r="C405" s="172"/>
      <c r="D405" s="172"/>
      <c r="E405" s="227"/>
      <c r="F405" s="228"/>
      <c r="G405" s="154"/>
      <c r="H405" s="162"/>
      <c r="I405" s="223"/>
      <c r="J405" s="162"/>
      <c r="K405" s="129"/>
      <c r="L405" s="79"/>
      <c r="M405" s="79"/>
      <c r="N405" s="79"/>
      <c r="O405" s="82"/>
    </row>
    <row r="406" ht="15.75" customHeight="1">
      <c r="A406" s="261"/>
      <c r="B406" s="171"/>
      <c r="C406" s="172"/>
      <c r="D406" s="172"/>
      <c r="E406" s="227"/>
      <c r="F406" s="228"/>
      <c r="G406" s="154"/>
      <c r="H406" s="162"/>
      <c r="I406" s="223"/>
      <c r="J406" s="162"/>
      <c r="K406" s="129"/>
      <c r="L406" s="79"/>
      <c r="M406" s="79"/>
      <c r="N406" s="79"/>
      <c r="O406" s="82"/>
    </row>
    <row r="407" ht="15.75" customHeight="1">
      <c r="A407" s="261"/>
      <c r="B407" s="171"/>
      <c r="C407" s="172"/>
      <c r="D407" s="172"/>
      <c r="E407" s="227"/>
      <c r="F407" s="228"/>
      <c r="G407" s="154"/>
      <c r="H407" s="162"/>
      <c r="I407" s="223"/>
      <c r="J407" s="162"/>
      <c r="K407" s="129"/>
      <c r="L407" s="79"/>
      <c r="M407" s="79"/>
      <c r="N407" s="79"/>
      <c r="O407" s="82"/>
    </row>
    <row r="408" ht="15.75" customHeight="1">
      <c r="A408" s="261"/>
      <c r="B408" s="171"/>
      <c r="C408" s="172"/>
      <c r="D408" s="172"/>
      <c r="E408" s="227"/>
      <c r="F408" s="228"/>
      <c r="G408" s="154"/>
      <c r="H408" s="162"/>
      <c r="I408" s="223"/>
      <c r="J408" s="162"/>
      <c r="K408" s="129"/>
      <c r="L408" s="79"/>
      <c r="M408" s="79"/>
      <c r="N408" s="79"/>
      <c r="O408" s="82"/>
    </row>
    <row r="409" ht="15.75" customHeight="1">
      <c r="A409" s="261"/>
      <c r="B409" s="171"/>
      <c r="C409" s="172"/>
      <c r="D409" s="172"/>
      <c r="E409" s="227"/>
      <c r="F409" s="228"/>
      <c r="G409" s="154"/>
      <c r="H409" s="162"/>
      <c r="I409" s="223"/>
      <c r="J409" s="162"/>
      <c r="K409" s="129"/>
      <c r="L409" s="79"/>
      <c r="M409" s="79"/>
      <c r="N409" s="79"/>
      <c r="O409" s="82"/>
    </row>
    <row r="410" ht="15.75" customHeight="1">
      <c r="A410" s="261"/>
      <c r="B410" s="171"/>
      <c r="C410" s="172"/>
      <c r="D410" s="172"/>
      <c r="E410" s="227"/>
      <c r="F410" s="228"/>
      <c r="G410" s="154"/>
      <c r="H410" s="162"/>
      <c r="I410" s="223"/>
      <c r="J410" s="162"/>
      <c r="K410" s="129"/>
      <c r="L410" s="79"/>
      <c r="M410" s="79"/>
      <c r="N410" s="79"/>
      <c r="O410" s="82"/>
    </row>
    <row r="411" ht="15.75" customHeight="1">
      <c r="A411" s="261"/>
      <c r="B411" s="171"/>
      <c r="C411" s="172"/>
      <c r="D411" s="172"/>
      <c r="E411" s="227"/>
      <c r="F411" s="228"/>
      <c r="G411" s="154"/>
      <c r="H411" s="162"/>
      <c r="I411" s="223"/>
      <c r="J411" s="162"/>
      <c r="K411" s="129"/>
      <c r="L411" s="79"/>
      <c r="M411" s="79"/>
      <c r="N411" s="79"/>
      <c r="O411" s="82"/>
    </row>
    <row r="412" ht="15.75" customHeight="1">
      <c r="A412" s="261"/>
      <c r="B412" s="171"/>
      <c r="C412" s="172"/>
      <c r="D412" s="172"/>
      <c r="E412" s="227"/>
      <c r="F412" s="228"/>
      <c r="G412" s="154"/>
      <c r="H412" s="162"/>
      <c r="I412" s="223"/>
      <c r="J412" s="162"/>
      <c r="K412" s="129"/>
      <c r="L412" s="79"/>
      <c r="M412" s="79"/>
      <c r="N412" s="79"/>
      <c r="O412" s="82"/>
    </row>
    <row r="413" ht="15.75" customHeight="1">
      <c r="A413" s="261"/>
      <c r="B413" s="171"/>
      <c r="C413" s="172"/>
      <c r="D413" s="172"/>
      <c r="E413" s="227"/>
      <c r="F413" s="228"/>
      <c r="G413" s="154"/>
      <c r="H413" s="162"/>
      <c r="I413" s="223"/>
      <c r="J413" s="162"/>
      <c r="K413" s="129"/>
      <c r="L413" s="79"/>
      <c r="M413" s="79"/>
      <c r="N413" s="79"/>
      <c r="O413" s="82"/>
    </row>
    <row r="414" ht="15.75" customHeight="1">
      <c r="A414" s="261"/>
      <c r="B414" s="171"/>
      <c r="C414" s="172"/>
      <c r="D414" s="172"/>
      <c r="E414" s="227"/>
      <c r="F414" s="228"/>
      <c r="G414" s="154"/>
      <c r="H414" s="162"/>
      <c r="I414" s="223"/>
      <c r="J414" s="162"/>
      <c r="K414" s="129"/>
      <c r="L414" s="79"/>
      <c r="M414" s="79"/>
      <c r="N414" s="79"/>
      <c r="O414" s="82"/>
    </row>
    <row r="415" ht="15.75" customHeight="1">
      <c r="A415" s="261"/>
      <c r="B415" s="171"/>
      <c r="C415" s="172"/>
      <c r="D415" s="172"/>
      <c r="E415" s="227"/>
      <c r="F415" s="228"/>
      <c r="G415" s="154"/>
      <c r="H415" s="162"/>
      <c r="I415" s="223"/>
      <c r="J415" s="162"/>
      <c r="K415" s="129"/>
      <c r="L415" s="79"/>
      <c r="M415" s="79"/>
      <c r="N415" s="79"/>
      <c r="O415" s="82"/>
    </row>
    <row r="416" ht="15.75" customHeight="1">
      <c r="A416" s="261"/>
      <c r="B416" s="171"/>
      <c r="C416" s="172"/>
      <c r="D416" s="172"/>
      <c r="E416" s="227"/>
      <c r="F416" s="228"/>
      <c r="G416" s="154"/>
      <c r="H416" s="162"/>
      <c r="I416" s="223"/>
      <c r="J416" s="162"/>
      <c r="K416" s="129"/>
      <c r="L416" s="79"/>
      <c r="M416" s="79"/>
      <c r="N416" s="79"/>
      <c r="O416" s="82"/>
    </row>
    <row r="417" ht="15.75" customHeight="1">
      <c r="A417" s="261"/>
      <c r="B417" s="171"/>
      <c r="C417" s="172"/>
      <c r="D417" s="172"/>
      <c r="E417" s="227"/>
      <c r="F417" s="228"/>
      <c r="G417" s="154"/>
      <c r="H417" s="162"/>
      <c r="I417" s="223"/>
      <c r="J417" s="162"/>
      <c r="K417" s="129"/>
      <c r="L417" s="79"/>
      <c r="M417" s="79"/>
      <c r="N417" s="79"/>
      <c r="O417" s="82"/>
    </row>
    <row r="418" ht="15.75" customHeight="1">
      <c r="A418" s="261"/>
      <c r="B418" s="171"/>
      <c r="C418" s="172"/>
      <c r="D418" s="172"/>
      <c r="E418" s="227"/>
      <c r="F418" s="228"/>
      <c r="G418" s="154"/>
      <c r="H418" s="162"/>
      <c r="I418" s="223"/>
      <c r="J418" s="162"/>
      <c r="K418" s="129"/>
      <c r="L418" s="79"/>
      <c r="M418" s="79"/>
      <c r="N418" s="79"/>
      <c r="O418" s="82"/>
    </row>
    <row r="419" ht="15.75" customHeight="1">
      <c r="A419" s="261"/>
      <c r="B419" s="171"/>
      <c r="C419" s="172"/>
      <c r="D419" s="172"/>
      <c r="E419" s="227"/>
      <c r="F419" s="228"/>
      <c r="G419" s="154"/>
      <c r="H419" s="162"/>
      <c r="I419" s="223"/>
      <c r="J419" s="162"/>
      <c r="K419" s="129"/>
      <c r="L419" s="79"/>
      <c r="M419" s="79"/>
      <c r="N419" s="79"/>
      <c r="O419" s="82"/>
    </row>
    <row r="420" ht="15.75" customHeight="1">
      <c r="A420" s="261"/>
      <c r="B420" s="171"/>
      <c r="C420" s="172"/>
      <c r="D420" s="172"/>
      <c r="E420" s="227"/>
      <c r="F420" s="228"/>
      <c r="G420" s="154"/>
      <c r="H420" s="162"/>
      <c r="I420" s="223"/>
      <c r="J420" s="162"/>
      <c r="K420" s="129"/>
      <c r="L420" s="79"/>
      <c r="M420" s="79"/>
      <c r="N420" s="79"/>
      <c r="O420" s="82"/>
    </row>
    <row r="421" ht="15.75" customHeight="1">
      <c r="A421" s="261"/>
      <c r="B421" s="171"/>
      <c r="C421" s="172"/>
      <c r="D421" s="172"/>
      <c r="E421" s="227"/>
      <c r="F421" s="228"/>
      <c r="G421" s="154"/>
      <c r="H421" s="162"/>
      <c r="I421" s="223"/>
      <c r="J421" s="162"/>
      <c r="K421" s="129"/>
      <c r="L421" s="79"/>
      <c r="M421" s="79"/>
      <c r="N421" s="79"/>
      <c r="O421" s="82"/>
    </row>
    <row r="422" ht="15.75" customHeight="1">
      <c r="A422" s="261"/>
      <c r="B422" s="171"/>
      <c r="C422" s="172"/>
      <c r="D422" s="172"/>
      <c r="E422" s="227"/>
      <c r="F422" s="228"/>
      <c r="G422" s="154"/>
      <c r="H422" s="162"/>
      <c r="I422" s="223"/>
      <c r="J422" s="162"/>
      <c r="K422" s="129"/>
      <c r="L422" s="79"/>
      <c r="M422" s="79"/>
      <c r="N422" s="79"/>
      <c r="O422" s="82"/>
    </row>
    <row r="423" ht="15.75" customHeight="1">
      <c r="A423" s="261"/>
      <c r="B423" s="171"/>
      <c r="C423" s="172"/>
      <c r="D423" s="172"/>
      <c r="E423" s="227"/>
      <c r="F423" s="228"/>
      <c r="G423" s="154"/>
      <c r="H423" s="162"/>
      <c r="I423" s="223"/>
      <c r="J423" s="162"/>
      <c r="K423" s="129"/>
      <c r="L423" s="79"/>
      <c r="M423" s="79"/>
      <c r="N423" s="79"/>
      <c r="O423" s="82"/>
    </row>
    <row r="424" ht="15.75" customHeight="1">
      <c r="A424" s="261"/>
      <c r="B424" s="171"/>
      <c r="C424" s="172"/>
      <c r="D424" s="172"/>
      <c r="E424" s="227"/>
      <c r="F424" s="228"/>
      <c r="G424" s="154"/>
      <c r="H424" s="162"/>
      <c r="I424" s="223"/>
      <c r="J424" s="162"/>
      <c r="K424" s="129"/>
      <c r="L424" s="79"/>
      <c r="M424" s="79"/>
      <c r="N424" s="79"/>
      <c r="O424" s="82"/>
    </row>
    <row r="425" ht="15.75" customHeight="1">
      <c r="A425" s="261"/>
      <c r="B425" s="171"/>
      <c r="C425" s="172"/>
      <c r="D425" s="172"/>
      <c r="E425" s="227"/>
      <c r="F425" s="228"/>
      <c r="G425" s="154"/>
      <c r="H425" s="162"/>
      <c r="I425" s="223"/>
      <c r="J425" s="162"/>
      <c r="K425" s="129"/>
      <c r="L425" s="79"/>
      <c r="M425" s="79"/>
      <c r="N425" s="79"/>
      <c r="O425" s="82"/>
    </row>
    <row r="426" ht="15.75" customHeight="1">
      <c r="A426" s="261"/>
      <c r="B426" s="171"/>
      <c r="C426" s="172"/>
      <c r="D426" s="172"/>
      <c r="E426" s="227"/>
      <c r="F426" s="228"/>
      <c r="G426" s="154"/>
      <c r="H426" s="162"/>
      <c r="I426" s="223"/>
      <c r="J426" s="162"/>
      <c r="K426" s="129"/>
      <c r="L426" s="79"/>
      <c r="M426" s="79"/>
      <c r="N426" s="79"/>
      <c r="O426" s="82"/>
    </row>
    <row r="427" ht="15.75" customHeight="1">
      <c r="A427" s="261"/>
      <c r="B427" s="171"/>
      <c r="C427" s="172"/>
      <c r="D427" s="172"/>
      <c r="E427" s="227"/>
      <c r="F427" s="228"/>
      <c r="G427" s="154"/>
      <c r="H427" s="162"/>
      <c r="I427" s="223"/>
      <c r="J427" s="162"/>
      <c r="K427" s="129"/>
      <c r="L427" s="79"/>
      <c r="M427" s="79"/>
      <c r="N427" s="79"/>
      <c r="O427" s="82"/>
    </row>
    <row r="428" ht="15.75" customHeight="1">
      <c r="A428" s="261"/>
      <c r="B428" s="171"/>
      <c r="C428" s="172"/>
      <c r="D428" s="172"/>
      <c r="E428" s="227"/>
      <c r="F428" s="228"/>
      <c r="G428" s="154"/>
      <c r="H428" s="162"/>
      <c r="I428" s="223"/>
      <c r="J428" s="162"/>
      <c r="K428" s="129"/>
      <c r="L428" s="79"/>
      <c r="M428" s="79"/>
      <c r="N428" s="79"/>
      <c r="O428" s="82"/>
    </row>
    <row r="429" ht="15.75" customHeight="1">
      <c r="A429" s="261"/>
      <c r="B429" s="171"/>
      <c r="C429" s="172"/>
      <c r="D429" s="172"/>
      <c r="E429" s="227"/>
      <c r="F429" s="228"/>
      <c r="G429" s="154"/>
      <c r="H429" s="162"/>
      <c r="I429" s="223"/>
      <c r="J429" s="162"/>
      <c r="K429" s="129"/>
      <c r="L429" s="79"/>
      <c r="M429" s="79"/>
      <c r="N429" s="79"/>
      <c r="O429" s="82"/>
    </row>
    <row r="430" ht="15.75" customHeight="1">
      <c r="A430" s="261"/>
      <c r="B430" s="171"/>
      <c r="C430" s="172"/>
      <c r="D430" s="172"/>
      <c r="E430" s="227"/>
      <c r="F430" s="228"/>
      <c r="G430" s="154"/>
      <c r="H430" s="162"/>
      <c r="I430" s="223"/>
      <c r="J430" s="162"/>
      <c r="K430" s="129"/>
      <c r="L430" s="79"/>
      <c r="M430" s="79"/>
      <c r="N430" s="79"/>
      <c r="O430" s="82"/>
    </row>
    <row r="431" ht="15.75" customHeight="1">
      <c r="A431" s="261"/>
      <c r="B431" s="171"/>
      <c r="C431" s="172"/>
      <c r="D431" s="172"/>
      <c r="E431" s="227"/>
      <c r="F431" s="228"/>
      <c r="G431" s="154"/>
      <c r="H431" s="162"/>
      <c r="I431" s="223"/>
      <c r="J431" s="162"/>
      <c r="K431" s="129"/>
      <c r="L431" s="79"/>
      <c r="M431" s="79"/>
      <c r="N431" s="79"/>
      <c r="O431" s="82"/>
    </row>
    <row r="432" ht="15.75" customHeight="1">
      <c r="A432" s="261"/>
      <c r="B432" s="171"/>
      <c r="C432" s="172"/>
      <c r="D432" s="172"/>
      <c r="E432" s="227"/>
      <c r="F432" s="228"/>
      <c r="G432" s="154"/>
      <c r="H432" s="162"/>
      <c r="I432" s="223"/>
      <c r="J432" s="162"/>
      <c r="K432" s="129"/>
      <c r="L432" s="79"/>
      <c r="M432" s="79"/>
      <c r="N432" s="79"/>
      <c r="O432" s="82"/>
    </row>
    <row r="433" ht="15.75" customHeight="1">
      <c r="A433" s="261"/>
      <c r="B433" s="171"/>
      <c r="C433" s="172"/>
      <c r="D433" s="172"/>
      <c r="E433" s="227"/>
      <c r="F433" s="228"/>
      <c r="G433" s="154"/>
      <c r="H433" s="162"/>
      <c r="I433" s="223"/>
      <c r="J433" s="162"/>
      <c r="K433" s="129"/>
      <c r="L433" s="79"/>
      <c r="M433" s="79"/>
      <c r="N433" s="79"/>
      <c r="O433" s="82"/>
    </row>
    <row r="434" ht="15.75" customHeight="1">
      <c r="A434" s="261"/>
      <c r="B434" s="171"/>
      <c r="C434" s="172"/>
      <c r="D434" s="172"/>
      <c r="E434" s="227"/>
      <c r="F434" s="228"/>
      <c r="G434" s="154"/>
      <c r="H434" s="162"/>
      <c r="I434" s="223"/>
      <c r="J434" s="162"/>
      <c r="K434" s="129"/>
      <c r="L434" s="79"/>
      <c r="M434" s="79"/>
      <c r="N434" s="79"/>
      <c r="O434" s="82"/>
    </row>
    <row r="435" ht="15.75" customHeight="1">
      <c r="A435" s="261"/>
      <c r="B435" s="171"/>
      <c r="C435" s="172"/>
      <c r="D435" s="172"/>
      <c r="E435" s="227"/>
      <c r="F435" s="228"/>
      <c r="G435" s="154"/>
      <c r="H435" s="162"/>
      <c r="I435" s="223"/>
      <c r="J435" s="162"/>
      <c r="K435" s="129"/>
      <c r="L435" s="79"/>
      <c r="M435" s="79"/>
      <c r="N435" s="79"/>
      <c r="O435" s="82"/>
    </row>
    <row r="436" ht="15.75" customHeight="1">
      <c r="A436" s="261"/>
      <c r="B436" s="171"/>
      <c r="C436" s="172"/>
      <c r="D436" s="172"/>
      <c r="E436" s="227"/>
      <c r="F436" s="228"/>
      <c r="G436" s="154"/>
      <c r="H436" s="162"/>
      <c r="I436" s="223"/>
      <c r="J436" s="162"/>
      <c r="K436" s="129"/>
      <c r="L436" s="79"/>
      <c r="M436" s="79"/>
      <c r="N436" s="79"/>
      <c r="O436" s="82"/>
    </row>
    <row r="437" ht="15.75" customHeight="1">
      <c r="A437" s="261"/>
      <c r="B437" s="171"/>
      <c r="C437" s="172"/>
      <c r="D437" s="172"/>
      <c r="E437" s="227"/>
      <c r="F437" s="228"/>
      <c r="G437" s="154"/>
      <c r="H437" s="162"/>
      <c r="I437" s="223"/>
      <c r="J437" s="162"/>
      <c r="K437" s="129"/>
      <c r="L437" s="79"/>
      <c r="M437" s="79"/>
      <c r="N437" s="79"/>
      <c r="O437" s="82"/>
    </row>
    <row r="438" ht="15.75" customHeight="1">
      <c r="A438" s="261"/>
      <c r="B438" s="171"/>
      <c r="C438" s="172"/>
      <c r="D438" s="172"/>
      <c r="E438" s="227"/>
      <c r="F438" s="228"/>
      <c r="G438" s="154"/>
      <c r="H438" s="162"/>
      <c r="I438" s="223"/>
      <c r="J438" s="162"/>
      <c r="K438" s="129"/>
      <c r="L438" s="79"/>
      <c r="M438" s="79"/>
      <c r="N438" s="79"/>
      <c r="O438" s="82"/>
    </row>
    <row r="439" ht="15.75" customHeight="1">
      <c r="A439" s="261"/>
      <c r="B439" s="171"/>
      <c r="C439" s="172"/>
      <c r="D439" s="172"/>
      <c r="E439" s="227"/>
      <c r="F439" s="228"/>
      <c r="G439" s="154"/>
      <c r="H439" s="162"/>
      <c r="I439" s="223"/>
      <c r="J439" s="162"/>
      <c r="K439" s="129"/>
      <c r="L439" s="79"/>
      <c r="M439" s="79"/>
      <c r="N439" s="79"/>
      <c r="O439" s="82"/>
    </row>
    <row r="440" ht="15.75" customHeight="1">
      <c r="A440" s="261"/>
      <c r="B440" s="171"/>
      <c r="C440" s="172"/>
      <c r="D440" s="172"/>
      <c r="E440" s="227"/>
      <c r="F440" s="228"/>
      <c r="G440" s="154"/>
      <c r="H440" s="162"/>
      <c r="I440" s="223"/>
      <c r="J440" s="162"/>
      <c r="K440" s="129"/>
      <c r="L440" s="79"/>
      <c r="M440" s="79"/>
      <c r="N440" s="79"/>
      <c r="O440" s="82"/>
    </row>
    <row r="441" ht="15.75" customHeight="1">
      <c r="A441" s="261"/>
      <c r="B441" s="171"/>
      <c r="C441" s="172"/>
      <c r="D441" s="172"/>
      <c r="E441" s="227"/>
      <c r="F441" s="228"/>
      <c r="G441" s="154"/>
      <c r="H441" s="162"/>
      <c r="I441" s="223"/>
      <c r="J441" s="162"/>
      <c r="K441" s="129"/>
      <c r="L441" s="79"/>
      <c r="M441" s="79"/>
      <c r="N441" s="79"/>
      <c r="O441" s="82"/>
    </row>
    <row r="442" ht="15.75" customHeight="1">
      <c r="A442" s="261"/>
      <c r="B442" s="171"/>
      <c r="C442" s="172"/>
      <c r="D442" s="172"/>
      <c r="E442" s="227"/>
      <c r="F442" s="228"/>
      <c r="G442" s="154"/>
      <c r="H442" s="162"/>
      <c r="I442" s="223"/>
      <c r="J442" s="162"/>
      <c r="K442" s="129"/>
      <c r="L442" s="79"/>
      <c r="M442" s="79"/>
      <c r="N442" s="79"/>
      <c r="O442" s="82"/>
    </row>
    <row r="443" ht="15.75" customHeight="1">
      <c r="A443" s="261"/>
      <c r="B443" s="171"/>
      <c r="C443" s="172"/>
      <c r="D443" s="172"/>
      <c r="E443" s="227"/>
      <c r="F443" s="228"/>
      <c r="G443" s="154"/>
      <c r="H443" s="162"/>
      <c r="I443" s="223"/>
      <c r="J443" s="162"/>
      <c r="K443" s="129"/>
      <c r="L443" s="79"/>
      <c r="M443" s="79"/>
      <c r="N443" s="79"/>
      <c r="O443" s="82"/>
    </row>
    <row r="444" ht="15.75" customHeight="1">
      <c r="A444" s="261"/>
      <c r="B444" s="171"/>
      <c r="C444" s="172"/>
      <c r="D444" s="172"/>
      <c r="E444" s="227"/>
      <c r="F444" s="228"/>
      <c r="G444" s="154"/>
      <c r="H444" s="162"/>
      <c r="I444" s="223"/>
      <c r="J444" s="162"/>
      <c r="K444" s="129"/>
      <c r="L444" s="79"/>
      <c r="M444" s="79"/>
      <c r="N444" s="79"/>
      <c r="O444" s="82"/>
    </row>
    <row r="445" ht="15.75" customHeight="1">
      <c r="A445" s="261"/>
      <c r="B445" s="171"/>
      <c r="C445" s="172"/>
      <c r="D445" s="172"/>
      <c r="E445" s="227"/>
      <c r="F445" s="228"/>
      <c r="G445" s="154"/>
      <c r="H445" s="162"/>
      <c r="I445" s="223"/>
      <c r="J445" s="162"/>
      <c r="K445" s="129"/>
      <c r="L445" s="79"/>
      <c r="M445" s="79"/>
      <c r="N445" s="79"/>
      <c r="O445" s="82"/>
    </row>
    <row r="446" ht="15.75" customHeight="1">
      <c r="A446" s="261"/>
      <c r="B446" s="171"/>
      <c r="C446" s="172"/>
      <c r="D446" s="172"/>
      <c r="E446" s="227"/>
      <c r="F446" s="228"/>
      <c r="G446" s="154"/>
      <c r="H446" s="162"/>
      <c r="I446" s="223"/>
      <c r="J446" s="162"/>
      <c r="K446" s="129"/>
      <c r="L446" s="79"/>
      <c r="M446" s="79"/>
      <c r="N446" s="79"/>
      <c r="O446" s="82"/>
    </row>
    <row r="447" ht="15.75" customHeight="1">
      <c r="A447" s="261"/>
      <c r="B447" s="171"/>
      <c r="C447" s="172"/>
      <c r="D447" s="172"/>
      <c r="E447" s="227"/>
      <c r="F447" s="228"/>
      <c r="G447" s="154"/>
      <c r="H447" s="162"/>
      <c r="I447" s="223"/>
      <c r="J447" s="162"/>
      <c r="K447" s="129"/>
      <c r="L447" s="79"/>
      <c r="M447" s="79"/>
      <c r="N447" s="79"/>
      <c r="O447" s="82"/>
    </row>
    <row r="448" ht="15.75" customHeight="1">
      <c r="A448" s="261"/>
      <c r="B448" s="171"/>
      <c r="C448" s="172"/>
      <c r="D448" s="172"/>
      <c r="E448" s="227"/>
      <c r="F448" s="228"/>
      <c r="G448" s="154"/>
      <c r="H448" s="162"/>
      <c r="I448" s="223"/>
      <c r="J448" s="162"/>
      <c r="K448" s="129"/>
      <c r="L448" s="79"/>
      <c r="M448" s="79"/>
      <c r="N448" s="79"/>
      <c r="O448" s="82"/>
    </row>
    <row r="449" ht="15.75" customHeight="1">
      <c r="A449" s="261"/>
      <c r="B449" s="171"/>
      <c r="C449" s="172"/>
      <c r="D449" s="172"/>
      <c r="E449" s="227"/>
      <c r="F449" s="228"/>
      <c r="G449" s="154"/>
      <c r="H449" s="162"/>
      <c r="I449" s="223"/>
      <c r="J449" s="162"/>
      <c r="K449" s="129"/>
      <c r="L449" s="79"/>
      <c r="M449" s="79"/>
      <c r="N449" s="79"/>
      <c r="O449" s="82"/>
    </row>
    <row r="450" ht="15.75" customHeight="1">
      <c r="A450" s="261"/>
      <c r="B450" s="171"/>
      <c r="C450" s="172"/>
      <c r="D450" s="172"/>
      <c r="E450" s="227"/>
      <c r="F450" s="228"/>
      <c r="G450" s="154"/>
      <c r="H450" s="162"/>
      <c r="I450" s="223"/>
      <c r="J450" s="162"/>
      <c r="K450" s="129"/>
      <c r="L450" s="79"/>
      <c r="M450" s="79"/>
      <c r="N450" s="79"/>
      <c r="O450" s="82"/>
    </row>
    <row r="451" ht="15.75" customHeight="1">
      <c r="A451" s="261"/>
      <c r="B451" s="171"/>
      <c r="C451" s="172"/>
      <c r="D451" s="172"/>
      <c r="E451" s="227"/>
      <c r="F451" s="228"/>
      <c r="G451" s="154"/>
      <c r="H451" s="162"/>
      <c r="I451" s="223"/>
      <c r="J451" s="162"/>
      <c r="K451" s="129"/>
      <c r="L451" s="79"/>
      <c r="M451" s="79"/>
      <c r="N451" s="79"/>
      <c r="O451" s="82"/>
    </row>
    <row r="452" ht="15.75" customHeight="1">
      <c r="A452" s="261"/>
      <c r="B452" s="171"/>
      <c r="C452" s="172"/>
      <c r="D452" s="172"/>
      <c r="E452" s="227"/>
      <c r="F452" s="228"/>
      <c r="G452" s="154"/>
      <c r="H452" s="162"/>
      <c r="I452" s="223"/>
      <c r="J452" s="162"/>
      <c r="K452" s="129"/>
      <c r="L452" s="79"/>
      <c r="M452" s="79"/>
      <c r="N452" s="79"/>
      <c r="O452" s="82"/>
    </row>
    <row r="453" ht="15.75" customHeight="1">
      <c r="A453" s="261"/>
      <c r="B453" s="171"/>
      <c r="C453" s="172"/>
      <c r="D453" s="172"/>
      <c r="E453" s="227"/>
      <c r="F453" s="228"/>
      <c r="G453" s="154"/>
      <c r="H453" s="162"/>
      <c r="I453" s="223"/>
      <c r="J453" s="162"/>
      <c r="K453" s="129"/>
      <c r="L453" s="79"/>
      <c r="M453" s="79"/>
      <c r="N453" s="79"/>
      <c r="O453" s="82"/>
    </row>
    <row r="454" ht="15.75" customHeight="1">
      <c r="A454" s="261"/>
      <c r="B454" s="171"/>
      <c r="C454" s="172"/>
      <c r="D454" s="172"/>
      <c r="E454" s="227"/>
      <c r="F454" s="228"/>
      <c r="G454" s="154"/>
      <c r="H454" s="162"/>
      <c r="I454" s="223"/>
      <c r="J454" s="162"/>
      <c r="K454" s="129"/>
      <c r="L454" s="79"/>
      <c r="M454" s="79"/>
      <c r="N454" s="79"/>
      <c r="O454" s="82"/>
    </row>
    <row r="455" ht="15.75" customHeight="1">
      <c r="A455" s="261"/>
      <c r="B455" s="171"/>
      <c r="C455" s="172"/>
      <c r="D455" s="172"/>
      <c r="E455" s="227"/>
      <c r="F455" s="228"/>
      <c r="G455" s="154"/>
      <c r="H455" s="162"/>
      <c r="I455" s="223"/>
      <c r="J455" s="162"/>
      <c r="K455" s="129"/>
      <c r="L455" s="79"/>
      <c r="M455" s="79"/>
      <c r="N455" s="79"/>
      <c r="O455" s="82"/>
    </row>
    <row r="456" ht="15.75" customHeight="1">
      <c r="A456" s="261"/>
      <c r="B456" s="171"/>
      <c r="C456" s="172"/>
      <c r="D456" s="172"/>
      <c r="E456" s="227"/>
      <c r="F456" s="228"/>
      <c r="G456" s="154"/>
      <c r="H456" s="162"/>
      <c r="I456" s="223"/>
      <c r="J456" s="162"/>
      <c r="K456" s="129"/>
      <c r="L456" s="79"/>
      <c r="M456" s="79"/>
      <c r="N456" s="79"/>
      <c r="O456" s="82"/>
    </row>
    <row r="457" ht="15.75" customHeight="1">
      <c r="A457" s="261"/>
      <c r="B457" s="171"/>
      <c r="C457" s="172"/>
      <c r="D457" s="172"/>
      <c r="E457" s="227"/>
      <c r="F457" s="228"/>
      <c r="G457" s="154"/>
      <c r="H457" s="162"/>
      <c r="I457" s="223"/>
      <c r="J457" s="162"/>
      <c r="K457" s="129"/>
      <c r="L457" s="79"/>
      <c r="M457" s="79"/>
      <c r="N457" s="79"/>
      <c r="O457" s="82"/>
    </row>
    <row r="458" ht="15.75" customHeight="1">
      <c r="A458" s="261"/>
      <c r="B458" s="171"/>
      <c r="C458" s="172"/>
      <c r="D458" s="172"/>
      <c r="E458" s="227"/>
      <c r="F458" s="228"/>
      <c r="G458" s="154"/>
      <c r="H458" s="162"/>
      <c r="I458" s="223"/>
      <c r="J458" s="162"/>
      <c r="K458" s="129"/>
      <c r="L458" s="79"/>
      <c r="M458" s="79"/>
      <c r="N458" s="79"/>
      <c r="O458" s="82"/>
    </row>
    <row r="459" ht="15.75" customHeight="1">
      <c r="A459" s="261"/>
      <c r="B459" s="171"/>
      <c r="C459" s="172"/>
      <c r="D459" s="172"/>
      <c r="E459" s="227"/>
      <c r="F459" s="228"/>
      <c r="G459" s="154"/>
      <c r="H459" s="162"/>
      <c r="I459" s="223"/>
      <c r="J459" s="162"/>
      <c r="K459" s="129"/>
      <c r="L459" s="79"/>
      <c r="M459" s="79"/>
      <c r="N459" s="79"/>
      <c r="O459" s="82"/>
    </row>
    <row r="460" ht="15.75" customHeight="1">
      <c r="A460" s="261"/>
      <c r="B460" s="171"/>
      <c r="C460" s="172"/>
      <c r="D460" s="172"/>
      <c r="E460" s="227"/>
      <c r="F460" s="228"/>
      <c r="G460" s="154"/>
      <c r="H460" s="162"/>
      <c r="I460" s="223"/>
      <c r="J460" s="162"/>
      <c r="K460" s="129"/>
      <c r="L460" s="79"/>
      <c r="M460" s="79"/>
      <c r="N460" s="79"/>
      <c r="O460" s="82"/>
    </row>
    <row r="461" ht="15.75" customHeight="1">
      <c r="A461" s="261"/>
      <c r="B461" s="171"/>
      <c r="C461" s="172"/>
      <c r="D461" s="172"/>
      <c r="E461" s="227"/>
      <c r="F461" s="228"/>
      <c r="G461" s="154"/>
      <c r="H461" s="162"/>
      <c r="I461" s="223"/>
      <c r="J461" s="162"/>
      <c r="K461" s="129"/>
      <c r="L461" s="79"/>
      <c r="M461" s="79"/>
      <c r="N461" s="79"/>
      <c r="O461" s="82"/>
    </row>
    <row r="462" ht="15.75" customHeight="1">
      <c r="A462" s="261"/>
      <c r="B462" s="171"/>
      <c r="C462" s="172"/>
      <c r="D462" s="172"/>
      <c r="E462" s="227"/>
      <c r="F462" s="228"/>
      <c r="G462" s="154"/>
      <c r="H462" s="162"/>
      <c r="I462" s="223"/>
      <c r="J462" s="162"/>
      <c r="K462" s="129"/>
      <c r="L462" s="79"/>
      <c r="M462" s="79"/>
      <c r="N462" s="79"/>
      <c r="O462" s="82"/>
    </row>
    <row r="463" ht="15.75" customHeight="1">
      <c r="A463" s="261"/>
      <c r="B463" s="171"/>
      <c r="C463" s="172"/>
      <c r="D463" s="172"/>
      <c r="E463" s="227"/>
      <c r="F463" s="228"/>
      <c r="G463" s="154"/>
      <c r="H463" s="162"/>
      <c r="I463" s="223"/>
      <c r="J463" s="162"/>
      <c r="K463" s="129"/>
      <c r="L463" s="79"/>
      <c r="M463" s="79"/>
      <c r="N463" s="79"/>
      <c r="O463" s="82"/>
    </row>
    <row r="464" ht="15.75" customHeight="1">
      <c r="A464" s="261"/>
      <c r="B464" s="171"/>
      <c r="C464" s="172"/>
      <c r="D464" s="172"/>
      <c r="E464" s="227"/>
      <c r="F464" s="228"/>
      <c r="G464" s="154"/>
      <c r="H464" s="162"/>
      <c r="I464" s="223"/>
      <c r="J464" s="162"/>
      <c r="K464" s="129"/>
      <c r="L464" s="79"/>
      <c r="M464" s="79"/>
      <c r="N464" s="79"/>
      <c r="O464" s="82"/>
    </row>
    <row r="465" ht="15.75" customHeight="1">
      <c r="A465" s="261"/>
      <c r="B465" s="171"/>
      <c r="C465" s="172"/>
      <c r="D465" s="172"/>
      <c r="E465" s="227"/>
      <c r="F465" s="228"/>
      <c r="G465" s="154"/>
      <c r="H465" s="162"/>
      <c r="I465" s="223"/>
      <c r="J465" s="162"/>
      <c r="K465" s="129"/>
      <c r="L465" s="79"/>
      <c r="M465" s="79"/>
      <c r="N465" s="79"/>
      <c r="O465" s="82"/>
    </row>
    <row r="466" ht="15.75" customHeight="1">
      <c r="A466" s="261"/>
      <c r="B466" s="171"/>
      <c r="C466" s="172"/>
      <c r="D466" s="172"/>
      <c r="E466" s="227"/>
      <c r="F466" s="228"/>
      <c r="G466" s="154"/>
      <c r="H466" s="162"/>
      <c r="I466" s="223"/>
      <c r="J466" s="162"/>
      <c r="K466" s="129"/>
      <c r="L466" s="79"/>
      <c r="M466" s="79"/>
      <c r="N466" s="79"/>
      <c r="O466" s="82"/>
    </row>
    <row r="467" ht="15.75" customHeight="1">
      <c r="A467" s="261"/>
      <c r="B467" s="171"/>
      <c r="C467" s="172"/>
      <c r="D467" s="172"/>
      <c r="E467" s="227"/>
      <c r="F467" s="228"/>
      <c r="G467" s="154"/>
      <c r="H467" s="162"/>
      <c r="I467" s="223"/>
      <c r="J467" s="162"/>
      <c r="K467" s="129"/>
      <c r="L467" s="79"/>
      <c r="M467" s="79"/>
      <c r="N467" s="79"/>
      <c r="O467" s="82"/>
    </row>
    <row r="468" ht="15.75" customHeight="1">
      <c r="A468" s="261"/>
      <c r="B468" s="171"/>
      <c r="C468" s="172"/>
      <c r="D468" s="172"/>
      <c r="E468" s="227"/>
      <c r="F468" s="228"/>
      <c r="G468" s="154"/>
      <c r="H468" s="162"/>
      <c r="I468" s="223"/>
      <c r="J468" s="162"/>
      <c r="K468" s="129"/>
      <c r="L468" s="79"/>
      <c r="M468" s="79"/>
      <c r="N468" s="79"/>
      <c r="O468" s="82"/>
    </row>
    <row r="469" ht="15.75" customHeight="1">
      <c r="A469" s="261"/>
      <c r="B469" s="171"/>
      <c r="C469" s="172"/>
      <c r="D469" s="172"/>
      <c r="E469" s="227"/>
      <c r="F469" s="228"/>
      <c r="G469" s="154"/>
      <c r="H469" s="162"/>
      <c r="I469" s="223"/>
      <c r="J469" s="162"/>
      <c r="K469" s="129"/>
      <c r="L469" s="79"/>
      <c r="M469" s="79"/>
      <c r="N469" s="79"/>
      <c r="O469" s="82"/>
    </row>
    <row r="470" ht="15.75" customHeight="1">
      <c r="A470" s="261"/>
      <c r="B470" s="171"/>
      <c r="C470" s="172"/>
      <c r="D470" s="172"/>
      <c r="E470" s="227"/>
      <c r="F470" s="228"/>
      <c r="G470" s="154"/>
      <c r="H470" s="162"/>
      <c r="I470" s="223"/>
      <c r="J470" s="162"/>
      <c r="K470" s="129"/>
      <c r="L470" s="79"/>
      <c r="M470" s="79"/>
      <c r="N470" s="79"/>
      <c r="O470" s="82"/>
    </row>
    <row r="471" ht="15.75" customHeight="1">
      <c r="A471" s="261"/>
      <c r="B471" s="171"/>
      <c r="C471" s="172"/>
      <c r="D471" s="172"/>
      <c r="E471" s="227"/>
      <c r="F471" s="228"/>
      <c r="G471" s="154"/>
      <c r="H471" s="162"/>
      <c r="I471" s="223"/>
      <c r="J471" s="162"/>
      <c r="K471" s="129"/>
      <c r="L471" s="79"/>
      <c r="M471" s="79"/>
      <c r="N471" s="79"/>
      <c r="O471" s="82"/>
    </row>
    <row r="472" ht="15.75" customHeight="1">
      <c r="A472" s="261"/>
      <c r="B472" s="171"/>
      <c r="C472" s="172"/>
      <c r="D472" s="172"/>
      <c r="E472" s="227"/>
      <c r="F472" s="228"/>
      <c r="G472" s="154"/>
      <c r="H472" s="162"/>
      <c r="I472" s="223"/>
      <c r="J472" s="162"/>
      <c r="K472" s="129"/>
      <c r="L472" s="79"/>
      <c r="M472" s="79"/>
      <c r="N472" s="79"/>
      <c r="O472" s="82"/>
    </row>
    <row r="473" ht="15.75" customHeight="1">
      <c r="A473" s="261"/>
      <c r="B473" s="171"/>
      <c r="C473" s="172"/>
      <c r="D473" s="172"/>
      <c r="E473" s="227"/>
      <c r="F473" s="228"/>
      <c r="G473" s="154"/>
      <c r="H473" s="162"/>
      <c r="I473" s="223"/>
      <c r="J473" s="162"/>
      <c r="K473" s="129"/>
      <c r="L473" s="79"/>
      <c r="M473" s="79"/>
      <c r="N473" s="79"/>
      <c r="O473" s="82"/>
    </row>
    <row r="474" ht="15.75" customHeight="1">
      <c r="A474" s="261"/>
      <c r="B474" s="171"/>
      <c r="C474" s="172"/>
      <c r="D474" s="172"/>
      <c r="E474" s="227"/>
      <c r="F474" s="228"/>
      <c r="G474" s="154"/>
      <c r="H474" s="162"/>
      <c r="I474" s="223"/>
      <c r="J474" s="162"/>
      <c r="K474" s="129"/>
      <c r="L474" s="79"/>
      <c r="M474" s="79"/>
      <c r="N474" s="79"/>
      <c r="O474" s="82"/>
    </row>
    <row r="475" ht="15.75" customHeight="1">
      <c r="A475" s="261"/>
      <c r="B475" s="171"/>
      <c r="C475" s="172"/>
      <c r="D475" s="172"/>
      <c r="E475" s="227"/>
      <c r="F475" s="228"/>
      <c r="G475" s="154"/>
      <c r="H475" s="162"/>
      <c r="I475" s="223"/>
      <c r="J475" s="162"/>
      <c r="K475" s="129"/>
      <c r="L475" s="79"/>
      <c r="M475" s="79"/>
      <c r="N475" s="79"/>
      <c r="O475" s="82"/>
    </row>
    <row r="476" ht="15.75" customHeight="1">
      <c r="A476" s="261"/>
      <c r="B476" s="171"/>
      <c r="C476" s="172"/>
      <c r="D476" s="172"/>
      <c r="E476" s="227"/>
      <c r="F476" s="228"/>
      <c r="G476" s="154"/>
      <c r="H476" s="162"/>
      <c r="I476" s="223"/>
      <c r="J476" s="162"/>
      <c r="K476" s="129"/>
      <c r="L476" s="79"/>
      <c r="M476" s="79"/>
      <c r="N476" s="79"/>
      <c r="O476" s="82"/>
    </row>
    <row r="477" ht="15.75" customHeight="1">
      <c r="A477" s="261"/>
      <c r="B477" s="171"/>
      <c r="C477" s="172"/>
      <c r="D477" s="172"/>
      <c r="E477" s="227"/>
      <c r="F477" s="228"/>
      <c r="G477" s="154"/>
      <c r="H477" s="162"/>
      <c r="I477" s="223"/>
      <c r="J477" s="162"/>
      <c r="K477" s="129"/>
      <c r="L477" s="79"/>
      <c r="M477" s="79"/>
      <c r="N477" s="79"/>
      <c r="O477" s="82"/>
    </row>
    <row r="478" ht="15.75" customHeight="1">
      <c r="A478" s="261"/>
      <c r="B478" s="171"/>
      <c r="C478" s="172"/>
      <c r="D478" s="172"/>
      <c r="E478" s="227"/>
      <c r="F478" s="228"/>
      <c r="G478" s="154"/>
      <c r="H478" s="162"/>
      <c r="I478" s="223"/>
      <c r="J478" s="162"/>
      <c r="K478" s="129"/>
      <c r="L478" s="79"/>
      <c r="M478" s="79"/>
      <c r="N478" s="79"/>
      <c r="O478" s="82"/>
    </row>
    <row r="479" ht="15.75" customHeight="1">
      <c r="A479" s="261"/>
      <c r="B479" s="171"/>
      <c r="C479" s="172"/>
      <c r="D479" s="172"/>
      <c r="E479" s="227"/>
      <c r="F479" s="228"/>
      <c r="G479" s="154"/>
      <c r="H479" s="162"/>
      <c r="I479" s="223"/>
      <c r="J479" s="162"/>
      <c r="K479" s="129"/>
      <c r="L479" s="79"/>
      <c r="M479" s="79"/>
      <c r="N479" s="79"/>
      <c r="O479" s="82"/>
    </row>
    <row r="480" ht="15.75" customHeight="1">
      <c r="A480" s="261"/>
      <c r="B480" s="171"/>
      <c r="C480" s="172"/>
      <c r="D480" s="172"/>
      <c r="E480" s="227"/>
      <c r="F480" s="228"/>
      <c r="G480" s="154"/>
      <c r="H480" s="162"/>
      <c r="I480" s="223"/>
      <c r="J480" s="162"/>
      <c r="K480" s="129"/>
      <c r="L480" s="79"/>
      <c r="M480" s="79"/>
      <c r="N480" s="79"/>
      <c r="O480" s="82"/>
    </row>
    <row r="481" ht="15.75" customHeight="1">
      <c r="A481" s="261"/>
      <c r="B481" s="171"/>
      <c r="C481" s="172"/>
      <c r="D481" s="172"/>
      <c r="E481" s="227"/>
      <c r="F481" s="228"/>
      <c r="G481" s="154"/>
      <c r="H481" s="162"/>
      <c r="I481" s="223"/>
      <c r="J481" s="162"/>
      <c r="K481" s="129"/>
      <c r="L481" s="79"/>
      <c r="M481" s="79"/>
      <c r="N481" s="79"/>
      <c r="O481" s="82"/>
    </row>
    <row r="482" ht="15.75" customHeight="1">
      <c r="A482" s="261"/>
      <c r="B482" s="171"/>
      <c r="C482" s="172"/>
      <c r="D482" s="172"/>
      <c r="E482" s="227"/>
      <c r="F482" s="228"/>
      <c r="G482" s="154"/>
      <c r="H482" s="162"/>
      <c r="I482" s="223"/>
      <c r="J482" s="162"/>
      <c r="K482" s="129"/>
      <c r="L482" s="79"/>
      <c r="M482" s="79"/>
      <c r="N482" s="79"/>
      <c r="O482" s="82"/>
    </row>
    <row r="483" ht="15.75" customHeight="1">
      <c r="A483" s="261"/>
      <c r="B483" s="171"/>
      <c r="C483" s="172"/>
      <c r="D483" s="172"/>
      <c r="E483" s="227"/>
      <c r="F483" s="228"/>
      <c r="G483" s="154"/>
      <c r="H483" s="162"/>
      <c r="I483" s="223"/>
      <c r="J483" s="162"/>
      <c r="K483" s="129"/>
      <c r="L483" s="79"/>
      <c r="M483" s="79"/>
      <c r="N483" s="79"/>
      <c r="O483" s="82"/>
    </row>
    <row r="484" ht="15.75" customHeight="1">
      <c r="A484" s="261"/>
      <c r="B484" s="171"/>
      <c r="C484" s="172"/>
      <c r="D484" s="172"/>
      <c r="E484" s="227"/>
      <c r="F484" s="228"/>
      <c r="G484" s="154"/>
      <c r="H484" s="162"/>
      <c r="I484" s="223"/>
      <c r="J484" s="162"/>
      <c r="K484" s="129"/>
      <c r="L484" s="79"/>
      <c r="M484" s="79"/>
      <c r="N484" s="79"/>
      <c r="O484" s="82"/>
    </row>
    <row r="485" ht="15.75" customHeight="1">
      <c r="A485" s="261"/>
      <c r="B485" s="171"/>
      <c r="C485" s="172"/>
      <c r="D485" s="172"/>
      <c r="E485" s="227"/>
      <c r="F485" s="228"/>
      <c r="G485" s="154"/>
      <c r="H485" s="162"/>
      <c r="I485" s="223"/>
      <c r="J485" s="162"/>
      <c r="K485" s="129"/>
      <c r="L485" s="79"/>
      <c r="M485" s="79"/>
      <c r="N485" s="79"/>
      <c r="O485" s="82"/>
    </row>
    <row r="486" ht="15.75" customHeight="1">
      <c r="A486" s="261"/>
      <c r="B486" s="171"/>
      <c r="C486" s="172"/>
      <c r="D486" s="172"/>
      <c r="E486" s="227"/>
      <c r="F486" s="228"/>
      <c r="G486" s="154"/>
      <c r="H486" s="162"/>
      <c r="I486" s="223"/>
      <c r="J486" s="162"/>
      <c r="K486" s="129"/>
      <c r="L486" s="79"/>
      <c r="M486" s="79"/>
      <c r="N486" s="79"/>
      <c r="O486" s="82"/>
    </row>
    <row r="487" ht="15.75" customHeight="1">
      <c r="A487" s="261"/>
      <c r="B487" s="171"/>
      <c r="C487" s="172"/>
      <c r="D487" s="172"/>
      <c r="E487" s="227"/>
      <c r="F487" s="228"/>
      <c r="G487" s="154"/>
      <c r="H487" s="162"/>
      <c r="I487" s="223"/>
      <c r="J487" s="162"/>
      <c r="K487" s="129"/>
      <c r="L487" s="79"/>
      <c r="M487" s="79"/>
      <c r="N487" s="79"/>
      <c r="O487" s="82"/>
    </row>
    <row r="488" ht="15.75" customHeight="1">
      <c r="A488" s="261"/>
      <c r="B488" s="171"/>
      <c r="C488" s="172"/>
      <c r="D488" s="172"/>
      <c r="E488" s="227"/>
      <c r="F488" s="228"/>
      <c r="G488" s="154"/>
      <c r="H488" s="162"/>
      <c r="I488" s="223"/>
      <c r="J488" s="162"/>
      <c r="K488" s="129"/>
      <c r="L488" s="79"/>
      <c r="M488" s="79"/>
      <c r="N488" s="79"/>
      <c r="O488" s="82"/>
    </row>
    <row r="489" ht="15.75" customHeight="1">
      <c r="A489" s="261"/>
      <c r="B489" s="171"/>
      <c r="C489" s="172"/>
      <c r="D489" s="172"/>
      <c r="E489" s="227"/>
      <c r="F489" s="228"/>
      <c r="G489" s="154"/>
      <c r="H489" s="162"/>
      <c r="I489" s="223"/>
      <c r="J489" s="162"/>
      <c r="K489" s="129"/>
      <c r="L489" s="79"/>
      <c r="M489" s="79"/>
      <c r="N489" s="79"/>
      <c r="O489" s="82"/>
    </row>
    <row r="490" ht="15.75" customHeight="1">
      <c r="A490" s="261"/>
      <c r="B490" s="171"/>
      <c r="C490" s="172"/>
      <c r="D490" s="172"/>
      <c r="E490" s="227"/>
      <c r="F490" s="228"/>
      <c r="G490" s="154"/>
      <c r="H490" s="162"/>
      <c r="I490" s="223"/>
      <c r="J490" s="162"/>
      <c r="K490" s="129"/>
      <c r="L490" s="79"/>
      <c r="M490" s="79"/>
      <c r="N490" s="79"/>
      <c r="O490" s="82"/>
    </row>
    <row r="491" ht="15.75" customHeight="1">
      <c r="A491" s="261"/>
      <c r="B491" s="171"/>
      <c r="C491" s="172"/>
      <c r="D491" s="172"/>
      <c r="E491" s="227"/>
      <c r="F491" s="228"/>
      <c r="G491" s="154"/>
      <c r="H491" s="162"/>
      <c r="I491" s="223"/>
      <c r="J491" s="162"/>
      <c r="K491" s="129"/>
      <c r="L491" s="79"/>
      <c r="M491" s="79"/>
      <c r="N491" s="79"/>
      <c r="O491" s="82"/>
    </row>
    <row r="492" ht="15.75" customHeight="1">
      <c r="A492" s="261"/>
      <c r="B492" s="171"/>
      <c r="C492" s="172"/>
      <c r="D492" s="172"/>
      <c r="E492" s="227"/>
      <c r="F492" s="228"/>
      <c r="G492" s="154"/>
      <c r="H492" s="162"/>
      <c r="I492" s="223"/>
      <c r="J492" s="162"/>
      <c r="K492" s="129"/>
      <c r="L492" s="79"/>
      <c r="M492" s="79"/>
      <c r="N492" s="79"/>
      <c r="O492" s="82"/>
    </row>
    <row r="493" ht="15.75" customHeight="1">
      <c r="A493" s="261"/>
      <c r="B493" s="171"/>
      <c r="C493" s="172"/>
      <c r="D493" s="172"/>
      <c r="E493" s="227"/>
      <c r="F493" s="228"/>
      <c r="G493" s="154"/>
      <c r="H493" s="162"/>
      <c r="I493" s="223"/>
      <c r="J493" s="162"/>
      <c r="K493" s="129"/>
      <c r="L493" s="79"/>
      <c r="M493" s="79"/>
      <c r="N493" s="79"/>
      <c r="O493" s="82"/>
    </row>
    <row r="494" ht="15.75" customHeight="1">
      <c r="A494" s="261"/>
      <c r="B494" s="171"/>
      <c r="C494" s="172"/>
      <c r="D494" s="172"/>
      <c r="E494" s="227"/>
      <c r="F494" s="228"/>
      <c r="G494" s="154"/>
      <c r="H494" s="162"/>
      <c r="I494" s="223"/>
      <c r="J494" s="162"/>
      <c r="K494" s="129"/>
      <c r="L494" s="79"/>
      <c r="M494" s="79"/>
      <c r="N494" s="79"/>
      <c r="O494" s="82"/>
    </row>
    <row r="495" ht="15.75" customHeight="1">
      <c r="A495" s="261"/>
      <c r="B495" s="171"/>
      <c r="C495" s="172"/>
      <c r="D495" s="172"/>
      <c r="E495" s="227"/>
      <c r="F495" s="228"/>
      <c r="G495" s="154"/>
      <c r="H495" s="162"/>
      <c r="I495" s="223"/>
      <c r="J495" s="162"/>
      <c r="K495" s="129"/>
      <c r="L495" s="79"/>
      <c r="M495" s="79"/>
      <c r="N495" s="79"/>
      <c r="O495" s="82"/>
    </row>
    <row r="496" ht="15.75" customHeight="1">
      <c r="A496" s="261"/>
      <c r="B496" s="171"/>
      <c r="C496" s="172"/>
      <c r="D496" s="172"/>
      <c r="E496" s="227"/>
      <c r="F496" s="228"/>
      <c r="G496" s="154"/>
      <c r="H496" s="162"/>
      <c r="I496" s="223"/>
      <c r="J496" s="162"/>
      <c r="K496" s="129"/>
      <c r="L496" s="79"/>
      <c r="M496" s="79"/>
      <c r="N496" s="79"/>
      <c r="O496" s="82"/>
    </row>
    <row r="497" ht="15.75" customHeight="1">
      <c r="A497" s="261"/>
      <c r="B497" s="171"/>
      <c r="C497" s="172"/>
      <c r="D497" s="172"/>
      <c r="E497" s="227"/>
      <c r="F497" s="228"/>
      <c r="G497" s="154"/>
      <c r="H497" s="162"/>
      <c r="I497" s="223"/>
      <c r="J497" s="162"/>
      <c r="K497" s="129"/>
      <c r="L497" s="79"/>
      <c r="M497" s="79"/>
      <c r="N497" s="79"/>
      <c r="O497" s="82"/>
    </row>
    <row r="498" ht="15.75" customHeight="1">
      <c r="A498" s="261"/>
      <c r="B498" s="171"/>
      <c r="C498" s="172"/>
      <c r="D498" s="172"/>
      <c r="E498" s="227"/>
      <c r="F498" s="228"/>
      <c r="G498" s="154"/>
      <c r="H498" s="162"/>
      <c r="I498" s="223"/>
      <c r="J498" s="162"/>
      <c r="K498" s="129"/>
      <c r="L498" s="79"/>
      <c r="M498" s="79"/>
      <c r="N498" s="79"/>
      <c r="O498" s="82"/>
    </row>
    <row r="499" ht="15.75" customHeight="1">
      <c r="A499" s="261"/>
      <c r="B499" s="171"/>
      <c r="C499" s="172"/>
      <c r="D499" s="172"/>
      <c r="E499" s="227"/>
      <c r="F499" s="228"/>
      <c r="G499" s="154"/>
      <c r="H499" s="162"/>
      <c r="I499" s="223"/>
      <c r="J499" s="162"/>
      <c r="K499" s="129"/>
      <c r="L499" s="79"/>
      <c r="M499" s="79"/>
      <c r="N499" s="79"/>
      <c r="O499" s="82"/>
    </row>
    <row r="500" ht="15.75" customHeight="1">
      <c r="A500" s="261"/>
      <c r="B500" s="171"/>
      <c r="C500" s="172"/>
      <c r="D500" s="172"/>
      <c r="E500" s="227"/>
      <c r="F500" s="228"/>
      <c r="G500" s="154"/>
      <c r="H500" s="162"/>
      <c r="I500" s="223"/>
      <c r="J500" s="162"/>
      <c r="K500" s="129"/>
      <c r="L500" s="79"/>
      <c r="M500" s="79"/>
      <c r="N500" s="79"/>
      <c r="O500" s="82"/>
    </row>
    <row r="501" ht="15.75" customHeight="1">
      <c r="A501" s="261"/>
      <c r="B501" s="171"/>
      <c r="C501" s="172"/>
      <c r="D501" s="172"/>
      <c r="E501" s="227"/>
      <c r="F501" s="228"/>
      <c r="G501" s="154"/>
      <c r="H501" s="162"/>
      <c r="I501" s="223"/>
      <c r="J501" s="162"/>
      <c r="K501" s="129"/>
      <c r="L501" s="79"/>
      <c r="M501" s="79"/>
      <c r="N501" s="79"/>
      <c r="O501" s="82"/>
    </row>
    <row r="502" ht="15.75" customHeight="1">
      <c r="A502" s="261"/>
      <c r="B502" s="171"/>
      <c r="C502" s="172"/>
      <c r="D502" s="172"/>
      <c r="E502" s="227"/>
      <c r="F502" s="228"/>
      <c r="G502" s="154"/>
      <c r="H502" s="162"/>
      <c r="I502" s="223"/>
      <c r="J502" s="162"/>
      <c r="K502" s="129"/>
      <c r="L502" s="79"/>
      <c r="M502" s="79"/>
      <c r="N502" s="79"/>
      <c r="O502" s="82"/>
    </row>
    <row r="503" ht="15.75" customHeight="1">
      <c r="A503" s="261"/>
      <c r="B503" s="171"/>
      <c r="C503" s="172"/>
      <c r="D503" s="172"/>
      <c r="E503" s="227"/>
      <c r="F503" s="228"/>
      <c r="G503" s="154"/>
      <c r="H503" s="162"/>
      <c r="I503" s="223"/>
      <c r="J503" s="162"/>
      <c r="K503" s="129"/>
      <c r="L503" s="79"/>
      <c r="M503" s="79"/>
      <c r="N503" s="79"/>
      <c r="O503" s="82"/>
    </row>
    <row r="504" ht="15.75" customHeight="1">
      <c r="A504" s="261"/>
      <c r="B504" s="171"/>
      <c r="C504" s="172"/>
      <c r="D504" s="172"/>
      <c r="E504" s="227"/>
      <c r="F504" s="228"/>
      <c r="G504" s="154"/>
      <c r="H504" s="162"/>
      <c r="I504" s="223"/>
      <c r="J504" s="162"/>
      <c r="K504" s="129"/>
      <c r="L504" s="79"/>
      <c r="M504" s="79"/>
      <c r="N504" s="79"/>
      <c r="O504" s="82"/>
    </row>
    <row r="505" ht="15.75" customHeight="1">
      <c r="A505" s="261"/>
      <c r="B505" s="171"/>
      <c r="C505" s="172"/>
      <c r="D505" s="172"/>
      <c r="E505" s="227"/>
      <c r="F505" s="228"/>
      <c r="G505" s="154"/>
      <c r="H505" s="162"/>
      <c r="I505" s="223"/>
      <c r="J505" s="162"/>
      <c r="K505" s="129"/>
      <c r="L505" s="79"/>
      <c r="M505" s="79"/>
      <c r="N505" s="79"/>
      <c r="O505" s="82"/>
    </row>
    <row r="506" ht="15.75" customHeight="1">
      <c r="A506" s="261"/>
      <c r="B506" s="171"/>
      <c r="C506" s="172"/>
      <c r="D506" s="172"/>
      <c r="E506" s="227"/>
      <c r="F506" s="228"/>
      <c r="G506" s="154"/>
      <c r="H506" s="162"/>
      <c r="I506" s="223"/>
      <c r="J506" s="162"/>
      <c r="K506" s="129"/>
      <c r="L506" s="79"/>
      <c r="M506" s="79"/>
      <c r="N506" s="79"/>
      <c r="O506" s="82"/>
    </row>
    <row r="507" ht="15.75" customHeight="1">
      <c r="A507" s="261"/>
      <c r="B507" s="171"/>
      <c r="C507" s="172"/>
      <c r="D507" s="172"/>
      <c r="E507" s="227"/>
      <c r="F507" s="228"/>
      <c r="G507" s="154"/>
      <c r="H507" s="162"/>
      <c r="I507" s="223"/>
      <c r="J507" s="162"/>
      <c r="K507" s="129"/>
      <c r="L507" s="79"/>
      <c r="M507" s="79"/>
      <c r="N507" s="79"/>
      <c r="O507" s="82"/>
    </row>
    <row r="508" ht="15.75" customHeight="1">
      <c r="A508" s="261"/>
      <c r="B508" s="171"/>
      <c r="C508" s="172"/>
      <c r="D508" s="172"/>
      <c r="E508" s="227"/>
      <c r="F508" s="228"/>
      <c r="G508" s="154"/>
      <c r="H508" s="162"/>
      <c r="I508" s="223"/>
      <c r="J508" s="162"/>
      <c r="K508" s="129"/>
      <c r="L508" s="79"/>
      <c r="M508" s="79"/>
      <c r="N508" s="79"/>
      <c r="O508" s="82"/>
    </row>
    <row r="509" ht="15.75" customHeight="1">
      <c r="A509" s="261"/>
      <c r="B509" s="171"/>
      <c r="C509" s="172"/>
      <c r="D509" s="172"/>
      <c r="E509" s="227"/>
      <c r="F509" s="228"/>
      <c r="G509" s="154"/>
      <c r="H509" s="162"/>
      <c r="I509" s="223"/>
      <c r="J509" s="162"/>
      <c r="K509" s="129"/>
      <c r="L509" s="79"/>
      <c r="M509" s="79"/>
      <c r="N509" s="79"/>
      <c r="O509" s="82"/>
    </row>
    <row r="510" ht="15.75" customHeight="1">
      <c r="A510" s="261"/>
      <c r="B510" s="171"/>
      <c r="C510" s="172"/>
      <c r="D510" s="172"/>
      <c r="E510" s="227"/>
      <c r="F510" s="228"/>
      <c r="G510" s="154"/>
      <c r="H510" s="162"/>
      <c r="I510" s="223"/>
      <c r="J510" s="162"/>
      <c r="K510" s="129"/>
      <c r="L510" s="79"/>
      <c r="M510" s="79"/>
      <c r="N510" s="79"/>
      <c r="O510" s="82"/>
    </row>
    <row r="511" ht="15.75" customHeight="1">
      <c r="A511" s="261"/>
      <c r="B511" s="171"/>
      <c r="C511" s="172"/>
      <c r="D511" s="172"/>
      <c r="E511" s="227"/>
      <c r="F511" s="228"/>
      <c r="G511" s="154"/>
      <c r="H511" s="162"/>
      <c r="I511" s="223"/>
      <c r="J511" s="162"/>
      <c r="K511" s="129"/>
      <c r="L511" s="79"/>
      <c r="M511" s="79"/>
      <c r="N511" s="79"/>
      <c r="O511" s="82"/>
    </row>
    <row r="512" ht="15.75" customHeight="1">
      <c r="A512" s="261"/>
      <c r="B512" s="171"/>
      <c r="C512" s="172"/>
      <c r="D512" s="172"/>
      <c r="E512" s="227"/>
      <c r="F512" s="228"/>
      <c r="G512" s="154"/>
      <c r="H512" s="162"/>
      <c r="I512" s="223"/>
      <c r="J512" s="162"/>
      <c r="K512" s="129"/>
      <c r="L512" s="79"/>
      <c r="M512" s="79"/>
      <c r="N512" s="79"/>
      <c r="O512" s="82"/>
    </row>
    <row r="513" ht="15.75" customHeight="1">
      <c r="A513" s="261"/>
      <c r="B513" s="171"/>
      <c r="C513" s="172"/>
      <c r="D513" s="172"/>
      <c r="E513" s="227"/>
      <c r="F513" s="228"/>
      <c r="G513" s="154"/>
      <c r="H513" s="162"/>
      <c r="I513" s="223"/>
      <c r="J513" s="162"/>
      <c r="K513" s="129"/>
      <c r="L513" s="79"/>
      <c r="M513" s="79"/>
      <c r="N513" s="79"/>
      <c r="O513" s="82"/>
    </row>
    <row r="514" ht="15.75" customHeight="1">
      <c r="A514" s="261"/>
      <c r="B514" s="171"/>
      <c r="C514" s="172"/>
      <c r="D514" s="172"/>
      <c r="E514" s="227"/>
      <c r="F514" s="228"/>
      <c r="G514" s="154"/>
      <c r="H514" s="162"/>
      <c r="I514" s="223"/>
      <c r="J514" s="162"/>
      <c r="K514" s="129"/>
      <c r="L514" s="79"/>
      <c r="M514" s="79"/>
      <c r="N514" s="79"/>
      <c r="O514" s="82"/>
    </row>
    <row r="515" ht="15.75" customHeight="1">
      <c r="A515" s="261"/>
      <c r="B515" s="171"/>
      <c r="C515" s="172"/>
      <c r="D515" s="172"/>
      <c r="E515" s="227"/>
      <c r="F515" s="228"/>
      <c r="G515" s="154"/>
      <c r="H515" s="162"/>
      <c r="I515" s="223"/>
      <c r="J515" s="162"/>
      <c r="K515" s="129"/>
      <c r="L515" s="79"/>
      <c r="M515" s="79"/>
      <c r="N515" s="79"/>
      <c r="O515" s="82"/>
    </row>
    <row r="516" ht="15.75" customHeight="1">
      <c r="A516" s="261"/>
      <c r="B516" s="171"/>
      <c r="C516" s="172"/>
      <c r="D516" s="172"/>
      <c r="E516" s="227"/>
      <c r="F516" s="228"/>
      <c r="G516" s="154"/>
      <c r="H516" s="162"/>
      <c r="I516" s="223"/>
      <c r="J516" s="162"/>
      <c r="K516" s="129"/>
      <c r="L516" s="79"/>
      <c r="M516" s="79"/>
      <c r="N516" s="79"/>
      <c r="O516" s="82"/>
    </row>
    <row r="517" ht="15.75" customHeight="1">
      <c r="A517" s="261"/>
      <c r="B517" s="171"/>
      <c r="C517" s="172"/>
      <c r="D517" s="172"/>
      <c r="E517" s="227"/>
      <c r="F517" s="228"/>
      <c r="G517" s="154"/>
      <c r="H517" s="162"/>
      <c r="I517" s="223"/>
      <c r="J517" s="162"/>
      <c r="K517" s="129"/>
      <c r="L517" s="79"/>
      <c r="M517" s="79"/>
      <c r="N517" s="79"/>
      <c r="O517" s="82"/>
    </row>
    <row r="518" ht="15.75" customHeight="1">
      <c r="A518" s="261"/>
      <c r="B518" s="171"/>
      <c r="C518" s="172"/>
      <c r="D518" s="172"/>
      <c r="E518" s="227"/>
      <c r="F518" s="228"/>
      <c r="G518" s="154"/>
      <c r="H518" s="162"/>
      <c r="I518" s="223"/>
      <c r="J518" s="162"/>
      <c r="K518" s="129"/>
      <c r="L518" s="79"/>
      <c r="M518" s="79"/>
      <c r="N518" s="79"/>
      <c r="O518" s="82"/>
    </row>
    <row r="519" ht="15.75" customHeight="1">
      <c r="A519" s="261"/>
      <c r="B519" s="171"/>
      <c r="C519" s="172"/>
      <c r="D519" s="172"/>
      <c r="E519" s="227"/>
      <c r="F519" s="228"/>
      <c r="G519" s="154"/>
      <c r="H519" s="162"/>
      <c r="I519" s="223"/>
      <c r="J519" s="162"/>
      <c r="K519" s="129"/>
      <c r="L519" s="79"/>
      <c r="M519" s="79"/>
      <c r="N519" s="79"/>
      <c r="O519" s="82"/>
    </row>
    <row r="520" ht="15.75" customHeight="1">
      <c r="A520" s="261"/>
      <c r="B520" s="171"/>
      <c r="C520" s="172"/>
      <c r="D520" s="172"/>
      <c r="E520" s="227"/>
      <c r="F520" s="228"/>
      <c r="G520" s="154"/>
      <c r="H520" s="162"/>
      <c r="I520" s="223"/>
      <c r="J520" s="162"/>
      <c r="K520" s="129"/>
      <c r="L520" s="79"/>
      <c r="M520" s="79"/>
      <c r="N520" s="79"/>
      <c r="O520" s="82"/>
    </row>
    <row r="521" ht="15.75" customHeight="1">
      <c r="A521" s="261"/>
      <c r="B521" s="171"/>
      <c r="C521" s="172"/>
      <c r="D521" s="172"/>
      <c r="E521" s="227"/>
      <c r="F521" s="228"/>
      <c r="G521" s="154"/>
      <c r="H521" s="162"/>
      <c r="I521" s="223"/>
      <c r="J521" s="162"/>
      <c r="K521" s="129"/>
      <c r="L521" s="79"/>
      <c r="M521" s="79"/>
      <c r="N521" s="79"/>
      <c r="O521" s="82"/>
    </row>
    <row r="522" ht="15.75" customHeight="1">
      <c r="A522" s="261"/>
      <c r="B522" s="171"/>
      <c r="C522" s="172"/>
      <c r="D522" s="172"/>
      <c r="E522" s="227"/>
      <c r="F522" s="228"/>
      <c r="G522" s="154"/>
      <c r="H522" s="162"/>
      <c r="I522" s="223"/>
      <c r="J522" s="162"/>
      <c r="K522" s="129"/>
      <c r="L522" s="79"/>
      <c r="M522" s="79"/>
      <c r="N522" s="79"/>
      <c r="O522" s="82"/>
    </row>
    <row r="523" ht="15.75" customHeight="1">
      <c r="A523" s="261"/>
      <c r="B523" s="171"/>
      <c r="C523" s="172"/>
      <c r="D523" s="172"/>
      <c r="E523" s="227"/>
      <c r="F523" s="228"/>
      <c r="G523" s="154"/>
      <c r="H523" s="162"/>
      <c r="I523" s="223"/>
      <c r="J523" s="162"/>
      <c r="K523" s="129"/>
      <c r="L523" s="79"/>
      <c r="M523" s="79"/>
      <c r="N523" s="79"/>
      <c r="O523" s="82"/>
    </row>
    <row r="524" ht="15.75" customHeight="1">
      <c r="A524" s="261"/>
      <c r="B524" s="171"/>
      <c r="C524" s="172"/>
      <c r="D524" s="172"/>
      <c r="E524" s="227"/>
      <c r="F524" s="228"/>
      <c r="G524" s="154"/>
      <c r="H524" s="162"/>
      <c r="I524" s="223"/>
      <c r="J524" s="162"/>
      <c r="K524" s="129"/>
      <c r="L524" s="79"/>
      <c r="M524" s="79"/>
      <c r="N524" s="79"/>
      <c r="O524" s="82"/>
    </row>
    <row r="525" ht="15.75" customHeight="1">
      <c r="A525" s="261"/>
      <c r="B525" s="171"/>
      <c r="C525" s="172"/>
      <c r="D525" s="172"/>
      <c r="E525" s="227"/>
      <c r="F525" s="228"/>
      <c r="G525" s="154"/>
      <c r="H525" s="162"/>
      <c r="I525" s="223"/>
      <c r="J525" s="162"/>
      <c r="K525" s="129"/>
      <c r="L525" s="79"/>
      <c r="M525" s="79"/>
      <c r="N525" s="79"/>
      <c r="O525" s="82"/>
    </row>
    <row r="526" ht="15.75" customHeight="1">
      <c r="A526" s="261"/>
      <c r="B526" s="171"/>
      <c r="C526" s="172"/>
      <c r="D526" s="172"/>
      <c r="E526" s="227"/>
      <c r="F526" s="228"/>
      <c r="G526" s="154"/>
      <c r="H526" s="162"/>
      <c r="I526" s="223"/>
      <c r="J526" s="162"/>
      <c r="K526" s="129"/>
      <c r="L526" s="79"/>
      <c r="M526" s="79"/>
      <c r="N526" s="79"/>
      <c r="O526" s="82"/>
    </row>
    <row r="527" ht="15.75" customHeight="1">
      <c r="A527" s="261"/>
      <c r="B527" s="171"/>
      <c r="C527" s="172"/>
      <c r="D527" s="172"/>
      <c r="E527" s="227"/>
      <c r="F527" s="228"/>
      <c r="G527" s="154"/>
      <c r="H527" s="162"/>
      <c r="I527" s="223"/>
      <c r="J527" s="162"/>
      <c r="K527" s="129"/>
      <c r="L527" s="79"/>
      <c r="M527" s="79"/>
      <c r="N527" s="79"/>
      <c r="O527" s="82"/>
    </row>
    <row r="528" ht="15.75" customHeight="1">
      <c r="A528" s="261"/>
      <c r="B528" s="171"/>
      <c r="C528" s="172"/>
      <c r="D528" s="172"/>
      <c r="E528" s="227"/>
      <c r="F528" s="228"/>
      <c r="G528" s="154"/>
      <c r="H528" s="162"/>
      <c r="I528" s="223"/>
      <c r="J528" s="162"/>
      <c r="K528" s="129"/>
      <c r="L528" s="79"/>
      <c r="M528" s="79"/>
      <c r="N528" s="79"/>
      <c r="O528" s="82"/>
    </row>
    <row r="529" ht="15.75" customHeight="1">
      <c r="A529" s="261"/>
      <c r="B529" s="171"/>
      <c r="C529" s="172"/>
      <c r="D529" s="172"/>
      <c r="E529" s="227"/>
      <c r="F529" s="228"/>
      <c r="G529" s="154"/>
      <c r="H529" s="162"/>
      <c r="I529" s="223"/>
      <c r="J529" s="162"/>
      <c r="K529" s="129"/>
      <c r="L529" s="79"/>
      <c r="M529" s="79"/>
      <c r="N529" s="79"/>
      <c r="O529" s="82"/>
    </row>
    <row r="530" ht="15.75" customHeight="1">
      <c r="A530" s="261"/>
      <c r="B530" s="171"/>
      <c r="C530" s="172"/>
      <c r="D530" s="172"/>
      <c r="E530" s="227"/>
      <c r="F530" s="228"/>
      <c r="G530" s="154"/>
      <c r="H530" s="162"/>
      <c r="I530" s="223"/>
      <c r="J530" s="162"/>
      <c r="K530" s="129"/>
      <c r="L530" s="79"/>
      <c r="M530" s="79"/>
      <c r="N530" s="79"/>
      <c r="O530" s="82"/>
    </row>
    <row r="531" ht="15.75" customHeight="1">
      <c r="A531" s="261"/>
      <c r="B531" s="171"/>
      <c r="C531" s="172"/>
      <c r="D531" s="172"/>
      <c r="E531" s="227"/>
      <c r="F531" s="228"/>
      <c r="G531" s="154"/>
      <c r="H531" s="162"/>
      <c r="I531" s="223"/>
      <c r="J531" s="162"/>
      <c r="K531" s="129"/>
      <c r="L531" s="79"/>
      <c r="M531" s="79"/>
      <c r="N531" s="79"/>
      <c r="O531" s="82"/>
    </row>
    <row r="532" ht="15.75" customHeight="1">
      <c r="A532" s="261"/>
      <c r="B532" s="171"/>
      <c r="C532" s="172"/>
      <c r="D532" s="172"/>
      <c r="E532" s="227"/>
      <c r="F532" s="228"/>
      <c r="G532" s="154"/>
      <c r="H532" s="162"/>
      <c r="I532" s="223"/>
      <c r="J532" s="162"/>
      <c r="K532" s="129"/>
      <c r="L532" s="79"/>
      <c r="M532" s="79"/>
      <c r="N532" s="79"/>
      <c r="O532" s="82"/>
    </row>
    <row r="533" ht="15.75" customHeight="1">
      <c r="A533" s="261"/>
      <c r="B533" s="171"/>
      <c r="C533" s="172"/>
      <c r="D533" s="172"/>
      <c r="E533" s="227"/>
      <c r="F533" s="228"/>
      <c r="G533" s="154"/>
      <c r="H533" s="162"/>
      <c r="I533" s="223"/>
      <c r="J533" s="162"/>
      <c r="K533" s="129"/>
      <c r="L533" s="79"/>
      <c r="M533" s="79"/>
      <c r="N533" s="79"/>
      <c r="O533" s="82"/>
    </row>
    <row r="534" ht="15.75" customHeight="1">
      <c r="A534" s="261"/>
      <c r="B534" s="171"/>
      <c r="C534" s="172"/>
      <c r="D534" s="172"/>
      <c r="E534" s="227"/>
      <c r="F534" s="228"/>
      <c r="G534" s="154"/>
      <c r="H534" s="162"/>
      <c r="I534" s="223"/>
      <c r="J534" s="162"/>
      <c r="K534" s="129"/>
      <c r="L534" s="79"/>
      <c r="M534" s="79"/>
      <c r="N534" s="79"/>
      <c r="O534" s="82"/>
    </row>
    <row r="535" ht="15.75" customHeight="1">
      <c r="A535" s="261"/>
      <c r="B535" s="171"/>
      <c r="C535" s="172"/>
      <c r="D535" s="172"/>
      <c r="E535" s="227"/>
      <c r="F535" s="228"/>
      <c r="G535" s="154"/>
      <c r="H535" s="162"/>
      <c r="I535" s="223"/>
      <c r="J535" s="162"/>
      <c r="K535" s="129"/>
      <c r="L535" s="79"/>
      <c r="M535" s="79"/>
      <c r="N535" s="79"/>
      <c r="O535" s="82"/>
    </row>
    <row r="536" ht="15.75" customHeight="1">
      <c r="A536" s="261"/>
      <c r="B536" s="171"/>
      <c r="C536" s="172"/>
      <c r="D536" s="172"/>
      <c r="E536" s="227"/>
      <c r="F536" s="228"/>
      <c r="G536" s="154"/>
      <c r="H536" s="162"/>
      <c r="I536" s="223"/>
      <c r="J536" s="162"/>
      <c r="K536" s="129"/>
      <c r="L536" s="79"/>
      <c r="M536" s="79"/>
      <c r="N536" s="79"/>
      <c r="O536" s="82"/>
    </row>
    <row r="537" ht="15.75" customHeight="1">
      <c r="A537" s="261"/>
      <c r="B537" s="171"/>
      <c r="C537" s="172"/>
      <c r="D537" s="172"/>
      <c r="E537" s="227"/>
      <c r="F537" s="228"/>
      <c r="G537" s="154"/>
      <c r="H537" s="162"/>
      <c r="I537" s="223"/>
      <c r="J537" s="162"/>
      <c r="K537" s="129"/>
      <c r="L537" s="79"/>
      <c r="M537" s="79"/>
      <c r="N537" s="79"/>
      <c r="O537" s="82"/>
    </row>
    <row r="538" ht="15.75" customHeight="1">
      <c r="A538" s="261"/>
      <c r="B538" s="171"/>
      <c r="C538" s="172"/>
      <c r="D538" s="172"/>
      <c r="E538" s="227"/>
      <c r="F538" s="228"/>
      <c r="G538" s="154"/>
      <c r="H538" s="162"/>
      <c r="I538" s="223"/>
      <c r="J538" s="162"/>
      <c r="K538" s="129"/>
      <c r="L538" s="79"/>
      <c r="M538" s="79"/>
      <c r="N538" s="79"/>
      <c r="O538" s="82"/>
    </row>
    <row r="539" ht="15.75" customHeight="1">
      <c r="A539" s="261"/>
      <c r="B539" s="171"/>
      <c r="C539" s="172"/>
      <c r="D539" s="172"/>
      <c r="E539" s="227"/>
      <c r="F539" s="228"/>
      <c r="G539" s="154"/>
      <c r="H539" s="162"/>
      <c r="I539" s="223"/>
      <c r="J539" s="162"/>
      <c r="K539" s="129"/>
      <c r="L539" s="79"/>
      <c r="M539" s="79"/>
      <c r="N539" s="79"/>
      <c r="O539" s="82"/>
    </row>
    <row r="540" ht="15.75" customHeight="1">
      <c r="A540" s="261"/>
      <c r="B540" s="171"/>
      <c r="C540" s="172"/>
      <c r="D540" s="172"/>
      <c r="E540" s="227"/>
      <c r="F540" s="228"/>
      <c r="G540" s="154"/>
      <c r="H540" s="162"/>
      <c r="I540" s="223"/>
      <c r="J540" s="162"/>
      <c r="K540" s="129"/>
      <c r="L540" s="79"/>
      <c r="M540" s="79"/>
      <c r="N540" s="79"/>
      <c r="O540" s="82"/>
    </row>
    <row r="541" ht="15.75" customHeight="1">
      <c r="A541" s="261"/>
      <c r="B541" s="171"/>
      <c r="C541" s="172"/>
      <c r="D541" s="172"/>
      <c r="E541" s="227"/>
      <c r="F541" s="228"/>
      <c r="G541" s="154"/>
      <c r="H541" s="162"/>
      <c r="I541" s="223"/>
      <c r="J541" s="162"/>
      <c r="K541" s="129"/>
      <c r="L541" s="79"/>
      <c r="M541" s="79"/>
      <c r="N541" s="79"/>
      <c r="O541" s="82"/>
    </row>
    <row r="542" ht="15.75" customHeight="1">
      <c r="A542" s="261"/>
      <c r="B542" s="171"/>
      <c r="C542" s="172"/>
      <c r="D542" s="172"/>
      <c r="E542" s="227"/>
      <c r="F542" s="228"/>
      <c r="G542" s="154"/>
      <c r="H542" s="162"/>
      <c r="I542" s="223"/>
      <c r="J542" s="162"/>
      <c r="K542" s="129"/>
      <c r="L542" s="79"/>
      <c r="M542" s="79"/>
      <c r="N542" s="79"/>
      <c r="O542" s="82"/>
    </row>
    <row r="543" ht="15.75" customHeight="1">
      <c r="A543" s="261"/>
      <c r="B543" s="171"/>
      <c r="C543" s="172"/>
      <c r="D543" s="172"/>
      <c r="E543" s="227"/>
      <c r="F543" s="228"/>
      <c r="G543" s="154"/>
      <c r="H543" s="162"/>
      <c r="I543" s="223"/>
      <c r="J543" s="162"/>
      <c r="K543" s="129"/>
      <c r="L543" s="79"/>
      <c r="M543" s="79"/>
      <c r="N543" s="79"/>
      <c r="O543" s="82"/>
    </row>
    <row r="544" ht="15.75" customHeight="1">
      <c r="A544" s="261"/>
      <c r="B544" s="171"/>
      <c r="C544" s="172"/>
      <c r="D544" s="172"/>
      <c r="E544" s="227"/>
      <c r="F544" s="228"/>
      <c r="G544" s="154"/>
      <c r="H544" s="162"/>
      <c r="I544" s="223"/>
      <c r="J544" s="162"/>
      <c r="K544" s="129"/>
      <c r="L544" s="79"/>
      <c r="M544" s="79"/>
      <c r="N544" s="79"/>
      <c r="O544" s="82"/>
    </row>
    <row r="545" ht="15.75" customHeight="1">
      <c r="A545" s="261"/>
      <c r="B545" s="171"/>
      <c r="C545" s="172"/>
      <c r="D545" s="172"/>
      <c r="E545" s="227"/>
      <c r="F545" s="228"/>
      <c r="G545" s="154"/>
      <c r="H545" s="162"/>
      <c r="I545" s="223"/>
      <c r="J545" s="162"/>
      <c r="K545" s="129"/>
      <c r="L545" s="79"/>
      <c r="M545" s="79"/>
      <c r="N545" s="79"/>
      <c r="O545" s="82"/>
    </row>
    <row r="546" ht="15.75" customHeight="1">
      <c r="A546" s="261"/>
      <c r="B546" s="171"/>
      <c r="C546" s="172"/>
      <c r="D546" s="172"/>
      <c r="E546" s="227"/>
      <c r="F546" s="228"/>
      <c r="G546" s="154"/>
      <c r="H546" s="162"/>
      <c r="I546" s="223"/>
      <c r="J546" s="162"/>
      <c r="K546" s="129"/>
      <c r="L546" s="79"/>
      <c r="M546" s="79"/>
      <c r="N546" s="79"/>
      <c r="O546" s="82"/>
    </row>
    <row r="547" ht="15.75" customHeight="1">
      <c r="A547" s="261"/>
      <c r="B547" s="171"/>
      <c r="C547" s="172"/>
      <c r="D547" s="172"/>
      <c r="E547" s="227"/>
      <c r="F547" s="228"/>
      <c r="G547" s="154"/>
      <c r="H547" s="162"/>
      <c r="I547" s="223"/>
      <c r="J547" s="162"/>
      <c r="K547" s="129"/>
      <c r="L547" s="79"/>
      <c r="M547" s="79"/>
      <c r="N547" s="79"/>
      <c r="O547" s="82"/>
    </row>
    <row r="548" ht="15.75" customHeight="1">
      <c r="A548" s="261"/>
      <c r="B548" s="171"/>
      <c r="C548" s="172"/>
      <c r="D548" s="172"/>
      <c r="E548" s="227"/>
      <c r="F548" s="228"/>
      <c r="G548" s="154"/>
      <c r="H548" s="162"/>
      <c r="I548" s="223"/>
      <c r="J548" s="162"/>
      <c r="K548" s="129"/>
      <c r="L548" s="79"/>
      <c r="M548" s="79"/>
      <c r="N548" s="79"/>
      <c r="O548" s="82"/>
    </row>
    <row r="549" ht="15.75" customHeight="1">
      <c r="A549" s="261"/>
      <c r="B549" s="171"/>
      <c r="C549" s="172"/>
      <c r="D549" s="172"/>
      <c r="E549" s="227"/>
      <c r="F549" s="228"/>
      <c r="G549" s="154"/>
      <c r="H549" s="162"/>
      <c r="I549" s="223"/>
      <c r="J549" s="162"/>
      <c r="K549" s="129"/>
      <c r="L549" s="79"/>
      <c r="M549" s="79"/>
      <c r="N549" s="79"/>
      <c r="O549" s="82"/>
    </row>
    <row r="550" ht="15.75" customHeight="1">
      <c r="A550" s="261"/>
      <c r="B550" s="171"/>
      <c r="C550" s="172"/>
      <c r="D550" s="172"/>
      <c r="E550" s="227"/>
      <c r="F550" s="228"/>
      <c r="G550" s="154"/>
      <c r="H550" s="162"/>
      <c r="I550" s="223"/>
      <c r="J550" s="162"/>
      <c r="K550" s="129"/>
      <c r="L550" s="79"/>
      <c r="M550" s="79"/>
      <c r="N550" s="79"/>
      <c r="O550" s="82"/>
    </row>
    <row r="551" ht="15.75" customHeight="1">
      <c r="A551" s="261"/>
      <c r="B551" s="171"/>
      <c r="C551" s="172"/>
      <c r="D551" s="172"/>
      <c r="E551" s="227"/>
      <c r="F551" s="228"/>
      <c r="G551" s="154"/>
      <c r="H551" s="162"/>
      <c r="I551" s="223"/>
      <c r="J551" s="162"/>
      <c r="K551" s="129"/>
      <c r="L551" s="79"/>
      <c r="M551" s="79"/>
      <c r="N551" s="79"/>
      <c r="O551" s="82"/>
    </row>
    <row r="552" ht="15.75" customHeight="1">
      <c r="A552" s="261"/>
      <c r="B552" s="171"/>
      <c r="C552" s="172"/>
      <c r="D552" s="172"/>
      <c r="E552" s="227"/>
      <c r="F552" s="228"/>
      <c r="G552" s="154"/>
      <c r="H552" s="162"/>
      <c r="I552" s="223"/>
      <c r="J552" s="162"/>
      <c r="K552" s="129"/>
      <c r="L552" s="79"/>
      <c r="M552" s="79"/>
      <c r="N552" s="79"/>
      <c r="O552" s="82"/>
    </row>
    <row r="553" ht="15.75" customHeight="1">
      <c r="A553" s="261"/>
      <c r="B553" s="171"/>
      <c r="C553" s="172"/>
      <c r="D553" s="172"/>
      <c r="E553" s="227"/>
      <c r="F553" s="228"/>
      <c r="G553" s="154"/>
      <c r="H553" s="162"/>
      <c r="I553" s="223"/>
      <c r="J553" s="162"/>
      <c r="K553" s="129"/>
      <c r="L553" s="79"/>
      <c r="M553" s="79"/>
      <c r="N553" s="79"/>
      <c r="O553" s="82"/>
    </row>
    <row r="554" ht="15.75" customHeight="1">
      <c r="A554" s="261"/>
      <c r="B554" s="171"/>
      <c r="C554" s="172"/>
      <c r="D554" s="172"/>
      <c r="E554" s="227"/>
      <c r="F554" s="228"/>
      <c r="G554" s="154"/>
      <c r="H554" s="162"/>
      <c r="I554" s="223"/>
      <c r="J554" s="162"/>
      <c r="K554" s="129"/>
      <c r="L554" s="79"/>
      <c r="M554" s="79"/>
      <c r="N554" s="79"/>
      <c r="O554" s="82"/>
    </row>
    <row r="555" ht="15.75" customHeight="1">
      <c r="A555" s="261"/>
      <c r="B555" s="171"/>
      <c r="C555" s="172"/>
      <c r="D555" s="172"/>
      <c r="E555" s="227"/>
      <c r="F555" s="228"/>
      <c r="G555" s="154"/>
      <c r="H555" s="162"/>
      <c r="I555" s="223"/>
      <c r="J555" s="162"/>
      <c r="K555" s="129"/>
      <c r="L555" s="79"/>
      <c r="M555" s="79"/>
      <c r="N555" s="79"/>
      <c r="O555" s="82"/>
    </row>
    <row r="556" ht="15.75" customHeight="1">
      <c r="A556" s="261"/>
      <c r="B556" s="171"/>
      <c r="C556" s="172"/>
      <c r="D556" s="172"/>
      <c r="E556" s="227"/>
      <c r="F556" s="228"/>
      <c r="G556" s="154"/>
      <c r="H556" s="162"/>
      <c r="I556" s="223"/>
      <c r="J556" s="162"/>
      <c r="K556" s="129"/>
      <c r="L556" s="79"/>
      <c r="M556" s="79"/>
      <c r="N556" s="79"/>
      <c r="O556" s="82"/>
    </row>
    <row r="557" ht="15.75" customHeight="1">
      <c r="A557" s="261"/>
      <c r="B557" s="171"/>
      <c r="C557" s="172"/>
      <c r="D557" s="172"/>
      <c r="E557" s="227"/>
      <c r="F557" s="228"/>
      <c r="G557" s="154"/>
      <c r="H557" s="162"/>
      <c r="I557" s="223"/>
      <c r="J557" s="162"/>
      <c r="K557" s="129"/>
      <c r="L557" s="79"/>
      <c r="M557" s="79"/>
      <c r="N557" s="79"/>
      <c r="O557" s="82"/>
    </row>
    <row r="558" ht="15.75" customHeight="1">
      <c r="A558" s="261"/>
      <c r="B558" s="171"/>
      <c r="C558" s="172"/>
      <c r="D558" s="172"/>
      <c r="E558" s="227"/>
      <c r="F558" s="228"/>
      <c r="G558" s="154"/>
      <c r="H558" s="162"/>
      <c r="I558" s="223"/>
      <c r="J558" s="162"/>
      <c r="K558" s="129"/>
      <c r="L558" s="79"/>
      <c r="M558" s="79"/>
      <c r="N558" s="79"/>
      <c r="O558" s="82"/>
    </row>
    <row r="559" ht="15.75" customHeight="1">
      <c r="A559" s="261"/>
      <c r="B559" s="171"/>
      <c r="C559" s="172"/>
      <c r="D559" s="172"/>
      <c r="E559" s="227"/>
      <c r="F559" s="228"/>
      <c r="G559" s="154"/>
      <c r="H559" s="162"/>
      <c r="I559" s="223"/>
      <c r="J559" s="162"/>
      <c r="K559" s="129"/>
      <c r="L559" s="79"/>
      <c r="M559" s="79"/>
      <c r="N559" s="79"/>
      <c r="O559" s="82"/>
    </row>
    <row r="560" ht="15.75" customHeight="1">
      <c r="A560" s="261"/>
      <c r="B560" s="171"/>
      <c r="C560" s="172"/>
      <c r="D560" s="172"/>
      <c r="E560" s="227"/>
      <c r="F560" s="228"/>
      <c r="G560" s="154"/>
      <c r="H560" s="162"/>
      <c r="I560" s="223"/>
      <c r="J560" s="162"/>
      <c r="K560" s="129"/>
      <c r="L560" s="79"/>
      <c r="M560" s="79"/>
      <c r="N560" s="79"/>
      <c r="O560" s="82"/>
    </row>
    <row r="561" ht="15.75" customHeight="1">
      <c r="A561" s="261"/>
      <c r="B561" s="171"/>
      <c r="C561" s="172"/>
      <c r="D561" s="172"/>
      <c r="E561" s="227"/>
      <c r="F561" s="228"/>
      <c r="G561" s="154"/>
      <c r="H561" s="162"/>
      <c r="I561" s="223"/>
      <c r="J561" s="162"/>
      <c r="K561" s="129"/>
      <c r="L561" s="79"/>
      <c r="M561" s="79"/>
      <c r="N561" s="79"/>
      <c r="O561" s="82"/>
    </row>
    <row r="562" ht="15.75" customHeight="1">
      <c r="A562" s="261"/>
      <c r="B562" s="171"/>
      <c r="C562" s="172"/>
      <c r="D562" s="172"/>
      <c r="E562" s="227"/>
      <c r="F562" s="228"/>
      <c r="G562" s="154"/>
      <c r="H562" s="162"/>
      <c r="I562" s="223"/>
      <c r="J562" s="162"/>
      <c r="K562" s="129"/>
      <c r="L562" s="79"/>
      <c r="M562" s="79"/>
      <c r="N562" s="79"/>
      <c r="O562" s="82"/>
    </row>
    <row r="563" ht="15.75" customHeight="1">
      <c r="A563" s="261"/>
      <c r="B563" s="171"/>
      <c r="C563" s="172"/>
      <c r="D563" s="172"/>
      <c r="E563" s="227"/>
      <c r="F563" s="228"/>
      <c r="G563" s="154"/>
      <c r="H563" s="162"/>
      <c r="I563" s="223"/>
      <c r="J563" s="162"/>
      <c r="K563" s="129"/>
      <c r="L563" s="79"/>
      <c r="M563" s="79"/>
      <c r="N563" s="79"/>
      <c r="O563" s="82"/>
    </row>
    <row r="564" ht="15.75" customHeight="1">
      <c r="A564" s="261"/>
      <c r="B564" s="171"/>
      <c r="C564" s="172"/>
      <c r="D564" s="172"/>
      <c r="E564" s="227"/>
      <c r="F564" s="228"/>
      <c r="G564" s="154"/>
      <c r="H564" s="162"/>
      <c r="I564" s="223"/>
      <c r="J564" s="162"/>
      <c r="K564" s="129"/>
      <c r="L564" s="79"/>
      <c r="M564" s="79"/>
      <c r="N564" s="79"/>
      <c r="O564" s="82"/>
    </row>
    <row r="565" ht="15.75" customHeight="1">
      <c r="A565" s="261"/>
      <c r="B565" s="171"/>
      <c r="C565" s="172"/>
      <c r="D565" s="172"/>
      <c r="E565" s="227"/>
      <c r="F565" s="228"/>
      <c r="G565" s="154"/>
      <c r="H565" s="162"/>
      <c r="I565" s="223"/>
      <c r="J565" s="162"/>
      <c r="K565" s="129"/>
      <c r="L565" s="79"/>
      <c r="M565" s="79"/>
      <c r="N565" s="79"/>
      <c r="O565" s="82"/>
    </row>
    <row r="566" ht="15.75" customHeight="1">
      <c r="A566" s="261"/>
      <c r="B566" s="171"/>
      <c r="C566" s="172"/>
      <c r="D566" s="172"/>
      <c r="E566" s="227"/>
      <c r="F566" s="228"/>
      <c r="G566" s="154"/>
      <c r="H566" s="162"/>
      <c r="I566" s="223"/>
      <c r="J566" s="162"/>
      <c r="K566" s="129"/>
      <c r="L566" s="79"/>
      <c r="M566" s="79"/>
      <c r="N566" s="79"/>
      <c r="O566" s="82"/>
    </row>
    <row r="567" ht="15.75" customHeight="1">
      <c r="A567" s="261"/>
      <c r="B567" s="171"/>
      <c r="C567" s="172"/>
      <c r="D567" s="172"/>
      <c r="E567" s="227"/>
      <c r="F567" s="228"/>
      <c r="G567" s="154"/>
      <c r="H567" s="162"/>
      <c r="I567" s="223"/>
      <c r="J567" s="162"/>
      <c r="K567" s="129"/>
      <c r="L567" s="79"/>
      <c r="M567" s="79"/>
      <c r="N567" s="79"/>
      <c r="O567" s="82"/>
    </row>
    <row r="568" ht="15.75" customHeight="1">
      <c r="A568" s="261"/>
      <c r="B568" s="171"/>
      <c r="C568" s="172"/>
      <c r="D568" s="172"/>
      <c r="E568" s="227"/>
      <c r="F568" s="228"/>
      <c r="G568" s="154"/>
      <c r="H568" s="162"/>
      <c r="I568" s="223"/>
      <c r="J568" s="162"/>
      <c r="K568" s="129"/>
      <c r="L568" s="79"/>
      <c r="M568" s="79"/>
      <c r="N568" s="79"/>
      <c r="O568" s="82"/>
    </row>
    <row r="569" ht="15.75" customHeight="1">
      <c r="A569" s="261"/>
      <c r="B569" s="171"/>
      <c r="C569" s="172"/>
      <c r="D569" s="172"/>
      <c r="E569" s="227"/>
      <c r="F569" s="228"/>
      <c r="G569" s="154"/>
      <c r="H569" s="162"/>
      <c r="I569" s="223"/>
      <c r="J569" s="162"/>
      <c r="K569" s="129"/>
      <c r="L569" s="79"/>
      <c r="M569" s="79"/>
      <c r="N569" s="79"/>
      <c r="O569" s="82"/>
    </row>
    <row r="570" ht="15.75" customHeight="1">
      <c r="A570" s="261"/>
      <c r="B570" s="171"/>
      <c r="C570" s="172"/>
      <c r="D570" s="172"/>
      <c r="E570" s="227"/>
      <c r="F570" s="228"/>
      <c r="G570" s="154"/>
      <c r="H570" s="162"/>
      <c r="I570" s="223"/>
      <c r="J570" s="162"/>
      <c r="K570" s="129"/>
      <c r="L570" s="79"/>
      <c r="M570" s="79"/>
      <c r="N570" s="79"/>
      <c r="O570" s="82"/>
    </row>
    <row r="571" ht="15.75" customHeight="1">
      <c r="A571" s="261"/>
      <c r="B571" s="171"/>
      <c r="C571" s="172"/>
      <c r="D571" s="172"/>
      <c r="E571" s="227"/>
      <c r="F571" s="228"/>
      <c r="G571" s="154"/>
      <c r="H571" s="162"/>
      <c r="I571" s="223"/>
      <c r="J571" s="162"/>
      <c r="K571" s="129"/>
      <c r="L571" s="79"/>
      <c r="M571" s="79"/>
      <c r="N571" s="79"/>
      <c r="O571" s="82"/>
    </row>
    <row r="572" ht="15.75" customHeight="1">
      <c r="A572" s="261"/>
      <c r="B572" s="171"/>
      <c r="C572" s="172"/>
      <c r="D572" s="172"/>
      <c r="E572" s="227"/>
      <c r="F572" s="228"/>
      <c r="G572" s="154"/>
      <c r="H572" s="162"/>
      <c r="I572" s="223"/>
      <c r="J572" s="162"/>
      <c r="K572" s="129"/>
      <c r="L572" s="79"/>
      <c r="M572" s="79"/>
      <c r="N572" s="79"/>
      <c r="O572" s="82"/>
    </row>
    <row r="573" ht="15.75" customHeight="1">
      <c r="A573" s="261"/>
      <c r="B573" s="171"/>
      <c r="C573" s="172"/>
      <c r="D573" s="172"/>
      <c r="E573" s="227"/>
      <c r="F573" s="228"/>
      <c r="G573" s="154"/>
      <c r="H573" s="162"/>
      <c r="I573" s="223"/>
      <c r="J573" s="162"/>
      <c r="K573" s="129"/>
      <c r="L573" s="79"/>
      <c r="M573" s="79"/>
      <c r="N573" s="79"/>
      <c r="O573" s="82"/>
    </row>
    <row r="574" ht="15.75" customHeight="1">
      <c r="A574" s="261"/>
      <c r="B574" s="171"/>
      <c r="C574" s="172"/>
      <c r="D574" s="172"/>
      <c r="E574" s="227"/>
      <c r="F574" s="228"/>
      <c r="G574" s="154"/>
      <c r="H574" s="162"/>
      <c r="I574" s="223"/>
      <c r="J574" s="162"/>
      <c r="K574" s="129"/>
      <c r="L574" s="79"/>
      <c r="M574" s="79"/>
      <c r="N574" s="79"/>
      <c r="O574" s="82"/>
    </row>
    <row r="575" ht="15.75" customHeight="1">
      <c r="A575" s="261"/>
      <c r="B575" s="171"/>
      <c r="C575" s="172"/>
      <c r="D575" s="172"/>
      <c r="E575" s="227"/>
      <c r="F575" s="228"/>
      <c r="G575" s="154"/>
      <c r="H575" s="162"/>
      <c r="I575" s="223"/>
      <c r="J575" s="162"/>
      <c r="K575" s="129"/>
      <c r="L575" s="79"/>
      <c r="M575" s="79"/>
      <c r="N575" s="79"/>
      <c r="O575" s="82"/>
    </row>
    <row r="576" ht="15.75" customHeight="1">
      <c r="A576" s="261"/>
      <c r="B576" s="171"/>
      <c r="C576" s="172"/>
      <c r="D576" s="172"/>
      <c r="E576" s="227"/>
      <c r="F576" s="228"/>
      <c r="G576" s="154"/>
      <c r="H576" s="162"/>
      <c r="I576" s="223"/>
      <c r="J576" s="162"/>
      <c r="K576" s="129"/>
      <c r="L576" s="79"/>
      <c r="M576" s="79"/>
      <c r="N576" s="79"/>
      <c r="O576" s="82"/>
    </row>
    <row r="577" ht="15.75" customHeight="1">
      <c r="A577" s="261"/>
      <c r="B577" s="171"/>
      <c r="C577" s="172"/>
      <c r="D577" s="172"/>
      <c r="E577" s="227"/>
      <c r="F577" s="228"/>
      <c r="G577" s="154"/>
      <c r="H577" s="162"/>
      <c r="I577" s="223"/>
      <c r="J577" s="162"/>
      <c r="K577" s="129"/>
      <c r="L577" s="79"/>
      <c r="M577" s="79"/>
      <c r="N577" s="79"/>
      <c r="O577" s="82"/>
    </row>
    <row r="578" ht="15.75" customHeight="1">
      <c r="A578" s="261"/>
      <c r="B578" s="171"/>
      <c r="C578" s="172"/>
      <c r="D578" s="172"/>
      <c r="E578" s="227"/>
      <c r="F578" s="228"/>
      <c r="G578" s="154"/>
      <c r="H578" s="162"/>
      <c r="I578" s="223"/>
      <c r="J578" s="162"/>
      <c r="K578" s="129"/>
      <c r="L578" s="79"/>
      <c r="M578" s="79"/>
      <c r="N578" s="79"/>
      <c r="O578" s="82"/>
    </row>
    <row r="579" ht="15.75" customHeight="1">
      <c r="A579" s="261"/>
      <c r="B579" s="171"/>
      <c r="C579" s="172"/>
      <c r="D579" s="172"/>
      <c r="E579" s="227"/>
      <c r="F579" s="228"/>
      <c r="G579" s="154"/>
      <c r="H579" s="162"/>
      <c r="I579" s="223"/>
      <c r="J579" s="162"/>
      <c r="K579" s="129"/>
      <c r="L579" s="79"/>
      <c r="M579" s="79"/>
      <c r="N579" s="79"/>
      <c r="O579" s="82"/>
    </row>
    <row r="580" ht="15.75" customHeight="1">
      <c r="A580" s="261"/>
      <c r="B580" s="171"/>
      <c r="C580" s="172"/>
      <c r="D580" s="172"/>
      <c r="E580" s="227"/>
      <c r="F580" s="228"/>
      <c r="G580" s="154"/>
      <c r="H580" s="162"/>
      <c r="I580" s="223"/>
      <c r="J580" s="162"/>
      <c r="K580" s="129"/>
      <c r="L580" s="79"/>
      <c r="M580" s="79"/>
      <c r="N580" s="79"/>
      <c r="O580" s="82"/>
    </row>
    <row r="581" ht="15.75" customHeight="1">
      <c r="A581" s="261"/>
      <c r="B581" s="171"/>
      <c r="C581" s="172"/>
      <c r="D581" s="172"/>
      <c r="E581" s="227"/>
      <c r="F581" s="228"/>
      <c r="G581" s="154"/>
      <c r="H581" s="162"/>
      <c r="I581" s="223"/>
      <c r="J581" s="162"/>
      <c r="K581" s="129"/>
      <c r="L581" s="79"/>
      <c r="M581" s="79"/>
      <c r="N581" s="79"/>
      <c r="O581" s="82"/>
    </row>
    <row r="582" ht="15.75" customHeight="1">
      <c r="A582" s="261"/>
      <c r="B582" s="171"/>
      <c r="C582" s="172"/>
      <c r="D582" s="172"/>
      <c r="E582" s="227"/>
      <c r="F582" s="228"/>
      <c r="G582" s="154"/>
      <c r="H582" s="162"/>
      <c r="I582" s="223"/>
      <c r="J582" s="162"/>
      <c r="K582" s="129"/>
      <c r="L582" s="79"/>
      <c r="M582" s="79"/>
      <c r="N582" s="79"/>
      <c r="O582" s="82"/>
    </row>
    <row r="583" ht="15.75" customHeight="1">
      <c r="A583" s="261"/>
      <c r="B583" s="171"/>
      <c r="C583" s="172"/>
      <c r="D583" s="172"/>
      <c r="E583" s="227"/>
      <c r="F583" s="228"/>
      <c r="G583" s="154"/>
      <c r="H583" s="162"/>
      <c r="I583" s="223"/>
      <c r="J583" s="162"/>
      <c r="K583" s="129"/>
      <c r="L583" s="79"/>
      <c r="M583" s="79"/>
      <c r="N583" s="79"/>
      <c r="O583" s="82"/>
    </row>
    <row r="584" ht="15.75" customHeight="1">
      <c r="A584" s="261"/>
      <c r="B584" s="171"/>
      <c r="C584" s="172"/>
      <c r="D584" s="172"/>
      <c r="E584" s="227"/>
      <c r="F584" s="228"/>
      <c r="G584" s="154"/>
      <c r="H584" s="162"/>
      <c r="I584" s="223"/>
      <c r="J584" s="162"/>
      <c r="K584" s="129"/>
      <c r="L584" s="79"/>
      <c r="M584" s="79"/>
      <c r="N584" s="79"/>
      <c r="O584" s="82"/>
    </row>
    <row r="585" ht="15.75" customHeight="1">
      <c r="A585" s="261"/>
      <c r="B585" s="171"/>
      <c r="C585" s="172"/>
      <c r="D585" s="172"/>
      <c r="E585" s="227"/>
      <c r="F585" s="228"/>
      <c r="G585" s="154"/>
      <c r="H585" s="162"/>
      <c r="I585" s="223"/>
      <c r="J585" s="162"/>
      <c r="K585" s="129"/>
      <c r="L585" s="79"/>
      <c r="M585" s="79"/>
      <c r="N585" s="79"/>
      <c r="O585" s="82"/>
    </row>
    <row r="586" ht="15.75" customHeight="1">
      <c r="A586" s="261"/>
      <c r="B586" s="171"/>
      <c r="C586" s="172"/>
      <c r="D586" s="172"/>
      <c r="E586" s="227"/>
      <c r="F586" s="228"/>
      <c r="G586" s="154"/>
      <c r="H586" s="162"/>
      <c r="I586" s="223"/>
      <c r="J586" s="162"/>
      <c r="K586" s="129"/>
      <c r="L586" s="79"/>
      <c r="M586" s="79"/>
      <c r="N586" s="79"/>
      <c r="O586" s="82"/>
    </row>
    <row r="587" ht="15.75" customHeight="1">
      <c r="A587" s="261"/>
      <c r="B587" s="171"/>
      <c r="C587" s="172"/>
      <c r="D587" s="172"/>
      <c r="E587" s="227"/>
      <c r="F587" s="228"/>
      <c r="G587" s="154"/>
      <c r="H587" s="162"/>
      <c r="I587" s="223"/>
      <c r="J587" s="162"/>
      <c r="K587" s="129"/>
      <c r="L587" s="79"/>
      <c r="M587" s="79"/>
      <c r="N587" s="79"/>
      <c r="O587" s="82"/>
    </row>
    <row r="588" ht="15.75" customHeight="1">
      <c r="A588" s="261"/>
      <c r="B588" s="171"/>
      <c r="C588" s="172"/>
      <c r="D588" s="172"/>
      <c r="E588" s="227"/>
      <c r="F588" s="228"/>
      <c r="G588" s="154"/>
      <c r="H588" s="162"/>
      <c r="I588" s="223"/>
      <c r="J588" s="162"/>
      <c r="K588" s="129"/>
      <c r="L588" s="79"/>
      <c r="M588" s="79"/>
      <c r="N588" s="79"/>
      <c r="O588" s="82"/>
    </row>
    <row r="589" ht="15.75" customHeight="1">
      <c r="A589" s="261"/>
      <c r="B589" s="171"/>
      <c r="C589" s="172"/>
      <c r="D589" s="172"/>
      <c r="E589" s="227"/>
      <c r="F589" s="228"/>
      <c r="G589" s="154"/>
      <c r="H589" s="162"/>
      <c r="I589" s="223"/>
      <c r="J589" s="162"/>
      <c r="K589" s="129"/>
      <c r="L589" s="79"/>
      <c r="M589" s="79"/>
      <c r="N589" s="79"/>
      <c r="O589" s="82"/>
    </row>
    <row r="590" ht="15.75" customHeight="1">
      <c r="A590" s="261"/>
      <c r="B590" s="171"/>
      <c r="C590" s="172"/>
      <c r="D590" s="172"/>
      <c r="E590" s="227"/>
      <c r="F590" s="228"/>
      <c r="G590" s="154"/>
      <c r="H590" s="162"/>
      <c r="I590" s="223"/>
      <c r="J590" s="162"/>
      <c r="K590" s="129"/>
      <c r="L590" s="79"/>
      <c r="M590" s="79"/>
      <c r="N590" s="79"/>
      <c r="O590" s="82"/>
    </row>
    <row r="591" ht="15.75" customHeight="1">
      <c r="A591" s="261"/>
      <c r="B591" s="171"/>
      <c r="C591" s="172"/>
      <c r="D591" s="172"/>
      <c r="E591" s="227"/>
      <c r="F591" s="228"/>
      <c r="G591" s="154"/>
      <c r="H591" s="162"/>
      <c r="I591" s="223"/>
      <c r="J591" s="162"/>
      <c r="K591" s="129"/>
      <c r="L591" s="79"/>
      <c r="M591" s="79"/>
      <c r="N591" s="79"/>
      <c r="O591" s="82"/>
    </row>
    <row r="592" ht="15.75" customHeight="1">
      <c r="A592" s="261"/>
      <c r="B592" s="171"/>
      <c r="C592" s="172"/>
      <c r="D592" s="172"/>
      <c r="E592" s="227"/>
      <c r="F592" s="228"/>
      <c r="G592" s="154"/>
      <c r="H592" s="162"/>
      <c r="I592" s="223"/>
      <c r="J592" s="162"/>
      <c r="K592" s="129"/>
      <c r="L592" s="79"/>
      <c r="M592" s="79"/>
      <c r="N592" s="79"/>
      <c r="O592" s="82"/>
    </row>
    <row r="593" ht="15.75" customHeight="1">
      <c r="A593" s="261"/>
      <c r="B593" s="171"/>
      <c r="C593" s="172"/>
      <c r="D593" s="172"/>
      <c r="E593" s="227"/>
      <c r="F593" s="228"/>
      <c r="G593" s="154"/>
      <c r="H593" s="162"/>
      <c r="I593" s="223"/>
      <c r="J593" s="162"/>
      <c r="K593" s="129"/>
      <c r="L593" s="79"/>
      <c r="M593" s="79"/>
      <c r="N593" s="79"/>
      <c r="O593" s="82"/>
    </row>
    <row r="594" ht="15.75" customHeight="1">
      <c r="A594" s="261"/>
      <c r="B594" s="171"/>
      <c r="C594" s="172"/>
      <c r="D594" s="172"/>
      <c r="E594" s="227"/>
      <c r="F594" s="228"/>
      <c r="G594" s="154"/>
      <c r="H594" s="162"/>
      <c r="I594" s="223"/>
      <c r="J594" s="162"/>
      <c r="K594" s="129"/>
      <c r="L594" s="79"/>
      <c r="M594" s="79"/>
      <c r="N594" s="79"/>
      <c r="O594" s="82"/>
    </row>
    <row r="595" ht="15.75" customHeight="1">
      <c r="A595" s="261"/>
      <c r="B595" s="171"/>
      <c r="C595" s="172"/>
      <c r="D595" s="172"/>
      <c r="E595" s="227"/>
      <c r="F595" s="228"/>
      <c r="G595" s="154"/>
      <c r="H595" s="162"/>
      <c r="I595" s="223"/>
      <c r="J595" s="162"/>
      <c r="K595" s="129"/>
      <c r="L595" s="79"/>
      <c r="M595" s="79"/>
      <c r="N595" s="79"/>
      <c r="O595" s="82"/>
    </row>
    <row r="596" ht="15.75" customHeight="1">
      <c r="A596" s="261"/>
      <c r="B596" s="171"/>
      <c r="C596" s="172"/>
      <c r="D596" s="172"/>
      <c r="E596" s="227"/>
      <c r="F596" s="228"/>
      <c r="G596" s="154"/>
      <c r="H596" s="162"/>
      <c r="I596" s="223"/>
      <c r="J596" s="162"/>
      <c r="K596" s="129"/>
      <c r="L596" s="79"/>
      <c r="M596" s="79"/>
      <c r="N596" s="79"/>
      <c r="O596" s="82"/>
    </row>
    <row r="597" ht="15.75" customHeight="1">
      <c r="A597" s="261"/>
      <c r="B597" s="171"/>
      <c r="C597" s="172"/>
      <c r="D597" s="172"/>
      <c r="E597" s="227"/>
      <c r="F597" s="228"/>
      <c r="G597" s="154"/>
      <c r="H597" s="162"/>
      <c r="I597" s="223"/>
      <c r="J597" s="162"/>
      <c r="K597" s="129"/>
      <c r="L597" s="79"/>
      <c r="M597" s="79"/>
      <c r="N597" s="79"/>
      <c r="O597" s="82"/>
    </row>
    <row r="598" ht="15.75" customHeight="1">
      <c r="A598" s="261"/>
      <c r="B598" s="171"/>
      <c r="C598" s="172"/>
      <c r="D598" s="172"/>
      <c r="E598" s="227"/>
      <c r="F598" s="228"/>
      <c r="G598" s="154"/>
      <c r="H598" s="162"/>
      <c r="I598" s="223"/>
      <c r="J598" s="162"/>
      <c r="K598" s="129"/>
      <c r="L598" s="79"/>
      <c r="M598" s="79"/>
      <c r="N598" s="79"/>
      <c r="O598" s="82"/>
    </row>
    <row r="599" ht="15.75" customHeight="1">
      <c r="A599" s="261"/>
      <c r="B599" s="171"/>
      <c r="C599" s="172"/>
      <c r="D599" s="172"/>
      <c r="E599" s="227"/>
      <c r="F599" s="228"/>
      <c r="G599" s="154"/>
      <c r="H599" s="162"/>
      <c r="I599" s="223"/>
      <c r="J599" s="162"/>
      <c r="K599" s="129"/>
      <c r="L599" s="79"/>
      <c r="M599" s="79"/>
      <c r="N599" s="79"/>
      <c r="O599" s="82"/>
    </row>
    <row r="600" ht="15.75" customHeight="1">
      <c r="A600" s="261"/>
      <c r="B600" s="171"/>
      <c r="C600" s="172"/>
      <c r="D600" s="172"/>
      <c r="E600" s="227"/>
      <c r="F600" s="228"/>
      <c r="G600" s="154"/>
      <c r="H600" s="162"/>
      <c r="I600" s="223"/>
      <c r="J600" s="162"/>
      <c r="K600" s="129"/>
      <c r="L600" s="79"/>
      <c r="M600" s="79"/>
      <c r="N600" s="79"/>
      <c r="O600" s="82"/>
    </row>
    <row r="601" ht="15.75" customHeight="1">
      <c r="A601" s="261"/>
      <c r="B601" s="171"/>
      <c r="C601" s="172"/>
      <c r="D601" s="172"/>
      <c r="E601" s="227"/>
      <c r="F601" s="228"/>
      <c r="G601" s="154"/>
      <c r="H601" s="162"/>
      <c r="I601" s="223"/>
      <c r="J601" s="162"/>
      <c r="K601" s="129"/>
      <c r="L601" s="79"/>
      <c r="M601" s="79"/>
      <c r="N601" s="79"/>
      <c r="O601" s="82"/>
    </row>
    <row r="602" ht="15.75" customHeight="1">
      <c r="A602" s="261"/>
      <c r="B602" s="171"/>
      <c r="C602" s="172"/>
      <c r="D602" s="172"/>
      <c r="E602" s="227"/>
      <c r="F602" s="228"/>
      <c r="G602" s="154"/>
      <c r="H602" s="162"/>
      <c r="I602" s="223"/>
      <c r="J602" s="162"/>
      <c r="K602" s="129"/>
      <c r="L602" s="79"/>
      <c r="M602" s="79"/>
      <c r="N602" s="79"/>
      <c r="O602" s="82"/>
    </row>
    <row r="603" ht="15.75" customHeight="1">
      <c r="A603" s="261"/>
      <c r="B603" s="171"/>
      <c r="C603" s="172"/>
      <c r="D603" s="172"/>
      <c r="E603" s="227"/>
      <c r="F603" s="228"/>
      <c r="G603" s="154"/>
      <c r="H603" s="162"/>
      <c r="I603" s="223"/>
      <c r="J603" s="162"/>
      <c r="K603" s="129"/>
      <c r="L603" s="79"/>
      <c r="M603" s="79"/>
      <c r="N603" s="79"/>
      <c r="O603" s="82"/>
    </row>
    <row r="604" ht="15.75" customHeight="1">
      <c r="A604" s="261"/>
      <c r="B604" s="171"/>
      <c r="C604" s="172"/>
      <c r="D604" s="172"/>
      <c r="E604" s="227"/>
      <c r="F604" s="228"/>
      <c r="G604" s="154"/>
      <c r="H604" s="162"/>
      <c r="I604" s="223"/>
      <c r="J604" s="162"/>
      <c r="K604" s="129"/>
      <c r="L604" s="79"/>
      <c r="M604" s="79"/>
      <c r="N604" s="79"/>
      <c r="O604" s="82"/>
    </row>
    <row r="605" ht="15.75" customHeight="1">
      <c r="A605" s="261"/>
      <c r="B605" s="171"/>
      <c r="C605" s="172"/>
      <c r="D605" s="172"/>
      <c r="E605" s="227"/>
      <c r="F605" s="228"/>
      <c r="G605" s="154"/>
      <c r="H605" s="162"/>
      <c r="I605" s="223"/>
      <c r="J605" s="162"/>
      <c r="K605" s="129"/>
      <c r="L605" s="79"/>
      <c r="M605" s="79"/>
      <c r="N605" s="79"/>
      <c r="O605" s="82"/>
    </row>
    <row r="606" ht="15.75" customHeight="1">
      <c r="A606" s="261"/>
      <c r="B606" s="171"/>
      <c r="C606" s="172"/>
      <c r="D606" s="172"/>
      <c r="E606" s="227"/>
      <c r="F606" s="228"/>
      <c r="G606" s="154"/>
      <c r="H606" s="162"/>
      <c r="I606" s="223"/>
      <c r="J606" s="162"/>
      <c r="K606" s="129"/>
      <c r="L606" s="79"/>
      <c r="M606" s="79"/>
      <c r="N606" s="79"/>
      <c r="O606" s="82"/>
    </row>
    <row r="607" ht="15.75" customHeight="1">
      <c r="A607" s="261"/>
      <c r="B607" s="171"/>
      <c r="C607" s="172"/>
      <c r="D607" s="172"/>
      <c r="E607" s="227"/>
      <c r="F607" s="228"/>
      <c r="G607" s="154"/>
      <c r="H607" s="162"/>
      <c r="I607" s="223"/>
      <c r="J607" s="162"/>
      <c r="K607" s="129"/>
      <c r="L607" s="79"/>
      <c r="M607" s="79"/>
      <c r="N607" s="79"/>
      <c r="O607" s="82"/>
    </row>
    <row r="608" ht="15.75" customHeight="1">
      <c r="A608" s="261"/>
      <c r="B608" s="171"/>
      <c r="C608" s="172"/>
      <c r="D608" s="172"/>
      <c r="E608" s="227"/>
      <c r="F608" s="228"/>
      <c r="G608" s="154"/>
      <c r="H608" s="162"/>
      <c r="I608" s="223"/>
      <c r="J608" s="162"/>
      <c r="K608" s="129"/>
      <c r="L608" s="79"/>
      <c r="M608" s="79"/>
      <c r="N608" s="79"/>
      <c r="O608" s="82"/>
    </row>
    <row r="609" ht="15.75" customHeight="1">
      <c r="A609" s="261"/>
      <c r="B609" s="171"/>
      <c r="C609" s="172"/>
      <c r="D609" s="172"/>
      <c r="E609" s="227"/>
      <c r="F609" s="228"/>
      <c r="G609" s="154"/>
      <c r="H609" s="162"/>
      <c r="I609" s="223"/>
      <c r="J609" s="162"/>
      <c r="K609" s="129"/>
      <c r="L609" s="79"/>
      <c r="M609" s="79"/>
      <c r="N609" s="79"/>
      <c r="O609" s="82"/>
    </row>
    <row r="610" ht="15.75" customHeight="1">
      <c r="A610" s="261"/>
      <c r="B610" s="171"/>
      <c r="C610" s="172"/>
      <c r="D610" s="172"/>
      <c r="E610" s="227"/>
      <c r="F610" s="228"/>
      <c r="G610" s="154"/>
      <c r="H610" s="162"/>
      <c r="I610" s="223"/>
      <c r="J610" s="162"/>
      <c r="K610" s="129"/>
      <c r="L610" s="79"/>
      <c r="M610" s="79"/>
      <c r="N610" s="79"/>
      <c r="O610" s="82"/>
    </row>
    <row r="611" ht="15.75" customHeight="1">
      <c r="A611" s="261"/>
      <c r="B611" s="171"/>
      <c r="C611" s="172"/>
      <c r="D611" s="172"/>
      <c r="E611" s="227"/>
      <c r="F611" s="228"/>
      <c r="G611" s="154"/>
      <c r="H611" s="162"/>
      <c r="I611" s="223"/>
      <c r="J611" s="162"/>
      <c r="K611" s="129"/>
      <c r="L611" s="79"/>
      <c r="M611" s="79"/>
      <c r="N611" s="79"/>
      <c r="O611" s="82"/>
    </row>
    <row r="612" ht="15.75" customHeight="1">
      <c r="A612" s="261"/>
      <c r="B612" s="171"/>
      <c r="C612" s="172"/>
      <c r="D612" s="172"/>
      <c r="E612" s="227"/>
      <c r="F612" s="228"/>
      <c r="G612" s="154"/>
      <c r="H612" s="162"/>
      <c r="I612" s="223"/>
      <c r="J612" s="162"/>
      <c r="K612" s="129"/>
      <c r="L612" s="79"/>
      <c r="M612" s="79"/>
      <c r="N612" s="79"/>
      <c r="O612" s="82"/>
    </row>
    <row r="613" ht="15.75" customHeight="1">
      <c r="A613" s="261"/>
      <c r="B613" s="171"/>
      <c r="C613" s="172"/>
      <c r="D613" s="172"/>
      <c r="E613" s="227"/>
      <c r="F613" s="228"/>
      <c r="G613" s="154"/>
      <c r="H613" s="162"/>
      <c r="I613" s="223"/>
      <c r="J613" s="162"/>
      <c r="K613" s="129"/>
      <c r="L613" s="79"/>
      <c r="M613" s="79"/>
      <c r="N613" s="79"/>
      <c r="O613" s="82"/>
    </row>
    <row r="614" ht="15.75" customHeight="1">
      <c r="A614" s="261"/>
      <c r="B614" s="171"/>
      <c r="C614" s="172"/>
      <c r="D614" s="172"/>
      <c r="E614" s="227"/>
      <c r="F614" s="228"/>
      <c r="G614" s="154"/>
      <c r="H614" s="162"/>
      <c r="I614" s="223"/>
      <c r="J614" s="162"/>
      <c r="K614" s="129"/>
      <c r="L614" s="79"/>
      <c r="M614" s="79"/>
      <c r="N614" s="79"/>
      <c r="O614" s="82"/>
    </row>
    <row r="615" ht="15.75" customHeight="1">
      <c r="A615" s="261"/>
      <c r="B615" s="171"/>
      <c r="C615" s="172"/>
      <c r="D615" s="172"/>
      <c r="E615" s="227"/>
      <c r="F615" s="228"/>
      <c r="G615" s="154"/>
      <c r="H615" s="162"/>
      <c r="I615" s="223"/>
      <c r="J615" s="162"/>
      <c r="K615" s="129"/>
      <c r="L615" s="79"/>
      <c r="M615" s="79"/>
      <c r="N615" s="79"/>
      <c r="O615" s="82"/>
    </row>
    <row r="616" ht="15.75" customHeight="1">
      <c r="A616" s="261"/>
      <c r="B616" s="171"/>
      <c r="C616" s="172"/>
      <c r="D616" s="172"/>
      <c r="E616" s="227"/>
      <c r="F616" s="228"/>
      <c r="G616" s="154"/>
      <c r="H616" s="162"/>
      <c r="I616" s="223"/>
      <c r="J616" s="162"/>
      <c r="K616" s="129"/>
      <c r="L616" s="79"/>
      <c r="M616" s="79"/>
      <c r="N616" s="79"/>
      <c r="O616" s="82"/>
    </row>
    <row r="617" ht="15.75" customHeight="1">
      <c r="A617" s="261"/>
      <c r="B617" s="171"/>
      <c r="C617" s="172"/>
      <c r="D617" s="172"/>
      <c r="E617" s="227"/>
      <c r="F617" s="228"/>
      <c r="G617" s="154"/>
      <c r="H617" s="162"/>
      <c r="I617" s="223"/>
      <c r="J617" s="162"/>
      <c r="K617" s="129"/>
      <c r="L617" s="79"/>
      <c r="M617" s="79"/>
      <c r="N617" s="79"/>
      <c r="O617" s="82"/>
    </row>
    <row r="618" ht="15.75" customHeight="1">
      <c r="A618" s="261"/>
      <c r="B618" s="171"/>
      <c r="C618" s="172"/>
      <c r="D618" s="172"/>
      <c r="E618" s="227"/>
      <c r="F618" s="228"/>
      <c r="G618" s="154"/>
      <c r="H618" s="162"/>
      <c r="I618" s="223"/>
      <c r="J618" s="162"/>
      <c r="K618" s="129"/>
      <c r="L618" s="79"/>
      <c r="M618" s="79"/>
      <c r="N618" s="79"/>
      <c r="O618" s="82"/>
    </row>
    <row r="619" ht="15.75" customHeight="1">
      <c r="A619" s="261"/>
      <c r="B619" s="171"/>
      <c r="C619" s="172"/>
      <c r="D619" s="172"/>
      <c r="E619" s="227"/>
      <c r="F619" s="228"/>
      <c r="G619" s="154"/>
      <c r="H619" s="162"/>
      <c r="I619" s="223"/>
      <c r="J619" s="162"/>
      <c r="K619" s="129"/>
      <c r="L619" s="79"/>
      <c r="M619" s="79"/>
      <c r="N619" s="79"/>
      <c r="O619" s="82"/>
    </row>
    <row r="620" ht="15.75" customHeight="1">
      <c r="A620" s="261"/>
      <c r="B620" s="171"/>
      <c r="C620" s="172"/>
      <c r="D620" s="172"/>
      <c r="E620" s="227"/>
      <c r="F620" s="228"/>
      <c r="G620" s="154"/>
      <c r="H620" s="162"/>
      <c r="I620" s="223"/>
      <c r="J620" s="162"/>
      <c r="K620" s="129"/>
      <c r="L620" s="79"/>
      <c r="M620" s="79"/>
      <c r="N620" s="79"/>
      <c r="O620" s="82"/>
    </row>
    <row r="621" ht="15.75" customHeight="1">
      <c r="A621" s="261"/>
      <c r="B621" s="171"/>
      <c r="C621" s="172"/>
      <c r="D621" s="172"/>
      <c r="E621" s="227"/>
      <c r="F621" s="228"/>
      <c r="G621" s="154"/>
      <c r="H621" s="162"/>
      <c r="I621" s="223"/>
      <c r="J621" s="162"/>
      <c r="K621" s="129"/>
      <c r="L621" s="79"/>
      <c r="M621" s="79"/>
      <c r="N621" s="79"/>
      <c r="O621" s="82"/>
    </row>
    <row r="622" ht="15.75" customHeight="1">
      <c r="A622" s="261"/>
      <c r="B622" s="171"/>
      <c r="C622" s="172"/>
      <c r="D622" s="172"/>
      <c r="E622" s="227"/>
      <c r="F622" s="228"/>
      <c r="G622" s="154"/>
      <c r="H622" s="162"/>
      <c r="I622" s="223"/>
      <c r="J622" s="162"/>
      <c r="K622" s="129"/>
      <c r="L622" s="79"/>
      <c r="M622" s="79"/>
      <c r="N622" s="79"/>
      <c r="O622" s="82"/>
    </row>
    <row r="623" ht="15.75" customHeight="1">
      <c r="A623" s="261"/>
      <c r="B623" s="171"/>
      <c r="C623" s="172"/>
      <c r="D623" s="172"/>
      <c r="E623" s="227"/>
      <c r="F623" s="228"/>
      <c r="G623" s="154"/>
      <c r="H623" s="162"/>
      <c r="I623" s="223"/>
      <c r="J623" s="162"/>
      <c r="K623" s="129"/>
      <c r="L623" s="79"/>
      <c r="M623" s="79"/>
      <c r="N623" s="79"/>
      <c r="O623" s="82"/>
    </row>
    <row r="624" ht="15.75" customHeight="1">
      <c r="A624" s="261"/>
      <c r="B624" s="171"/>
      <c r="C624" s="172"/>
      <c r="D624" s="172"/>
      <c r="E624" s="227"/>
      <c r="F624" s="228"/>
      <c r="G624" s="154"/>
      <c r="H624" s="162"/>
      <c r="I624" s="223"/>
      <c r="J624" s="162"/>
      <c r="K624" s="129"/>
      <c r="L624" s="79"/>
      <c r="M624" s="79"/>
      <c r="N624" s="79"/>
      <c r="O624" s="82"/>
    </row>
    <row r="625" ht="15.75" customHeight="1">
      <c r="A625" s="261"/>
      <c r="B625" s="171"/>
      <c r="C625" s="172"/>
      <c r="D625" s="172"/>
      <c r="E625" s="227"/>
      <c r="F625" s="228"/>
      <c r="G625" s="154"/>
      <c r="H625" s="162"/>
      <c r="I625" s="223"/>
      <c r="J625" s="162"/>
      <c r="K625" s="129"/>
      <c r="L625" s="79"/>
      <c r="M625" s="79"/>
      <c r="N625" s="79"/>
      <c r="O625" s="82"/>
    </row>
    <row r="626" ht="15.75" customHeight="1">
      <c r="A626" s="261"/>
      <c r="B626" s="171"/>
      <c r="C626" s="172"/>
      <c r="D626" s="172"/>
      <c r="E626" s="227"/>
      <c r="F626" s="228"/>
      <c r="G626" s="154"/>
      <c r="H626" s="162"/>
      <c r="I626" s="223"/>
      <c r="J626" s="162"/>
      <c r="K626" s="129"/>
      <c r="L626" s="79"/>
      <c r="M626" s="79"/>
      <c r="N626" s="79"/>
      <c r="O626" s="82"/>
    </row>
    <row r="627" ht="15.75" customHeight="1">
      <c r="A627" s="261"/>
      <c r="B627" s="171"/>
      <c r="C627" s="172"/>
      <c r="D627" s="172"/>
      <c r="E627" s="227"/>
      <c r="F627" s="228"/>
      <c r="G627" s="154"/>
      <c r="H627" s="162"/>
      <c r="I627" s="223"/>
      <c r="J627" s="162"/>
      <c r="K627" s="129"/>
      <c r="L627" s="79"/>
      <c r="M627" s="79"/>
      <c r="N627" s="79"/>
      <c r="O627" s="82"/>
    </row>
    <row r="628" ht="15.75" customHeight="1">
      <c r="A628" s="261"/>
      <c r="B628" s="171"/>
      <c r="C628" s="172"/>
      <c r="D628" s="172"/>
      <c r="E628" s="227"/>
      <c r="F628" s="228"/>
      <c r="G628" s="154"/>
      <c r="H628" s="162"/>
      <c r="I628" s="223"/>
      <c r="J628" s="162"/>
      <c r="K628" s="129"/>
      <c r="L628" s="79"/>
      <c r="M628" s="79"/>
      <c r="N628" s="79"/>
      <c r="O628" s="82"/>
    </row>
    <row r="629" ht="15.75" customHeight="1">
      <c r="A629" s="261"/>
      <c r="B629" s="171"/>
      <c r="C629" s="172"/>
      <c r="D629" s="172"/>
      <c r="E629" s="227"/>
      <c r="F629" s="228"/>
      <c r="G629" s="154"/>
      <c r="H629" s="162"/>
      <c r="I629" s="223"/>
      <c r="J629" s="162"/>
      <c r="K629" s="129"/>
      <c r="L629" s="79"/>
      <c r="M629" s="79"/>
      <c r="N629" s="79"/>
      <c r="O629" s="82"/>
    </row>
    <row r="630" ht="15.75" customHeight="1">
      <c r="A630" s="261"/>
      <c r="B630" s="171"/>
      <c r="C630" s="172"/>
      <c r="D630" s="172"/>
      <c r="E630" s="227"/>
      <c r="F630" s="228"/>
      <c r="G630" s="154"/>
      <c r="H630" s="162"/>
      <c r="I630" s="223"/>
      <c r="J630" s="162"/>
      <c r="K630" s="129"/>
      <c r="L630" s="79"/>
      <c r="M630" s="79"/>
      <c r="N630" s="79"/>
      <c r="O630" s="82"/>
    </row>
    <row r="631" ht="15.75" customHeight="1">
      <c r="A631" s="261"/>
      <c r="B631" s="171"/>
      <c r="C631" s="172"/>
      <c r="D631" s="172"/>
      <c r="E631" s="227"/>
      <c r="F631" s="228"/>
      <c r="G631" s="154"/>
      <c r="H631" s="162"/>
      <c r="I631" s="223"/>
      <c r="J631" s="162"/>
      <c r="K631" s="129"/>
      <c r="L631" s="79"/>
      <c r="M631" s="79"/>
      <c r="N631" s="79"/>
      <c r="O631" s="82"/>
    </row>
    <row r="632" ht="15.75" customHeight="1">
      <c r="A632" s="261"/>
      <c r="B632" s="171"/>
      <c r="C632" s="172"/>
      <c r="D632" s="172"/>
      <c r="E632" s="227"/>
      <c r="F632" s="228"/>
      <c r="G632" s="154"/>
      <c r="H632" s="162"/>
      <c r="I632" s="223"/>
      <c r="J632" s="162"/>
      <c r="K632" s="129"/>
      <c r="L632" s="79"/>
      <c r="M632" s="79"/>
      <c r="N632" s="79"/>
      <c r="O632" s="82"/>
    </row>
    <row r="633" ht="15.75" customHeight="1">
      <c r="A633" s="261"/>
      <c r="B633" s="171"/>
      <c r="C633" s="172"/>
      <c r="D633" s="172"/>
      <c r="E633" s="227"/>
      <c r="F633" s="228"/>
      <c r="G633" s="154"/>
      <c r="H633" s="162"/>
      <c r="I633" s="223"/>
      <c r="J633" s="162"/>
      <c r="K633" s="129"/>
      <c r="L633" s="79"/>
      <c r="M633" s="79"/>
      <c r="N633" s="79"/>
      <c r="O633" s="82"/>
    </row>
    <row r="634" ht="15.75" customHeight="1">
      <c r="A634" s="261"/>
      <c r="B634" s="171"/>
      <c r="C634" s="172"/>
      <c r="D634" s="172"/>
      <c r="E634" s="227"/>
      <c r="F634" s="228"/>
      <c r="G634" s="154"/>
      <c r="H634" s="162"/>
      <c r="I634" s="223"/>
      <c r="J634" s="162"/>
      <c r="K634" s="129"/>
      <c r="L634" s="79"/>
      <c r="M634" s="79"/>
      <c r="N634" s="79"/>
      <c r="O634" s="82"/>
    </row>
    <row r="635" ht="15.75" customHeight="1">
      <c r="A635" s="261"/>
      <c r="B635" s="171"/>
      <c r="C635" s="172"/>
      <c r="D635" s="172"/>
      <c r="E635" s="227"/>
      <c r="F635" s="228"/>
      <c r="G635" s="154"/>
      <c r="H635" s="162"/>
      <c r="I635" s="223"/>
      <c r="J635" s="162"/>
      <c r="K635" s="129"/>
      <c r="L635" s="79"/>
      <c r="M635" s="79"/>
      <c r="N635" s="79"/>
      <c r="O635" s="82"/>
    </row>
    <row r="636" ht="15.75" customHeight="1">
      <c r="A636" s="261"/>
      <c r="B636" s="171"/>
      <c r="C636" s="172"/>
      <c r="D636" s="172"/>
      <c r="E636" s="227"/>
      <c r="F636" s="228"/>
      <c r="G636" s="154"/>
      <c r="H636" s="162"/>
      <c r="I636" s="223"/>
      <c r="J636" s="162"/>
      <c r="K636" s="129"/>
      <c r="L636" s="79"/>
      <c r="M636" s="79"/>
      <c r="N636" s="79"/>
      <c r="O636" s="82"/>
    </row>
    <row r="637" ht="15.75" customHeight="1">
      <c r="A637" s="261"/>
      <c r="B637" s="171"/>
      <c r="C637" s="172"/>
      <c r="D637" s="172"/>
      <c r="E637" s="227"/>
      <c r="F637" s="228"/>
      <c r="G637" s="154"/>
      <c r="H637" s="162"/>
      <c r="I637" s="223"/>
      <c r="J637" s="162"/>
      <c r="K637" s="129"/>
      <c r="L637" s="79"/>
      <c r="M637" s="79"/>
      <c r="N637" s="79"/>
      <c r="O637" s="82"/>
    </row>
    <row r="638" ht="15.75" customHeight="1">
      <c r="A638" s="261"/>
      <c r="B638" s="171"/>
      <c r="C638" s="172"/>
      <c r="D638" s="172"/>
      <c r="E638" s="227"/>
      <c r="F638" s="228"/>
      <c r="G638" s="154"/>
      <c r="H638" s="162"/>
      <c r="I638" s="223"/>
      <c r="J638" s="162"/>
      <c r="K638" s="129"/>
      <c r="L638" s="79"/>
      <c r="M638" s="79"/>
      <c r="N638" s="79"/>
      <c r="O638" s="82"/>
    </row>
    <row r="639" ht="15.75" customHeight="1">
      <c r="A639" s="261"/>
      <c r="B639" s="171"/>
      <c r="C639" s="172"/>
      <c r="D639" s="172"/>
      <c r="E639" s="227"/>
      <c r="F639" s="228"/>
      <c r="G639" s="154"/>
      <c r="H639" s="162"/>
      <c r="I639" s="223"/>
      <c r="J639" s="162"/>
      <c r="K639" s="129"/>
      <c r="L639" s="79"/>
      <c r="M639" s="79"/>
      <c r="N639" s="79"/>
      <c r="O639" s="82"/>
    </row>
    <row r="640" ht="15.75" customHeight="1">
      <c r="A640" s="261"/>
      <c r="B640" s="171"/>
      <c r="C640" s="172"/>
      <c r="D640" s="172"/>
      <c r="E640" s="227"/>
      <c r="F640" s="228"/>
      <c r="G640" s="154"/>
      <c r="H640" s="162"/>
      <c r="I640" s="223"/>
      <c r="J640" s="162"/>
      <c r="K640" s="129"/>
      <c r="L640" s="79"/>
      <c r="M640" s="79"/>
      <c r="N640" s="79"/>
      <c r="O640" s="82"/>
    </row>
    <row r="641" ht="15.75" customHeight="1">
      <c r="A641" s="261"/>
      <c r="B641" s="171"/>
      <c r="C641" s="172"/>
      <c r="D641" s="172"/>
      <c r="E641" s="227"/>
      <c r="F641" s="228"/>
      <c r="G641" s="154"/>
      <c r="H641" s="162"/>
      <c r="I641" s="223"/>
      <c r="J641" s="162"/>
      <c r="K641" s="129"/>
      <c r="L641" s="79"/>
      <c r="M641" s="79"/>
      <c r="N641" s="79"/>
      <c r="O641" s="82"/>
    </row>
    <row r="642" ht="15.75" customHeight="1">
      <c r="A642" s="261"/>
      <c r="B642" s="171"/>
      <c r="C642" s="172"/>
      <c r="D642" s="172"/>
      <c r="E642" s="227"/>
      <c r="F642" s="228"/>
      <c r="G642" s="154"/>
      <c r="H642" s="162"/>
      <c r="I642" s="223"/>
      <c r="J642" s="162"/>
      <c r="K642" s="129"/>
      <c r="L642" s="79"/>
      <c r="M642" s="79"/>
      <c r="N642" s="79"/>
      <c r="O642" s="82"/>
    </row>
    <row r="643" ht="15.75" customHeight="1">
      <c r="A643" s="261"/>
      <c r="B643" s="171"/>
      <c r="C643" s="172"/>
      <c r="D643" s="172"/>
      <c r="E643" s="227"/>
      <c r="F643" s="228"/>
      <c r="G643" s="154"/>
      <c r="H643" s="162"/>
      <c r="I643" s="223"/>
      <c r="J643" s="162"/>
      <c r="K643" s="129"/>
      <c r="L643" s="79"/>
      <c r="M643" s="79"/>
      <c r="N643" s="79"/>
      <c r="O643" s="82"/>
    </row>
    <row r="644" ht="15.75" customHeight="1">
      <c r="A644" s="261"/>
      <c r="B644" s="171"/>
      <c r="C644" s="172"/>
      <c r="D644" s="172"/>
      <c r="E644" s="227"/>
      <c r="F644" s="228"/>
      <c r="G644" s="154"/>
      <c r="H644" s="162"/>
      <c r="I644" s="223"/>
      <c r="J644" s="162"/>
      <c r="K644" s="129"/>
      <c r="L644" s="79"/>
      <c r="M644" s="79"/>
      <c r="N644" s="79"/>
      <c r="O644" s="82"/>
    </row>
    <row r="645" ht="15.75" customHeight="1">
      <c r="A645" s="261"/>
      <c r="B645" s="171"/>
      <c r="C645" s="172"/>
      <c r="D645" s="172"/>
      <c r="E645" s="227"/>
      <c r="F645" s="228"/>
      <c r="G645" s="154"/>
      <c r="H645" s="162"/>
      <c r="I645" s="223"/>
      <c r="J645" s="162"/>
      <c r="K645" s="129"/>
      <c r="L645" s="79"/>
      <c r="M645" s="79"/>
      <c r="N645" s="79"/>
      <c r="O645" s="82"/>
    </row>
    <row r="646" ht="15.75" customHeight="1">
      <c r="A646" s="261"/>
      <c r="B646" s="171"/>
      <c r="C646" s="172"/>
      <c r="D646" s="172"/>
      <c r="E646" s="227"/>
      <c r="F646" s="228"/>
      <c r="G646" s="154"/>
      <c r="H646" s="162"/>
      <c r="I646" s="223"/>
      <c r="J646" s="162"/>
      <c r="K646" s="129"/>
      <c r="L646" s="79"/>
      <c r="M646" s="79"/>
      <c r="N646" s="79"/>
      <c r="O646" s="82"/>
    </row>
    <row r="647" ht="15.75" customHeight="1">
      <c r="A647" s="261"/>
      <c r="B647" s="171"/>
      <c r="C647" s="172"/>
      <c r="D647" s="172"/>
      <c r="E647" s="227"/>
      <c r="F647" s="228"/>
      <c r="G647" s="154"/>
      <c r="H647" s="162"/>
      <c r="I647" s="223"/>
      <c r="J647" s="162"/>
      <c r="K647" s="129"/>
      <c r="L647" s="79"/>
      <c r="M647" s="79"/>
      <c r="N647" s="79"/>
      <c r="O647" s="82"/>
    </row>
    <row r="648" ht="15.75" customHeight="1">
      <c r="A648" s="261"/>
      <c r="B648" s="171"/>
      <c r="C648" s="172"/>
      <c r="D648" s="172"/>
      <c r="E648" s="227"/>
      <c r="F648" s="228"/>
      <c r="G648" s="154"/>
      <c r="H648" s="162"/>
      <c r="I648" s="223"/>
      <c r="J648" s="162"/>
      <c r="K648" s="129"/>
      <c r="L648" s="79"/>
      <c r="M648" s="79"/>
      <c r="N648" s="79"/>
      <c r="O648" s="82"/>
    </row>
    <row r="649" ht="15.75" customHeight="1">
      <c r="A649" s="261"/>
      <c r="B649" s="171"/>
      <c r="C649" s="172"/>
      <c r="D649" s="172"/>
      <c r="E649" s="227"/>
      <c r="F649" s="228"/>
      <c r="G649" s="154"/>
      <c r="H649" s="162"/>
      <c r="I649" s="223"/>
      <c r="J649" s="162"/>
      <c r="K649" s="129"/>
      <c r="L649" s="79"/>
      <c r="M649" s="79"/>
      <c r="N649" s="79"/>
      <c r="O649" s="82"/>
    </row>
    <row r="650" ht="15.75" customHeight="1">
      <c r="A650" s="261"/>
      <c r="B650" s="171"/>
      <c r="C650" s="172"/>
      <c r="D650" s="172"/>
      <c r="E650" s="227"/>
      <c r="F650" s="228"/>
      <c r="G650" s="154"/>
      <c r="H650" s="162"/>
      <c r="I650" s="223"/>
      <c r="J650" s="162"/>
      <c r="K650" s="129"/>
      <c r="L650" s="79"/>
      <c r="M650" s="79"/>
      <c r="N650" s="79"/>
      <c r="O650" s="82"/>
    </row>
    <row r="651" ht="15.75" customHeight="1">
      <c r="A651" s="261"/>
      <c r="B651" s="171"/>
      <c r="C651" s="172"/>
      <c r="D651" s="172"/>
      <c r="E651" s="227"/>
      <c r="F651" s="228"/>
      <c r="G651" s="154"/>
      <c r="H651" s="162"/>
      <c r="I651" s="223"/>
      <c r="J651" s="162"/>
      <c r="K651" s="129"/>
      <c r="L651" s="79"/>
      <c r="M651" s="79"/>
      <c r="N651" s="79"/>
      <c r="O651" s="82"/>
    </row>
    <row r="652" ht="15.75" customHeight="1">
      <c r="A652" s="261"/>
      <c r="B652" s="171"/>
      <c r="C652" s="172"/>
      <c r="D652" s="172"/>
      <c r="E652" s="227"/>
      <c r="F652" s="228"/>
      <c r="G652" s="154"/>
      <c r="H652" s="162"/>
      <c r="I652" s="223"/>
      <c r="J652" s="162"/>
      <c r="K652" s="129"/>
      <c r="L652" s="79"/>
      <c r="M652" s="79"/>
      <c r="N652" s="79"/>
      <c r="O652" s="82"/>
    </row>
    <row r="653" ht="15.75" customHeight="1">
      <c r="A653" s="261"/>
      <c r="B653" s="171"/>
      <c r="C653" s="172"/>
      <c r="D653" s="172"/>
      <c r="E653" s="227"/>
      <c r="F653" s="228"/>
      <c r="G653" s="154"/>
      <c r="H653" s="162"/>
      <c r="I653" s="223"/>
      <c r="J653" s="162"/>
      <c r="K653" s="129"/>
      <c r="L653" s="79"/>
      <c r="M653" s="79"/>
      <c r="N653" s="79"/>
      <c r="O653" s="82"/>
    </row>
    <row r="654" ht="15.75" customHeight="1">
      <c r="A654" s="261"/>
      <c r="B654" s="171"/>
      <c r="C654" s="172"/>
      <c r="D654" s="172"/>
      <c r="E654" s="227"/>
      <c r="F654" s="228"/>
      <c r="G654" s="154"/>
      <c r="H654" s="162"/>
      <c r="I654" s="223"/>
      <c r="J654" s="162"/>
      <c r="K654" s="129"/>
      <c r="L654" s="79"/>
      <c r="M654" s="79"/>
      <c r="N654" s="79"/>
      <c r="O654" s="82"/>
    </row>
    <row r="655" ht="15.75" customHeight="1">
      <c r="A655" s="261"/>
      <c r="B655" s="171"/>
      <c r="C655" s="172"/>
      <c r="D655" s="172"/>
      <c r="E655" s="227"/>
      <c r="F655" s="228"/>
      <c r="G655" s="154"/>
      <c r="H655" s="162"/>
      <c r="I655" s="223"/>
      <c r="J655" s="162"/>
      <c r="K655" s="129"/>
      <c r="L655" s="79"/>
      <c r="M655" s="79"/>
      <c r="N655" s="79"/>
      <c r="O655" s="82"/>
    </row>
    <row r="656" ht="15.75" customHeight="1">
      <c r="A656" s="261"/>
      <c r="B656" s="171"/>
      <c r="C656" s="172"/>
      <c r="D656" s="172"/>
      <c r="E656" s="227"/>
      <c r="F656" s="228"/>
      <c r="G656" s="154"/>
      <c r="H656" s="162"/>
      <c r="I656" s="223"/>
      <c r="J656" s="162"/>
      <c r="K656" s="129"/>
      <c r="L656" s="79"/>
      <c r="M656" s="79"/>
      <c r="N656" s="79"/>
      <c r="O656" s="82"/>
    </row>
    <row r="657" ht="15.75" customHeight="1">
      <c r="A657" s="261"/>
      <c r="B657" s="171"/>
      <c r="C657" s="172"/>
      <c r="D657" s="172"/>
      <c r="E657" s="227"/>
      <c r="F657" s="228"/>
      <c r="G657" s="154"/>
      <c r="H657" s="162"/>
      <c r="I657" s="223"/>
      <c r="J657" s="162"/>
      <c r="K657" s="129"/>
      <c r="L657" s="79"/>
      <c r="M657" s="79"/>
      <c r="N657" s="79"/>
      <c r="O657" s="82"/>
    </row>
    <row r="658" ht="15.75" customHeight="1">
      <c r="A658" s="261"/>
      <c r="B658" s="171"/>
      <c r="C658" s="172"/>
      <c r="D658" s="172"/>
      <c r="E658" s="227"/>
      <c r="F658" s="228"/>
      <c r="G658" s="154"/>
      <c r="H658" s="162"/>
      <c r="I658" s="223"/>
      <c r="J658" s="162"/>
      <c r="K658" s="129"/>
      <c r="L658" s="79"/>
      <c r="M658" s="79"/>
      <c r="N658" s="79"/>
      <c r="O658" s="82"/>
    </row>
    <row r="659" ht="15.75" customHeight="1">
      <c r="A659" s="261"/>
      <c r="B659" s="171"/>
      <c r="C659" s="172"/>
      <c r="D659" s="172"/>
      <c r="E659" s="227"/>
      <c r="F659" s="228"/>
      <c r="G659" s="154"/>
      <c r="H659" s="162"/>
      <c r="I659" s="223"/>
      <c r="J659" s="162"/>
      <c r="K659" s="129"/>
      <c r="L659" s="79"/>
      <c r="M659" s="79"/>
      <c r="N659" s="79"/>
      <c r="O659" s="82"/>
    </row>
    <row r="660" ht="15.75" customHeight="1">
      <c r="A660" s="261"/>
      <c r="B660" s="171"/>
      <c r="C660" s="172"/>
      <c r="D660" s="172"/>
      <c r="E660" s="227"/>
      <c r="F660" s="228"/>
      <c r="G660" s="154"/>
      <c r="H660" s="162"/>
      <c r="I660" s="223"/>
      <c r="J660" s="162"/>
      <c r="K660" s="129"/>
      <c r="L660" s="79"/>
      <c r="M660" s="79"/>
      <c r="N660" s="79"/>
      <c r="O660" s="82"/>
    </row>
    <row r="661" ht="15.75" customHeight="1">
      <c r="A661" s="261"/>
      <c r="B661" s="171"/>
      <c r="C661" s="172"/>
      <c r="D661" s="172"/>
      <c r="E661" s="227"/>
      <c r="F661" s="228"/>
      <c r="G661" s="154"/>
      <c r="H661" s="162"/>
      <c r="I661" s="223"/>
      <c r="J661" s="162"/>
      <c r="K661" s="129"/>
      <c r="L661" s="79"/>
      <c r="M661" s="79"/>
      <c r="N661" s="79"/>
      <c r="O661" s="82"/>
    </row>
    <row r="662" ht="15.75" customHeight="1">
      <c r="A662" s="261"/>
      <c r="B662" s="171"/>
      <c r="C662" s="172"/>
      <c r="D662" s="172"/>
      <c r="E662" s="227"/>
      <c r="F662" s="228"/>
      <c r="G662" s="154"/>
      <c r="H662" s="162"/>
      <c r="I662" s="223"/>
      <c r="J662" s="162"/>
      <c r="K662" s="129"/>
      <c r="L662" s="79"/>
      <c r="M662" s="79"/>
      <c r="N662" s="79"/>
      <c r="O662" s="82"/>
    </row>
    <row r="663" ht="15.75" customHeight="1">
      <c r="A663" s="261"/>
      <c r="B663" s="171"/>
      <c r="C663" s="172"/>
      <c r="D663" s="172"/>
      <c r="E663" s="227"/>
      <c r="F663" s="228"/>
      <c r="G663" s="154"/>
      <c r="H663" s="162"/>
      <c r="I663" s="223"/>
      <c r="J663" s="162"/>
      <c r="K663" s="129"/>
      <c r="L663" s="79"/>
      <c r="M663" s="79"/>
      <c r="N663" s="79"/>
      <c r="O663" s="82"/>
    </row>
    <row r="664" ht="15.75" customHeight="1">
      <c r="A664" s="261"/>
      <c r="B664" s="171"/>
      <c r="C664" s="172"/>
      <c r="D664" s="172"/>
      <c r="E664" s="227"/>
      <c r="F664" s="228"/>
      <c r="G664" s="154"/>
      <c r="H664" s="162"/>
      <c r="I664" s="223"/>
      <c r="J664" s="162"/>
      <c r="K664" s="129"/>
      <c r="L664" s="79"/>
      <c r="M664" s="79"/>
      <c r="N664" s="79"/>
      <c r="O664" s="82"/>
    </row>
    <row r="665" ht="15.75" customHeight="1">
      <c r="A665" s="261"/>
      <c r="B665" s="171"/>
      <c r="C665" s="172"/>
      <c r="D665" s="172"/>
      <c r="E665" s="227"/>
      <c r="F665" s="228"/>
      <c r="G665" s="154"/>
      <c r="H665" s="162"/>
      <c r="I665" s="223"/>
      <c r="J665" s="162"/>
      <c r="K665" s="129"/>
      <c r="L665" s="79"/>
      <c r="M665" s="79"/>
      <c r="N665" s="79"/>
      <c r="O665" s="82"/>
    </row>
    <row r="666" ht="15.75" customHeight="1">
      <c r="A666" s="261"/>
      <c r="B666" s="171"/>
      <c r="C666" s="172"/>
      <c r="D666" s="172"/>
      <c r="E666" s="227"/>
      <c r="F666" s="228"/>
      <c r="G666" s="154"/>
      <c r="H666" s="162"/>
      <c r="I666" s="223"/>
      <c r="J666" s="162"/>
      <c r="K666" s="129"/>
      <c r="L666" s="79"/>
      <c r="M666" s="79"/>
      <c r="N666" s="79"/>
      <c r="O666" s="82"/>
    </row>
    <row r="667" ht="15.75" customHeight="1">
      <c r="A667" s="261"/>
      <c r="B667" s="171"/>
      <c r="C667" s="172"/>
      <c r="D667" s="172"/>
      <c r="E667" s="227"/>
      <c r="F667" s="228"/>
      <c r="G667" s="154"/>
      <c r="H667" s="162"/>
      <c r="I667" s="223"/>
      <c r="J667" s="162"/>
      <c r="K667" s="129"/>
      <c r="L667" s="79"/>
      <c r="M667" s="79"/>
      <c r="N667" s="79"/>
      <c r="O667" s="82"/>
    </row>
    <row r="668" ht="15.75" customHeight="1">
      <c r="A668" s="261"/>
      <c r="B668" s="171"/>
      <c r="C668" s="172"/>
      <c r="D668" s="172"/>
      <c r="E668" s="227"/>
      <c r="F668" s="228"/>
      <c r="G668" s="154"/>
      <c r="H668" s="162"/>
      <c r="I668" s="223"/>
      <c r="J668" s="162"/>
      <c r="K668" s="129"/>
      <c r="L668" s="79"/>
      <c r="M668" s="79"/>
      <c r="N668" s="79"/>
      <c r="O668" s="82"/>
    </row>
    <row r="669" ht="15.75" customHeight="1">
      <c r="A669" s="261"/>
      <c r="B669" s="171"/>
      <c r="C669" s="172"/>
      <c r="D669" s="172"/>
      <c r="E669" s="227"/>
      <c r="F669" s="228"/>
      <c r="G669" s="154"/>
      <c r="H669" s="162"/>
      <c r="I669" s="223"/>
      <c r="J669" s="162"/>
      <c r="K669" s="129"/>
      <c r="L669" s="79"/>
      <c r="M669" s="79"/>
      <c r="N669" s="79"/>
      <c r="O669" s="82"/>
    </row>
    <row r="670" ht="15.75" customHeight="1">
      <c r="A670" s="261"/>
      <c r="B670" s="171"/>
      <c r="C670" s="172"/>
      <c r="D670" s="172"/>
      <c r="E670" s="227"/>
      <c r="F670" s="228"/>
      <c r="G670" s="154"/>
      <c r="H670" s="162"/>
      <c r="I670" s="223"/>
      <c r="J670" s="162"/>
      <c r="K670" s="129"/>
      <c r="L670" s="79"/>
      <c r="M670" s="79"/>
      <c r="N670" s="79"/>
      <c r="O670" s="82"/>
    </row>
    <row r="671" ht="15.75" customHeight="1">
      <c r="A671" s="261"/>
      <c r="B671" s="171"/>
      <c r="C671" s="172"/>
      <c r="D671" s="172"/>
      <c r="E671" s="227"/>
      <c r="F671" s="228"/>
      <c r="G671" s="154"/>
      <c r="H671" s="162"/>
      <c r="I671" s="223"/>
      <c r="J671" s="162"/>
      <c r="K671" s="129"/>
      <c r="L671" s="79"/>
      <c r="M671" s="79"/>
      <c r="N671" s="79"/>
      <c r="O671" s="82"/>
    </row>
    <row r="672" ht="15.75" customHeight="1">
      <c r="A672" s="261"/>
      <c r="B672" s="171"/>
      <c r="C672" s="172"/>
      <c r="D672" s="172"/>
      <c r="E672" s="227"/>
      <c r="F672" s="228"/>
      <c r="G672" s="154"/>
      <c r="H672" s="162"/>
      <c r="I672" s="223"/>
      <c r="J672" s="162"/>
      <c r="K672" s="129"/>
      <c r="L672" s="79"/>
      <c r="M672" s="79"/>
      <c r="N672" s="79"/>
      <c r="O672" s="82"/>
    </row>
    <row r="673" ht="15.75" customHeight="1">
      <c r="A673" s="261"/>
      <c r="B673" s="171"/>
      <c r="C673" s="172"/>
      <c r="D673" s="172"/>
      <c r="E673" s="227"/>
      <c r="F673" s="228"/>
      <c r="G673" s="154"/>
      <c r="H673" s="162"/>
      <c r="I673" s="223"/>
      <c r="J673" s="162"/>
      <c r="K673" s="129"/>
      <c r="L673" s="79"/>
      <c r="M673" s="79"/>
      <c r="N673" s="79"/>
      <c r="O673" s="82"/>
    </row>
    <row r="674" ht="15.75" customHeight="1">
      <c r="A674" s="261"/>
      <c r="B674" s="171"/>
      <c r="C674" s="172"/>
      <c r="D674" s="172"/>
      <c r="E674" s="227"/>
      <c r="F674" s="228"/>
      <c r="G674" s="154"/>
      <c r="H674" s="162"/>
      <c r="I674" s="223"/>
      <c r="J674" s="162"/>
      <c r="K674" s="129"/>
      <c r="L674" s="79"/>
      <c r="M674" s="79"/>
      <c r="N674" s="79"/>
      <c r="O674" s="82"/>
    </row>
    <row r="675" ht="15.75" customHeight="1">
      <c r="A675" s="261"/>
      <c r="B675" s="171"/>
      <c r="C675" s="172"/>
      <c r="D675" s="172"/>
      <c r="E675" s="227"/>
      <c r="F675" s="228"/>
      <c r="G675" s="154"/>
      <c r="H675" s="162"/>
      <c r="I675" s="223"/>
      <c r="J675" s="162"/>
      <c r="K675" s="129"/>
      <c r="L675" s="79"/>
      <c r="M675" s="79"/>
      <c r="N675" s="79"/>
      <c r="O675" s="82"/>
    </row>
    <row r="676" ht="15.75" customHeight="1">
      <c r="A676" s="261"/>
      <c r="B676" s="171"/>
      <c r="C676" s="172"/>
      <c r="D676" s="172"/>
      <c r="E676" s="227"/>
      <c r="F676" s="228"/>
      <c r="G676" s="154"/>
      <c r="H676" s="162"/>
      <c r="I676" s="223"/>
      <c r="J676" s="162"/>
      <c r="K676" s="129"/>
      <c r="L676" s="79"/>
      <c r="M676" s="79"/>
      <c r="N676" s="79"/>
      <c r="O676" s="82"/>
    </row>
    <row r="677" ht="15.75" customHeight="1">
      <c r="A677" s="261"/>
      <c r="B677" s="171"/>
      <c r="C677" s="172"/>
      <c r="D677" s="172"/>
      <c r="E677" s="227"/>
      <c r="F677" s="228"/>
      <c r="G677" s="154"/>
      <c r="H677" s="162"/>
      <c r="I677" s="223"/>
      <c r="J677" s="162"/>
      <c r="K677" s="129"/>
      <c r="L677" s="79"/>
      <c r="M677" s="79"/>
      <c r="N677" s="79"/>
      <c r="O677" s="82"/>
    </row>
    <row r="678" ht="15.75" customHeight="1">
      <c r="A678" s="261"/>
      <c r="B678" s="171"/>
      <c r="C678" s="172"/>
      <c r="D678" s="172"/>
      <c r="E678" s="227"/>
      <c r="F678" s="228"/>
      <c r="G678" s="154"/>
      <c r="H678" s="162"/>
      <c r="I678" s="223"/>
      <c r="J678" s="162"/>
      <c r="K678" s="129"/>
      <c r="L678" s="79"/>
      <c r="M678" s="79"/>
      <c r="N678" s="79"/>
      <c r="O678" s="82"/>
    </row>
    <row r="679" ht="15.75" customHeight="1">
      <c r="A679" s="261"/>
      <c r="B679" s="171"/>
      <c r="C679" s="172"/>
      <c r="D679" s="172"/>
      <c r="E679" s="227"/>
      <c r="F679" s="228"/>
      <c r="G679" s="154"/>
      <c r="H679" s="162"/>
      <c r="I679" s="223"/>
      <c r="J679" s="162"/>
      <c r="K679" s="129"/>
      <c r="L679" s="79"/>
      <c r="M679" s="79"/>
      <c r="N679" s="79"/>
      <c r="O679" s="82"/>
    </row>
    <row r="680" ht="15.75" customHeight="1">
      <c r="A680" s="261"/>
      <c r="B680" s="171"/>
      <c r="C680" s="172"/>
      <c r="D680" s="172"/>
      <c r="E680" s="227"/>
      <c r="F680" s="228"/>
      <c r="G680" s="154"/>
      <c r="H680" s="162"/>
      <c r="I680" s="223"/>
      <c r="J680" s="162"/>
      <c r="K680" s="129"/>
      <c r="L680" s="79"/>
      <c r="M680" s="79"/>
      <c r="N680" s="79"/>
      <c r="O680" s="82"/>
    </row>
    <row r="681" ht="15.75" customHeight="1">
      <c r="A681" s="261"/>
      <c r="B681" s="171"/>
      <c r="C681" s="172"/>
      <c r="D681" s="172"/>
      <c r="E681" s="227"/>
      <c r="F681" s="228"/>
      <c r="G681" s="154"/>
      <c r="H681" s="162"/>
      <c r="I681" s="223"/>
      <c r="J681" s="162"/>
      <c r="K681" s="129"/>
      <c r="L681" s="79"/>
      <c r="M681" s="79"/>
      <c r="N681" s="79"/>
      <c r="O681" s="82"/>
    </row>
    <row r="682" ht="15.75" customHeight="1">
      <c r="A682" s="261"/>
      <c r="B682" s="171"/>
      <c r="C682" s="172"/>
      <c r="D682" s="172"/>
      <c r="E682" s="227"/>
      <c r="F682" s="228"/>
      <c r="G682" s="154"/>
      <c r="H682" s="162"/>
      <c r="I682" s="223"/>
      <c r="J682" s="162"/>
      <c r="K682" s="129"/>
      <c r="L682" s="79"/>
      <c r="M682" s="79"/>
      <c r="N682" s="79"/>
      <c r="O682" s="82"/>
    </row>
    <row r="683" ht="15.75" customHeight="1">
      <c r="A683" s="261"/>
      <c r="B683" s="171"/>
      <c r="C683" s="172"/>
      <c r="D683" s="172"/>
      <c r="E683" s="227"/>
      <c r="F683" s="228"/>
      <c r="G683" s="154"/>
      <c r="H683" s="162"/>
      <c r="I683" s="223"/>
      <c r="J683" s="162"/>
      <c r="K683" s="129"/>
      <c r="L683" s="79"/>
      <c r="M683" s="79"/>
      <c r="N683" s="79"/>
      <c r="O683" s="82"/>
    </row>
    <row r="684" ht="15.75" customHeight="1">
      <c r="A684" s="261"/>
      <c r="B684" s="171"/>
      <c r="C684" s="172"/>
      <c r="D684" s="172"/>
      <c r="E684" s="227"/>
      <c r="F684" s="228"/>
      <c r="G684" s="154"/>
      <c r="H684" s="162"/>
      <c r="I684" s="223"/>
      <c r="J684" s="162"/>
      <c r="K684" s="129"/>
      <c r="L684" s="79"/>
      <c r="M684" s="79"/>
      <c r="N684" s="79"/>
      <c r="O684" s="82"/>
    </row>
    <row r="685" ht="15.75" customHeight="1">
      <c r="A685" s="261"/>
      <c r="B685" s="171"/>
      <c r="C685" s="172"/>
      <c r="D685" s="172"/>
      <c r="E685" s="227"/>
      <c r="F685" s="228"/>
      <c r="G685" s="154"/>
      <c r="H685" s="162"/>
      <c r="I685" s="223"/>
      <c r="J685" s="162"/>
      <c r="K685" s="129"/>
      <c r="L685" s="79"/>
      <c r="M685" s="79"/>
      <c r="N685" s="79"/>
      <c r="O685" s="82"/>
    </row>
    <row r="686" ht="15.75" customHeight="1">
      <c r="A686" s="261"/>
      <c r="B686" s="171"/>
      <c r="C686" s="172"/>
      <c r="D686" s="172"/>
      <c r="E686" s="227"/>
      <c r="F686" s="228"/>
      <c r="G686" s="154"/>
      <c r="H686" s="162"/>
      <c r="I686" s="223"/>
      <c r="J686" s="162"/>
      <c r="K686" s="129"/>
      <c r="L686" s="79"/>
      <c r="M686" s="79"/>
      <c r="N686" s="79"/>
      <c r="O686" s="82"/>
    </row>
    <row r="687" ht="15.75" customHeight="1">
      <c r="A687" s="261"/>
      <c r="B687" s="171"/>
      <c r="C687" s="172"/>
      <c r="D687" s="172"/>
      <c r="E687" s="227"/>
      <c r="F687" s="228"/>
      <c r="G687" s="154"/>
      <c r="H687" s="162"/>
      <c r="I687" s="223"/>
      <c r="J687" s="162"/>
      <c r="K687" s="129"/>
      <c r="L687" s="79"/>
      <c r="M687" s="79"/>
      <c r="N687" s="79"/>
      <c r="O687" s="82"/>
    </row>
    <row r="688" ht="15.75" customHeight="1">
      <c r="A688" s="261"/>
      <c r="B688" s="171"/>
      <c r="C688" s="172"/>
      <c r="D688" s="172"/>
      <c r="E688" s="227"/>
      <c r="F688" s="228"/>
      <c r="G688" s="154"/>
      <c r="H688" s="162"/>
      <c r="I688" s="223"/>
      <c r="J688" s="162"/>
      <c r="K688" s="129"/>
      <c r="L688" s="79"/>
      <c r="M688" s="79"/>
      <c r="N688" s="79"/>
      <c r="O688" s="82"/>
    </row>
    <row r="689" ht="15.75" customHeight="1">
      <c r="A689" s="261"/>
      <c r="B689" s="171"/>
      <c r="C689" s="172"/>
      <c r="D689" s="172"/>
      <c r="E689" s="227"/>
      <c r="F689" s="228"/>
      <c r="G689" s="154"/>
      <c r="H689" s="162"/>
      <c r="I689" s="223"/>
      <c r="J689" s="162"/>
      <c r="K689" s="129"/>
      <c r="L689" s="79"/>
      <c r="M689" s="79"/>
      <c r="N689" s="79"/>
      <c r="O689" s="82"/>
    </row>
    <row r="690" ht="15.75" customHeight="1">
      <c r="A690" s="261"/>
      <c r="B690" s="171"/>
      <c r="C690" s="172"/>
      <c r="D690" s="172"/>
      <c r="E690" s="227"/>
      <c r="F690" s="228"/>
      <c r="G690" s="154"/>
      <c r="H690" s="162"/>
      <c r="I690" s="223"/>
      <c r="J690" s="162"/>
      <c r="K690" s="129"/>
      <c r="L690" s="79"/>
      <c r="M690" s="79"/>
      <c r="N690" s="79"/>
      <c r="O690" s="82"/>
    </row>
    <row r="691" ht="15.75" customHeight="1">
      <c r="A691" s="261"/>
      <c r="B691" s="171"/>
      <c r="C691" s="172"/>
      <c r="D691" s="172"/>
      <c r="E691" s="227"/>
      <c r="F691" s="228"/>
      <c r="G691" s="154"/>
      <c r="H691" s="162"/>
      <c r="I691" s="223"/>
      <c r="J691" s="162"/>
      <c r="K691" s="129"/>
      <c r="L691" s="79"/>
      <c r="M691" s="79"/>
      <c r="N691" s="79"/>
      <c r="O691" s="82"/>
    </row>
    <row r="692" ht="15.75" customHeight="1">
      <c r="A692" s="261"/>
      <c r="B692" s="171"/>
      <c r="C692" s="172"/>
      <c r="D692" s="172"/>
      <c r="E692" s="227"/>
      <c r="F692" s="228"/>
      <c r="G692" s="154"/>
      <c r="H692" s="162"/>
      <c r="I692" s="223"/>
      <c r="J692" s="162"/>
      <c r="K692" s="129"/>
      <c r="L692" s="79"/>
      <c r="M692" s="79"/>
      <c r="N692" s="79"/>
      <c r="O692" s="82"/>
    </row>
    <row r="693" ht="15.75" customHeight="1">
      <c r="A693" s="261"/>
      <c r="B693" s="171"/>
      <c r="C693" s="172"/>
      <c r="D693" s="172"/>
      <c r="E693" s="227"/>
      <c r="F693" s="228"/>
      <c r="G693" s="154"/>
      <c r="H693" s="162"/>
      <c r="I693" s="223"/>
      <c r="J693" s="162"/>
      <c r="K693" s="129"/>
      <c r="L693" s="79"/>
      <c r="M693" s="79"/>
      <c r="N693" s="79"/>
      <c r="O693" s="82"/>
    </row>
    <row r="694" ht="15.75" customHeight="1">
      <c r="A694" s="261"/>
      <c r="B694" s="171"/>
      <c r="C694" s="172"/>
      <c r="D694" s="172"/>
      <c r="E694" s="227"/>
      <c r="F694" s="228"/>
      <c r="G694" s="154"/>
      <c r="H694" s="162"/>
      <c r="I694" s="223"/>
      <c r="J694" s="162"/>
      <c r="K694" s="129"/>
      <c r="L694" s="79"/>
      <c r="M694" s="79"/>
      <c r="N694" s="79"/>
      <c r="O694" s="82"/>
    </row>
    <row r="695" ht="15.75" customHeight="1">
      <c r="A695" s="261"/>
      <c r="B695" s="171"/>
      <c r="C695" s="172"/>
      <c r="D695" s="172"/>
      <c r="E695" s="227"/>
      <c r="F695" s="228"/>
      <c r="G695" s="154"/>
      <c r="H695" s="162"/>
      <c r="I695" s="223"/>
      <c r="J695" s="162"/>
      <c r="K695" s="129"/>
      <c r="L695" s="79"/>
      <c r="M695" s="79"/>
      <c r="N695" s="79"/>
      <c r="O695" s="82"/>
    </row>
    <row r="696" ht="15.75" customHeight="1">
      <c r="A696" s="261"/>
      <c r="B696" s="171"/>
      <c r="C696" s="172"/>
      <c r="D696" s="172"/>
      <c r="E696" s="227"/>
      <c r="F696" s="228"/>
      <c r="G696" s="154"/>
      <c r="H696" s="162"/>
      <c r="I696" s="223"/>
      <c r="J696" s="162"/>
      <c r="K696" s="129"/>
      <c r="L696" s="79"/>
      <c r="M696" s="79"/>
      <c r="N696" s="79"/>
      <c r="O696" s="82"/>
    </row>
    <row r="697" ht="15.75" customHeight="1">
      <c r="A697" s="261"/>
      <c r="B697" s="171"/>
      <c r="C697" s="172"/>
      <c r="D697" s="172"/>
      <c r="E697" s="227"/>
      <c r="F697" s="228"/>
      <c r="G697" s="154"/>
      <c r="H697" s="162"/>
      <c r="I697" s="223"/>
      <c r="J697" s="162"/>
      <c r="K697" s="129"/>
      <c r="L697" s="79"/>
      <c r="M697" s="79"/>
      <c r="N697" s="79"/>
      <c r="O697" s="82"/>
    </row>
    <row r="698" ht="15.75" customHeight="1">
      <c r="A698" s="261"/>
      <c r="B698" s="171"/>
      <c r="C698" s="172"/>
      <c r="D698" s="172"/>
      <c r="E698" s="227"/>
      <c r="F698" s="228"/>
      <c r="G698" s="154"/>
      <c r="H698" s="162"/>
      <c r="I698" s="223"/>
      <c r="J698" s="162"/>
      <c r="K698" s="129"/>
      <c r="L698" s="79"/>
      <c r="M698" s="79"/>
      <c r="N698" s="79"/>
      <c r="O698" s="82"/>
    </row>
    <row r="699" ht="15.75" customHeight="1">
      <c r="A699" s="261"/>
      <c r="B699" s="171"/>
      <c r="C699" s="172"/>
      <c r="D699" s="172"/>
      <c r="E699" s="227"/>
      <c r="F699" s="228"/>
      <c r="G699" s="154"/>
      <c r="H699" s="162"/>
      <c r="I699" s="223"/>
      <c r="J699" s="162"/>
      <c r="K699" s="129"/>
      <c r="L699" s="79"/>
      <c r="M699" s="79"/>
      <c r="N699" s="79"/>
      <c r="O699" s="82"/>
    </row>
    <row r="700" ht="15.75" customHeight="1">
      <c r="A700" s="261"/>
      <c r="B700" s="171"/>
      <c r="C700" s="172"/>
      <c r="D700" s="172"/>
      <c r="E700" s="227"/>
      <c r="F700" s="228"/>
      <c r="G700" s="154"/>
      <c r="H700" s="162"/>
      <c r="I700" s="223"/>
      <c r="J700" s="162"/>
      <c r="K700" s="129"/>
      <c r="L700" s="79"/>
      <c r="M700" s="79"/>
      <c r="N700" s="79"/>
      <c r="O700" s="82"/>
    </row>
    <row r="701" ht="15.75" customHeight="1">
      <c r="A701" s="261"/>
      <c r="B701" s="171"/>
      <c r="C701" s="172"/>
      <c r="D701" s="172"/>
      <c r="E701" s="227"/>
      <c r="F701" s="228"/>
      <c r="G701" s="154"/>
      <c r="H701" s="162"/>
      <c r="I701" s="223"/>
      <c r="J701" s="162"/>
      <c r="K701" s="129"/>
      <c r="L701" s="79"/>
      <c r="M701" s="79"/>
      <c r="N701" s="79"/>
      <c r="O701" s="82"/>
    </row>
    <row r="702" ht="15.75" customHeight="1">
      <c r="A702" s="261"/>
      <c r="B702" s="171"/>
      <c r="C702" s="172"/>
      <c r="D702" s="172"/>
      <c r="E702" s="227"/>
      <c r="F702" s="228"/>
      <c r="G702" s="154"/>
      <c r="H702" s="162"/>
      <c r="I702" s="223"/>
      <c r="J702" s="162"/>
      <c r="K702" s="129"/>
      <c r="L702" s="79"/>
      <c r="M702" s="79"/>
      <c r="N702" s="79"/>
      <c r="O702" s="82"/>
    </row>
    <row r="703" ht="15.75" customHeight="1">
      <c r="A703" s="261"/>
      <c r="B703" s="171"/>
      <c r="C703" s="172"/>
      <c r="D703" s="172"/>
      <c r="E703" s="227"/>
      <c r="F703" s="228"/>
      <c r="G703" s="154"/>
      <c r="H703" s="162"/>
      <c r="I703" s="223"/>
      <c r="J703" s="162"/>
      <c r="K703" s="129"/>
      <c r="L703" s="79"/>
      <c r="M703" s="79"/>
      <c r="N703" s="79"/>
      <c r="O703" s="82"/>
    </row>
    <row r="704" ht="15.75" customHeight="1">
      <c r="A704" s="261"/>
      <c r="B704" s="171"/>
      <c r="C704" s="172"/>
      <c r="D704" s="172"/>
      <c r="E704" s="227"/>
      <c r="F704" s="228"/>
      <c r="G704" s="154"/>
      <c r="H704" s="162"/>
      <c r="I704" s="223"/>
      <c r="J704" s="162"/>
      <c r="K704" s="129"/>
      <c r="L704" s="79"/>
      <c r="M704" s="79"/>
      <c r="N704" s="79"/>
      <c r="O704" s="82"/>
    </row>
    <row r="705" ht="15.75" customHeight="1">
      <c r="A705" s="261"/>
      <c r="B705" s="171"/>
      <c r="C705" s="172"/>
      <c r="D705" s="172"/>
      <c r="E705" s="227"/>
      <c r="F705" s="228"/>
      <c r="G705" s="154"/>
      <c r="H705" s="162"/>
      <c r="I705" s="223"/>
      <c r="J705" s="162"/>
      <c r="K705" s="129"/>
      <c r="L705" s="79"/>
      <c r="M705" s="79"/>
      <c r="N705" s="79"/>
      <c r="O705" s="82"/>
    </row>
    <row r="706" ht="15.75" customHeight="1">
      <c r="A706" s="261"/>
      <c r="B706" s="171"/>
      <c r="C706" s="172"/>
      <c r="D706" s="172"/>
      <c r="E706" s="227"/>
      <c r="F706" s="228"/>
      <c r="G706" s="154"/>
      <c r="H706" s="162"/>
      <c r="I706" s="223"/>
      <c r="J706" s="162"/>
      <c r="K706" s="129"/>
      <c r="L706" s="79"/>
      <c r="M706" s="79"/>
      <c r="N706" s="79"/>
      <c r="O706" s="82"/>
    </row>
    <row r="707" ht="15.75" customHeight="1">
      <c r="A707" s="261"/>
      <c r="B707" s="171"/>
      <c r="C707" s="172"/>
      <c r="D707" s="172"/>
      <c r="E707" s="227"/>
      <c r="F707" s="228"/>
      <c r="G707" s="154"/>
      <c r="H707" s="162"/>
      <c r="I707" s="223"/>
      <c r="J707" s="162"/>
      <c r="K707" s="129"/>
      <c r="L707" s="79"/>
      <c r="M707" s="79"/>
      <c r="N707" s="79"/>
      <c r="O707" s="82"/>
    </row>
    <row r="708" ht="15.75" customHeight="1">
      <c r="A708" s="261"/>
      <c r="B708" s="171"/>
      <c r="C708" s="172"/>
      <c r="D708" s="172"/>
      <c r="E708" s="227"/>
      <c r="F708" s="228"/>
      <c r="G708" s="154"/>
      <c r="H708" s="162"/>
      <c r="I708" s="223"/>
      <c r="J708" s="162"/>
      <c r="K708" s="129"/>
      <c r="L708" s="79"/>
      <c r="M708" s="79"/>
      <c r="N708" s="79"/>
      <c r="O708" s="82"/>
    </row>
    <row r="709" ht="15.75" customHeight="1">
      <c r="A709" s="261"/>
      <c r="B709" s="171"/>
      <c r="C709" s="172"/>
      <c r="D709" s="172"/>
      <c r="E709" s="227"/>
      <c r="F709" s="228"/>
      <c r="G709" s="154"/>
      <c r="H709" s="162"/>
      <c r="I709" s="223"/>
      <c r="J709" s="162"/>
      <c r="K709" s="129"/>
      <c r="L709" s="79"/>
      <c r="M709" s="79"/>
      <c r="N709" s="79"/>
      <c r="O709" s="82"/>
    </row>
    <row r="710" ht="15.75" customHeight="1">
      <c r="A710" s="261"/>
      <c r="B710" s="171"/>
      <c r="C710" s="172"/>
      <c r="D710" s="172"/>
      <c r="E710" s="227"/>
      <c r="F710" s="228"/>
      <c r="G710" s="154"/>
      <c r="H710" s="162"/>
      <c r="I710" s="223"/>
      <c r="J710" s="162"/>
      <c r="K710" s="129"/>
      <c r="L710" s="79"/>
      <c r="M710" s="79"/>
      <c r="N710" s="79"/>
      <c r="O710" s="82"/>
    </row>
    <row r="711" ht="15.75" customHeight="1">
      <c r="A711" s="261"/>
      <c r="B711" s="171"/>
      <c r="C711" s="172"/>
      <c r="D711" s="172"/>
      <c r="E711" s="227"/>
      <c r="F711" s="228"/>
      <c r="G711" s="154"/>
      <c r="H711" s="162"/>
      <c r="I711" s="223"/>
      <c r="J711" s="162"/>
      <c r="K711" s="129"/>
      <c r="L711" s="79"/>
      <c r="M711" s="79"/>
      <c r="N711" s="79"/>
      <c r="O711" s="82"/>
    </row>
    <row r="712" ht="15.75" customHeight="1">
      <c r="A712" s="261"/>
      <c r="B712" s="171"/>
      <c r="C712" s="172"/>
      <c r="D712" s="172"/>
      <c r="E712" s="227"/>
      <c r="F712" s="228"/>
      <c r="G712" s="154"/>
      <c r="H712" s="162"/>
      <c r="I712" s="223"/>
      <c r="J712" s="162"/>
      <c r="K712" s="129"/>
      <c r="L712" s="79"/>
      <c r="M712" s="79"/>
      <c r="N712" s="79"/>
      <c r="O712" s="82"/>
    </row>
    <row r="713" ht="15.75" customHeight="1">
      <c r="A713" s="261"/>
      <c r="B713" s="171"/>
      <c r="C713" s="172"/>
      <c r="D713" s="172"/>
      <c r="E713" s="227"/>
      <c r="F713" s="228"/>
      <c r="G713" s="154"/>
      <c r="H713" s="162"/>
      <c r="I713" s="223"/>
      <c r="J713" s="162"/>
      <c r="K713" s="129"/>
      <c r="L713" s="79"/>
      <c r="M713" s="79"/>
      <c r="N713" s="79"/>
      <c r="O713" s="82"/>
    </row>
    <row r="714" ht="15.75" customHeight="1">
      <c r="A714" s="261"/>
      <c r="B714" s="171"/>
      <c r="C714" s="172"/>
      <c r="D714" s="172"/>
      <c r="E714" s="227"/>
      <c r="F714" s="228"/>
      <c r="G714" s="154"/>
      <c r="H714" s="162"/>
      <c r="I714" s="223"/>
      <c r="J714" s="162"/>
      <c r="K714" s="129"/>
      <c r="L714" s="79"/>
      <c r="M714" s="79"/>
      <c r="N714" s="79"/>
      <c r="O714" s="82"/>
    </row>
    <row r="715" ht="15.75" customHeight="1">
      <c r="A715" s="261"/>
      <c r="B715" s="171"/>
      <c r="C715" s="172"/>
      <c r="D715" s="172"/>
      <c r="E715" s="227"/>
      <c r="F715" s="228"/>
      <c r="G715" s="154"/>
      <c r="H715" s="162"/>
      <c r="I715" s="223"/>
      <c r="J715" s="162"/>
      <c r="K715" s="129"/>
      <c r="L715" s="79"/>
      <c r="M715" s="79"/>
      <c r="N715" s="79"/>
      <c r="O715" s="82"/>
    </row>
    <row r="716" ht="15.75" customHeight="1">
      <c r="A716" s="261"/>
      <c r="B716" s="171"/>
      <c r="C716" s="172"/>
      <c r="D716" s="172"/>
      <c r="E716" s="227"/>
      <c r="F716" s="228"/>
      <c r="G716" s="154"/>
      <c r="H716" s="162"/>
      <c r="I716" s="223"/>
      <c r="J716" s="162"/>
      <c r="K716" s="129"/>
      <c r="L716" s="79"/>
      <c r="M716" s="79"/>
      <c r="N716" s="79"/>
      <c r="O716" s="82"/>
    </row>
    <row r="717" ht="15.75" customHeight="1">
      <c r="A717" s="261"/>
      <c r="B717" s="171"/>
      <c r="C717" s="172"/>
      <c r="D717" s="172"/>
      <c r="E717" s="227"/>
      <c r="F717" s="228"/>
      <c r="G717" s="154"/>
      <c r="H717" s="162"/>
      <c r="I717" s="223"/>
      <c r="J717" s="162"/>
      <c r="K717" s="129"/>
      <c r="L717" s="79"/>
      <c r="M717" s="79"/>
      <c r="N717" s="79"/>
      <c r="O717" s="82"/>
    </row>
    <row r="718" ht="15.75" customHeight="1">
      <c r="A718" s="261"/>
      <c r="B718" s="171"/>
      <c r="C718" s="172"/>
      <c r="D718" s="172"/>
      <c r="E718" s="227"/>
      <c r="F718" s="228"/>
      <c r="G718" s="154"/>
      <c r="H718" s="162"/>
      <c r="I718" s="223"/>
      <c r="J718" s="162"/>
      <c r="K718" s="129"/>
      <c r="L718" s="79"/>
      <c r="M718" s="79"/>
      <c r="N718" s="79"/>
      <c r="O718" s="82"/>
    </row>
    <row r="719" ht="15.75" customHeight="1">
      <c r="A719" s="261"/>
      <c r="B719" s="171"/>
      <c r="C719" s="172"/>
      <c r="D719" s="172"/>
      <c r="E719" s="227"/>
      <c r="F719" s="228"/>
      <c r="G719" s="154"/>
      <c r="H719" s="162"/>
      <c r="I719" s="223"/>
      <c r="J719" s="162"/>
      <c r="K719" s="129"/>
      <c r="L719" s="79"/>
      <c r="M719" s="79"/>
      <c r="N719" s="79"/>
      <c r="O719" s="82"/>
    </row>
    <row r="720" ht="15.75" customHeight="1">
      <c r="A720" s="261"/>
      <c r="B720" s="171"/>
      <c r="C720" s="172"/>
      <c r="D720" s="172"/>
      <c r="E720" s="227"/>
      <c r="F720" s="228"/>
      <c r="G720" s="154"/>
      <c r="H720" s="162"/>
      <c r="I720" s="223"/>
      <c r="J720" s="162"/>
      <c r="K720" s="129"/>
      <c r="L720" s="79"/>
      <c r="M720" s="79"/>
      <c r="N720" s="79"/>
      <c r="O720" s="82"/>
    </row>
    <row r="721" ht="15.75" customHeight="1">
      <c r="A721" s="261"/>
      <c r="B721" s="171"/>
      <c r="C721" s="172"/>
      <c r="D721" s="172"/>
      <c r="E721" s="227"/>
      <c r="F721" s="228"/>
      <c r="G721" s="154"/>
      <c r="H721" s="162"/>
      <c r="I721" s="223"/>
      <c r="J721" s="162"/>
      <c r="K721" s="129"/>
      <c r="L721" s="79"/>
      <c r="M721" s="79"/>
      <c r="N721" s="79"/>
      <c r="O721" s="82"/>
    </row>
    <row r="722" ht="15.75" customHeight="1">
      <c r="A722" s="261"/>
      <c r="B722" s="171"/>
      <c r="C722" s="172"/>
      <c r="D722" s="172"/>
      <c r="E722" s="227"/>
      <c r="F722" s="228"/>
      <c r="G722" s="154"/>
      <c r="H722" s="162"/>
      <c r="I722" s="223"/>
      <c r="J722" s="162"/>
      <c r="K722" s="129"/>
      <c r="L722" s="79"/>
      <c r="M722" s="79"/>
      <c r="N722" s="79"/>
      <c r="O722" s="82"/>
    </row>
    <row r="723" ht="15.75" customHeight="1">
      <c r="A723" s="261"/>
      <c r="B723" s="171"/>
      <c r="C723" s="172"/>
      <c r="D723" s="172"/>
      <c r="E723" s="227"/>
      <c r="F723" s="228"/>
      <c r="G723" s="154"/>
      <c r="H723" s="162"/>
      <c r="I723" s="223"/>
      <c r="J723" s="162"/>
      <c r="K723" s="129"/>
      <c r="L723" s="79"/>
      <c r="M723" s="79"/>
      <c r="N723" s="79"/>
      <c r="O723" s="82"/>
    </row>
    <row r="724" ht="15.75" customHeight="1">
      <c r="A724" s="261"/>
      <c r="B724" s="171"/>
      <c r="C724" s="172"/>
      <c r="D724" s="172"/>
      <c r="E724" s="227"/>
      <c r="F724" s="228"/>
      <c r="G724" s="154"/>
      <c r="H724" s="162"/>
      <c r="I724" s="223"/>
      <c r="J724" s="162"/>
      <c r="K724" s="129"/>
      <c r="L724" s="79"/>
      <c r="M724" s="79"/>
      <c r="N724" s="79"/>
      <c r="O724" s="82"/>
    </row>
    <row r="725" ht="15.75" customHeight="1">
      <c r="A725" s="261"/>
      <c r="B725" s="171"/>
      <c r="C725" s="172"/>
      <c r="D725" s="172"/>
      <c r="E725" s="227"/>
      <c r="F725" s="228"/>
      <c r="G725" s="154"/>
      <c r="H725" s="162"/>
      <c r="I725" s="223"/>
      <c r="J725" s="162"/>
      <c r="K725" s="129"/>
      <c r="L725" s="79"/>
      <c r="M725" s="79"/>
      <c r="N725" s="79"/>
      <c r="O725" s="82"/>
    </row>
    <row r="726" ht="15.75" customHeight="1">
      <c r="A726" s="261"/>
      <c r="B726" s="171"/>
      <c r="C726" s="172"/>
      <c r="D726" s="172"/>
      <c r="E726" s="227"/>
      <c r="F726" s="228"/>
      <c r="G726" s="154"/>
      <c r="H726" s="162"/>
      <c r="I726" s="223"/>
      <c r="J726" s="162"/>
      <c r="K726" s="129"/>
      <c r="L726" s="79"/>
      <c r="M726" s="79"/>
      <c r="N726" s="79"/>
      <c r="O726" s="82"/>
    </row>
    <row r="727" ht="15.75" customHeight="1">
      <c r="A727" s="261"/>
      <c r="B727" s="171"/>
      <c r="C727" s="172"/>
      <c r="D727" s="172"/>
      <c r="E727" s="227"/>
      <c r="F727" s="228"/>
      <c r="G727" s="154"/>
      <c r="H727" s="162"/>
      <c r="I727" s="223"/>
      <c r="J727" s="162"/>
      <c r="K727" s="129"/>
      <c r="L727" s="79"/>
      <c r="M727" s="79"/>
      <c r="N727" s="79"/>
      <c r="O727" s="82"/>
    </row>
    <row r="728" ht="15.75" customHeight="1">
      <c r="A728" s="261"/>
      <c r="B728" s="171"/>
      <c r="C728" s="172"/>
      <c r="D728" s="172"/>
      <c r="E728" s="227"/>
      <c r="F728" s="228"/>
      <c r="G728" s="154"/>
      <c r="H728" s="162"/>
      <c r="I728" s="223"/>
      <c r="J728" s="162"/>
      <c r="K728" s="129"/>
      <c r="L728" s="79"/>
      <c r="M728" s="79"/>
      <c r="N728" s="79"/>
      <c r="O728" s="82"/>
    </row>
    <row r="729" ht="15.75" customHeight="1">
      <c r="A729" s="261"/>
      <c r="B729" s="171"/>
      <c r="C729" s="172"/>
      <c r="D729" s="172"/>
      <c r="E729" s="227"/>
      <c r="F729" s="228"/>
      <c r="G729" s="154"/>
      <c r="H729" s="162"/>
      <c r="I729" s="223"/>
      <c r="J729" s="162"/>
      <c r="K729" s="129"/>
      <c r="L729" s="79"/>
      <c r="M729" s="79"/>
      <c r="N729" s="79"/>
      <c r="O729" s="82"/>
    </row>
    <row r="730" ht="15.75" customHeight="1">
      <c r="A730" s="261"/>
      <c r="B730" s="171"/>
      <c r="C730" s="172"/>
      <c r="D730" s="172"/>
      <c r="E730" s="227"/>
      <c r="F730" s="228"/>
      <c r="G730" s="154"/>
      <c r="H730" s="162"/>
      <c r="I730" s="223"/>
      <c r="J730" s="162"/>
      <c r="K730" s="129"/>
      <c r="L730" s="79"/>
      <c r="M730" s="79"/>
      <c r="N730" s="79"/>
      <c r="O730" s="82"/>
    </row>
    <row r="731" ht="15.75" customHeight="1">
      <c r="A731" s="261"/>
      <c r="B731" s="171"/>
      <c r="C731" s="172"/>
      <c r="D731" s="172"/>
      <c r="E731" s="227"/>
      <c r="F731" s="228"/>
      <c r="G731" s="154"/>
      <c r="H731" s="162"/>
      <c r="I731" s="223"/>
      <c r="J731" s="162"/>
      <c r="K731" s="129"/>
      <c r="L731" s="79"/>
      <c r="M731" s="79"/>
      <c r="N731" s="79"/>
      <c r="O731" s="82"/>
    </row>
    <row r="732" ht="15.75" customHeight="1">
      <c r="A732" s="261"/>
      <c r="B732" s="171"/>
      <c r="C732" s="172"/>
      <c r="D732" s="172"/>
      <c r="E732" s="227"/>
      <c r="F732" s="228"/>
      <c r="G732" s="154"/>
      <c r="H732" s="162"/>
      <c r="I732" s="223"/>
      <c r="J732" s="162"/>
      <c r="K732" s="129"/>
      <c r="L732" s="79"/>
      <c r="M732" s="79"/>
      <c r="N732" s="79"/>
      <c r="O732" s="82"/>
    </row>
    <row r="733" ht="15.75" customHeight="1">
      <c r="A733" s="261"/>
      <c r="B733" s="171"/>
      <c r="C733" s="172"/>
      <c r="D733" s="172"/>
      <c r="E733" s="227"/>
      <c r="F733" s="228"/>
      <c r="G733" s="154"/>
      <c r="H733" s="162"/>
      <c r="I733" s="223"/>
      <c r="J733" s="162"/>
      <c r="K733" s="129"/>
      <c r="L733" s="79"/>
      <c r="M733" s="79"/>
      <c r="N733" s="79"/>
      <c r="O733" s="82"/>
    </row>
    <row r="734" ht="15.75" customHeight="1">
      <c r="A734" s="261"/>
      <c r="B734" s="171"/>
      <c r="C734" s="172"/>
      <c r="D734" s="172"/>
      <c r="E734" s="227"/>
      <c r="F734" s="228"/>
      <c r="G734" s="154"/>
      <c r="H734" s="162"/>
      <c r="I734" s="223"/>
      <c r="J734" s="162"/>
      <c r="K734" s="129"/>
      <c r="L734" s="79"/>
      <c r="M734" s="79"/>
      <c r="N734" s="79"/>
      <c r="O734" s="82"/>
    </row>
    <row r="735" ht="15.75" customHeight="1">
      <c r="A735" s="261"/>
      <c r="B735" s="171"/>
      <c r="C735" s="172"/>
      <c r="D735" s="172"/>
      <c r="E735" s="227"/>
      <c r="F735" s="228"/>
      <c r="G735" s="154"/>
      <c r="H735" s="162"/>
      <c r="I735" s="223"/>
      <c r="J735" s="162"/>
      <c r="K735" s="129"/>
      <c r="L735" s="79"/>
      <c r="M735" s="79"/>
      <c r="N735" s="79"/>
      <c r="O735" s="82"/>
    </row>
    <row r="736" ht="15.75" customHeight="1">
      <c r="A736" s="261"/>
      <c r="B736" s="171"/>
      <c r="C736" s="172"/>
      <c r="D736" s="172"/>
      <c r="E736" s="227"/>
      <c r="F736" s="228"/>
      <c r="G736" s="154"/>
      <c r="H736" s="162"/>
      <c r="I736" s="223"/>
      <c r="J736" s="162"/>
      <c r="K736" s="129"/>
      <c r="L736" s="79"/>
      <c r="M736" s="79"/>
      <c r="N736" s="79"/>
      <c r="O736" s="82"/>
    </row>
    <row r="737" ht="15.75" customHeight="1">
      <c r="A737" s="261"/>
      <c r="B737" s="171"/>
      <c r="C737" s="172"/>
      <c r="D737" s="172"/>
      <c r="E737" s="227"/>
      <c r="F737" s="228"/>
      <c r="G737" s="154"/>
      <c r="H737" s="162"/>
      <c r="I737" s="223"/>
      <c r="J737" s="162"/>
      <c r="K737" s="129"/>
      <c r="L737" s="79"/>
      <c r="M737" s="79"/>
      <c r="N737" s="79"/>
      <c r="O737" s="82"/>
    </row>
    <row r="738" ht="15.75" customHeight="1">
      <c r="A738" s="261"/>
      <c r="B738" s="171"/>
      <c r="C738" s="172"/>
      <c r="D738" s="172"/>
      <c r="E738" s="227"/>
      <c r="F738" s="228"/>
      <c r="G738" s="154"/>
      <c r="H738" s="162"/>
      <c r="I738" s="223"/>
      <c r="J738" s="162"/>
      <c r="K738" s="129"/>
      <c r="L738" s="79"/>
      <c r="M738" s="79"/>
      <c r="N738" s="79"/>
      <c r="O738" s="82"/>
    </row>
    <row r="739" ht="15.75" customHeight="1">
      <c r="A739" s="261"/>
      <c r="B739" s="171"/>
      <c r="C739" s="172"/>
      <c r="D739" s="172"/>
      <c r="E739" s="227"/>
      <c r="F739" s="228"/>
      <c r="G739" s="154"/>
      <c r="H739" s="162"/>
      <c r="I739" s="223"/>
      <c r="J739" s="162"/>
      <c r="K739" s="129"/>
      <c r="L739" s="79"/>
      <c r="M739" s="79"/>
      <c r="N739" s="79"/>
      <c r="O739" s="82"/>
    </row>
    <row r="740" ht="15.75" customHeight="1">
      <c r="A740" s="261"/>
      <c r="B740" s="171"/>
      <c r="C740" s="172"/>
      <c r="D740" s="172"/>
      <c r="E740" s="227"/>
      <c r="F740" s="228"/>
      <c r="G740" s="154"/>
      <c r="H740" s="162"/>
      <c r="I740" s="223"/>
      <c r="J740" s="162"/>
      <c r="K740" s="129"/>
      <c r="L740" s="79"/>
      <c r="M740" s="79"/>
      <c r="N740" s="79"/>
      <c r="O740" s="82"/>
    </row>
    <row r="741" ht="15.75" customHeight="1">
      <c r="A741" s="261"/>
      <c r="B741" s="171"/>
      <c r="C741" s="172"/>
      <c r="D741" s="172"/>
      <c r="E741" s="227"/>
      <c r="F741" s="228"/>
      <c r="G741" s="154"/>
      <c r="H741" s="162"/>
      <c r="I741" s="223"/>
      <c r="J741" s="162"/>
      <c r="K741" s="129"/>
      <c r="L741" s="79"/>
      <c r="M741" s="79"/>
      <c r="N741" s="79"/>
      <c r="O741" s="82"/>
    </row>
    <row r="742" ht="15.75" customHeight="1">
      <c r="A742" s="261"/>
      <c r="B742" s="171"/>
      <c r="C742" s="172"/>
      <c r="D742" s="172"/>
      <c r="E742" s="227"/>
      <c r="F742" s="228"/>
      <c r="G742" s="154"/>
      <c r="H742" s="162"/>
      <c r="I742" s="223"/>
      <c r="J742" s="162"/>
      <c r="K742" s="129"/>
      <c r="L742" s="79"/>
      <c r="M742" s="79"/>
      <c r="N742" s="79"/>
      <c r="O742" s="82"/>
    </row>
    <row r="743" ht="15.75" customHeight="1">
      <c r="A743" s="261"/>
      <c r="B743" s="171"/>
      <c r="C743" s="172"/>
      <c r="D743" s="172"/>
      <c r="E743" s="227"/>
      <c r="F743" s="228"/>
      <c r="G743" s="154"/>
      <c r="H743" s="162"/>
      <c r="I743" s="223"/>
      <c r="J743" s="162"/>
      <c r="K743" s="129"/>
      <c r="L743" s="79"/>
      <c r="M743" s="79"/>
      <c r="N743" s="79"/>
      <c r="O743" s="82"/>
    </row>
    <row r="744" ht="15.75" customHeight="1">
      <c r="A744" s="261"/>
      <c r="B744" s="171"/>
      <c r="C744" s="172"/>
      <c r="D744" s="172"/>
      <c r="E744" s="227"/>
      <c r="F744" s="228"/>
      <c r="G744" s="154"/>
      <c r="H744" s="162"/>
      <c r="I744" s="223"/>
      <c r="J744" s="162"/>
      <c r="K744" s="129"/>
      <c r="L744" s="79"/>
      <c r="M744" s="79"/>
      <c r="N744" s="79"/>
      <c r="O744" s="82"/>
    </row>
    <row r="745" ht="15.75" customHeight="1">
      <c r="A745" s="261"/>
      <c r="B745" s="171"/>
      <c r="C745" s="172"/>
      <c r="D745" s="172"/>
      <c r="E745" s="227"/>
      <c r="F745" s="228"/>
      <c r="G745" s="154"/>
      <c r="H745" s="162"/>
      <c r="I745" s="223"/>
      <c r="J745" s="162"/>
      <c r="K745" s="129"/>
      <c r="L745" s="79"/>
      <c r="M745" s="79"/>
      <c r="N745" s="79"/>
      <c r="O745" s="82"/>
    </row>
    <row r="746" ht="15.75" customHeight="1">
      <c r="A746" s="261"/>
      <c r="B746" s="171"/>
      <c r="C746" s="172"/>
      <c r="D746" s="172"/>
      <c r="E746" s="227"/>
      <c r="F746" s="228"/>
      <c r="G746" s="154"/>
      <c r="H746" s="162"/>
      <c r="I746" s="223"/>
      <c r="J746" s="162"/>
      <c r="K746" s="129"/>
      <c r="L746" s="79"/>
      <c r="M746" s="79"/>
      <c r="N746" s="79"/>
      <c r="O746" s="82"/>
    </row>
    <row r="747" ht="15.75" customHeight="1">
      <c r="A747" s="261"/>
      <c r="B747" s="171"/>
      <c r="C747" s="172"/>
      <c r="D747" s="172"/>
      <c r="E747" s="227"/>
      <c r="F747" s="228"/>
      <c r="G747" s="154"/>
      <c r="H747" s="162"/>
      <c r="I747" s="223"/>
      <c r="J747" s="162"/>
      <c r="K747" s="129"/>
      <c r="L747" s="79"/>
      <c r="M747" s="79"/>
      <c r="N747" s="79"/>
      <c r="O747" s="82"/>
    </row>
    <row r="748" ht="15.75" customHeight="1">
      <c r="A748" s="261"/>
      <c r="B748" s="171"/>
      <c r="C748" s="172"/>
      <c r="D748" s="172"/>
      <c r="E748" s="227"/>
      <c r="F748" s="228"/>
      <c r="G748" s="154"/>
      <c r="H748" s="162"/>
      <c r="I748" s="223"/>
      <c r="J748" s="162"/>
      <c r="K748" s="129"/>
      <c r="L748" s="79"/>
      <c r="M748" s="79"/>
      <c r="N748" s="79"/>
      <c r="O748" s="82"/>
    </row>
    <row r="749" ht="15.75" customHeight="1">
      <c r="A749" s="261"/>
      <c r="B749" s="171"/>
      <c r="C749" s="172"/>
      <c r="D749" s="172"/>
      <c r="E749" s="227"/>
      <c r="F749" s="228"/>
      <c r="G749" s="154"/>
      <c r="H749" s="162"/>
      <c r="I749" s="223"/>
      <c r="J749" s="162"/>
      <c r="K749" s="129"/>
      <c r="L749" s="79"/>
      <c r="M749" s="79"/>
      <c r="N749" s="79"/>
      <c r="O749" s="82"/>
    </row>
    <row r="750" ht="15.75" customHeight="1">
      <c r="A750" s="261"/>
      <c r="B750" s="171"/>
      <c r="C750" s="172"/>
      <c r="D750" s="172"/>
      <c r="E750" s="227"/>
      <c r="F750" s="228"/>
      <c r="G750" s="154"/>
      <c r="H750" s="162"/>
      <c r="I750" s="223"/>
      <c r="J750" s="162"/>
      <c r="K750" s="129"/>
      <c r="L750" s="79"/>
      <c r="M750" s="79"/>
      <c r="N750" s="79"/>
      <c r="O750" s="82"/>
    </row>
    <row r="751" ht="15.75" customHeight="1">
      <c r="A751" s="261"/>
      <c r="B751" s="171"/>
      <c r="C751" s="172"/>
      <c r="D751" s="172"/>
      <c r="E751" s="227"/>
      <c r="F751" s="228"/>
      <c r="G751" s="154"/>
      <c r="H751" s="162"/>
      <c r="I751" s="223"/>
      <c r="J751" s="162"/>
      <c r="K751" s="129"/>
      <c r="L751" s="79"/>
      <c r="M751" s="79"/>
      <c r="N751" s="79"/>
      <c r="O751" s="82"/>
    </row>
    <row r="752" ht="15.75" customHeight="1">
      <c r="A752" s="261"/>
      <c r="B752" s="171"/>
      <c r="C752" s="172"/>
      <c r="D752" s="172"/>
      <c r="E752" s="227"/>
      <c r="F752" s="228"/>
      <c r="G752" s="154"/>
      <c r="H752" s="162"/>
      <c r="I752" s="223"/>
      <c r="J752" s="162"/>
      <c r="K752" s="129"/>
      <c r="L752" s="79"/>
      <c r="M752" s="79"/>
      <c r="N752" s="79"/>
      <c r="O752" s="82"/>
    </row>
    <row r="753" ht="15.75" customHeight="1">
      <c r="A753" s="261"/>
      <c r="B753" s="171"/>
      <c r="C753" s="172"/>
      <c r="D753" s="172"/>
      <c r="E753" s="227"/>
      <c r="F753" s="228"/>
      <c r="G753" s="154"/>
      <c r="H753" s="162"/>
      <c r="I753" s="223"/>
      <c r="J753" s="162"/>
      <c r="K753" s="129"/>
      <c r="L753" s="79"/>
      <c r="M753" s="79"/>
      <c r="N753" s="79"/>
      <c r="O753" s="82"/>
    </row>
    <row r="754" ht="15.75" customHeight="1">
      <c r="A754" s="261"/>
      <c r="B754" s="171"/>
      <c r="C754" s="172"/>
      <c r="D754" s="172"/>
      <c r="E754" s="227"/>
      <c r="F754" s="228"/>
      <c r="G754" s="154"/>
      <c r="H754" s="162"/>
      <c r="I754" s="223"/>
      <c r="J754" s="162"/>
      <c r="K754" s="129"/>
      <c r="L754" s="79"/>
      <c r="M754" s="79"/>
      <c r="N754" s="79"/>
      <c r="O754" s="82"/>
    </row>
    <row r="755" ht="15.75" customHeight="1">
      <c r="A755" s="261"/>
      <c r="B755" s="171"/>
      <c r="C755" s="172"/>
      <c r="D755" s="172"/>
      <c r="E755" s="227"/>
      <c r="F755" s="228"/>
      <c r="G755" s="154"/>
      <c r="H755" s="162"/>
      <c r="I755" s="223"/>
      <c r="J755" s="162"/>
      <c r="K755" s="129"/>
      <c r="L755" s="79"/>
      <c r="M755" s="79"/>
      <c r="N755" s="79"/>
      <c r="O755" s="82"/>
    </row>
    <row r="756" ht="15.75" customHeight="1">
      <c r="A756" s="261"/>
      <c r="B756" s="171"/>
      <c r="C756" s="172"/>
      <c r="D756" s="172"/>
      <c r="E756" s="227"/>
      <c r="F756" s="228"/>
      <c r="G756" s="154"/>
      <c r="H756" s="162"/>
      <c r="I756" s="223"/>
      <c r="J756" s="162"/>
      <c r="K756" s="129"/>
      <c r="L756" s="79"/>
      <c r="M756" s="79"/>
      <c r="N756" s="79"/>
      <c r="O756" s="82"/>
    </row>
    <row r="757" ht="15.75" customHeight="1">
      <c r="A757" s="261"/>
      <c r="B757" s="171"/>
      <c r="C757" s="172"/>
      <c r="D757" s="172"/>
      <c r="E757" s="227"/>
      <c r="F757" s="228"/>
      <c r="G757" s="154"/>
      <c r="H757" s="162"/>
      <c r="I757" s="223"/>
      <c r="J757" s="162"/>
      <c r="K757" s="129"/>
      <c r="L757" s="79"/>
      <c r="M757" s="79"/>
      <c r="N757" s="79"/>
      <c r="O757" s="82"/>
    </row>
    <row r="758" ht="15.75" customHeight="1">
      <c r="A758" s="261"/>
      <c r="B758" s="171"/>
      <c r="C758" s="172"/>
      <c r="D758" s="172"/>
      <c r="E758" s="227"/>
      <c r="F758" s="228"/>
      <c r="G758" s="154"/>
      <c r="H758" s="162"/>
      <c r="I758" s="223"/>
      <c r="J758" s="162"/>
      <c r="K758" s="129"/>
      <c r="L758" s="79"/>
      <c r="M758" s="79"/>
      <c r="N758" s="79"/>
      <c r="O758" s="82"/>
    </row>
    <row r="759" ht="15.75" customHeight="1">
      <c r="A759" s="261"/>
      <c r="B759" s="171"/>
      <c r="C759" s="172"/>
      <c r="D759" s="172"/>
      <c r="E759" s="227"/>
      <c r="F759" s="228"/>
      <c r="G759" s="154"/>
      <c r="H759" s="162"/>
      <c r="I759" s="223"/>
      <c r="J759" s="162"/>
      <c r="K759" s="129"/>
      <c r="L759" s="79"/>
      <c r="M759" s="79"/>
      <c r="N759" s="79"/>
      <c r="O759" s="82"/>
    </row>
    <row r="760" ht="15.75" customHeight="1">
      <c r="A760" s="261"/>
      <c r="B760" s="171"/>
      <c r="C760" s="172"/>
      <c r="D760" s="172"/>
      <c r="E760" s="227"/>
      <c r="F760" s="228"/>
      <c r="G760" s="154"/>
      <c r="H760" s="162"/>
      <c r="I760" s="223"/>
      <c r="J760" s="162"/>
      <c r="K760" s="129"/>
      <c r="L760" s="79"/>
      <c r="M760" s="79"/>
      <c r="N760" s="79"/>
      <c r="O760" s="82"/>
    </row>
    <row r="761" ht="15.75" customHeight="1">
      <c r="A761" s="261"/>
      <c r="B761" s="171"/>
      <c r="C761" s="172"/>
      <c r="D761" s="172"/>
      <c r="E761" s="227"/>
      <c r="F761" s="228"/>
      <c r="G761" s="154"/>
      <c r="H761" s="162"/>
      <c r="I761" s="223"/>
      <c r="J761" s="162"/>
      <c r="K761" s="129"/>
      <c r="L761" s="79"/>
      <c r="M761" s="79"/>
      <c r="N761" s="79"/>
      <c r="O761" s="82"/>
    </row>
    <row r="762" ht="15.75" customHeight="1">
      <c r="A762" s="261"/>
      <c r="B762" s="171"/>
      <c r="C762" s="172"/>
      <c r="D762" s="172"/>
      <c r="E762" s="227"/>
      <c r="F762" s="228"/>
      <c r="G762" s="154"/>
      <c r="H762" s="162"/>
      <c r="I762" s="223"/>
      <c r="J762" s="162"/>
      <c r="K762" s="129"/>
      <c r="L762" s="79"/>
      <c r="M762" s="79"/>
      <c r="N762" s="79"/>
      <c r="O762" s="82"/>
    </row>
    <row r="763" ht="15.75" customHeight="1">
      <c r="A763" s="261"/>
      <c r="B763" s="171"/>
      <c r="C763" s="172"/>
      <c r="D763" s="172"/>
      <c r="E763" s="227"/>
      <c r="F763" s="228"/>
      <c r="G763" s="154"/>
      <c r="H763" s="162"/>
      <c r="I763" s="223"/>
      <c r="J763" s="162"/>
      <c r="K763" s="129"/>
      <c r="L763" s="79"/>
      <c r="M763" s="79"/>
      <c r="N763" s="79"/>
      <c r="O763" s="82"/>
    </row>
    <row r="764" ht="15.75" customHeight="1">
      <c r="A764" s="261"/>
      <c r="B764" s="171"/>
      <c r="C764" s="172"/>
      <c r="D764" s="172"/>
      <c r="E764" s="227"/>
      <c r="F764" s="228"/>
      <c r="G764" s="154"/>
      <c r="H764" s="162"/>
      <c r="I764" s="223"/>
      <c r="J764" s="162"/>
      <c r="K764" s="129"/>
      <c r="L764" s="79"/>
      <c r="M764" s="79"/>
      <c r="N764" s="79"/>
      <c r="O764" s="82"/>
    </row>
    <row r="765" ht="15.75" customHeight="1">
      <c r="A765" s="261"/>
      <c r="B765" s="171"/>
      <c r="C765" s="172"/>
      <c r="D765" s="172"/>
      <c r="E765" s="227"/>
      <c r="F765" s="228"/>
      <c r="G765" s="154"/>
      <c r="H765" s="162"/>
      <c r="I765" s="223"/>
      <c r="J765" s="162"/>
      <c r="K765" s="129"/>
      <c r="L765" s="79"/>
      <c r="M765" s="79"/>
      <c r="N765" s="79"/>
      <c r="O765" s="82"/>
    </row>
    <row r="766" ht="15.75" customHeight="1">
      <c r="A766" s="261"/>
      <c r="B766" s="171"/>
      <c r="C766" s="172"/>
      <c r="D766" s="172"/>
      <c r="E766" s="227"/>
      <c r="F766" s="228"/>
      <c r="G766" s="154"/>
      <c r="H766" s="162"/>
      <c r="I766" s="223"/>
      <c r="J766" s="162"/>
      <c r="K766" s="129"/>
      <c r="L766" s="79"/>
      <c r="M766" s="79"/>
      <c r="N766" s="79"/>
      <c r="O766" s="82"/>
    </row>
    <row r="767" ht="15.75" customHeight="1">
      <c r="A767" s="261"/>
      <c r="B767" s="171"/>
      <c r="C767" s="172"/>
      <c r="D767" s="172"/>
      <c r="E767" s="227"/>
      <c r="F767" s="228"/>
      <c r="G767" s="154"/>
      <c r="H767" s="162"/>
      <c r="I767" s="223"/>
      <c r="J767" s="162"/>
      <c r="K767" s="129"/>
      <c r="L767" s="79"/>
      <c r="M767" s="79"/>
      <c r="N767" s="79"/>
      <c r="O767" s="82"/>
    </row>
    <row r="768" ht="15.75" customHeight="1">
      <c r="A768" s="261"/>
      <c r="B768" s="171"/>
      <c r="C768" s="172"/>
      <c r="D768" s="172"/>
      <c r="E768" s="227"/>
      <c r="F768" s="228"/>
      <c r="G768" s="154"/>
      <c r="H768" s="162"/>
      <c r="I768" s="223"/>
      <c r="J768" s="162"/>
      <c r="K768" s="129"/>
      <c r="L768" s="79"/>
      <c r="M768" s="79"/>
      <c r="N768" s="79"/>
      <c r="O768" s="82"/>
    </row>
    <row r="769" ht="15.75" customHeight="1">
      <c r="A769" s="261"/>
      <c r="B769" s="171"/>
      <c r="C769" s="172"/>
      <c r="D769" s="172"/>
      <c r="E769" s="227"/>
      <c r="F769" s="228"/>
      <c r="G769" s="154"/>
      <c r="H769" s="162"/>
      <c r="I769" s="223"/>
      <c r="J769" s="162"/>
      <c r="K769" s="129"/>
      <c r="L769" s="79"/>
      <c r="M769" s="79"/>
      <c r="N769" s="79"/>
      <c r="O769" s="82"/>
    </row>
    <row r="770" ht="15.75" customHeight="1">
      <c r="A770" s="261"/>
      <c r="B770" s="171"/>
      <c r="C770" s="172"/>
      <c r="D770" s="172"/>
      <c r="E770" s="227"/>
      <c r="F770" s="228"/>
      <c r="G770" s="154"/>
      <c r="H770" s="162"/>
      <c r="I770" s="223"/>
      <c r="J770" s="162"/>
      <c r="K770" s="129"/>
      <c r="L770" s="79"/>
      <c r="M770" s="79"/>
      <c r="N770" s="79"/>
      <c r="O770" s="82"/>
    </row>
    <row r="771" ht="15.75" customHeight="1">
      <c r="A771" s="261"/>
      <c r="B771" s="171"/>
      <c r="C771" s="172"/>
      <c r="D771" s="172"/>
      <c r="E771" s="227"/>
      <c r="F771" s="228"/>
      <c r="G771" s="154"/>
      <c r="H771" s="162"/>
      <c r="I771" s="223"/>
      <c r="J771" s="162"/>
      <c r="K771" s="129"/>
      <c r="L771" s="79"/>
      <c r="M771" s="79"/>
      <c r="N771" s="79"/>
      <c r="O771" s="82"/>
    </row>
    <row r="772" ht="15.75" customHeight="1">
      <c r="A772" s="261"/>
      <c r="B772" s="171"/>
      <c r="C772" s="172"/>
      <c r="D772" s="172"/>
      <c r="E772" s="227"/>
      <c r="F772" s="228"/>
      <c r="G772" s="154"/>
      <c r="H772" s="162"/>
      <c r="I772" s="223"/>
      <c r="J772" s="162"/>
      <c r="K772" s="129"/>
      <c r="L772" s="79"/>
      <c r="M772" s="79"/>
      <c r="N772" s="79"/>
      <c r="O772" s="82"/>
    </row>
    <row r="773" ht="15.75" customHeight="1">
      <c r="A773" s="261"/>
      <c r="B773" s="171"/>
      <c r="C773" s="172"/>
      <c r="D773" s="172"/>
      <c r="E773" s="227"/>
      <c r="F773" s="228"/>
      <c r="G773" s="154"/>
      <c r="H773" s="162"/>
      <c r="I773" s="223"/>
      <c r="J773" s="162"/>
      <c r="K773" s="129"/>
      <c r="L773" s="79"/>
      <c r="M773" s="79"/>
      <c r="N773" s="79"/>
      <c r="O773" s="82"/>
    </row>
    <row r="774" ht="15.75" customHeight="1">
      <c r="A774" s="261"/>
      <c r="B774" s="171"/>
      <c r="C774" s="172"/>
      <c r="D774" s="172"/>
      <c r="E774" s="227"/>
      <c r="F774" s="228"/>
      <c r="G774" s="154"/>
      <c r="H774" s="162"/>
      <c r="I774" s="223"/>
      <c r="J774" s="162"/>
      <c r="K774" s="129"/>
      <c r="L774" s="79"/>
      <c r="M774" s="79"/>
      <c r="N774" s="79"/>
      <c r="O774" s="82"/>
    </row>
    <row r="775" ht="15.75" customHeight="1">
      <c r="A775" s="261"/>
      <c r="B775" s="171"/>
      <c r="C775" s="172"/>
      <c r="D775" s="172"/>
      <c r="E775" s="227"/>
      <c r="F775" s="228"/>
      <c r="G775" s="154"/>
      <c r="H775" s="162"/>
      <c r="I775" s="223"/>
      <c r="J775" s="162"/>
      <c r="K775" s="129"/>
      <c r="L775" s="79"/>
      <c r="M775" s="79"/>
      <c r="N775" s="79"/>
      <c r="O775" s="82"/>
    </row>
    <row r="776" ht="15.75" customHeight="1">
      <c r="A776" s="261"/>
      <c r="B776" s="171"/>
      <c r="C776" s="172"/>
      <c r="D776" s="172"/>
      <c r="E776" s="227"/>
      <c r="F776" s="228"/>
      <c r="G776" s="154"/>
      <c r="H776" s="162"/>
      <c r="I776" s="223"/>
      <c r="J776" s="162"/>
      <c r="K776" s="129"/>
      <c r="L776" s="79"/>
      <c r="M776" s="79"/>
      <c r="N776" s="79"/>
      <c r="O776" s="82"/>
    </row>
    <row r="777" ht="15.75" customHeight="1">
      <c r="A777" s="261"/>
      <c r="B777" s="171"/>
      <c r="C777" s="172"/>
      <c r="D777" s="172"/>
      <c r="E777" s="227"/>
      <c r="F777" s="228"/>
      <c r="G777" s="154"/>
      <c r="H777" s="162"/>
      <c r="I777" s="223"/>
      <c r="J777" s="162"/>
      <c r="K777" s="129"/>
      <c r="L777" s="79"/>
      <c r="M777" s="79"/>
      <c r="N777" s="79"/>
      <c r="O777" s="82"/>
    </row>
    <row r="778" ht="15.75" customHeight="1">
      <c r="A778" s="261"/>
      <c r="B778" s="171"/>
      <c r="C778" s="172"/>
      <c r="D778" s="172"/>
      <c r="E778" s="227"/>
      <c r="F778" s="228"/>
      <c r="G778" s="154"/>
      <c r="H778" s="162"/>
      <c r="I778" s="223"/>
      <c r="J778" s="162"/>
      <c r="K778" s="129"/>
      <c r="L778" s="79"/>
      <c r="M778" s="79"/>
      <c r="N778" s="79"/>
      <c r="O778" s="82"/>
    </row>
    <row r="779" ht="15.75" customHeight="1">
      <c r="A779" s="261"/>
      <c r="B779" s="171"/>
      <c r="C779" s="172"/>
      <c r="D779" s="172"/>
      <c r="E779" s="227"/>
      <c r="F779" s="228"/>
      <c r="G779" s="154"/>
      <c r="H779" s="162"/>
      <c r="I779" s="223"/>
      <c r="J779" s="162"/>
      <c r="K779" s="129"/>
      <c r="L779" s="79"/>
      <c r="M779" s="79"/>
      <c r="N779" s="79"/>
      <c r="O779" s="82"/>
    </row>
    <row r="780" ht="15.75" customHeight="1">
      <c r="A780" s="261"/>
      <c r="B780" s="171"/>
      <c r="C780" s="172"/>
      <c r="D780" s="172"/>
      <c r="E780" s="227"/>
      <c r="F780" s="228"/>
      <c r="G780" s="154"/>
      <c r="H780" s="162"/>
      <c r="I780" s="223"/>
      <c r="J780" s="162"/>
      <c r="K780" s="129"/>
      <c r="L780" s="79"/>
      <c r="M780" s="79"/>
      <c r="N780" s="79"/>
      <c r="O780" s="82"/>
    </row>
    <row r="781" ht="15.75" customHeight="1">
      <c r="A781" s="261"/>
      <c r="B781" s="171"/>
      <c r="C781" s="172"/>
      <c r="D781" s="172"/>
      <c r="E781" s="227"/>
      <c r="F781" s="228"/>
      <c r="G781" s="154"/>
      <c r="H781" s="162"/>
      <c r="I781" s="223"/>
      <c r="J781" s="162"/>
      <c r="K781" s="129"/>
      <c r="L781" s="79"/>
      <c r="M781" s="79"/>
      <c r="N781" s="79"/>
      <c r="O781" s="82"/>
    </row>
    <row r="782" ht="15.75" customHeight="1">
      <c r="A782" s="261"/>
      <c r="B782" s="171"/>
      <c r="C782" s="172"/>
      <c r="D782" s="172"/>
      <c r="E782" s="227"/>
      <c r="F782" s="228"/>
      <c r="G782" s="154"/>
      <c r="H782" s="162"/>
      <c r="I782" s="223"/>
      <c r="J782" s="162"/>
      <c r="K782" s="129"/>
      <c r="L782" s="79"/>
      <c r="M782" s="79"/>
      <c r="N782" s="79"/>
      <c r="O782" s="82"/>
    </row>
    <row r="783" ht="15.75" customHeight="1">
      <c r="A783" s="261"/>
      <c r="B783" s="171"/>
      <c r="C783" s="172"/>
      <c r="D783" s="172"/>
      <c r="E783" s="227"/>
      <c r="F783" s="228"/>
      <c r="G783" s="154"/>
      <c r="H783" s="162"/>
      <c r="I783" s="223"/>
      <c r="J783" s="162"/>
      <c r="K783" s="129"/>
      <c r="L783" s="79"/>
      <c r="M783" s="79"/>
      <c r="N783" s="79"/>
      <c r="O783" s="82"/>
    </row>
    <row r="784" ht="15.75" customHeight="1">
      <c r="A784" s="261"/>
      <c r="B784" s="171"/>
      <c r="C784" s="172"/>
      <c r="D784" s="172"/>
      <c r="E784" s="227"/>
      <c r="F784" s="228"/>
      <c r="G784" s="154"/>
      <c r="H784" s="162"/>
      <c r="I784" s="223"/>
      <c r="J784" s="162"/>
      <c r="K784" s="129"/>
      <c r="L784" s="79"/>
      <c r="M784" s="79"/>
      <c r="N784" s="79"/>
      <c r="O784" s="82"/>
    </row>
    <row r="785" ht="15.75" customHeight="1">
      <c r="A785" s="261"/>
      <c r="B785" s="171"/>
      <c r="C785" s="172"/>
      <c r="D785" s="172"/>
      <c r="E785" s="227"/>
      <c r="F785" s="228"/>
      <c r="G785" s="154"/>
      <c r="H785" s="162"/>
      <c r="I785" s="223"/>
      <c r="J785" s="162"/>
      <c r="K785" s="129"/>
      <c r="L785" s="79"/>
      <c r="M785" s="79"/>
      <c r="N785" s="79"/>
      <c r="O785" s="82"/>
    </row>
    <row r="786" ht="15.75" customHeight="1">
      <c r="A786" s="261"/>
      <c r="B786" s="171"/>
      <c r="C786" s="172"/>
      <c r="D786" s="172"/>
      <c r="E786" s="227"/>
      <c r="F786" s="228"/>
      <c r="G786" s="154"/>
      <c r="H786" s="162"/>
      <c r="I786" s="223"/>
      <c r="J786" s="162"/>
      <c r="K786" s="129"/>
      <c r="L786" s="79"/>
      <c r="M786" s="79"/>
      <c r="N786" s="79"/>
      <c r="O786" s="82"/>
    </row>
    <row r="787" ht="15.75" customHeight="1">
      <c r="A787" s="261"/>
      <c r="B787" s="171"/>
      <c r="C787" s="172"/>
      <c r="D787" s="172"/>
      <c r="E787" s="227"/>
      <c r="F787" s="228"/>
      <c r="G787" s="154"/>
      <c r="H787" s="162"/>
      <c r="I787" s="223"/>
      <c r="J787" s="162"/>
      <c r="K787" s="129"/>
      <c r="L787" s="79"/>
      <c r="M787" s="79"/>
      <c r="N787" s="79"/>
      <c r="O787" s="82"/>
    </row>
    <row r="788" ht="15.75" customHeight="1">
      <c r="A788" s="261"/>
      <c r="B788" s="171"/>
      <c r="C788" s="172"/>
      <c r="D788" s="172"/>
      <c r="E788" s="227"/>
      <c r="F788" s="228"/>
      <c r="G788" s="154"/>
      <c r="H788" s="162"/>
      <c r="I788" s="223"/>
      <c r="J788" s="162"/>
      <c r="K788" s="129"/>
      <c r="L788" s="79"/>
      <c r="M788" s="79"/>
      <c r="N788" s="79"/>
      <c r="O788" s="82"/>
    </row>
    <row r="789" ht="15.75" customHeight="1">
      <c r="A789" s="261"/>
      <c r="B789" s="171"/>
      <c r="C789" s="172"/>
      <c r="D789" s="172"/>
      <c r="E789" s="227"/>
      <c r="F789" s="228"/>
      <c r="G789" s="154"/>
      <c r="H789" s="162"/>
      <c r="I789" s="223"/>
      <c r="J789" s="162"/>
      <c r="K789" s="129"/>
      <c r="L789" s="79"/>
      <c r="M789" s="79"/>
      <c r="N789" s="79"/>
      <c r="O789" s="82"/>
    </row>
    <row r="790" ht="15.75" customHeight="1">
      <c r="A790" s="261"/>
      <c r="B790" s="171"/>
      <c r="C790" s="172"/>
      <c r="D790" s="172"/>
      <c r="E790" s="227"/>
      <c r="F790" s="228"/>
      <c r="G790" s="154"/>
      <c r="H790" s="162"/>
      <c r="I790" s="223"/>
      <c r="J790" s="162"/>
      <c r="K790" s="129"/>
      <c r="L790" s="79"/>
      <c r="M790" s="79"/>
      <c r="N790" s="79"/>
      <c r="O790" s="82"/>
    </row>
    <row r="791" ht="15.75" customHeight="1">
      <c r="A791" s="261"/>
      <c r="B791" s="171"/>
      <c r="C791" s="172"/>
      <c r="D791" s="172"/>
      <c r="E791" s="227"/>
      <c r="F791" s="228"/>
      <c r="G791" s="154"/>
      <c r="H791" s="162"/>
      <c r="I791" s="223"/>
      <c r="J791" s="162"/>
      <c r="K791" s="129"/>
      <c r="L791" s="79"/>
      <c r="M791" s="79"/>
      <c r="N791" s="79"/>
      <c r="O791" s="82"/>
    </row>
    <row r="792" ht="15.75" customHeight="1">
      <c r="A792" s="261"/>
      <c r="B792" s="171"/>
      <c r="C792" s="172"/>
      <c r="D792" s="172"/>
      <c r="E792" s="227"/>
      <c r="F792" s="228"/>
      <c r="G792" s="154"/>
      <c r="H792" s="162"/>
      <c r="I792" s="223"/>
      <c r="J792" s="162"/>
      <c r="K792" s="129"/>
      <c r="L792" s="79"/>
      <c r="M792" s="79"/>
      <c r="N792" s="79"/>
      <c r="O792" s="82"/>
    </row>
    <row r="793" ht="15.75" customHeight="1">
      <c r="A793" s="261"/>
      <c r="B793" s="171"/>
      <c r="C793" s="172"/>
      <c r="D793" s="172"/>
      <c r="E793" s="227"/>
      <c r="F793" s="228"/>
      <c r="G793" s="154"/>
      <c r="H793" s="162"/>
      <c r="I793" s="223"/>
      <c r="J793" s="162"/>
      <c r="K793" s="129"/>
      <c r="L793" s="79"/>
      <c r="M793" s="79"/>
      <c r="N793" s="79"/>
      <c r="O793" s="82"/>
    </row>
    <row r="794" ht="15.75" customHeight="1">
      <c r="A794" s="261"/>
      <c r="B794" s="171"/>
      <c r="C794" s="172"/>
      <c r="D794" s="172"/>
      <c r="E794" s="227"/>
      <c r="F794" s="228"/>
      <c r="G794" s="154"/>
      <c r="H794" s="162"/>
      <c r="I794" s="223"/>
      <c r="J794" s="162"/>
      <c r="K794" s="129"/>
      <c r="L794" s="79"/>
      <c r="M794" s="79"/>
      <c r="N794" s="79"/>
      <c r="O794" s="82"/>
    </row>
    <row r="795" ht="15.75" customHeight="1">
      <c r="A795" s="261"/>
      <c r="B795" s="171"/>
      <c r="C795" s="172"/>
      <c r="D795" s="172"/>
      <c r="E795" s="227"/>
      <c r="F795" s="228"/>
      <c r="G795" s="154"/>
      <c r="H795" s="162"/>
      <c r="I795" s="223"/>
      <c r="J795" s="162"/>
      <c r="K795" s="129"/>
      <c r="L795" s="79"/>
      <c r="M795" s="79"/>
      <c r="N795" s="79"/>
      <c r="O795" s="82"/>
    </row>
    <row r="796" ht="15.75" customHeight="1">
      <c r="A796" s="261"/>
      <c r="B796" s="171"/>
      <c r="C796" s="172"/>
      <c r="D796" s="172"/>
      <c r="E796" s="227"/>
      <c r="F796" s="228"/>
      <c r="G796" s="154"/>
      <c r="H796" s="162"/>
      <c r="I796" s="223"/>
      <c r="J796" s="162"/>
      <c r="K796" s="129"/>
      <c r="L796" s="79"/>
      <c r="M796" s="79"/>
      <c r="N796" s="79"/>
      <c r="O796" s="82"/>
    </row>
    <row r="797" ht="15.75" customHeight="1">
      <c r="A797" s="261"/>
      <c r="B797" s="171"/>
      <c r="C797" s="172"/>
      <c r="D797" s="172"/>
      <c r="E797" s="227"/>
      <c r="F797" s="228"/>
      <c r="G797" s="154"/>
      <c r="H797" s="162"/>
      <c r="I797" s="223"/>
      <c r="J797" s="162"/>
      <c r="K797" s="129"/>
      <c r="L797" s="79"/>
      <c r="M797" s="79"/>
      <c r="N797" s="79"/>
      <c r="O797" s="82"/>
    </row>
    <row r="798" ht="15.75" customHeight="1">
      <c r="A798" s="261"/>
      <c r="B798" s="171"/>
      <c r="C798" s="172"/>
      <c r="D798" s="172"/>
      <c r="E798" s="227"/>
      <c r="F798" s="228"/>
      <c r="G798" s="154"/>
      <c r="H798" s="162"/>
      <c r="I798" s="223"/>
      <c r="J798" s="162"/>
      <c r="K798" s="129"/>
      <c r="L798" s="79"/>
      <c r="M798" s="79"/>
      <c r="N798" s="79"/>
      <c r="O798" s="82"/>
    </row>
    <row r="799" ht="15.75" customHeight="1">
      <c r="A799" s="261"/>
      <c r="B799" s="171"/>
      <c r="C799" s="172"/>
      <c r="D799" s="172"/>
      <c r="E799" s="227"/>
      <c r="F799" s="228"/>
      <c r="G799" s="154"/>
      <c r="H799" s="162"/>
      <c r="I799" s="223"/>
      <c r="J799" s="162"/>
      <c r="K799" s="129"/>
      <c r="L799" s="79"/>
      <c r="M799" s="79"/>
      <c r="N799" s="79"/>
      <c r="O799" s="82"/>
    </row>
    <row r="800" ht="15.75" customHeight="1">
      <c r="A800" s="261"/>
      <c r="B800" s="171"/>
      <c r="C800" s="172"/>
      <c r="D800" s="172"/>
      <c r="E800" s="227"/>
      <c r="F800" s="228"/>
      <c r="G800" s="154"/>
      <c r="H800" s="162"/>
      <c r="I800" s="223"/>
      <c r="J800" s="162"/>
      <c r="K800" s="129"/>
      <c r="L800" s="79"/>
      <c r="M800" s="79"/>
      <c r="N800" s="79"/>
      <c r="O800" s="82"/>
    </row>
    <row r="801" ht="15.75" customHeight="1">
      <c r="A801" s="261"/>
      <c r="B801" s="171"/>
      <c r="C801" s="172"/>
      <c r="D801" s="172"/>
      <c r="E801" s="227"/>
      <c r="F801" s="228"/>
      <c r="G801" s="154"/>
      <c r="H801" s="162"/>
      <c r="I801" s="223"/>
      <c r="J801" s="162"/>
      <c r="K801" s="129"/>
      <c r="L801" s="79"/>
      <c r="M801" s="79"/>
      <c r="N801" s="79"/>
      <c r="O801" s="82"/>
    </row>
    <row r="802" ht="15.75" customHeight="1">
      <c r="A802" s="261"/>
      <c r="B802" s="171"/>
      <c r="C802" s="172"/>
      <c r="D802" s="172"/>
      <c r="E802" s="227"/>
      <c r="F802" s="228"/>
      <c r="G802" s="154"/>
      <c r="H802" s="162"/>
      <c r="I802" s="223"/>
      <c r="J802" s="162"/>
      <c r="K802" s="129"/>
      <c r="L802" s="79"/>
      <c r="M802" s="79"/>
      <c r="N802" s="79"/>
      <c r="O802" s="82"/>
    </row>
    <row r="803" ht="15.75" customHeight="1">
      <c r="A803" s="261"/>
      <c r="B803" s="171"/>
      <c r="C803" s="172"/>
      <c r="D803" s="172"/>
      <c r="E803" s="227"/>
      <c r="F803" s="228"/>
      <c r="G803" s="154"/>
      <c r="H803" s="162"/>
      <c r="I803" s="223"/>
      <c r="J803" s="162"/>
      <c r="K803" s="129"/>
      <c r="L803" s="79"/>
      <c r="M803" s="79"/>
      <c r="N803" s="79"/>
      <c r="O803" s="82"/>
    </row>
    <row r="804" ht="15.75" customHeight="1">
      <c r="A804" s="261"/>
      <c r="B804" s="171"/>
      <c r="C804" s="172"/>
      <c r="D804" s="172"/>
      <c r="E804" s="227"/>
      <c r="F804" s="228"/>
      <c r="G804" s="154"/>
      <c r="H804" s="162"/>
      <c r="I804" s="223"/>
      <c r="J804" s="162"/>
      <c r="K804" s="129"/>
      <c r="L804" s="79"/>
      <c r="M804" s="79"/>
      <c r="N804" s="79"/>
      <c r="O804" s="82"/>
    </row>
    <row r="805" ht="15.75" customHeight="1">
      <c r="A805" s="261"/>
      <c r="B805" s="171"/>
      <c r="C805" s="172"/>
      <c r="D805" s="172"/>
      <c r="E805" s="227"/>
      <c r="F805" s="228"/>
      <c r="G805" s="154"/>
      <c r="H805" s="162"/>
      <c r="I805" s="223"/>
      <c r="J805" s="162"/>
      <c r="K805" s="129"/>
      <c r="L805" s="79"/>
      <c r="M805" s="79"/>
      <c r="N805" s="79"/>
      <c r="O805" s="82"/>
    </row>
    <row r="806" ht="15.75" customHeight="1">
      <c r="A806" s="261"/>
      <c r="B806" s="171"/>
      <c r="C806" s="172"/>
      <c r="D806" s="172"/>
      <c r="E806" s="227"/>
      <c r="F806" s="228"/>
      <c r="G806" s="154"/>
      <c r="H806" s="162"/>
      <c r="I806" s="223"/>
      <c r="J806" s="162"/>
      <c r="K806" s="129"/>
      <c r="L806" s="79"/>
      <c r="M806" s="79"/>
      <c r="N806" s="79"/>
      <c r="O806" s="82"/>
    </row>
    <row r="807" ht="15.75" customHeight="1">
      <c r="A807" s="261"/>
      <c r="B807" s="171"/>
      <c r="C807" s="172"/>
      <c r="D807" s="172"/>
      <c r="E807" s="227"/>
      <c r="F807" s="228"/>
      <c r="G807" s="154"/>
      <c r="H807" s="162"/>
      <c r="I807" s="223"/>
      <c r="J807" s="162"/>
      <c r="K807" s="129"/>
      <c r="L807" s="79"/>
      <c r="M807" s="79"/>
      <c r="N807" s="79"/>
      <c r="O807" s="82"/>
    </row>
    <row r="808" ht="15.75" customHeight="1">
      <c r="A808" s="261"/>
      <c r="B808" s="171"/>
      <c r="C808" s="172"/>
      <c r="D808" s="172"/>
      <c r="E808" s="227"/>
      <c r="F808" s="228"/>
      <c r="G808" s="154"/>
      <c r="H808" s="162"/>
      <c r="I808" s="223"/>
      <c r="J808" s="162"/>
      <c r="K808" s="129"/>
      <c r="L808" s="79"/>
      <c r="M808" s="79"/>
      <c r="N808" s="79"/>
      <c r="O808" s="82"/>
    </row>
    <row r="809" ht="15.75" customHeight="1">
      <c r="A809" s="261"/>
      <c r="B809" s="171"/>
      <c r="C809" s="172"/>
      <c r="D809" s="172"/>
      <c r="E809" s="227"/>
      <c r="F809" s="228"/>
      <c r="G809" s="154"/>
      <c r="H809" s="162"/>
      <c r="I809" s="223"/>
      <c r="J809" s="162"/>
      <c r="K809" s="129"/>
      <c r="L809" s="79"/>
      <c r="M809" s="79"/>
      <c r="N809" s="79"/>
      <c r="O809" s="82"/>
    </row>
    <row r="810" ht="15.75" customHeight="1">
      <c r="A810" s="261"/>
      <c r="B810" s="171"/>
      <c r="C810" s="172"/>
      <c r="D810" s="172"/>
      <c r="E810" s="227"/>
      <c r="F810" s="228"/>
      <c r="G810" s="154"/>
      <c r="H810" s="162"/>
      <c r="I810" s="223"/>
      <c r="J810" s="162"/>
      <c r="K810" s="129"/>
      <c r="L810" s="79"/>
      <c r="M810" s="79"/>
      <c r="N810" s="79"/>
      <c r="O810" s="82"/>
    </row>
    <row r="811" ht="15.75" customHeight="1">
      <c r="A811" s="261"/>
      <c r="B811" s="171"/>
      <c r="C811" s="172"/>
      <c r="D811" s="172"/>
      <c r="E811" s="227"/>
      <c r="F811" s="228"/>
      <c r="G811" s="154"/>
      <c r="H811" s="162"/>
      <c r="I811" s="223"/>
      <c r="J811" s="162"/>
      <c r="K811" s="129"/>
      <c r="L811" s="79"/>
      <c r="M811" s="79"/>
      <c r="N811" s="79"/>
      <c r="O811" s="82"/>
    </row>
    <row r="812" ht="15.75" customHeight="1">
      <c r="A812" s="261"/>
      <c r="B812" s="171"/>
      <c r="C812" s="172"/>
      <c r="D812" s="172"/>
      <c r="E812" s="227"/>
      <c r="F812" s="228"/>
      <c r="G812" s="154"/>
      <c r="H812" s="162"/>
      <c r="I812" s="223"/>
      <c r="J812" s="162"/>
      <c r="K812" s="129"/>
      <c r="L812" s="79"/>
      <c r="M812" s="79"/>
      <c r="N812" s="79"/>
      <c r="O812" s="82"/>
    </row>
    <row r="813" ht="15.75" customHeight="1">
      <c r="A813" s="261"/>
      <c r="B813" s="171"/>
      <c r="C813" s="172"/>
      <c r="D813" s="172"/>
      <c r="E813" s="227"/>
      <c r="F813" s="228"/>
      <c r="G813" s="154"/>
      <c r="H813" s="162"/>
      <c r="I813" s="223"/>
      <c r="J813" s="162"/>
      <c r="K813" s="129"/>
      <c r="L813" s="79"/>
      <c r="M813" s="79"/>
      <c r="N813" s="79"/>
      <c r="O813" s="82"/>
    </row>
    <row r="814" ht="15.75" customHeight="1">
      <c r="A814" s="261"/>
      <c r="B814" s="171"/>
      <c r="C814" s="172"/>
      <c r="D814" s="172"/>
      <c r="E814" s="227"/>
      <c r="F814" s="228"/>
      <c r="G814" s="154"/>
      <c r="H814" s="162"/>
      <c r="I814" s="223"/>
      <c r="J814" s="162"/>
      <c r="K814" s="129"/>
      <c r="L814" s="79"/>
      <c r="M814" s="79"/>
      <c r="N814" s="79"/>
      <c r="O814" s="82"/>
    </row>
    <row r="815" ht="15.75" customHeight="1">
      <c r="A815" s="261"/>
      <c r="B815" s="171"/>
      <c r="C815" s="172"/>
      <c r="D815" s="172"/>
      <c r="E815" s="227"/>
      <c r="F815" s="228"/>
      <c r="G815" s="154"/>
      <c r="H815" s="162"/>
      <c r="I815" s="223"/>
      <c r="J815" s="162"/>
      <c r="K815" s="129"/>
      <c r="L815" s="79"/>
      <c r="M815" s="79"/>
      <c r="N815" s="79"/>
      <c r="O815" s="82"/>
    </row>
    <row r="816" ht="15.75" customHeight="1">
      <c r="A816" s="261"/>
      <c r="B816" s="171"/>
      <c r="C816" s="172"/>
      <c r="D816" s="172"/>
      <c r="E816" s="227"/>
      <c r="F816" s="228"/>
      <c r="G816" s="154"/>
      <c r="H816" s="162"/>
      <c r="I816" s="223"/>
      <c r="J816" s="162"/>
      <c r="K816" s="129"/>
      <c r="L816" s="79"/>
      <c r="M816" s="79"/>
      <c r="N816" s="79"/>
      <c r="O816" s="82"/>
    </row>
    <row r="817" ht="15.75" customHeight="1">
      <c r="A817" s="261"/>
      <c r="B817" s="171"/>
      <c r="C817" s="172"/>
      <c r="D817" s="172"/>
      <c r="E817" s="227"/>
      <c r="F817" s="228"/>
      <c r="G817" s="154"/>
      <c r="H817" s="162"/>
      <c r="I817" s="223"/>
      <c r="J817" s="162"/>
      <c r="K817" s="129"/>
      <c r="L817" s="79"/>
      <c r="M817" s="79"/>
      <c r="N817" s="79"/>
      <c r="O817" s="82"/>
    </row>
    <row r="818" ht="15.75" customHeight="1">
      <c r="A818" s="261"/>
      <c r="B818" s="171"/>
      <c r="C818" s="172"/>
      <c r="D818" s="172"/>
      <c r="E818" s="227"/>
      <c r="F818" s="228"/>
      <c r="G818" s="154"/>
      <c r="H818" s="162"/>
      <c r="I818" s="223"/>
      <c r="J818" s="162"/>
      <c r="K818" s="129"/>
      <c r="L818" s="79"/>
      <c r="M818" s="79"/>
      <c r="N818" s="79"/>
      <c r="O818" s="82"/>
    </row>
    <row r="819" ht="15.75" customHeight="1">
      <c r="A819" s="261"/>
      <c r="B819" s="171"/>
      <c r="C819" s="172"/>
      <c r="D819" s="172"/>
      <c r="E819" s="227"/>
      <c r="F819" s="228"/>
      <c r="G819" s="154"/>
      <c r="H819" s="162"/>
      <c r="I819" s="223"/>
      <c r="J819" s="162"/>
      <c r="K819" s="129"/>
      <c r="L819" s="79"/>
      <c r="M819" s="79"/>
      <c r="N819" s="79"/>
      <c r="O819" s="82"/>
    </row>
    <row r="820" ht="15.75" customHeight="1">
      <c r="A820" s="261"/>
      <c r="B820" s="171"/>
      <c r="C820" s="172"/>
      <c r="D820" s="172"/>
      <c r="E820" s="227"/>
      <c r="F820" s="228"/>
      <c r="G820" s="154"/>
      <c r="H820" s="162"/>
      <c r="I820" s="223"/>
      <c r="J820" s="162"/>
      <c r="K820" s="129"/>
      <c r="L820" s="79"/>
      <c r="M820" s="79"/>
      <c r="N820" s="79"/>
      <c r="O820" s="82"/>
    </row>
    <row r="821" ht="15.75" customHeight="1">
      <c r="A821" s="261"/>
      <c r="B821" s="171"/>
      <c r="C821" s="172"/>
      <c r="D821" s="172"/>
      <c r="E821" s="227"/>
      <c r="F821" s="228"/>
      <c r="G821" s="154"/>
      <c r="H821" s="162"/>
      <c r="I821" s="223"/>
      <c r="J821" s="162"/>
      <c r="K821" s="129"/>
      <c r="L821" s="79"/>
      <c r="M821" s="79"/>
      <c r="N821" s="79"/>
      <c r="O821" s="82"/>
    </row>
    <row r="822" ht="15.75" customHeight="1">
      <c r="A822" s="261"/>
      <c r="B822" s="171"/>
      <c r="C822" s="172"/>
      <c r="D822" s="172"/>
      <c r="E822" s="227"/>
      <c r="F822" s="228"/>
      <c r="G822" s="154"/>
      <c r="H822" s="162"/>
      <c r="I822" s="223"/>
      <c r="J822" s="162"/>
      <c r="K822" s="129"/>
      <c r="L822" s="79"/>
      <c r="M822" s="79"/>
      <c r="N822" s="79"/>
      <c r="O822" s="82"/>
    </row>
    <row r="823" ht="15.75" customHeight="1">
      <c r="A823" s="261"/>
      <c r="B823" s="171"/>
      <c r="C823" s="172"/>
      <c r="D823" s="172"/>
      <c r="E823" s="227"/>
      <c r="F823" s="228"/>
      <c r="G823" s="154"/>
      <c r="H823" s="162"/>
      <c r="I823" s="223"/>
      <c r="J823" s="162"/>
      <c r="K823" s="129"/>
      <c r="L823" s="79"/>
      <c r="M823" s="79"/>
      <c r="N823" s="79"/>
      <c r="O823" s="82"/>
    </row>
    <row r="824" ht="15.75" customHeight="1">
      <c r="A824" s="261"/>
      <c r="B824" s="171"/>
      <c r="C824" s="172"/>
      <c r="D824" s="172"/>
      <c r="E824" s="227"/>
      <c r="F824" s="228"/>
      <c r="G824" s="154"/>
      <c r="H824" s="162"/>
      <c r="I824" s="223"/>
      <c r="J824" s="162"/>
      <c r="K824" s="129"/>
      <c r="L824" s="79"/>
      <c r="M824" s="79"/>
      <c r="N824" s="79"/>
      <c r="O824" s="82"/>
    </row>
    <row r="825" ht="15.75" customHeight="1">
      <c r="A825" s="261"/>
      <c r="B825" s="171"/>
      <c r="C825" s="172"/>
      <c r="D825" s="172"/>
      <c r="E825" s="227"/>
      <c r="F825" s="228"/>
      <c r="G825" s="154"/>
      <c r="H825" s="162"/>
      <c r="I825" s="223"/>
      <c r="J825" s="162"/>
      <c r="K825" s="129"/>
      <c r="L825" s="79"/>
      <c r="M825" s="79"/>
      <c r="N825" s="79"/>
      <c r="O825" s="82"/>
    </row>
    <row r="826" ht="15.75" customHeight="1">
      <c r="A826" s="261"/>
      <c r="B826" s="171"/>
      <c r="C826" s="172"/>
      <c r="D826" s="172"/>
      <c r="E826" s="227"/>
      <c r="F826" s="228"/>
      <c r="G826" s="154"/>
      <c r="H826" s="162"/>
      <c r="I826" s="223"/>
      <c r="J826" s="162"/>
      <c r="K826" s="129"/>
      <c r="L826" s="79"/>
      <c r="M826" s="79"/>
      <c r="N826" s="79"/>
      <c r="O826" s="82"/>
    </row>
    <row r="827" ht="15.75" customHeight="1">
      <c r="A827" s="261"/>
      <c r="B827" s="171"/>
      <c r="C827" s="172"/>
      <c r="D827" s="172"/>
      <c r="E827" s="227"/>
      <c r="F827" s="228"/>
      <c r="G827" s="154"/>
      <c r="H827" s="162"/>
      <c r="I827" s="223"/>
      <c r="J827" s="162"/>
      <c r="K827" s="129"/>
      <c r="L827" s="79"/>
      <c r="M827" s="79"/>
      <c r="N827" s="79"/>
      <c r="O827" s="82"/>
    </row>
    <row r="828" ht="15.75" customHeight="1">
      <c r="A828" s="261"/>
      <c r="B828" s="171"/>
      <c r="C828" s="172"/>
      <c r="D828" s="172"/>
      <c r="E828" s="227"/>
      <c r="F828" s="228"/>
      <c r="G828" s="154"/>
      <c r="H828" s="162"/>
      <c r="I828" s="223"/>
      <c r="J828" s="162"/>
      <c r="K828" s="129"/>
      <c r="L828" s="79"/>
      <c r="M828" s="79"/>
      <c r="N828" s="79"/>
      <c r="O828" s="82"/>
    </row>
    <row r="829" ht="15.75" customHeight="1">
      <c r="A829" s="261"/>
      <c r="B829" s="171"/>
      <c r="C829" s="172"/>
      <c r="D829" s="172"/>
      <c r="E829" s="227"/>
      <c r="F829" s="228"/>
      <c r="G829" s="154"/>
      <c r="H829" s="162"/>
      <c r="I829" s="223"/>
      <c r="J829" s="162"/>
      <c r="K829" s="129"/>
      <c r="L829" s="79"/>
      <c r="M829" s="79"/>
      <c r="N829" s="79"/>
      <c r="O829" s="82"/>
    </row>
    <row r="830" ht="15.75" customHeight="1">
      <c r="A830" s="261"/>
      <c r="B830" s="171"/>
      <c r="C830" s="172"/>
      <c r="D830" s="172"/>
      <c r="E830" s="227"/>
      <c r="F830" s="228"/>
      <c r="G830" s="154"/>
      <c r="H830" s="162"/>
      <c r="I830" s="223"/>
      <c r="J830" s="162"/>
      <c r="K830" s="129"/>
      <c r="L830" s="79"/>
      <c r="M830" s="79"/>
      <c r="N830" s="79"/>
      <c r="O830" s="82"/>
    </row>
    <row r="831" ht="15.75" customHeight="1">
      <c r="A831" s="261"/>
      <c r="B831" s="171"/>
      <c r="C831" s="172"/>
      <c r="D831" s="172"/>
      <c r="E831" s="227"/>
      <c r="F831" s="228"/>
      <c r="G831" s="154"/>
      <c r="H831" s="162"/>
      <c r="I831" s="223"/>
      <c r="J831" s="162"/>
      <c r="K831" s="129"/>
      <c r="L831" s="79"/>
      <c r="M831" s="79"/>
      <c r="N831" s="79"/>
      <c r="O831" s="82"/>
    </row>
    <row r="832" ht="15.75" customHeight="1">
      <c r="A832" s="261"/>
      <c r="B832" s="171"/>
      <c r="C832" s="172"/>
      <c r="D832" s="172"/>
      <c r="E832" s="227"/>
      <c r="F832" s="228"/>
      <c r="G832" s="154"/>
      <c r="H832" s="162"/>
      <c r="I832" s="223"/>
      <c r="J832" s="162"/>
      <c r="K832" s="129"/>
      <c r="L832" s="79"/>
      <c r="M832" s="79"/>
      <c r="N832" s="79"/>
      <c r="O832" s="82"/>
    </row>
    <row r="833" ht="15.75" customHeight="1">
      <c r="A833" s="261"/>
      <c r="B833" s="171"/>
      <c r="C833" s="172"/>
      <c r="D833" s="172"/>
      <c r="E833" s="227"/>
      <c r="F833" s="228"/>
      <c r="G833" s="154"/>
      <c r="H833" s="162"/>
      <c r="I833" s="223"/>
      <c r="J833" s="162"/>
      <c r="K833" s="129"/>
      <c r="L833" s="79"/>
      <c r="M833" s="79"/>
      <c r="N833" s="79"/>
      <c r="O833" s="82"/>
    </row>
    <row r="834" ht="15.75" customHeight="1">
      <c r="A834" s="261"/>
      <c r="B834" s="171"/>
      <c r="C834" s="172"/>
      <c r="D834" s="172"/>
      <c r="E834" s="227"/>
      <c r="F834" s="228"/>
      <c r="G834" s="154"/>
      <c r="H834" s="162"/>
      <c r="I834" s="223"/>
      <c r="J834" s="162"/>
      <c r="K834" s="129"/>
      <c r="L834" s="79"/>
      <c r="M834" s="79"/>
      <c r="N834" s="79"/>
      <c r="O834" s="82"/>
    </row>
    <row r="835" ht="15.75" customHeight="1">
      <c r="A835" s="261"/>
      <c r="B835" s="171"/>
      <c r="C835" s="172"/>
      <c r="D835" s="172"/>
      <c r="E835" s="227"/>
      <c r="F835" s="228"/>
      <c r="G835" s="154"/>
      <c r="H835" s="162"/>
      <c r="I835" s="223"/>
      <c r="J835" s="162"/>
      <c r="K835" s="129"/>
      <c r="L835" s="79"/>
      <c r="M835" s="79"/>
      <c r="N835" s="79"/>
      <c r="O835" s="82"/>
    </row>
    <row r="836" ht="15.75" customHeight="1">
      <c r="A836" s="261"/>
      <c r="B836" s="171"/>
      <c r="C836" s="172"/>
      <c r="D836" s="172"/>
      <c r="E836" s="227"/>
      <c r="F836" s="228"/>
      <c r="G836" s="154"/>
      <c r="H836" s="162"/>
      <c r="I836" s="223"/>
      <c r="J836" s="162"/>
      <c r="K836" s="129"/>
      <c r="L836" s="79"/>
      <c r="M836" s="79"/>
      <c r="N836" s="79"/>
      <c r="O836" s="82"/>
    </row>
    <row r="837" ht="15.75" customHeight="1">
      <c r="A837" s="261"/>
      <c r="B837" s="171"/>
      <c r="C837" s="172"/>
      <c r="D837" s="172"/>
      <c r="E837" s="227"/>
      <c r="F837" s="228"/>
      <c r="G837" s="154"/>
      <c r="H837" s="162"/>
      <c r="I837" s="223"/>
      <c r="J837" s="162"/>
      <c r="K837" s="129"/>
      <c r="L837" s="79"/>
      <c r="M837" s="79"/>
      <c r="N837" s="79"/>
      <c r="O837" s="82"/>
    </row>
    <row r="838" ht="15.75" customHeight="1">
      <c r="A838" s="261"/>
      <c r="B838" s="171"/>
      <c r="C838" s="172"/>
      <c r="D838" s="172"/>
      <c r="E838" s="227"/>
      <c r="F838" s="228"/>
      <c r="G838" s="154"/>
      <c r="H838" s="162"/>
      <c r="I838" s="223"/>
      <c r="J838" s="162"/>
      <c r="K838" s="129"/>
      <c r="L838" s="79"/>
      <c r="M838" s="79"/>
      <c r="N838" s="79"/>
      <c r="O838" s="82"/>
    </row>
    <row r="839" ht="15.75" customHeight="1">
      <c r="A839" s="261"/>
      <c r="B839" s="171"/>
      <c r="C839" s="172"/>
      <c r="D839" s="172"/>
      <c r="E839" s="227"/>
      <c r="F839" s="228"/>
      <c r="G839" s="154"/>
      <c r="H839" s="162"/>
      <c r="I839" s="223"/>
      <c r="J839" s="162"/>
      <c r="K839" s="129"/>
      <c r="L839" s="79"/>
      <c r="M839" s="79"/>
      <c r="N839" s="79"/>
      <c r="O839" s="82"/>
    </row>
    <row r="840" ht="15.75" customHeight="1">
      <c r="A840" s="261"/>
      <c r="B840" s="171"/>
      <c r="C840" s="172"/>
      <c r="D840" s="172"/>
      <c r="E840" s="227"/>
      <c r="F840" s="228"/>
      <c r="G840" s="154"/>
      <c r="H840" s="162"/>
      <c r="I840" s="223"/>
      <c r="J840" s="162"/>
      <c r="K840" s="129"/>
      <c r="L840" s="79"/>
      <c r="M840" s="79"/>
      <c r="N840" s="79"/>
      <c r="O840" s="82"/>
    </row>
    <row r="841" ht="15.75" customHeight="1">
      <c r="A841" s="261"/>
      <c r="B841" s="171"/>
      <c r="C841" s="172"/>
      <c r="D841" s="172"/>
      <c r="E841" s="227"/>
      <c r="F841" s="228"/>
      <c r="G841" s="154"/>
      <c r="H841" s="162"/>
      <c r="I841" s="223"/>
      <c r="J841" s="162"/>
      <c r="K841" s="129"/>
      <c r="L841" s="79"/>
      <c r="M841" s="79"/>
      <c r="N841" s="79"/>
      <c r="O841" s="82"/>
    </row>
    <row r="842" ht="15.75" customHeight="1">
      <c r="A842" s="261"/>
      <c r="B842" s="171"/>
      <c r="C842" s="172"/>
      <c r="D842" s="172"/>
      <c r="E842" s="227"/>
      <c r="F842" s="228"/>
      <c r="G842" s="154"/>
      <c r="H842" s="162"/>
      <c r="I842" s="223"/>
      <c r="J842" s="162"/>
      <c r="K842" s="129"/>
      <c r="L842" s="79"/>
      <c r="M842" s="79"/>
      <c r="N842" s="79"/>
      <c r="O842" s="82"/>
    </row>
    <row r="843" ht="15.75" customHeight="1">
      <c r="A843" s="261"/>
      <c r="B843" s="171"/>
      <c r="C843" s="172"/>
      <c r="D843" s="172"/>
      <c r="E843" s="227"/>
      <c r="F843" s="228"/>
      <c r="G843" s="154"/>
      <c r="H843" s="162"/>
      <c r="I843" s="223"/>
      <c r="J843" s="162"/>
      <c r="K843" s="129"/>
      <c r="L843" s="79"/>
      <c r="M843" s="79"/>
      <c r="N843" s="79"/>
      <c r="O843" s="82"/>
    </row>
    <row r="844" ht="15.75" customHeight="1">
      <c r="A844" s="261"/>
      <c r="B844" s="171"/>
      <c r="C844" s="172"/>
      <c r="D844" s="172"/>
      <c r="E844" s="227"/>
      <c r="F844" s="228"/>
      <c r="G844" s="154"/>
      <c r="H844" s="162"/>
      <c r="I844" s="223"/>
      <c r="J844" s="162"/>
      <c r="K844" s="129"/>
      <c r="L844" s="79"/>
      <c r="M844" s="79"/>
      <c r="N844" s="79"/>
      <c r="O844" s="82"/>
    </row>
    <row r="845" ht="15.75" customHeight="1">
      <c r="A845" s="261"/>
      <c r="B845" s="171"/>
      <c r="C845" s="172"/>
      <c r="D845" s="172"/>
      <c r="E845" s="227"/>
      <c r="F845" s="228"/>
      <c r="G845" s="154"/>
      <c r="H845" s="162"/>
      <c r="I845" s="223"/>
      <c r="J845" s="162"/>
      <c r="K845" s="129"/>
      <c r="L845" s="79"/>
      <c r="M845" s="79"/>
      <c r="N845" s="79"/>
      <c r="O845" s="82"/>
    </row>
    <row r="846" ht="15.75" customHeight="1">
      <c r="A846" s="261"/>
      <c r="B846" s="171"/>
      <c r="C846" s="172"/>
      <c r="D846" s="172"/>
      <c r="E846" s="227"/>
      <c r="F846" s="228"/>
      <c r="G846" s="154"/>
      <c r="H846" s="162"/>
      <c r="I846" s="223"/>
      <c r="J846" s="162"/>
      <c r="K846" s="129"/>
      <c r="L846" s="79"/>
      <c r="M846" s="79"/>
      <c r="N846" s="79"/>
      <c r="O846" s="82"/>
    </row>
    <row r="847" ht="15.75" customHeight="1">
      <c r="A847" s="261"/>
      <c r="B847" s="171"/>
      <c r="C847" s="172"/>
      <c r="D847" s="172"/>
      <c r="E847" s="227"/>
      <c r="F847" s="228"/>
      <c r="G847" s="154"/>
      <c r="H847" s="162"/>
      <c r="I847" s="223"/>
      <c r="J847" s="162"/>
      <c r="K847" s="129"/>
      <c r="L847" s="79"/>
      <c r="M847" s="79"/>
      <c r="N847" s="79"/>
      <c r="O847" s="82"/>
    </row>
    <row r="848" ht="15.75" customHeight="1">
      <c r="A848" s="261"/>
      <c r="B848" s="171"/>
      <c r="C848" s="172"/>
      <c r="D848" s="172"/>
      <c r="E848" s="227"/>
      <c r="F848" s="228"/>
      <c r="G848" s="154"/>
      <c r="H848" s="162"/>
      <c r="I848" s="223"/>
      <c r="J848" s="162"/>
      <c r="K848" s="129"/>
      <c r="L848" s="79"/>
      <c r="M848" s="79"/>
      <c r="N848" s="79"/>
      <c r="O848" s="82"/>
    </row>
    <row r="849" ht="15.75" customHeight="1">
      <c r="A849" s="261"/>
      <c r="B849" s="171"/>
      <c r="C849" s="172"/>
      <c r="D849" s="172"/>
      <c r="E849" s="227"/>
      <c r="F849" s="228"/>
      <c r="G849" s="154"/>
      <c r="H849" s="162"/>
      <c r="I849" s="223"/>
      <c r="J849" s="162"/>
      <c r="K849" s="129"/>
      <c r="L849" s="79"/>
      <c r="M849" s="79"/>
      <c r="N849" s="79"/>
      <c r="O849" s="82"/>
    </row>
    <row r="850" ht="15.75" customHeight="1">
      <c r="A850" s="261"/>
      <c r="B850" s="171"/>
      <c r="C850" s="172"/>
      <c r="D850" s="172"/>
      <c r="E850" s="227"/>
      <c r="F850" s="228"/>
      <c r="G850" s="154"/>
      <c r="H850" s="162"/>
      <c r="I850" s="223"/>
      <c r="J850" s="162"/>
      <c r="K850" s="129"/>
      <c r="L850" s="79"/>
      <c r="M850" s="79"/>
      <c r="N850" s="79"/>
      <c r="O850" s="82"/>
    </row>
    <row r="851" ht="15.75" customHeight="1">
      <c r="A851" s="261"/>
      <c r="B851" s="171"/>
      <c r="C851" s="172"/>
      <c r="D851" s="172"/>
      <c r="E851" s="227"/>
      <c r="F851" s="228"/>
      <c r="G851" s="154"/>
      <c r="H851" s="162"/>
      <c r="I851" s="223"/>
      <c r="J851" s="162"/>
      <c r="K851" s="129"/>
      <c r="L851" s="79"/>
      <c r="M851" s="79"/>
      <c r="N851" s="79"/>
      <c r="O851" s="82"/>
    </row>
    <row r="852" ht="15.75" customHeight="1">
      <c r="A852" s="261"/>
      <c r="B852" s="171"/>
      <c r="C852" s="172"/>
      <c r="D852" s="172"/>
      <c r="E852" s="227"/>
      <c r="F852" s="228"/>
      <c r="G852" s="154"/>
      <c r="H852" s="162"/>
      <c r="I852" s="223"/>
      <c r="J852" s="162"/>
      <c r="K852" s="129"/>
      <c r="L852" s="79"/>
      <c r="M852" s="79"/>
      <c r="N852" s="79"/>
      <c r="O852" s="82"/>
    </row>
    <row r="853" ht="15.75" customHeight="1">
      <c r="A853" s="261"/>
      <c r="B853" s="171"/>
      <c r="C853" s="172"/>
      <c r="D853" s="172"/>
      <c r="E853" s="227"/>
      <c r="F853" s="228"/>
      <c r="G853" s="154"/>
      <c r="H853" s="162"/>
      <c r="I853" s="223"/>
      <c r="J853" s="162"/>
      <c r="K853" s="129"/>
      <c r="L853" s="79"/>
      <c r="M853" s="79"/>
      <c r="N853" s="79"/>
      <c r="O853" s="82"/>
    </row>
    <row r="854" ht="15.75" customHeight="1">
      <c r="A854" s="261"/>
      <c r="B854" s="171"/>
      <c r="C854" s="172"/>
      <c r="D854" s="172"/>
      <c r="E854" s="227"/>
      <c r="F854" s="228"/>
      <c r="G854" s="154"/>
      <c r="H854" s="162"/>
      <c r="I854" s="223"/>
      <c r="J854" s="162"/>
      <c r="K854" s="129"/>
      <c r="L854" s="79"/>
      <c r="M854" s="79"/>
      <c r="N854" s="79"/>
      <c r="O854" s="82"/>
    </row>
    <row r="855" ht="15.75" customHeight="1">
      <c r="A855" s="261"/>
      <c r="B855" s="171"/>
      <c r="C855" s="172"/>
      <c r="D855" s="172"/>
      <c r="E855" s="227"/>
      <c r="F855" s="228"/>
      <c r="G855" s="154"/>
      <c r="H855" s="162"/>
      <c r="I855" s="223"/>
      <c r="J855" s="162"/>
      <c r="K855" s="129"/>
      <c r="L855" s="79"/>
      <c r="M855" s="79"/>
      <c r="N855" s="79"/>
      <c r="O855" s="82"/>
    </row>
    <row r="856" ht="15.75" customHeight="1">
      <c r="A856" s="261"/>
      <c r="B856" s="171"/>
      <c r="C856" s="172"/>
      <c r="D856" s="172"/>
      <c r="E856" s="227"/>
      <c r="F856" s="228"/>
      <c r="G856" s="154"/>
      <c r="H856" s="162"/>
      <c r="I856" s="223"/>
      <c r="J856" s="162"/>
      <c r="K856" s="129"/>
      <c r="L856" s="79"/>
      <c r="M856" s="79"/>
      <c r="N856" s="79"/>
      <c r="O856" s="82"/>
    </row>
    <row r="857" ht="15.75" customHeight="1">
      <c r="A857" s="261"/>
      <c r="B857" s="171"/>
      <c r="C857" s="172"/>
      <c r="D857" s="172"/>
      <c r="E857" s="227"/>
      <c r="F857" s="228"/>
      <c r="G857" s="154"/>
      <c r="H857" s="162"/>
      <c r="I857" s="223"/>
      <c r="J857" s="162"/>
      <c r="K857" s="129"/>
      <c r="L857" s="79"/>
      <c r="M857" s="79"/>
      <c r="N857" s="79"/>
      <c r="O857" s="82"/>
    </row>
    <row r="858" ht="15.75" customHeight="1">
      <c r="A858" s="261"/>
      <c r="B858" s="171"/>
      <c r="C858" s="172"/>
      <c r="D858" s="172"/>
      <c r="E858" s="227"/>
      <c r="F858" s="228"/>
      <c r="G858" s="154"/>
      <c r="H858" s="162"/>
      <c r="I858" s="223"/>
      <c r="J858" s="162"/>
      <c r="K858" s="129"/>
      <c r="L858" s="79"/>
      <c r="M858" s="79"/>
      <c r="N858" s="79"/>
      <c r="O858" s="82"/>
    </row>
    <row r="859" ht="15.75" customHeight="1">
      <c r="A859" s="261"/>
      <c r="B859" s="171"/>
      <c r="C859" s="172"/>
      <c r="D859" s="172"/>
      <c r="E859" s="227"/>
      <c r="F859" s="228"/>
      <c r="G859" s="154"/>
      <c r="H859" s="162"/>
      <c r="I859" s="223"/>
      <c r="J859" s="162"/>
      <c r="K859" s="129"/>
      <c r="L859" s="79"/>
      <c r="M859" s="79"/>
      <c r="N859" s="79"/>
      <c r="O859" s="82"/>
    </row>
    <row r="860" ht="15.75" customHeight="1">
      <c r="A860" s="261"/>
      <c r="B860" s="171"/>
      <c r="C860" s="172"/>
      <c r="D860" s="172"/>
      <c r="E860" s="227"/>
      <c r="F860" s="228"/>
      <c r="G860" s="154"/>
      <c r="H860" s="162"/>
      <c r="I860" s="223"/>
      <c r="J860" s="162"/>
      <c r="K860" s="129"/>
      <c r="L860" s="79"/>
      <c r="M860" s="79"/>
      <c r="N860" s="79"/>
      <c r="O860" s="82"/>
    </row>
    <row r="861" ht="15.75" customHeight="1">
      <c r="A861" s="261"/>
      <c r="B861" s="171"/>
      <c r="C861" s="172"/>
      <c r="D861" s="172"/>
      <c r="E861" s="227"/>
      <c r="F861" s="228"/>
      <c r="G861" s="154"/>
      <c r="H861" s="162"/>
      <c r="I861" s="223"/>
      <c r="J861" s="162"/>
      <c r="K861" s="129"/>
      <c r="L861" s="79"/>
      <c r="M861" s="79"/>
      <c r="N861" s="79"/>
      <c r="O861" s="82"/>
    </row>
    <row r="862" ht="15.75" customHeight="1">
      <c r="A862" s="261"/>
      <c r="B862" s="171"/>
      <c r="C862" s="172"/>
      <c r="D862" s="172"/>
      <c r="E862" s="227"/>
      <c r="F862" s="228"/>
      <c r="G862" s="154"/>
      <c r="H862" s="162"/>
      <c r="I862" s="223"/>
      <c r="J862" s="162"/>
      <c r="K862" s="129"/>
      <c r="L862" s="79"/>
      <c r="M862" s="79"/>
      <c r="N862" s="79"/>
      <c r="O862" s="82"/>
    </row>
    <row r="863" ht="15.75" customHeight="1">
      <c r="A863" s="261"/>
      <c r="B863" s="171"/>
      <c r="C863" s="172"/>
      <c r="D863" s="172"/>
      <c r="E863" s="227"/>
      <c r="F863" s="228"/>
      <c r="G863" s="154"/>
      <c r="H863" s="162"/>
      <c r="I863" s="223"/>
      <c r="J863" s="162"/>
      <c r="K863" s="129"/>
      <c r="L863" s="79"/>
      <c r="M863" s="79"/>
      <c r="N863" s="79"/>
      <c r="O863" s="82"/>
    </row>
    <row r="864" ht="15.75" customHeight="1">
      <c r="A864" s="261"/>
      <c r="B864" s="171"/>
      <c r="C864" s="172"/>
      <c r="D864" s="172"/>
      <c r="E864" s="227"/>
      <c r="F864" s="228"/>
      <c r="G864" s="154"/>
      <c r="H864" s="162"/>
      <c r="I864" s="223"/>
      <c r="J864" s="162"/>
      <c r="K864" s="129"/>
      <c r="L864" s="79"/>
      <c r="M864" s="79"/>
      <c r="N864" s="79"/>
      <c r="O864" s="82"/>
    </row>
    <row r="865" ht="15.75" customHeight="1">
      <c r="A865" s="261"/>
      <c r="B865" s="171"/>
      <c r="C865" s="172"/>
      <c r="D865" s="172"/>
      <c r="E865" s="227"/>
      <c r="F865" s="228"/>
      <c r="G865" s="154"/>
      <c r="H865" s="162"/>
      <c r="I865" s="223"/>
      <c r="J865" s="162"/>
      <c r="K865" s="129"/>
      <c r="L865" s="79"/>
      <c r="M865" s="79"/>
      <c r="N865" s="79"/>
      <c r="O865" s="82"/>
    </row>
    <row r="866" ht="15.75" customHeight="1">
      <c r="A866" s="261"/>
      <c r="B866" s="171"/>
      <c r="C866" s="172"/>
      <c r="D866" s="172"/>
      <c r="E866" s="227"/>
      <c r="F866" s="228"/>
      <c r="G866" s="154"/>
      <c r="H866" s="162"/>
      <c r="I866" s="223"/>
      <c r="J866" s="162"/>
      <c r="K866" s="129"/>
      <c r="L866" s="79"/>
      <c r="M866" s="79"/>
      <c r="N866" s="79"/>
      <c r="O866" s="82"/>
    </row>
    <row r="867" ht="15.75" customHeight="1">
      <c r="A867" s="261"/>
      <c r="B867" s="171"/>
      <c r="C867" s="172"/>
      <c r="D867" s="172"/>
      <c r="E867" s="227"/>
      <c r="F867" s="228"/>
      <c r="G867" s="154"/>
      <c r="H867" s="162"/>
      <c r="I867" s="223"/>
      <c r="J867" s="162"/>
      <c r="K867" s="129"/>
      <c r="L867" s="79"/>
      <c r="M867" s="79"/>
      <c r="N867" s="79"/>
      <c r="O867" s="82"/>
    </row>
    <row r="868" ht="15.75" customHeight="1">
      <c r="A868" s="261"/>
      <c r="B868" s="171"/>
      <c r="C868" s="172"/>
      <c r="D868" s="172"/>
      <c r="E868" s="227"/>
      <c r="F868" s="228"/>
      <c r="G868" s="154"/>
      <c r="H868" s="162"/>
      <c r="I868" s="223"/>
      <c r="J868" s="162"/>
      <c r="K868" s="129"/>
      <c r="L868" s="79"/>
      <c r="M868" s="79"/>
      <c r="N868" s="79"/>
      <c r="O868" s="82"/>
    </row>
    <row r="869" ht="15.75" customHeight="1">
      <c r="A869" s="261"/>
      <c r="B869" s="171"/>
      <c r="C869" s="172"/>
      <c r="D869" s="172"/>
      <c r="E869" s="227"/>
      <c r="F869" s="228"/>
      <c r="G869" s="154"/>
      <c r="H869" s="162"/>
      <c r="I869" s="223"/>
      <c r="J869" s="162"/>
      <c r="K869" s="129"/>
      <c r="L869" s="79"/>
      <c r="M869" s="79"/>
      <c r="N869" s="79"/>
      <c r="O869" s="82"/>
    </row>
    <row r="870" ht="15.75" customHeight="1">
      <c r="A870" s="261"/>
      <c r="B870" s="171"/>
      <c r="C870" s="172"/>
      <c r="D870" s="172"/>
      <c r="E870" s="227"/>
      <c r="F870" s="228"/>
      <c r="G870" s="154"/>
      <c r="H870" s="162"/>
      <c r="I870" s="223"/>
      <c r="J870" s="162"/>
      <c r="K870" s="129"/>
      <c r="L870" s="79"/>
      <c r="M870" s="79"/>
      <c r="N870" s="79"/>
      <c r="O870" s="82"/>
    </row>
    <row r="871" ht="15.75" customHeight="1">
      <c r="A871" s="261"/>
      <c r="B871" s="171"/>
      <c r="C871" s="172"/>
      <c r="D871" s="172"/>
      <c r="E871" s="227"/>
      <c r="F871" s="228"/>
      <c r="G871" s="154"/>
      <c r="H871" s="162"/>
      <c r="I871" s="223"/>
      <c r="J871" s="162"/>
      <c r="K871" s="129"/>
      <c r="L871" s="79"/>
      <c r="M871" s="79"/>
      <c r="N871" s="79"/>
      <c r="O871" s="82"/>
    </row>
    <row r="872" ht="15.75" customHeight="1">
      <c r="A872" s="261"/>
      <c r="B872" s="171"/>
      <c r="C872" s="172"/>
      <c r="D872" s="172"/>
      <c r="E872" s="227"/>
      <c r="F872" s="228"/>
      <c r="G872" s="154"/>
      <c r="H872" s="162"/>
      <c r="I872" s="223"/>
      <c r="J872" s="162"/>
      <c r="K872" s="129"/>
      <c r="L872" s="79"/>
      <c r="M872" s="79"/>
      <c r="N872" s="79"/>
      <c r="O872" s="82"/>
    </row>
    <row r="873" ht="15.75" customHeight="1">
      <c r="A873" s="261"/>
      <c r="B873" s="171"/>
      <c r="C873" s="172"/>
      <c r="D873" s="172"/>
      <c r="E873" s="227"/>
      <c r="F873" s="228"/>
      <c r="G873" s="154"/>
      <c r="H873" s="162"/>
      <c r="I873" s="223"/>
      <c r="J873" s="162"/>
      <c r="K873" s="129"/>
      <c r="L873" s="79"/>
      <c r="M873" s="79"/>
      <c r="N873" s="79"/>
      <c r="O873" s="82"/>
    </row>
    <row r="874" ht="15.75" customHeight="1">
      <c r="A874" s="261"/>
      <c r="B874" s="171"/>
      <c r="C874" s="172"/>
      <c r="D874" s="172"/>
      <c r="E874" s="227"/>
      <c r="F874" s="228"/>
      <c r="G874" s="154"/>
      <c r="H874" s="162"/>
      <c r="I874" s="223"/>
      <c r="J874" s="162"/>
      <c r="K874" s="129"/>
      <c r="L874" s="79"/>
      <c r="M874" s="79"/>
      <c r="N874" s="79"/>
      <c r="O874" s="82"/>
    </row>
    <row r="875" ht="15.75" customHeight="1">
      <c r="A875" s="261"/>
      <c r="B875" s="171"/>
      <c r="C875" s="172"/>
      <c r="D875" s="172"/>
      <c r="E875" s="227"/>
      <c r="F875" s="228"/>
      <c r="G875" s="154"/>
      <c r="H875" s="162"/>
      <c r="I875" s="223"/>
      <c r="J875" s="162"/>
      <c r="K875" s="129"/>
      <c r="L875" s="79"/>
      <c r="M875" s="79"/>
      <c r="N875" s="79"/>
      <c r="O875" s="82"/>
    </row>
    <row r="876" ht="15.75" customHeight="1">
      <c r="A876" s="261"/>
      <c r="B876" s="171"/>
      <c r="C876" s="172"/>
      <c r="D876" s="172"/>
      <c r="E876" s="227"/>
      <c r="F876" s="228"/>
      <c r="G876" s="154"/>
      <c r="H876" s="162"/>
      <c r="I876" s="223"/>
      <c r="J876" s="162"/>
      <c r="K876" s="129"/>
      <c r="L876" s="79"/>
      <c r="M876" s="79"/>
      <c r="N876" s="79"/>
      <c r="O876" s="82"/>
    </row>
    <row r="877" ht="15.75" customHeight="1">
      <c r="A877" s="261"/>
      <c r="B877" s="171"/>
      <c r="C877" s="172"/>
      <c r="D877" s="172"/>
      <c r="E877" s="227"/>
      <c r="F877" s="228"/>
      <c r="G877" s="154"/>
      <c r="H877" s="162"/>
      <c r="I877" s="223"/>
      <c r="J877" s="162"/>
      <c r="K877" s="129"/>
      <c r="L877" s="79"/>
      <c r="M877" s="79"/>
      <c r="N877" s="79"/>
      <c r="O877" s="82"/>
    </row>
    <row r="878" ht="15.75" customHeight="1">
      <c r="A878" s="261"/>
      <c r="B878" s="171"/>
      <c r="C878" s="172"/>
      <c r="D878" s="172"/>
      <c r="E878" s="227"/>
      <c r="F878" s="228"/>
      <c r="G878" s="154"/>
      <c r="H878" s="162"/>
      <c r="I878" s="223"/>
      <c r="J878" s="162"/>
      <c r="K878" s="129"/>
      <c r="L878" s="79"/>
      <c r="M878" s="79"/>
      <c r="N878" s="79"/>
      <c r="O878" s="82"/>
    </row>
    <row r="879" ht="15.75" customHeight="1">
      <c r="A879" s="261"/>
      <c r="B879" s="171"/>
      <c r="C879" s="172"/>
      <c r="D879" s="172"/>
      <c r="E879" s="227"/>
      <c r="F879" s="228"/>
      <c r="G879" s="154"/>
      <c r="H879" s="162"/>
      <c r="I879" s="223"/>
      <c r="J879" s="162"/>
      <c r="K879" s="129"/>
      <c r="L879" s="79"/>
      <c r="M879" s="79"/>
      <c r="N879" s="79"/>
      <c r="O879" s="82"/>
    </row>
    <row r="880" ht="15.75" customHeight="1">
      <c r="A880" s="261"/>
      <c r="B880" s="171"/>
      <c r="C880" s="172"/>
      <c r="D880" s="172"/>
      <c r="E880" s="227"/>
      <c r="F880" s="228"/>
      <c r="G880" s="154"/>
      <c r="H880" s="162"/>
      <c r="I880" s="223"/>
      <c r="J880" s="162"/>
      <c r="K880" s="129"/>
      <c r="L880" s="79"/>
      <c r="M880" s="79"/>
      <c r="N880" s="79"/>
      <c r="O880" s="82"/>
    </row>
    <row r="881" ht="15.75" customHeight="1">
      <c r="A881" s="261"/>
      <c r="B881" s="171"/>
      <c r="C881" s="172"/>
      <c r="D881" s="172"/>
      <c r="E881" s="227"/>
      <c r="F881" s="228"/>
      <c r="G881" s="154"/>
      <c r="H881" s="162"/>
      <c r="I881" s="223"/>
      <c r="J881" s="162"/>
      <c r="K881" s="129"/>
      <c r="L881" s="79"/>
      <c r="M881" s="79"/>
      <c r="N881" s="79"/>
      <c r="O881" s="82"/>
    </row>
    <row r="882" ht="15.75" customHeight="1">
      <c r="A882" s="261"/>
      <c r="B882" s="171"/>
      <c r="C882" s="172"/>
      <c r="D882" s="172"/>
      <c r="E882" s="227"/>
      <c r="F882" s="228"/>
      <c r="G882" s="154"/>
      <c r="H882" s="162"/>
      <c r="I882" s="223"/>
      <c r="J882" s="162"/>
      <c r="K882" s="129"/>
      <c r="L882" s="79"/>
      <c r="M882" s="79"/>
      <c r="N882" s="79"/>
      <c r="O882" s="82"/>
    </row>
    <row r="883" ht="15.75" customHeight="1">
      <c r="A883" s="261"/>
      <c r="B883" s="171"/>
      <c r="C883" s="172"/>
      <c r="D883" s="172"/>
      <c r="E883" s="227"/>
      <c r="F883" s="228"/>
      <c r="G883" s="154"/>
      <c r="H883" s="162"/>
      <c r="I883" s="223"/>
      <c r="J883" s="162"/>
      <c r="K883" s="129"/>
      <c r="L883" s="79"/>
      <c r="M883" s="79"/>
      <c r="N883" s="79"/>
      <c r="O883" s="82"/>
    </row>
    <row r="884" ht="15.75" customHeight="1">
      <c r="A884" s="261"/>
      <c r="B884" s="171"/>
      <c r="C884" s="172"/>
      <c r="D884" s="172"/>
      <c r="E884" s="227"/>
      <c r="F884" s="228"/>
      <c r="G884" s="154"/>
      <c r="H884" s="162"/>
      <c r="I884" s="223"/>
      <c r="J884" s="162"/>
      <c r="K884" s="129"/>
      <c r="L884" s="79"/>
      <c r="M884" s="79"/>
      <c r="N884" s="79"/>
      <c r="O884" s="82"/>
    </row>
    <row r="885" ht="15.75" customHeight="1">
      <c r="A885" s="261"/>
      <c r="B885" s="171"/>
      <c r="C885" s="172"/>
      <c r="D885" s="172"/>
      <c r="E885" s="227"/>
      <c r="F885" s="228"/>
      <c r="G885" s="154"/>
      <c r="H885" s="162"/>
      <c r="I885" s="223"/>
      <c r="J885" s="162"/>
      <c r="K885" s="129"/>
      <c r="L885" s="79"/>
      <c r="M885" s="79"/>
      <c r="N885" s="79"/>
      <c r="O885" s="82"/>
    </row>
    <row r="886" ht="15.75" customHeight="1">
      <c r="A886" s="261"/>
      <c r="B886" s="171"/>
      <c r="C886" s="172"/>
      <c r="D886" s="172"/>
      <c r="E886" s="227"/>
      <c r="F886" s="228"/>
      <c r="G886" s="154"/>
      <c r="H886" s="162"/>
      <c r="I886" s="223"/>
      <c r="J886" s="162"/>
      <c r="K886" s="129"/>
      <c r="L886" s="79"/>
      <c r="M886" s="79"/>
      <c r="N886" s="79"/>
      <c r="O886" s="82"/>
    </row>
    <row r="887" ht="15.75" customHeight="1">
      <c r="A887" s="261"/>
      <c r="B887" s="171"/>
      <c r="C887" s="172"/>
      <c r="D887" s="172"/>
      <c r="E887" s="227"/>
      <c r="F887" s="228"/>
      <c r="G887" s="154"/>
      <c r="H887" s="162"/>
      <c r="I887" s="223"/>
      <c r="J887" s="162"/>
      <c r="K887" s="129"/>
      <c r="L887" s="79"/>
      <c r="M887" s="79"/>
      <c r="N887" s="79"/>
      <c r="O887" s="82"/>
    </row>
    <row r="888" ht="15.75" customHeight="1">
      <c r="A888" s="261"/>
      <c r="B888" s="171"/>
      <c r="C888" s="172"/>
      <c r="D888" s="172"/>
      <c r="E888" s="227"/>
      <c r="F888" s="228"/>
      <c r="G888" s="154"/>
      <c r="H888" s="162"/>
      <c r="I888" s="223"/>
      <c r="J888" s="162"/>
      <c r="K888" s="129"/>
      <c r="L888" s="79"/>
      <c r="M888" s="79"/>
      <c r="N888" s="79"/>
      <c r="O888" s="82"/>
    </row>
    <row r="889" ht="15.75" customHeight="1">
      <c r="A889" s="261"/>
      <c r="B889" s="171"/>
      <c r="C889" s="172"/>
      <c r="D889" s="172"/>
      <c r="E889" s="227"/>
      <c r="F889" s="228"/>
      <c r="G889" s="154"/>
      <c r="H889" s="162"/>
      <c r="I889" s="223"/>
      <c r="J889" s="162"/>
      <c r="K889" s="129"/>
      <c r="L889" s="79"/>
      <c r="M889" s="79"/>
      <c r="N889" s="79"/>
      <c r="O889" s="82"/>
    </row>
    <row r="890" ht="15.75" customHeight="1">
      <c r="A890" s="261"/>
      <c r="B890" s="171"/>
      <c r="C890" s="172"/>
      <c r="D890" s="172"/>
      <c r="E890" s="227"/>
      <c r="F890" s="228"/>
      <c r="G890" s="154"/>
      <c r="H890" s="162"/>
      <c r="I890" s="223"/>
      <c r="J890" s="162"/>
      <c r="K890" s="129"/>
      <c r="L890" s="79"/>
      <c r="M890" s="79"/>
      <c r="N890" s="79"/>
      <c r="O890" s="82"/>
    </row>
    <row r="891" ht="15.75" customHeight="1">
      <c r="A891" s="261"/>
      <c r="B891" s="171"/>
      <c r="C891" s="172"/>
      <c r="D891" s="172"/>
      <c r="E891" s="227"/>
      <c r="F891" s="228"/>
      <c r="G891" s="154"/>
      <c r="H891" s="162"/>
      <c r="I891" s="223"/>
      <c r="J891" s="162"/>
      <c r="K891" s="129"/>
      <c r="L891" s="79"/>
      <c r="M891" s="79"/>
      <c r="N891" s="79"/>
      <c r="O891" s="82"/>
    </row>
    <row r="892" ht="15.75" customHeight="1">
      <c r="A892" s="261"/>
      <c r="B892" s="171"/>
      <c r="C892" s="172"/>
      <c r="D892" s="172"/>
      <c r="E892" s="227"/>
      <c r="F892" s="228"/>
      <c r="G892" s="154"/>
      <c r="H892" s="162"/>
      <c r="I892" s="223"/>
      <c r="J892" s="162"/>
      <c r="K892" s="129"/>
      <c r="L892" s="79"/>
      <c r="M892" s="79"/>
      <c r="N892" s="79"/>
      <c r="O892" s="82"/>
    </row>
    <row r="893" ht="15.75" customHeight="1">
      <c r="A893" s="261"/>
      <c r="B893" s="171"/>
      <c r="C893" s="172"/>
      <c r="D893" s="172"/>
      <c r="E893" s="227"/>
      <c r="F893" s="228"/>
      <c r="G893" s="154"/>
      <c r="H893" s="162"/>
      <c r="I893" s="223"/>
      <c r="J893" s="162"/>
      <c r="K893" s="129"/>
      <c r="L893" s="79"/>
      <c r="M893" s="79"/>
      <c r="N893" s="79"/>
      <c r="O893" s="82"/>
    </row>
    <row r="894" ht="15.75" customHeight="1">
      <c r="A894" s="261"/>
      <c r="B894" s="171"/>
      <c r="C894" s="172"/>
      <c r="D894" s="172"/>
      <c r="E894" s="227"/>
      <c r="F894" s="228"/>
      <c r="G894" s="154"/>
      <c r="H894" s="162"/>
      <c r="I894" s="223"/>
      <c r="J894" s="162"/>
      <c r="K894" s="129"/>
      <c r="L894" s="79"/>
      <c r="M894" s="79"/>
      <c r="N894" s="79"/>
      <c r="O894" s="82"/>
    </row>
    <row r="895" ht="15.75" customHeight="1">
      <c r="A895" s="261"/>
      <c r="B895" s="171"/>
      <c r="C895" s="172"/>
      <c r="D895" s="172"/>
      <c r="E895" s="227"/>
      <c r="F895" s="228"/>
      <c r="G895" s="154"/>
      <c r="H895" s="162"/>
      <c r="I895" s="223"/>
      <c r="J895" s="162"/>
      <c r="K895" s="129"/>
      <c r="L895" s="79"/>
      <c r="M895" s="79"/>
      <c r="N895" s="79"/>
      <c r="O895" s="82"/>
    </row>
    <row r="896" ht="15.75" customHeight="1">
      <c r="A896" s="261"/>
      <c r="B896" s="171"/>
      <c r="C896" s="172"/>
      <c r="D896" s="172"/>
      <c r="E896" s="227"/>
      <c r="F896" s="228"/>
      <c r="G896" s="154"/>
      <c r="H896" s="162"/>
      <c r="I896" s="223"/>
      <c r="J896" s="162"/>
      <c r="K896" s="129"/>
      <c r="L896" s="79"/>
      <c r="M896" s="79"/>
      <c r="N896" s="79"/>
      <c r="O896" s="82"/>
    </row>
    <row r="897" ht="15.75" customHeight="1">
      <c r="A897" s="261"/>
      <c r="B897" s="171"/>
      <c r="C897" s="172"/>
      <c r="D897" s="172"/>
      <c r="E897" s="227"/>
      <c r="F897" s="228"/>
      <c r="G897" s="154"/>
      <c r="H897" s="162"/>
      <c r="I897" s="223"/>
      <c r="J897" s="162"/>
      <c r="K897" s="129"/>
      <c r="L897" s="79"/>
      <c r="M897" s="79"/>
      <c r="N897" s="79"/>
      <c r="O897" s="82"/>
    </row>
    <row r="898" ht="15.75" customHeight="1">
      <c r="A898" s="261"/>
      <c r="B898" s="171"/>
      <c r="C898" s="172"/>
      <c r="D898" s="172"/>
      <c r="E898" s="227"/>
      <c r="F898" s="228"/>
      <c r="G898" s="154"/>
      <c r="H898" s="162"/>
      <c r="I898" s="223"/>
      <c r="J898" s="162"/>
      <c r="K898" s="129"/>
      <c r="L898" s="79"/>
      <c r="M898" s="79"/>
      <c r="N898" s="79"/>
      <c r="O898" s="82"/>
    </row>
    <row r="899" ht="15.75" customHeight="1">
      <c r="A899" s="261"/>
      <c r="B899" s="171"/>
      <c r="C899" s="172"/>
      <c r="D899" s="172"/>
      <c r="E899" s="227"/>
      <c r="F899" s="228"/>
      <c r="G899" s="154"/>
      <c r="H899" s="162"/>
      <c r="I899" s="223"/>
      <c r="J899" s="162"/>
      <c r="K899" s="129"/>
      <c r="L899" s="79"/>
      <c r="M899" s="79"/>
      <c r="N899" s="79"/>
      <c r="O899" s="82"/>
    </row>
    <row r="900" ht="15.75" customHeight="1">
      <c r="A900" s="261"/>
      <c r="B900" s="171"/>
      <c r="C900" s="172"/>
      <c r="D900" s="172"/>
      <c r="E900" s="227"/>
      <c r="F900" s="228"/>
      <c r="G900" s="154"/>
      <c r="H900" s="162"/>
      <c r="I900" s="223"/>
      <c r="J900" s="162"/>
      <c r="K900" s="129"/>
      <c r="L900" s="79"/>
      <c r="M900" s="79"/>
      <c r="N900" s="79"/>
      <c r="O900" s="82"/>
    </row>
    <row r="901" ht="15.75" customHeight="1">
      <c r="A901" s="261"/>
      <c r="B901" s="171"/>
      <c r="C901" s="172"/>
      <c r="D901" s="172"/>
      <c r="E901" s="227"/>
      <c r="F901" s="228"/>
      <c r="G901" s="154"/>
      <c r="H901" s="162"/>
      <c r="I901" s="223"/>
      <c r="J901" s="162"/>
      <c r="K901" s="129"/>
      <c r="L901" s="79"/>
      <c r="M901" s="79"/>
      <c r="N901" s="79"/>
      <c r="O901" s="82"/>
    </row>
    <row r="902" ht="15.75" customHeight="1">
      <c r="A902" s="261"/>
      <c r="B902" s="171"/>
      <c r="C902" s="172"/>
      <c r="D902" s="172"/>
      <c r="E902" s="227"/>
      <c r="F902" s="228"/>
      <c r="G902" s="154"/>
      <c r="H902" s="162"/>
      <c r="I902" s="223"/>
      <c r="J902" s="162"/>
      <c r="K902" s="129"/>
      <c r="L902" s="79"/>
      <c r="M902" s="79"/>
      <c r="N902" s="79"/>
      <c r="O902" s="82"/>
    </row>
    <row r="903" ht="15.75" customHeight="1">
      <c r="A903" s="261"/>
      <c r="B903" s="171"/>
      <c r="C903" s="172"/>
      <c r="D903" s="172"/>
      <c r="E903" s="227"/>
      <c r="F903" s="228"/>
      <c r="G903" s="154"/>
      <c r="H903" s="162"/>
      <c r="I903" s="223"/>
      <c r="J903" s="162"/>
      <c r="K903" s="129"/>
      <c r="L903" s="79"/>
      <c r="M903" s="79"/>
      <c r="N903" s="79"/>
      <c r="O903" s="82"/>
    </row>
    <row r="904" ht="15.75" customHeight="1">
      <c r="A904" s="261"/>
      <c r="B904" s="171"/>
      <c r="C904" s="172"/>
      <c r="D904" s="172"/>
      <c r="E904" s="227"/>
      <c r="F904" s="228"/>
      <c r="G904" s="154"/>
      <c r="H904" s="162"/>
      <c r="I904" s="223"/>
      <c r="J904" s="162"/>
      <c r="K904" s="129"/>
      <c r="L904" s="79"/>
      <c r="M904" s="79"/>
      <c r="N904" s="79"/>
      <c r="O904" s="82"/>
    </row>
    <row r="905" ht="15.75" customHeight="1">
      <c r="A905" s="261"/>
      <c r="B905" s="171"/>
      <c r="C905" s="172"/>
      <c r="D905" s="172"/>
      <c r="E905" s="227"/>
      <c r="F905" s="228"/>
      <c r="G905" s="154"/>
      <c r="H905" s="162"/>
      <c r="I905" s="223"/>
      <c r="J905" s="162"/>
      <c r="K905" s="129"/>
      <c r="L905" s="79"/>
      <c r="M905" s="79"/>
      <c r="N905" s="79"/>
      <c r="O905" s="82"/>
    </row>
    <row r="906" ht="15.75" customHeight="1">
      <c r="A906" s="261"/>
      <c r="B906" s="171"/>
      <c r="C906" s="172"/>
      <c r="D906" s="172"/>
      <c r="E906" s="227"/>
      <c r="F906" s="228"/>
      <c r="G906" s="154"/>
      <c r="H906" s="162"/>
      <c r="I906" s="223"/>
      <c r="J906" s="162"/>
      <c r="K906" s="129"/>
      <c r="L906" s="79"/>
      <c r="M906" s="79"/>
      <c r="N906" s="79"/>
      <c r="O906" s="82"/>
    </row>
    <row r="907" ht="15.75" customHeight="1">
      <c r="A907" s="261"/>
      <c r="B907" s="171"/>
      <c r="C907" s="172"/>
      <c r="D907" s="172"/>
      <c r="E907" s="227"/>
      <c r="F907" s="228"/>
      <c r="G907" s="154"/>
      <c r="H907" s="162"/>
      <c r="I907" s="223"/>
      <c r="J907" s="162"/>
      <c r="K907" s="129"/>
      <c r="L907" s="79"/>
      <c r="M907" s="79"/>
      <c r="N907" s="79"/>
      <c r="O907" s="82"/>
    </row>
    <row r="908" ht="15.75" customHeight="1">
      <c r="A908" s="261"/>
      <c r="B908" s="171"/>
      <c r="C908" s="172"/>
      <c r="D908" s="172"/>
      <c r="E908" s="227"/>
      <c r="F908" s="228"/>
      <c r="G908" s="154"/>
      <c r="H908" s="162"/>
      <c r="I908" s="223"/>
      <c r="J908" s="162"/>
      <c r="K908" s="129"/>
      <c r="L908" s="79"/>
      <c r="M908" s="79"/>
      <c r="N908" s="79"/>
      <c r="O908" s="82"/>
    </row>
    <row r="909" ht="15.75" customHeight="1">
      <c r="A909" s="261"/>
      <c r="B909" s="171"/>
      <c r="C909" s="172"/>
      <c r="D909" s="172"/>
      <c r="E909" s="227"/>
      <c r="F909" s="228"/>
      <c r="G909" s="154"/>
      <c r="H909" s="162"/>
      <c r="I909" s="223"/>
      <c r="J909" s="162"/>
      <c r="K909" s="129"/>
      <c r="L909" s="79"/>
      <c r="M909" s="79"/>
      <c r="N909" s="79"/>
      <c r="O909" s="82"/>
    </row>
    <row r="910" ht="15.75" customHeight="1">
      <c r="A910" s="261"/>
      <c r="B910" s="171"/>
      <c r="C910" s="172"/>
      <c r="D910" s="172"/>
      <c r="E910" s="227"/>
      <c r="F910" s="228"/>
      <c r="G910" s="154"/>
      <c r="H910" s="162"/>
      <c r="I910" s="223"/>
      <c r="J910" s="162"/>
      <c r="K910" s="129"/>
      <c r="L910" s="79"/>
      <c r="M910" s="79"/>
      <c r="N910" s="79"/>
      <c r="O910" s="82"/>
    </row>
    <row r="911" ht="15.75" customHeight="1">
      <c r="A911" s="261"/>
      <c r="B911" s="171"/>
      <c r="C911" s="172"/>
      <c r="D911" s="172"/>
      <c r="E911" s="227"/>
      <c r="F911" s="228"/>
      <c r="G911" s="154"/>
      <c r="H911" s="162"/>
      <c r="I911" s="223"/>
      <c r="J911" s="162"/>
      <c r="K911" s="129"/>
      <c r="L911" s="79"/>
      <c r="M911" s="79"/>
      <c r="N911" s="79"/>
      <c r="O911" s="82"/>
    </row>
    <row r="912" ht="15.75" customHeight="1">
      <c r="A912" s="261"/>
      <c r="B912" s="171"/>
      <c r="C912" s="172"/>
      <c r="D912" s="172"/>
      <c r="E912" s="227"/>
      <c r="F912" s="228"/>
      <c r="G912" s="154"/>
      <c r="H912" s="162"/>
      <c r="I912" s="223"/>
      <c r="J912" s="162"/>
      <c r="K912" s="129"/>
      <c r="L912" s="79"/>
      <c r="M912" s="79"/>
      <c r="N912" s="79"/>
      <c r="O912" s="82"/>
    </row>
    <row r="913" ht="15.75" customHeight="1">
      <c r="A913" s="261"/>
      <c r="B913" s="171"/>
      <c r="C913" s="172"/>
      <c r="D913" s="172"/>
      <c r="E913" s="227"/>
      <c r="F913" s="228"/>
      <c r="G913" s="154"/>
      <c r="H913" s="162"/>
      <c r="I913" s="223"/>
      <c r="J913" s="162"/>
      <c r="K913" s="129"/>
      <c r="L913" s="79"/>
      <c r="M913" s="79"/>
      <c r="N913" s="79"/>
      <c r="O913" s="82"/>
    </row>
    <row r="914" ht="15.75" customHeight="1">
      <c r="A914" s="261"/>
      <c r="B914" s="171"/>
      <c r="C914" s="172"/>
      <c r="D914" s="172"/>
      <c r="E914" s="227"/>
      <c r="F914" s="228"/>
      <c r="G914" s="154"/>
      <c r="H914" s="162"/>
      <c r="I914" s="223"/>
      <c r="J914" s="162"/>
      <c r="K914" s="129"/>
      <c r="L914" s="79"/>
      <c r="M914" s="79"/>
      <c r="N914" s="79"/>
      <c r="O914" s="82"/>
    </row>
    <row r="915" ht="15.75" customHeight="1">
      <c r="A915" s="261"/>
      <c r="B915" s="171"/>
      <c r="C915" s="172"/>
      <c r="D915" s="172"/>
      <c r="E915" s="227"/>
      <c r="F915" s="228"/>
      <c r="G915" s="154"/>
      <c r="H915" s="162"/>
      <c r="I915" s="223"/>
      <c r="J915" s="162"/>
      <c r="K915" s="129"/>
      <c r="L915" s="79"/>
      <c r="M915" s="79"/>
      <c r="N915" s="79"/>
      <c r="O915" s="82"/>
    </row>
    <row r="916" ht="15.75" customHeight="1">
      <c r="A916" s="261"/>
      <c r="B916" s="171"/>
      <c r="C916" s="172"/>
      <c r="D916" s="172"/>
      <c r="E916" s="227"/>
      <c r="F916" s="228"/>
      <c r="G916" s="154"/>
      <c r="H916" s="162"/>
      <c r="I916" s="223"/>
      <c r="J916" s="162"/>
      <c r="K916" s="129"/>
      <c r="L916" s="79"/>
      <c r="M916" s="79"/>
      <c r="N916" s="79"/>
      <c r="O916" s="82"/>
    </row>
    <row r="917" ht="15.75" customHeight="1">
      <c r="A917" s="261"/>
      <c r="B917" s="171"/>
      <c r="C917" s="172"/>
      <c r="D917" s="172"/>
      <c r="E917" s="227"/>
      <c r="F917" s="228"/>
      <c r="G917" s="154"/>
      <c r="H917" s="162"/>
      <c r="I917" s="223"/>
      <c r="J917" s="162"/>
      <c r="K917" s="129"/>
      <c r="L917" s="79"/>
      <c r="M917" s="79"/>
      <c r="N917" s="79"/>
      <c r="O917" s="82"/>
    </row>
    <row r="918" ht="15.75" customHeight="1">
      <c r="A918" s="261"/>
      <c r="B918" s="171"/>
      <c r="C918" s="172"/>
      <c r="D918" s="172"/>
      <c r="E918" s="227"/>
      <c r="F918" s="228"/>
      <c r="G918" s="154"/>
      <c r="H918" s="162"/>
      <c r="I918" s="223"/>
      <c r="J918" s="162"/>
      <c r="K918" s="129"/>
      <c r="L918" s="79"/>
      <c r="M918" s="79"/>
      <c r="N918" s="79"/>
      <c r="O918" s="82"/>
    </row>
    <row r="919" ht="15.75" customHeight="1">
      <c r="A919" s="261"/>
      <c r="B919" s="171"/>
      <c r="C919" s="172"/>
      <c r="D919" s="172"/>
      <c r="E919" s="227"/>
      <c r="F919" s="228"/>
      <c r="G919" s="154"/>
      <c r="H919" s="162"/>
      <c r="I919" s="223"/>
      <c r="J919" s="162"/>
      <c r="K919" s="129"/>
      <c r="L919" s="79"/>
      <c r="M919" s="79"/>
      <c r="N919" s="79"/>
      <c r="O919" s="82"/>
    </row>
    <row r="920" ht="15.75" customHeight="1">
      <c r="A920" s="261"/>
      <c r="B920" s="171"/>
      <c r="C920" s="172"/>
      <c r="D920" s="172"/>
      <c r="E920" s="227"/>
      <c r="F920" s="228"/>
      <c r="G920" s="154"/>
      <c r="H920" s="162"/>
      <c r="I920" s="223"/>
      <c r="J920" s="162"/>
      <c r="K920" s="129"/>
      <c r="L920" s="79"/>
      <c r="M920" s="79"/>
      <c r="N920" s="79"/>
      <c r="O920" s="82"/>
    </row>
    <row r="921" ht="15.75" customHeight="1">
      <c r="A921" s="261"/>
      <c r="B921" s="171"/>
      <c r="C921" s="172"/>
      <c r="D921" s="172"/>
      <c r="E921" s="227"/>
      <c r="F921" s="228"/>
      <c r="G921" s="154"/>
      <c r="H921" s="162"/>
      <c r="I921" s="223"/>
      <c r="J921" s="162"/>
      <c r="K921" s="129"/>
      <c r="L921" s="79"/>
      <c r="M921" s="79"/>
      <c r="N921" s="79"/>
      <c r="O921" s="82"/>
    </row>
    <row r="922" ht="15.75" customHeight="1">
      <c r="A922" s="261"/>
      <c r="B922" s="171"/>
      <c r="C922" s="172"/>
      <c r="D922" s="172"/>
      <c r="E922" s="227"/>
      <c r="F922" s="228"/>
      <c r="G922" s="154"/>
      <c r="H922" s="162"/>
      <c r="I922" s="223"/>
      <c r="J922" s="162"/>
      <c r="K922" s="129"/>
      <c r="L922" s="79"/>
      <c r="M922" s="79"/>
      <c r="N922" s="79"/>
      <c r="O922" s="82"/>
    </row>
    <row r="923" ht="15.75" customHeight="1">
      <c r="A923" s="261"/>
      <c r="B923" s="171"/>
      <c r="C923" s="172"/>
      <c r="D923" s="172"/>
      <c r="E923" s="227"/>
      <c r="F923" s="228"/>
      <c r="G923" s="154"/>
      <c r="H923" s="162"/>
      <c r="I923" s="223"/>
      <c r="J923" s="162"/>
      <c r="K923" s="129"/>
      <c r="L923" s="79"/>
      <c r="M923" s="79"/>
      <c r="N923" s="79"/>
      <c r="O923" s="82"/>
    </row>
    <row r="924" ht="15.75" customHeight="1">
      <c r="A924" s="261"/>
      <c r="B924" s="171"/>
      <c r="C924" s="172"/>
      <c r="D924" s="172"/>
      <c r="E924" s="227"/>
      <c r="F924" s="228"/>
      <c r="G924" s="154"/>
      <c r="H924" s="162"/>
      <c r="I924" s="223"/>
      <c r="J924" s="162"/>
      <c r="K924" s="129"/>
      <c r="L924" s="79"/>
      <c r="M924" s="79"/>
      <c r="N924" s="79"/>
      <c r="O924" s="82"/>
    </row>
    <row r="925" ht="15.75" customHeight="1">
      <c r="A925" s="261"/>
      <c r="B925" s="171"/>
      <c r="C925" s="172"/>
      <c r="D925" s="172"/>
      <c r="E925" s="227"/>
      <c r="F925" s="228"/>
      <c r="G925" s="154"/>
      <c r="H925" s="162"/>
      <c r="I925" s="223"/>
      <c r="J925" s="162"/>
      <c r="K925" s="129"/>
      <c r="L925" s="79"/>
      <c r="M925" s="79"/>
      <c r="N925" s="79"/>
      <c r="O925" s="82"/>
    </row>
    <row r="926" ht="15.75" customHeight="1">
      <c r="A926" s="261"/>
      <c r="B926" s="171"/>
      <c r="C926" s="172"/>
      <c r="D926" s="172"/>
      <c r="E926" s="227"/>
      <c r="F926" s="228"/>
      <c r="G926" s="154"/>
      <c r="H926" s="162"/>
      <c r="I926" s="223"/>
      <c r="J926" s="162"/>
      <c r="K926" s="129"/>
      <c r="L926" s="79"/>
      <c r="M926" s="79"/>
      <c r="N926" s="79"/>
      <c r="O926" s="82"/>
    </row>
    <row r="927" ht="15.75" customHeight="1">
      <c r="A927" s="261"/>
      <c r="B927" s="171"/>
      <c r="C927" s="172"/>
      <c r="D927" s="172"/>
      <c r="E927" s="227"/>
      <c r="F927" s="228"/>
      <c r="G927" s="154"/>
      <c r="H927" s="162"/>
      <c r="I927" s="223"/>
      <c r="J927" s="162"/>
      <c r="K927" s="129"/>
      <c r="L927" s="79"/>
      <c r="M927" s="79"/>
      <c r="N927" s="79"/>
      <c r="O927" s="82"/>
    </row>
    <row r="928" ht="15.75" customHeight="1">
      <c r="A928" s="261"/>
      <c r="B928" s="171"/>
      <c r="C928" s="172"/>
      <c r="D928" s="172"/>
      <c r="E928" s="227"/>
      <c r="F928" s="228"/>
      <c r="G928" s="154"/>
      <c r="H928" s="162"/>
      <c r="I928" s="223"/>
      <c r="J928" s="162"/>
      <c r="K928" s="129"/>
      <c r="L928" s="79"/>
      <c r="M928" s="79"/>
      <c r="N928" s="79"/>
      <c r="O928" s="82"/>
    </row>
    <row r="929" ht="15.75" customHeight="1">
      <c r="A929" s="261"/>
      <c r="B929" s="171"/>
      <c r="C929" s="172"/>
      <c r="D929" s="172"/>
      <c r="E929" s="227"/>
      <c r="F929" s="228"/>
      <c r="G929" s="154"/>
      <c r="H929" s="162"/>
      <c r="I929" s="223"/>
      <c r="J929" s="162"/>
      <c r="K929" s="129"/>
      <c r="L929" s="79"/>
      <c r="M929" s="79"/>
      <c r="N929" s="79"/>
      <c r="O929" s="82"/>
    </row>
    <row r="930" ht="15.75" customHeight="1">
      <c r="A930" s="261"/>
      <c r="B930" s="171"/>
      <c r="C930" s="172"/>
      <c r="D930" s="172"/>
      <c r="E930" s="227"/>
      <c r="F930" s="228"/>
      <c r="G930" s="154"/>
      <c r="H930" s="162"/>
      <c r="I930" s="223"/>
      <c r="J930" s="162"/>
      <c r="K930" s="129"/>
      <c r="L930" s="79"/>
      <c r="M930" s="79"/>
      <c r="N930" s="79"/>
      <c r="O930" s="82"/>
    </row>
    <row r="931" ht="15.75" customHeight="1">
      <c r="A931" s="261"/>
      <c r="B931" s="171"/>
      <c r="C931" s="172"/>
      <c r="D931" s="172"/>
      <c r="E931" s="227"/>
      <c r="F931" s="228"/>
      <c r="G931" s="154"/>
      <c r="H931" s="162"/>
      <c r="I931" s="223"/>
      <c r="J931" s="162"/>
      <c r="K931" s="129"/>
      <c r="L931" s="79"/>
      <c r="M931" s="79"/>
      <c r="N931" s="79"/>
      <c r="O931" s="82"/>
    </row>
    <row r="932" ht="15.75" customHeight="1">
      <c r="A932" s="261"/>
      <c r="B932" s="171"/>
      <c r="C932" s="172"/>
      <c r="D932" s="172"/>
      <c r="E932" s="227"/>
      <c r="F932" s="228"/>
      <c r="G932" s="154"/>
      <c r="H932" s="162"/>
      <c r="I932" s="223"/>
      <c r="J932" s="162"/>
      <c r="K932" s="129"/>
      <c r="L932" s="79"/>
      <c r="M932" s="79"/>
      <c r="N932" s="79"/>
      <c r="O932" s="82"/>
    </row>
    <row r="933" ht="15.75" customHeight="1">
      <c r="A933" s="261"/>
      <c r="B933" s="171"/>
      <c r="C933" s="172"/>
      <c r="D933" s="172"/>
      <c r="E933" s="227"/>
      <c r="F933" s="228"/>
      <c r="G933" s="154"/>
      <c r="H933" s="162"/>
      <c r="I933" s="223"/>
      <c r="J933" s="162"/>
      <c r="K933" s="129"/>
      <c r="L933" s="79"/>
      <c r="M933" s="79"/>
      <c r="N933" s="79"/>
      <c r="O933" s="82"/>
    </row>
    <row r="934" ht="15.75" customHeight="1">
      <c r="A934" s="261"/>
      <c r="B934" s="171"/>
      <c r="C934" s="172"/>
      <c r="D934" s="172"/>
      <c r="E934" s="227"/>
      <c r="F934" s="228"/>
      <c r="G934" s="154"/>
      <c r="H934" s="162"/>
      <c r="I934" s="223"/>
      <c r="J934" s="162"/>
      <c r="K934" s="129"/>
      <c r="L934" s="79"/>
      <c r="M934" s="79"/>
      <c r="N934" s="79"/>
      <c r="O934" s="82"/>
    </row>
    <row r="935" ht="15.75" customHeight="1">
      <c r="A935" s="261"/>
      <c r="B935" s="171"/>
      <c r="C935" s="172"/>
      <c r="D935" s="172"/>
      <c r="E935" s="227"/>
      <c r="F935" s="228"/>
      <c r="G935" s="154"/>
      <c r="H935" s="162"/>
      <c r="I935" s="223"/>
      <c r="J935" s="162"/>
      <c r="K935" s="129"/>
      <c r="L935" s="79"/>
      <c r="M935" s="79"/>
      <c r="N935" s="79"/>
      <c r="O935" s="82"/>
    </row>
    <row r="936" ht="15.75" customHeight="1">
      <c r="A936" s="261"/>
      <c r="B936" s="171"/>
      <c r="C936" s="172"/>
      <c r="D936" s="172"/>
      <c r="E936" s="227"/>
      <c r="F936" s="228"/>
      <c r="G936" s="154"/>
      <c r="H936" s="162"/>
      <c r="I936" s="223"/>
      <c r="J936" s="162"/>
      <c r="K936" s="129"/>
      <c r="L936" s="79"/>
      <c r="M936" s="79"/>
      <c r="N936" s="79"/>
      <c r="O936" s="82"/>
    </row>
    <row r="937" ht="15.75" customHeight="1">
      <c r="A937" s="261"/>
      <c r="B937" s="171"/>
      <c r="C937" s="172"/>
      <c r="D937" s="172"/>
      <c r="E937" s="227"/>
      <c r="F937" s="228"/>
      <c r="G937" s="154"/>
      <c r="H937" s="162"/>
      <c r="I937" s="223"/>
      <c r="J937" s="162"/>
      <c r="K937" s="129"/>
      <c r="L937" s="79"/>
      <c r="M937" s="79"/>
      <c r="N937" s="79"/>
      <c r="O937" s="82"/>
    </row>
    <row r="938" ht="15.75" customHeight="1">
      <c r="A938" s="261"/>
      <c r="B938" s="171"/>
      <c r="C938" s="172"/>
      <c r="D938" s="172"/>
      <c r="E938" s="227"/>
      <c r="F938" s="228"/>
      <c r="G938" s="154"/>
      <c r="H938" s="162"/>
      <c r="I938" s="223"/>
      <c r="J938" s="162"/>
      <c r="K938" s="129"/>
      <c r="L938" s="79"/>
      <c r="M938" s="79"/>
      <c r="N938" s="79"/>
      <c r="O938" s="82"/>
    </row>
    <row r="939" ht="15.75" customHeight="1">
      <c r="A939" s="261"/>
      <c r="B939" s="171"/>
      <c r="C939" s="172"/>
      <c r="D939" s="172"/>
      <c r="E939" s="227"/>
      <c r="F939" s="228"/>
      <c r="G939" s="154"/>
      <c r="H939" s="162"/>
      <c r="I939" s="223"/>
      <c r="J939" s="162"/>
      <c r="K939" s="129"/>
      <c r="L939" s="79"/>
      <c r="M939" s="79"/>
      <c r="N939" s="79"/>
      <c r="O939" s="82"/>
    </row>
    <row r="940" ht="15.75" customHeight="1">
      <c r="A940" s="261"/>
      <c r="B940" s="171"/>
      <c r="C940" s="172"/>
      <c r="D940" s="172"/>
      <c r="E940" s="227"/>
      <c r="F940" s="228"/>
      <c r="G940" s="154"/>
      <c r="H940" s="162"/>
      <c r="I940" s="223"/>
      <c r="J940" s="162"/>
      <c r="K940" s="129"/>
      <c r="L940" s="79"/>
      <c r="M940" s="79"/>
      <c r="N940" s="79"/>
      <c r="O940" s="82"/>
    </row>
    <row r="941" ht="15.75" customHeight="1">
      <c r="A941" s="261"/>
      <c r="B941" s="171"/>
      <c r="C941" s="172"/>
      <c r="D941" s="172"/>
      <c r="E941" s="227"/>
      <c r="F941" s="228"/>
      <c r="G941" s="154"/>
      <c r="H941" s="162"/>
      <c r="I941" s="223"/>
      <c r="J941" s="162"/>
      <c r="K941" s="129"/>
      <c r="L941" s="79"/>
      <c r="M941" s="79"/>
      <c r="N941" s="79"/>
      <c r="O941" s="82"/>
    </row>
    <row r="942" ht="15.75" customHeight="1">
      <c r="A942" s="261"/>
      <c r="B942" s="171"/>
      <c r="C942" s="172"/>
      <c r="D942" s="172"/>
      <c r="E942" s="227"/>
      <c r="F942" s="228"/>
      <c r="G942" s="154"/>
      <c r="H942" s="162"/>
      <c r="I942" s="223"/>
      <c r="J942" s="162"/>
      <c r="K942" s="129"/>
      <c r="L942" s="79"/>
      <c r="M942" s="79"/>
      <c r="N942" s="79"/>
      <c r="O942" s="82"/>
    </row>
    <row r="943" ht="15.75" customHeight="1">
      <c r="A943" s="261"/>
      <c r="B943" s="171"/>
      <c r="C943" s="172"/>
      <c r="D943" s="172"/>
      <c r="E943" s="227"/>
      <c r="F943" s="228"/>
      <c r="G943" s="154"/>
      <c r="H943" s="162"/>
      <c r="I943" s="223"/>
      <c r="J943" s="162"/>
      <c r="K943" s="129"/>
      <c r="L943" s="79"/>
      <c r="M943" s="79"/>
      <c r="N943" s="79"/>
      <c r="O943" s="82"/>
    </row>
    <row r="944" ht="15.75" customHeight="1">
      <c r="A944" s="261"/>
      <c r="B944" s="171"/>
      <c r="C944" s="172"/>
      <c r="D944" s="172"/>
      <c r="E944" s="227"/>
      <c r="F944" s="228"/>
      <c r="G944" s="154"/>
      <c r="H944" s="162"/>
      <c r="I944" s="223"/>
      <c r="J944" s="162"/>
      <c r="K944" s="129"/>
      <c r="L944" s="79"/>
      <c r="M944" s="79"/>
      <c r="N944" s="79"/>
      <c r="O944" s="82"/>
    </row>
    <row r="945" ht="15.75" customHeight="1">
      <c r="A945" s="261"/>
      <c r="B945" s="171"/>
      <c r="C945" s="172"/>
      <c r="D945" s="172"/>
      <c r="E945" s="227"/>
      <c r="F945" s="228"/>
      <c r="G945" s="154"/>
      <c r="H945" s="162"/>
      <c r="I945" s="223"/>
      <c r="J945" s="162"/>
      <c r="K945" s="129"/>
      <c r="L945" s="79"/>
      <c r="M945" s="79"/>
      <c r="N945" s="79"/>
      <c r="O945" s="82"/>
    </row>
    <row r="946" ht="15.75" customHeight="1">
      <c r="A946" s="261"/>
      <c r="B946" s="171"/>
      <c r="C946" s="172"/>
      <c r="D946" s="172"/>
      <c r="E946" s="227"/>
      <c r="F946" s="228"/>
      <c r="G946" s="154"/>
      <c r="H946" s="162"/>
      <c r="I946" s="223"/>
      <c r="J946" s="162"/>
      <c r="K946" s="129"/>
      <c r="L946" s="79"/>
      <c r="M946" s="79"/>
      <c r="N946" s="79"/>
      <c r="O946" s="82"/>
    </row>
    <row r="947" ht="15.75" customHeight="1">
      <c r="A947" s="261"/>
      <c r="B947" s="171"/>
      <c r="C947" s="172"/>
      <c r="D947" s="172"/>
      <c r="E947" s="227"/>
      <c r="F947" s="228"/>
      <c r="G947" s="154"/>
      <c r="H947" s="162"/>
      <c r="I947" s="223"/>
      <c r="J947" s="162"/>
      <c r="K947" s="129"/>
      <c r="L947" s="79"/>
      <c r="M947" s="79"/>
      <c r="N947" s="79"/>
      <c r="O947" s="82"/>
    </row>
    <row r="948" ht="15.75" customHeight="1">
      <c r="A948" s="261"/>
      <c r="B948" s="171"/>
      <c r="C948" s="172"/>
      <c r="D948" s="172"/>
      <c r="E948" s="227"/>
      <c r="F948" s="228"/>
      <c r="G948" s="154"/>
      <c r="H948" s="162"/>
      <c r="I948" s="223"/>
      <c r="J948" s="162"/>
      <c r="K948" s="129"/>
      <c r="L948" s="79"/>
      <c r="M948" s="79"/>
      <c r="N948" s="79"/>
      <c r="O948" s="82"/>
    </row>
    <row r="949" ht="15.75" customHeight="1">
      <c r="A949" s="261"/>
      <c r="B949" s="171"/>
      <c r="C949" s="172"/>
      <c r="D949" s="172"/>
      <c r="E949" s="227"/>
      <c r="F949" s="228"/>
      <c r="G949" s="154"/>
      <c r="H949" s="162"/>
      <c r="I949" s="223"/>
      <c r="J949" s="162"/>
      <c r="K949" s="129"/>
      <c r="L949" s="79"/>
      <c r="M949" s="79"/>
      <c r="N949" s="79"/>
      <c r="O949" s="82"/>
    </row>
    <row r="950" ht="15.75" customHeight="1">
      <c r="A950" s="261"/>
      <c r="B950" s="171"/>
      <c r="C950" s="172"/>
      <c r="D950" s="172"/>
      <c r="E950" s="227"/>
      <c r="F950" s="228"/>
      <c r="G950" s="154"/>
      <c r="H950" s="162"/>
      <c r="I950" s="223"/>
      <c r="J950" s="162"/>
      <c r="K950" s="129"/>
      <c r="L950" s="79"/>
      <c r="M950" s="79"/>
      <c r="N950" s="79"/>
      <c r="O950" s="82"/>
    </row>
    <row r="951" ht="15.75" customHeight="1">
      <c r="A951" s="261"/>
      <c r="B951" s="171"/>
      <c r="C951" s="172"/>
      <c r="D951" s="172"/>
      <c r="E951" s="227"/>
      <c r="F951" s="228"/>
      <c r="G951" s="154"/>
      <c r="H951" s="162"/>
      <c r="I951" s="223"/>
      <c r="J951" s="162"/>
      <c r="K951" s="129"/>
      <c r="L951" s="79"/>
      <c r="M951" s="79"/>
      <c r="N951" s="79"/>
      <c r="O951" s="82"/>
    </row>
    <row r="952" ht="15.75" customHeight="1">
      <c r="A952" s="261"/>
      <c r="B952" s="171"/>
      <c r="C952" s="172"/>
      <c r="D952" s="172"/>
      <c r="E952" s="227"/>
      <c r="F952" s="228"/>
      <c r="G952" s="154"/>
      <c r="H952" s="162"/>
      <c r="I952" s="223"/>
      <c r="J952" s="162"/>
      <c r="K952" s="129"/>
      <c r="L952" s="79"/>
      <c r="M952" s="79"/>
      <c r="N952" s="79"/>
      <c r="O952" s="82"/>
    </row>
    <row r="953" ht="15.75" customHeight="1">
      <c r="A953" s="261"/>
      <c r="B953" s="171"/>
      <c r="C953" s="172"/>
      <c r="D953" s="172"/>
      <c r="E953" s="227"/>
      <c r="F953" s="228"/>
      <c r="G953" s="154"/>
      <c r="H953" s="162"/>
      <c r="I953" s="223"/>
      <c r="J953" s="162"/>
      <c r="K953" s="129"/>
      <c r="L953" s="79"/>
      <c r="M953" s="79"/>
      <c r="N953" s="79"/>
      <c r="O953" s="82"/>
    </row>
    <row r="954" ht="15.75" customHeight="1">
      <c r="A954" s="261"/>
      <c r="B954" s="171"/>
      <c r="C954" s="172"/>
      <c r="D954" s="172"/>
      <c r="E954" s="227"/>
      <c r="F954" s="228"/>
      <c r="G954" s="154"/>
      <c r="H954" s="162"/>
      <c r="I954" s="223"/>
      <c r="J954" s="162"/>
      <c r="K954" s="129"/>
      <c r="L954" s="79"/>
      <c r="M954" s="79"/>
      <c r="N954" s="79"/>
      <c r="O954" s="82"/>
    </row>
    <row r="955" ht="15.75" customHeight="1">
      <c r="A955" s="261"/>
      <c r="B955" s="171"/>
      <c r="C955" s="172"/>
      <c r="D955" s="172"/>
      <c r="E955" s="227"/>
      <c r="F955" s="228"/>
      <c r="G955" s="154"/>
      <c r="H955" s="162"/>
      <c r="I955" s="223"/>
      <c r="J955" s="162"/>
      <c r="K955" s="129"/>
      <c r="L955" s="79"/>
      <c r="M955" s="79"/>
      <c r="N955" s="79"/>
      <c r="O955" s="82"/>
    </row>
    <row r="956" ht="15.75" customHeight="1">
      <c r="A956" s="261"/>
      <c r="B956" s="171"/>
      <c r="C956" s="172"/>
      <c r="D956" s="172"/>
      <c r="E956" s="227"/>
      <c r="F956" s="228"/>
      <c r="G956" s="154"/>
      <c r="H956" s="162"/>
      <c r="I956" s="223"/>
      <c r="J956" s="162"/>
      <c r="K956" s="129"/>
      <c r="L956" s="79"/>
      <c r="M956" s="79"/>
      <c r="N956" s="79"/>
      <c r="O956" s="82"/>
    </row>
    <row r="957" ht="15.75" customHeight="1">
      <c r="A957" s="261"/>
      <c r="B957" s="171"/>
      <c r="C957" s="172"/>
      <c r="D957" s="172"/>
      <c r="E957" s="227"/>
      <c r="F957" s="228"/>
      <c r="G957" s="154"/>
      <c r="H957" s="162"/>
      <c r="I957" s="223"/>
      <c r="J957" s="162"/>
      <c r="K957" s="129"/>
      <c r="L957" s="79"/>
      <c r="M957" s="79"/>
      <c r="N957" s="79"/>
      <c r="O957" s="82"/>
    </row>
    <row r="958" ht="15.75" customHeight="1">
      <c r="A958" s="261"/>
      <c r="B958" s="171"/>
      <c r="C958" s="172"/>
      <c r="D958" s="172"/>
      <c r="E958" s="227"/>
      <c r="F958" s="228"/>
      <c r="G958" s="154"/>
      <c r="H958" s="162"/>
      <c r="I958" s="223"/>
      <c r="J958" s="162"/>
      <c r="K958" s="129"/>
      <c r="L958" s="79"/>
      <c r="M958" s="79"/>
      <c r="N958" s="79"/>
      <c r="O958" s="82"/>
    </row>
    <row r="959" ht="15.75" customHeight="1">
      <c r="A959" s="261"/>
      <c r="B959" s="171"/>
      <c r="C959" s="172"/>
      <c r="D959" s="172"/>
      <c r="E959" s="227"/>
      <c r="F959" s="228"/>
      <c r="G959" s="154"/>
      <c r="H959" s="162"/>
      <c r="I959" s="223"/>
      <c r="J959" s="162"/>
      <c r="K959" s="129"/>
      <c r="L959" s="79"/>
      <c r="M959" s="79"/>
      <c r="N959" s="79"/>
      <c r="O959" s="82"/>
    </row>
    <row r="960" ht="15.75" customHeight="1">
      <c r="A960" s="261"/>
      <c r="B960" s="171"/>
      <c r="C960" s="172"/>
      <c r="D960" s="172"/>
      <c r="E960" s="227"/>
      <c r="F960" s="228"/>
      <c r="G960" s="154"/>
      <c r="H960" s="162"/>
      <c r="I960" s="223"/>
      <c r="J960" s="162"/>
      <c r="K960" s="129"/>
      <c r="L960" s="79"/>
      <c r="M960" s="79"/>
      <c r="N960" s="79"/>
      <c r="O960" s="82"/>
    </row>
    <row r="961" ht="15.75" customHeight="1">
      <c r="A961" s="261"/>
      <c r="B961" s="171"/>
      <c r="C961" s="172"/>
      <c r="D961" s="172"/>
      <c r="E961" s="227"/>
      <c r="F961" s="228"/>
      <c r="G961" s="154"/>
      <c r="H961" s="162"/>
      <c r="I961" s="223"/>
      <c r="J961" s="162"/>
      <c r="K961" s="129"/>
      <c r="L961" s="79"/>
      <c r="M961" s="79"/>
      <c r="N961" s="79"/>
      <c r="O961" s="82"/>
    </row>
    <row r="962" ht="15.75" customHeight="1">
      <c r="A962" s="261"/>
      <c r="B962" s="171"/>
      <c r="C962" s="172"/>
      <c r="D962" s="172"/>
      <c r="E962" s="227"/>
      <c r="F962" s="228"/>
      <c r="G962" s="154"/>
      <c r="H962" s="162"/>
      <c r="I962" s="223"/>
      <c r="J962" s="162"/>
      <c r="K962" s="129"/>
      <c r="L962" s="79"/>
      <c r="M962" s="79"/>
      <c r="N962" s="79"/>
      <c r="O962" s="82"/>
    </row>
    <row r="963" ht="15.75" customHeight="1">
      <c r="A963" s="261"/>
      <c r="B963" s="171"/>
      <c r="C963" s="172"/>
      <c r="D963" s="172"/>
      <c r="E963" s="227"/>
      <c r="F963" s="228"/>
      <c r="G963" s="154"/>
      <c r="H963" s="162"/>
      <c r="I963" s="223"/>
      <c r="J963" s="162"/>
      <c r="K963" s="129"/>
      <c r="L963" s="79"/>
      <c r="M963" s="79"/>
      <c r="N963" s="79"/>
      <c r="O963" s="82"/>
    </row>
    <row r="964" ht="15.75" customHeight="1">
      <c r="A964" s="261"/>
      <c r="B964" s="171"/>
      <c r="C964" s="172"/>
      <c r="D964" s="172"/>
      <c r="E964" s="227"/>
      <c r="F964" s="228"/>
      <c r="G964" s="154"/>
      <c r="H964" s="162"/>
      <c r="I964" s="223"/>
      <c r="J964" s="162"/>
      <c r="K964" s="129"/>
      <c r="L964" s="79"/>
      <c r="M964" s="79"/>
      <c r="N964" s="79"/>
      <c r="O964" s="82"/>
    </row>
    <row r="965" ht="15.75" customHeight="1">
      <c r="A965" s="261"/>
      <c r="B965" s="171"/>
      <c r="C965" s="172"/>
      <c r="D965" s="172"/>
      <c r="E965" s="227"/>
      <c r="F965" s="228"/>
      <c r="G965" s="154"/>
      <c r="H965" s="162"/>
      <c r="I965" s="223"/>
      <c r="J965" s="162"/>
      <c r="K965" s="129"/>
      <c r="L965" s="79"/>
      <c r="M965" s="79"/>
      <c r="N965" s="79"/>
      <c r="O965" s="82"/>
    </row>
    <row r="966" ht="15.75" customHeight="1">
      <c r="A966" s="261"/>
      <c r="B966" s="171"/>
      <c r="C966" s="172"/>
      <c r="D966" s="172"/>
      <c r="E966" s="227"/>
      <c r="F966" s="228"/>
      <c r="G966" s="154"/>
      <c r="H966" s="162"/>
      <c r="I966" s="223"/>
      <c r="J966" s="162"/>
      <c r="K966" s="129"/>
      <c r="L966" s="79"/>
      <c r="M966" s="79"/>
      <c r="N966" s="79"/>
      <c r="O966" s="82"/>
    </row>
    <row r="967" ht="15.75" customHeight="1">
      <c r="A967" s="261"/>
      <c r="B967" s="171"/>
      <c r="C967" s="172"/>
      <c r="D967" s="172"/>
      <c r="E967" s="227"/>
      <c r="F967" s="228"/>
      <c r="G967" s="154"/>
      <c r="H967" s="162"/>
      <c r="I967" s="223"/>
      <c r="J967" s="162"/>
      <c r="K967" s="129"/>
      <c r="L967" s="79"/>
      <c r="M967" s="79"/>
      <c r="N967" s="79"/>
      <c r="O967" s="82"/>
    </row>
    <row r="968" ht="15.75" customHeight="1">
      <c r="A968" s="261"/>
      <c r="B968" s="171"/>
      <c r="C968" s="172"/>
      <c r="D968" s="172"/>
      <c r="E968" s="227"/>
      <c r="F968" s="228"/>
      <c r="G968" s="154"/>
      <c r="H968" s="162"/>
      <c r="I968" s="223"/>
      <c r="J968" s="162"/>
      <c r="K968" s="129"/>
      <c r="L968" s="79"/>
      <c r="M968" s="79"/>
      <c r="N968" s="79"/>
      <c r="O968" s="82"/>
    </row>
    <row r="969" ht="15.75" customHeight="1">
      <c r="A969" s="261"/>
      <c r="B969" s="171"/>
      <c r="C969" s="172"/>
      <c r="D969" s="172"/>
      <c r="E969" s="227"/>
      <c r="F969" s="228"/>
      <c r="G969" s="154"/>
      <c r="H969" s="162"/>
      <c r="I969" s="223"/>
      <c r="J969" s="162"/>
      <c r="K969" s="129"/>
      <c r="L969" s="79"/>
      <c r="M969" s="79"/>
      <c r="N969" s="79"/>
      <c r="O969" s="82"/>
    </row>
    <row r="970" ht="15.75" customHeight="1">
      <c r="A970" s="261"/>
      <c r="B970" s="171"/>
      <c r="C970" s="172"/>
      <c r="D970" s="172"/>
      <c r="E970" s="227"/>
      <c r="F970" s="228"/>
      <c r="G970" s="154"/>
      <c r="H970" s="162"/>
      <c r="I970" s="223"/>
      <c r="J970" s="162"/>
      <c r="K970" s="129"/>
      <c r="L970" s="79"/>
      <c r="M970" s="79"/>
      <c r="N970" s="79"/>
      <c r="O970" s="82"/>
    </row>
    <row r="971" ht="15.75" customHeight="1">
      <c r="A971" s="261"/>
      <c r="B971" s="171"/>
      <c r="C971" s="172"/>
      <c r="D971" s="172"/>
      <c r="E971" s="227"/>
      <c r="F971" s="228"/>
      <c r="G971" s="154"/>
      <c r="H971" s="162"/>
      <c r="I971" s="223"/>
      <c r="J971" s="162"/>
      <c r="K971" s="129"/>
      <c r="L971" s="79"/>
      <c r="M971" s="79"/>
      <c r="N971" s="79"/>
      <c r="O971" s="82"/>
    </row>
    <row r="972" ht="15.75" customHeight="1">
      <c r="A972" s="261"/>
      <c r="B972" s="171"/>
      <c r="C972" s="172"/>
      <c r="D972" s="172"/>
      <c r="E972" s="227"/>
      <c r="F972" s="228"/>
      <c r="G972" s="154"/>
      <c r="H972" s="162"/>
      <c r="I972" s="223"/>
      <c r="J972" s="162"/>
      <c r="K972" s="129"/>
      <c r="L972" s="79"/>
      <c r="M972" s="79"/>
      <c r="N972" s="79"/>
      <c r="O972" s="82"/>
    </row>
    <row r="973" ht="15.75" customHeight="1">
      <c r="A973" s="261"/>
      <c r="B973" s="171"/>
      <c r="C973" s="172"/>
      <c r="D973" s="172"/>
      <c r="E973" s="227"/>
      <c r="F973" s="228"/>
      <c r="G973" s="154"/>
      <c r="H973" s="162"/>
      <c r="I973" s="223"/>
      <c r="J973" s="162"/>
      <c r="K973" s="129"/>
      <c r="L973" s="79"/>
      <c r="M973" s="79"/>
      <c r="N973" s="79"/>
      <c r="O973" s="82"/>
    </row>
    <row r="974" ht="15.75" customHeight="1">
      <c r="A974" s="261"/>
      <c r="B974" s="171"/>
      <c r="C974" s="172"/>
      <c r="D974" s="172"/>
      <c r="E974" s="227"/>
      <c r="F974" s="228"/>
      <c r="G974" s="154"/>
      <c r="H974" s="162"/>
      <c r="I974" s="223"/>
      <c r="J974" s="162"/>
      <c r="K974" s="129"/>
      <c r="L974" s="79"/>
      <c r="M974" s="79"/>
      <c r="N974" s="79"/>
      <c r="O974" s="82"/>
    </row>
    <row r="975" ht="15.75" customHeight="1">
      <c r="A975" s="261"/>
      <c r="B975" s="171"/>
      <c r="C975" s="172"/>
      <c r="D975" s="172"/>
      <c r="E975" s="227"/>
      <c r="F975" s="228"/>
      <c r="G975" s="154"/>
      <c r="H975" s="162"/>
      <c r="I975" s="223"/>
      <c r="J975" s="162"/>
      <c r="K975" s="129"/>
      <c r="L975" s="79"/>
      <c r="M975" s="79"/>
      <c r="N975" s="79"/>
      <c r="O975" s="82"/>
    </row>
    <row r="976" ht="15.75" customHeight="1">
      <c r="A976" s="261"/>
      <c r="B976" s="171"/>
      <c r="C976" s="172"/>
      <c r="D976" s="172"/>
      <c r="E976" s="227"/>
      <c r="F976" s="228"/>
      <c r="G976" s="154"/>
      <c r="H976" s="162"/>
      <c r="I976" s="223"/>
      <c r="J976" s="162"/>
      <c r="K976" s="129"/>
      <c r="L976" s="79"/>
      <c r="M976" s="79"/>
      <c r="N976" s="79"/>
      <c r="O976" s="82"/>
    </row>
    <row r="977" ht="15.75" customHeight="1">
      <c r="A977" s="261"/>
      <c r="B977" s="171"/>
      <c r="C977" s="172"/>
      <c r="D977" s="172"/>
      <c r="E977" s="227"/>
      <c r="F977" s="228"/>
      <c r="G977" s="154"/>
      <c r="H977" s="162"/>
      <c r="I977" s="223"/>
      <c r="J977" s="162"/>
      <c r="K977" s="129"/>
      <c r="L977" s="79"/>
      <c r="M977" s="79"/>
      <c r="N977" s="79"/>
      <c r="O977" s="82"/>
    </row>
    <row r="978" ht="15.75" customHeight="1">
      <c r="A978" s="261"/>
      <c r="B978" s="171"/>
      <c r="C978" s="172"/>
      <c r="D978" s="172"/>
      <c r="E978" s="227"/>
      <c r="F978" s="228"/>
      <c r="G978" s="154"/>
      <c r="H978" s="162"/>
      <c r="I978" s="223"/>
      <c r="J978" s="162"/>
      <c r="K978" s="129"/>
      <c r="L978" s="79"/>
      <c r="M978" s="79"/>
      <c r="N978" s="79"/>
      <c r="O978" s="82"/>
    </row>
    <row r="979" ht="15.75" customHeight="1">
      <c r="A979" s="261"/>
      <c r="B979" s="171"/>
      <c r="C979" s="172"/>
      <c r="D979" s="172"/>
      <c r="E979" s="227"/>
      <c r="F979" s="228"/>
      <c r="G979" s="154"/>
      <c r="H979" s="162"/>
      <c r="I979" s="223"/>
      <c r="J979" s="162"/>
      <c r="K979" s="129"/>
      <c r="L979" s="79"/>
      <c r="M979" s="79"/>
      <c r="N979" s="79"/>
      <c r="O979" s="82"/>
    </row>
    <row r="980" ht="15.75" customHeight="1">
      <c r="A980" s="261"/>
      <c r="B980" s="171"/>
      <c r="C980" s="172"/>
      <c r="D980" s="172"/>
      <c r="E980" s="227"/>
      <c r="F980" s="228"/>
      <c r="G980" s="154"/>
      <c r="H980" s="162"/>
      <c r="I980" s="223"/>
      <c r="J980" s="162"/>
      <c r="K980" s="129"/>
      <c r="L980" s="79"/>
      <c r="M980" s="79"/>
      <c r="N980" s="79"/>
      <c r="O980" s="82"/>
    </row>
    <row r="981" ht="15.75" customHeight="1">
      <c r="A981" s="261"/>
      <c r="B981" s="171"/>
      <c r="C981" s="172"/>
      <c r="D981" s="172"/>
      <c r="E981" s="227"/>
      <c r="F981" s="228"/>
      <c r="G981" s="154"/>
      <c r="H981" s="162"/>
      <c r="I981" s="223"/>
      <c r="J981" s="162"/>
      <c r="K981" s="129"/>
      <c r="L981" s="79"/>
      <c r="M981" s="79"/>
      <c r="N981" s="79"/>
      <c r="O981" s="82"/>
    </row>
    <row r="982" ht="15.75" customHeight="1">
      <c r="A982" s="261"/>
      <c r="B982" s="171"/>
      <c r="C982" s="172"/>
      <c r="D982" s="172"/>
      <c r="E982" s="227"/>
      <c r="F982" s="228"/>
      <c r="G982" s="154"/>
      <c r="H982" s="162"/>
      <c r="I982" s="223"/>
      <c r="J982" s="162"/>
      <c r="K982" s="129"/>
      <c r="L982" s="79"/>
      <c r="M982" s="79"/>
      <c r="N982" s="79"/>
      <c r="O982" s="82"/>
    </row>
    <row r="983" ht="15.75" customHeight="1">
      <c r="A983" s="261"/>
      <c r="B983" s="171"/>
      <c r="C983" s="172"/>
      <c r="D983" s="172"/>
      <c r="E983" s="227"/>
      <c r="F983" s="228"/>
      <c r="G983" s="154"/>
      <c r="H983" s="162"/>
      <c r="I983" s="223"/>
      <c r="J983" s="162"/>
      <c r="K983" s="129"/>
      <c r="L983" s="79"/>
      <c r="M983" s="79"/>
      <c r="N983" s="79"/>
      <c r="O983" s="82"/>
    </row>
    <row r="984" ht="15.75" customHeight="1">
      <c r="A984" s="261"/>
      <c r="B984" s="171"/>
      <c r="C984" s="172"/>
      <c r="D984" s="172"/>
      <c r="E984" s="227"/>
      <c r="F984" s="228"/>
      <c r="G984" s="154"/>
      <c r="H984" s="162"/>
      <c r="I984" s="223"/>
      <c r="J984" s="162"/>
      <c r="K984" s="129"/>
      <c r="L984" s="79"/>
      <c r="M984" s="79"/>
      <c r="N984" s="79"/>
      <c r="O984" s="82"/>
    </row>
    <row r="985" ht="15.75" customHeight="1">
      <c r="A985" s="261"/>
      <c r="B985" s="171"/>
      <c r="C985" s="172"/>
      <c r="D985" s="172"/>
      <c r="E985" s="227"/>
      <c r="F985" s="228"/>
      <c r="G985" s="154"/>
      <c r="H985" s="162"/>
      <c r="I985" s="223"/>
      <c r="J985" s="162"/>
      <c r="K985" s="129"/>
      <c r="L985" s="79"/>
      <c r="M985" s="79"/>
      <c r="N985" s="79"/>
      <c r="O985" s="82"/>
    </row>
    <row r="986" ht="15.75" customHeight="1">
      <c r="A986" s="261"/>
      <c r="B986" s="171"/>
      <c r="C986" s="172"/>
      <c r="D986" s="172"/>
      <c r="E986" s="227"/>
      <c r="F986" s="228"/>
      <c r="G986" s="154"/>
      <c r="H986" s="162"/>
      <c r="I986" s="223"/>
      <c r="J986" s="162"/>
      <c r="K986" s="129"/>
      <c r="L986" s="79"/>
      <c r="M986" s="79"/>
      <c r="N986" s="79"/>
      <c r="O986" s="82"/>
    </row>
    <row r="987" ht="15.75" customHeight="1">
      <c r="A987" s="261"/>
      <c r="B987" s="171"/>
      <c r="C987" s="172"/>
      <c r="D987" s="172"/>
      <c r="E987" s="227"/>
      <c r="F987" s="228"/>
      <c r="G987" s="154"/>
      <c r="H987" s="162"/>
      <c r="I987" s="223"/>
      <c r="J987" s="162"/>
      <c r="K987" s="129"/>
      <c r="L987" s="79"/>
      <c r="M987" s="79"/>
      <c r="N987" s="79"/>
      <c r="O987" s="82"/>
    </row>
    <row r="988" ht="15.75" customHeight="1">
      <c r="A988" s="261"/>
      <c r="B988" s="171"/>
      <c r="C988" s="172"/>
      <c r="D988" s="172"/>
      <c r="E988" s="227"/>
      <c r="F988" s="228"/>
      <c r="G988" s="154"/>
      <c r="H988" s="162"/>
      <c r="I988" s="223"/>
      <c r="J988" s="162"/>
      <c r="K988" s="129"/>
      <c r="L988" s="79"/>
      <c r="M988" s="79"/>
      <c r="N988" s="79"/>
      <c r="O988" s="82"/>
    </row>
    <row r="989" ht="15.75" customHeight="1">
      <c r="A989" s="261"/>
      <c r="B989" s="171"/>
      <c r="C989" s="172"/>
      <c r="D989" s="172"/>
      <c r="E989" s="227"/>
      <c r="F989" s="228"/>
      <c r="G989" s="154"/>
      <c r="H989" s="162"/>
      <c r="I989" s="223"/>
      <c r="J989" s="162"/>
      <c r="K989" s="129"/>
      <c r="L989" s="79"/>
      <c r="M989" s="79"/>
      <c r="N989" s="79"/>
      <c r="O989" s="82"/>
    </row>
    <row r="990" ht="15.75" customHeight="1">
      <c r="A990" s="261"/>
      <c r="B990" s="171"/>
      <c r="C990" s="172"/>
      <c r="D990" s="172"/>
      <c r="E990" s="227"/>
      <c r="F990" s="228"/>
      <c r="G990" s="154"/>
      <c r="H990" s="162"/>
      <c r="I990" s="223"/>
      <c r="J990" s="162"/>
      <c r="K990" s="129"/>
      <c r="L990" s="79"/>
      <c r="M990" s="79"/>
      <c r="N990" s="79"/>
      <c r="O990" s="82"/>
    </row>
    <row r="991" ht="15.75" customHeight="1">
      <c r="A991" s="261"/>
      <c r="B991" s="171"/>
      <c r="C991" s="172"/>
      <c r="D991" s="172"/>
      <c r="E991" s="227"/>
      <c r="F991" s="228"/>
      <c r="G991" s="154"/>
      <c r="H991" s="162"/>
      <c r="I991" s="223"/>
      <c r="J991" s="162"/>
      <c r="K991" s="129"/>
      <c r="L991" s="79"/>
      <c r="M991" s="79"/>
      <c r="N991" s="79"/>
      <c r="O991" s="82"/>
    </row>
    <row r="992" ht="15.75" customHeight="1">
      <c r="A992" s="261"/>
      <c r="B992" s="171"/>
      <c r="C992" s="172"/>
      <c r="D992" s="172"/>
      <c r="E992" s="227"/>
      <c r="F992" s="228"/>
      <c r="G992" s="154"/>
      <c r="H992" s="162"/>
      <c r="I992" s="223"/>
      <c r="J992" s="162"/>
      <c r="K992" s="129"/>
      <c r="L992" s="79"/>
      <c r="M992" s="79"/>
      <c r="N992" s="79"/>
      <c r="O992" s="82"/>
    </row>
    <row r="993" ht="15.75" customHeight="1">
      <c r="A993" s="261"/>
      <c r="B993" s="171"/>
      <c r="C993" s="172"/>
      <c r="D993" s="172"/>
      <c r="E993" s="227"/>
      <c r="F993" s="228"/>
      <c r="G993" s="154"/>
      <c r="H993" s="162"/>
      <c r="I993" s="223"/>
      <c r="J993" s="162"/>
      <c r="K993" s="129"/>
      <c r="L993" s="79"/>
      <c r="M993" s="79"/>
      <c r="N993" s="79"/>
      <c r="O993" s="82"/>
    </row>
    <row r="994" ht="15.75" customHeight="1">
      <c r="A994" s="261"/>
      <c r="B994" s="171"/>
      <c r="C994" s="172"/>
      <c r="D994" s="172"/>
      <c r="E994" s="227"/>
      <c r="F994" s="228"/>
      <c r="G994" s="154"/>
      <c r="H994" s="162"/>
      <c r="I994" s="223"/>
      <c r="J994" s="162"/>
      <c r="K994" s="129"/>
      <c r="L994" s="79"/>
      <c r="M994" s="79"/>
      <c r="N994" s="79"/>
      <c r="O994" s="82"/>
    </row>
    <row r="995" ht="15.75" customHeight="1">
      <c r="A995" s="261"/>
      <c r="B995" s="171"/>
      <c r="C995" s="172"/>
      <c r="D995" s="172"/>
      <c r="E995" s="227"/>
      <c r="F995" s="228"/>
      <c r="G995" s="154"/>
      <c r="H995" s="162"/>
      <c r="I995" s="223"/>
      <c r="J995" s="162"/>
      <c r="K995" s="129"/>
      <c r="L995" s="79"/>
      <c r="M995" s="79"/>
      <c r="N995" s="79"/>
      <c r="O995" s="82"/>
    </row>
    <row r="996" ht="15.75" customHeight="1">
      <c r="A996" s="261"/>
      <c r="B996" s="171"/>
      <c r="C996" s="172"/>
      <c r="D996" s="172"/>
      <c r="E996" s="227"/>
      <c r="F996" s="228"/>
      <c r="G996" s="154"/>
      <c r="H996" s="162"/>
      <c r="I996" s="223"/>
      <c r="J996" s="162"/>
      <c r="K996" s="129"/>
      <c r="L996" s="79"/>
      <c r="M996" s="79"/>
      <c r="N996" s="79"/>
      <c r="O996" s="82"/>
    </row>
    <row r="997" ht="15.75" customHeight="1">
      <c r="A997" s="261"/>
      <c r="B997" s="171"/>
      <c r="C997" s="172"/>
      <c r="D997" s="172"/>
      <c r="E997" s="227"/>
      <c r="F997" s="228"/>
      <c r="G997" s="154"/>
      <c r="H997" s="162"/>
      <c r="I997" s="223"/>
      <c r="J997" s="162"/>
      <c r="K997" s="129"/>
      <c r="L997" s="79"/>
      <c r="M997" s="79"/>
      <c r="N997" s="79"/>
      <c r="O997" s="82"/>
    </row>
    <row r="998" ht="15.75" customHeight="1">
      <c r="A998" s="261"/>
      <c r="B998" s="171"/>
      <c r="C998" s="172"/>
      <c r="D998" s="172"/>
      <c r="E998" s="227"/>
      <c r="F998" s="228"/>
      <c r="G998" s="154"/>
      <c r="H998" s="162"/>
      <c r="I998" s="223"/>
      <c r="J998" s="162"/>
      <c r="K998" s="129"/>
      <c r="L998" s="79"/>
      <c r="M998" s="79"/>
      <c r="N998" s="79"/>
      <c r="O998" s="82"/>
    </row>
    <row r="999" ht="15.75" customHeight="1">
      <c r="A999" s="261"/>
      <c r="B999" s="171"/>
      <c r="C999" s="172"/>
      <c r="D999" s="172"/>
      <c r="E999" s="227"/>
      <c r="F999" s="228"/>
      <c r="G999" s="154"/>
      <c r="H999" s="162"/>
      <c r="I999" s="223"/>
      <c r="J999" s="162"/>
      <c r="K999" s="129"/>
      <c r="L999" s="79"/>
      <c r="M999" s="79"/>
      <c r="N999" s="79"/>
      <c r="O999" s="82"/>
    </row>
    <row r="1000" ht="15.75" customHeight="1">
      <c r="A1000" s="261"/>
      <c r="B1000" s="171"/>
      <c r="C1000" s="172"/>
      <c r="D1000" s="172"/>
      <c r="E1000" s="227"/>
      <c r="F1000" s="228"/>
      <c r="G1000" s="154"/>
      <c r="H1000" s="162"/>
      <c r="I1000" s="223"/>
      <c r="J1000" s="162"/>
      <c r="K1000" s="129"/>
      <c r="L1000" s="79"/>
      <c r="M1000" s="79"/>
      <c r="N1000" s="79"/>
      <c r="O1000" s="82"/>
    </row>
    <row r="1001" ht="15.75" customHeight="1">
      <c r="A1001" s="261"/>
      <c r="B1001" s="171"/>
      <c r="C1001" s="172"/>
      <c r="D1001" s="172"/>
      <c r="E1001" s="227"/>
      <c r="F1001" s="228"/>
      <c r="G1001" s="154"/>
      <c r="H1001" s="162"/>
      <c r="I1001" s="223"/>
      <c r="J1001" s="162"/>
      <c r="K1001" s="129"/>
      <c r="L1001" s="79"/>
      <c r="M1001" s="79"/>
      <c r="N1001" s="79"/>
      <c r="O1001" s="82"/>
    </row>
    <row r="1002" ht="15.75" customHeight="1">
      <c r="A1002" s="261"/>
      <c r="B1002" s="171"/>
      <c r="C1002" s="172"/>
      <c r="D1002" s="172"/>
      <c r="E1002" s="227"/>
      <c r="F1002" s="228"/>
      <c r="G1002" s="154"/>
      <c r="H1002" s="162"/>
      <c r="I1002" s="223"/>
      <c r="J1002" s="162"/>
      <c r="K1002" s="129"/>
      <c r="L1002" s="79"/>
      <c r="M1002" s="79"/>
      <c r="N1002" s="79"/>
      <c r="O1002" s="82"/>
    </row>
  </sheetData>
  <dataValidations>
    <dataValidation type="list" allowBlank="1" showErrorMessage="1" sqref="C3:C32">
      <formula1>"EM FUNCIONAMENTO,EM CONSTRUÇÃO"</formula1>
    </dataValidation>
    <dataValidation type="list" allowBlank="1" showErrorMessage="1" sqref="E3:E16 E18:E32">
      <formula1>"I,II,III,IV,V,VI,VII,VII,IX,X,XI,XII,Sem informação"</formula1>
    </dataValidation>
    <dataValidation type="list" allowBlank="1" showErrorMessage="1" sqref="E17">
      <formula1>"I,II,III,IV,V,VI,VII,VIII,IX,X,XI,XII,Sem informação"</formula1>
    </dataValidation>
  </dataValidations>
  <printOptions gridLines="1" horizontalCentered="1"/>
  <pageMargins bottom="0.75" footer="0.0" header="0.0" left="0.7" right="0.7" top="0.75"/>
  <pageSetup fitToHeight="0" paperSize="9" cellComments="atEnd" orientation="landscape" pageOrder="overThenDown"/>
  <drawing r:id="rId4"/>
  <legacyDrawing r:id="rId5"/>
  <tableParts count="1">
    <tablePart r:id="rId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0"/>
  <cols>
    <col customWidth="1" min="1" max="1" width="1.25"/>
    <col customWidth="1" min="2" max="2" width="25.25"/>
    <col customWidth="1" min="3" max="3" width="23.5"/>
    <col customWidth="1" min="4" max="4" width="26.38"/>
    <col customWidth="1" min="5" max="5" width="28.0"/>
    <col customWidth="1" min="6" max="6" width="13.75"/>
    <col customWidth="1" min="7" max="7" width="12.75"/>
    <col customWidth="1" min="8" max="8" width="20.88"/>
    <col customWidth="1" min="9" max="9" width="12.75"/>
    <col customWidth="1" min="10" max="10" width="61.13"/>
    <col customWidth="1" min="11" max="11" width="20.13"/>
    <col customWidth="1" min="12" max="12" width="19.25"/>
    <col customWidth="1" min="13" max="13" width="17.13"/>
    <col customWidth="1" min="14" max="15" width="19.13"/>
    <col customWidth="1" min="16" max="16" width="13.38"/>
    <col customWidth="1" min="17" max="17" width="19.13"/>
    <col customWidth="1" min="18" max="19" width="56.13"/>
    <col customWidth="1" min="20" max="25" width="14.75"/>
    <col customWidth="1" min="26" max="27" width="16.5"/>
  </cols>
  <sheetData>
    <row r="1" ht="89.25" customHeight="1">
      <c r="A1" s="1"/>
      <c r="B1" s="4"/>
      <c r="C1" s="7"/>
      <c r="D1" s="7"/>
      <c r="E1" s="11"/>
      <c r="F1" s="9"/>
      <c r="G1" s="9"/>
      <c r="H1" s="9"/>
      <c r="I1" s="9"/>
      <c r="J1" s="3"/>
      <c r="K1" s="9"/>
      <c r="L1" s="7"/>
      <c r="M1" s="18"/>
      <c r="N1" s="16"/>
      <c r="O1" s="16"/>
      <c r="P1" s="16"/>
      <c r="Q1" s="16"/>
      <c r="R1" s="16"/>
      <c r="S1" s="16"/>
      <c r="T1" s="16"/>
      <c r="U1" s="16"/>
      <c r="V1" s="16"/>
      <c r="W1" s="16"/>
      <c r="X1" s="16"/>
      <c r="Y1" s="16"/>
      <c r="Z1" s="16"/>
      <c r="AA1" s="16"/>
    </row>
    <row r="2" ht="36.75" customHeight="1">
      <c r="A2" s="19"/>
      <c r="B2" s="26" t="s">
        <v>1</v>
      </c>
      <c r="C2" s="30" t="s">
        <v>2</v>
      </c>
      <c r="D2" s="34" t="s">
        <v>16</v>
      </c>
      <c r="E2" s="38" t="s">
        <v>3</v>
      </c>
      <c r="F2" s="31" t="s">
        <v>31</v>
      </c>
      <c r="G2" s="31" t="s">
        <v>24</v>
      </c>
      <c r="H2" s="31" t="s">
        <v>25</v>
      </c>
      <c r="I2" s="31" t="s">
        <v>43</v>
      </c>
      <c r="J2" s="31" t="s">
        <v>9</v>
      </c>
      <c r="K2" s="31" t="s">
        <v>10</v>
      </c>
      <c r="L2" s="31" t="s">
        <v>28</v>
      </c>
      <c r="M2" s="31" t="s">
        <v>29</v>
      </c>
      <c r="N2" s="31" t="s">
        <v>52</v>
      </c>
      <c r="O2" s="31" t="s">
        <v>54</v>
      </c>
      <c r="P2" s="31" t="s">
        <v>56</v>
      </c>
      <c r="Q2" s="31" t="s">
        <v>33</v>
      </c>
      <c r="R2" s="42" t="s">
        <v>60</v>
      </c>
      <c r="S2" s="30" t="s">
        <v>64</v>
      </c>
      <c r="T2" s="47" t="s">
        <v>15</v>
      </c>
      <c r="U2" s="31" t="s">
        <v>49</v>
      </c>
      <c r="V2" s="31" t="s">
        <v>17</v>
      </c>
      <c r="W2" s="31" t="s">
        <v>18</v>
      </c>
      <c r="X2" s="31" t="s">
        <v>19</v>
      </c>
      <c r="Y2" s="31" t="s">
        <v>20</v>
      </c>
      <c r="Z2" s="31" t="s">
        <v>57</v>
      </c>
      <c r="AA2" s="50" t="s">
        <v>70</v>
      </c>
    </row>
    <row r="3" ht="193.5" customHeight="1">
      <c r="A3" s="52"/>
      <c r="B3" s="53" t="s">
        <v>73</v>
      </c>
      <c r="C3" s="44" t="s">
        <v>63</v>
      </c>
      <c r="D3" s="63" t="s">
        <v>75</v>
      </c>
      <c r="E3" s="76" t="s">
        <v>95</v>
      </c>
      <c r="F3" s="63">
        <v>835.0</v>
      </c>
      <c r="G3" s="68">
        <v>12.0</v>
      </c>
      <c r="H3" s="68" t="s">
        <v>100</v>
      </c>
      <c r="I3" s="63" t="s">
        <v>68</v>
      </c>
      <c r="J3" s="68" t="s">
        <v>103</v>
      </c>
      <c r="K3" s="81">
        <v>5510.0</v>
      </c>
      <c r="L3" s="81">
        <v>2206.0</v>
      </c>
      <c r="M3" s="83">
        <v>1.302062423E7</v>
      </c>
      <c r="N3" s="84">
        <v>1.2215394479E8</v>
      </c>
      <c r="O3" s="84">
        <v>1.5592776346E8</v>
      </c>
      <c r="P3" s="98">
        <f t="shared" ref="P3:P8" si="1">(O3-N3)/N3</f>
        <v>0.2764856978</v>
      </c>
      <c r="Q3" s="99">
        <v>1.7657382534E8</v>
      </c>
      <c r="R3" s="70" t="s">
        <v>126</v>
      </c>
      <c r="S3" s="103" t="s">
        <v>130</v>
      </c>
      <c r="T3" s="66">
        <v>2965.0</v>
      </c>
      <c r="U3" s="66"/>
      <c r="V3" s="66"/>
      <c r="W3" s="66"/>
      <c r="X3" s="66">
        <v>982.0</v>
      </c>
      <c r="Y3" s="66"/>
      <c r="Z3" s="107">
        <v>1563.0</v>
      </c>
      <c r="AA3" s="107"/>
    </row>
    <row r="4" ht="441.0" customHeight="1">
      <c r="A4" s="36"/>
      <c r="B4" s="40" t="s">
        <v>139</v>
      </c>
      <c r="C4" s="44" t="s">
        <v>63</v>
      </c>
      <c r="D4" s="63" t="s">
        <v>75</v>
      </c>
      <c r="E4" s="76" t="s">
        <v>142</v>
      </c>
      <c r="F4" s="68">
        <v>380.0</v>
      </c>
      <c r="G4" s="68" t="s">
        <v>68</v>
      </c>
      <c r="H4" s="68" t="s">
        <v>68</v>
      </c>
      <c r="I4" s="110" t="s">
        <v>145</v>
      </c>
      <c r="J4" s="68" t="s">
        <v>148</v>
      </c>
      <c r="K4" s="81">
        <v>3408.0</v>
      </c>
      <c r="L4" s="81">
        <v>968.0</v>
      </c>
      <c r="M4" s="114">
        <v>1.063867703E7</v>
      </c>
      <c r="N4" s="84">
        <v>5.169331391E7</v>
      </c>
      <c r="O4" s="84">
        <v>6.766050429E7</v>
      </c>
      <c r="P4" s="98">
        <f t="shared" si="1"/>
        <v>0.308883087</v>
      </c>
      <c r="Q4" s="99">
        <v>1.0319005533E8</v>
      </c>
      <c r="R4" s="70" t="s">
        <v>157</v>
      </c>
      <c r="S4" s="68" t="s">
        <v>160</v>
      </c>
      <c r="T4" s="66">
        <v>2189.0</v>
      </c>
      <c r="U4" s="66"/>
      <c r="V4" s="66"/>
      <c r="W4" s="66"/>
      <c r="X4" s="66">
        <v>580.0</v>
      </c>
      <c r="Y4" s="66"/>
      <c r="Z4" s="107">
        <v>639.0</v>
      </c>
      <c r="AA4" s="122"/>
    </row>
    <row r="5" ht="189.0" customHeight="1">
      <c r="A5" s="52"/>
      <c r="B5" s="53" t="s">
        <v>164</v>
      </c>
      <c r="C5" s="44" t="s">
        <v>63</v>
      </c>
      <c r="D5" s="63" t="s">
        <v>75</v>
      </c>
      <c r="E5" s="76" t="s">
        <v>169</v>
      </c>
      <c r="F5" s="63">
        <v>379.0</v>
      </c>
      <c r="G5" s="63">
        <v>25.0</v>
      </c>
      <c r="H5" s="68" t="s">
        <v>172</v>
      </c>
      <c r="I5" s="63">
        <v>71.0</v>
      </c>
      <c r="J5" s="68" t="s">
        <v>176</v>
      </c>
      <c r="K5" s="81">
        <v>3154.0</v>
      </c>
      <c r="L5" s="128">
        <v>1272.0</v>
      </c>
      <c r="M5" s="83">
        <v>7677188.16</v>
      </c>
      <c r="N5" s="130">
        <v>4.534676427E7</v>
      </c>
      <c r="O5" s="130">
        <v>8.485525519E7</v>
      </c>
      <c r="P5" s="98">
        <f t="shared" si="1"/>
        <v>0.8712527025</v>
      </c>
      <c r="Q5" s="99">
        <v>1.3476118499E8</v>
      </c>
      <c r="R5" s="70" t="s">
        <v>184</v>
      </c>
      <c r="S5" s="136" t="s">
        <v>187</v>
      </c>
      <c r="T5" s="66">
        <v>1971.0</v>
      </c>
      <c r="U5" s="66">
        <v>6.0</v>
      </c>
      <c r="V5" s="66"/>
      <c r="W5" s="66"/>
      <c r="X5" s="66">
        <v>262.0</v>
      </c>
      <c r="Y5" s="66"/>
      <c r="Z5" s="107">
        <v>857.0</v>
      </c>
      <c r="AA5" s="122">
        <v>58.0</v>
      </c>
    </row>
    <row r="6" ht="252.0" customHeight="1">
      <c r="A6" s="52"/>
      <c r="B6" s="53" t="s">
        <v>193</v>
      </c>
      <c r="C6" s="44" t="s">
        <v>63</v>
      </c>
      <c r="D6" s="63" t="s">
        <v>75</v>
      </c>
      <c r="E6" s="76" t="s">
        <v>196</v>
      </c>
      <c r="F6" s="63">
        <v>412.0</v>
      </c>
      <c r="G6" s="63" t="s">
        <v>68</v>
      </c>
      <c r="H6" s="63" t="s">
        <v>68</v>
      </c>
      <c r="I6" s="63" t="s">
        <v>68</v>
      </c>
      <c r="J6" s="68" t="s">
        <v>198</v>
      </c>
      <c r="K6" s="81">
        <v>2853.0</v>
      </c>
      <c r="L6" s="128">
        <v>925.0</v>
      </c>
      <c r="M6" s="83">
        <v>6804023.74</v>
      </c>
      <c r="N6" s="130">
        <v>5.839664023E7</v>
      </c>
      <c r="O6" s="130">
        <v>7.154786016E7</v>
      </c>
      <c r="P6" s="98">
        <f t="shared" si="1"/>
        <v>0.2252050782</v>
      </c>
      <c r="Q6" s="99">
        <v>7.79384042E7</v>
      </c>
      <c r="R6" s="70" t="s">
        <v>205</v>
      </c>
      <c r="S6" s="70" t="s">
        <v>206</v>
      </c>
      <c r="T6" s="66">
        <v>1798.0</v>
      </c>
      <c r="U6" s="66"/>
      <c r="V6" s="66"/>
      <c r="W6" s="66"/>
      <c r="X6" s="66">
        <v>380.0</v>
      </c>
      <c r="Y6" s="66"/>
      <c r="Z6" s="107">
        <v>675.0</v>
      </c>
      <c r="AA6" s="122"/>
    </row>
    <row r="7" ht="205.5" customHeight="1">
      <c r="A7" s="52"/>
      <c r="B7" s="53" t="s">
        <v>212</v>
      </c>
      <c r="C7" s="44" t="s">
        <v>63</v>
      </c>
      <c r="D7" s="63" t="s">
        <v>75</v>
      </c>
      <c r="E7" s="76" t="s">
        <v>215</v>
      </c>
      <c r="F7" s="63">
        <v>511.0</v>
      </c>
      <c r="G7" s="63" t="s">
        <v>68</v>
      </c>
      <c r="H7" s="68"/>
      <c r="I7" s="68">
        <v>146.0</v>
      </c>
      <c r="J7" s="68" t="s">
        <v>217</v>
      </c>
      <c r="K7" s="81">
        <v>3275.0</v>
      </c>
      <c r="L7" s="128">
        <v>1221.0</v>
      </c>
      <c r="M7" s="83">
        <v>1.089971343E7</v>
      </c>
      <c r="N7" s="130">
        <v>5.766677934E7</v>
      </c>
      <c r="O7" s="130">
        <v>1.1845326357E8</v>
      </c>
      <c r="P7" s="98">
        <f t="shared" si="1"/>
        <v>1.054098823</v>
      </c>
      <c r="Q7" s="99">
        <v>1.6657634914E8</v>
      </c>
      <c r="R7" s="70" t="s">
        <v>226</v>
      </c>
      <c r="S7" s="70" t="s">
        <v>229</v>
      </c>
      <c r="T7" s="66">
        <v>1785.0</v>
      </c>
      <c r="U7" s="66"/>
      <c r="V7" s="66"/>
      <c r="W7" s="66"/>
      <c r="X7" s="66">
        <v>532.0</v>
      </c>
      <c r="Y7" s="66"/>
      <c r="Z7" s="107">
        <v>958.0</v>
      </c>
      <c r="AA7" s="122"/>
    </row>
    <row r="8" ht="177.75" customHeight="1">
      <c r="A8" s="52"/>
      <c r="B8" s="53" t="s">
        <v>233</v>
      </c>
      <c r="C8" s="44" t="s">
        <v>63</v>
      </c>
      <c r="D8" s="63" t="s">
        <v>75</v>
      </c>
      <c r="E8" s="76" t="s">
        <v>237</v>
      </c>
      <c r="F8" s="63">
        <v>182.0</v>
      </c>
      <c r="G8" s="63" t="s">
        <v>68</v>
      </c>
      <c r="H8" s="63" t="s">
        <v>68</v>
      </c>
      <c r="I8" s="63">
        <v>288.0</v>
      </c>
      <c r="J8" s="68" t="s">
        <v>240</v>
      </c>
      <c r="K8" s="81">
        <v>1786.0</v>
      </c>
      <c r="L8" s="81">
        <v>367.0</v>
      </c>
      <c r="M8" s="114">
        <v>8509986.37</v>
      </c>
      <c r="N8" s="130">
        <v>4.714932149E7</v>
      </c>
      <c r="O8" s="130">
        <v>5.220581304E7</v>
      </c>
      <c r="P8" s="98">
        <f t="shared" si="1"/>
        <v>0.1072442061</v>
      </c>
      <c r="Q8" s="99">
        <v>1.5341273237E8</v>
      </c>
      <c r="R8" s="70" t="s">
        <v>248</v>
      </c>
      <c r="S8" s="70" t="s">
        <v>250</v>
      </c>
      <c r="T8" s="66">
        <v>1166.0</v>
      </c>
      <c r="U8" s="66"/>
      <c r="V8" s="66"/>
      <c r="W8" s="66"/>
      <c r="X8" s="66">
        <v>393.0</v>
      </c>
      <c r="Y8" s="66"/>
      <c r="Z8" s="107">
        <v>227.0</v>
      </c>
      <c r="AA8" s="122"/>
    </row>
    <row r="9" ht="19.5" customHeight="1">
      <c r="A9" s="52"/>
      <c r="B9" s="53"/>
      <c r="C9" s="153"/>
      <c r="D9" s="63"/>
      <c r="E9" s="154"/>
      <c r="F9" s="156"/>
      <c r="G9" s="156"/>
      <c r="H9" s="156"/>
      <c r="I9" s="156"/>
      <c r="J9" s="157"/>
      <c r="K9" s="158"/>
      <c r="L9" s="156"/>
      <c r="M9" s="156"/>
      <c r="N9" s="156"/>
      <c r="O9" s="156"/>
      <c r="P9" s="156"/>
      <c r="Q9" s="156"/>
      <c r="R9" s="156"/>
      <c r="S9" s="159"/>
      <c r="T9" s="159"/>
      <c r="U9" s="159"/>
      <c r="V9" s="159"/>
      <c r="W9" s="159"/>
      <c r="X9" s="159"/>
      <c r="Y9" s="159"/>
      <c r="Z9" s="159"/>
      <c r="AA9" s="159"/>
    </row>
    <row r="10" ht="19.5" customHeight="1">
      <c r="A10" s="52"/>
      <c r="B10" s="160" t="s">
        <v>261</v>
      </c>
      <c r="C10" s="161"/>
      <c r="D10" s="63"/>
      <c r="E10" s="154"/>
      <c r="F10" s="162"/>
      <c r="G10" s="162"/>
      <c r="H10" s="162"/>
      <c r="I10" s="162"/>
      <c r="J10" s="164"/>
      <c r="K10" s="162"/>
      <c r="L10" s="162"/>
      <c r="M10" s="156"/>
      <c r="N10" s="156"/>
      <c r="O10" s="156"/>
      <c r="P10" s="156"/>
      <c r="Q10" s="156"/>
      <c r="R10" s="156"/>
      <c r="S10" s="159"/>
      <c r="T10" s="159"/>
      <c r="U10" s="159"/>
      <c r="V10" s="159"/>
      <c r="W10" s="159"/>
      <c r="X10" s="159"/>
      <c r="Y10" s="159"/>
      <c r="Z10" s="159"/>
      <c r="AA10" s="159"/>
    </row>
    <row r="11" ht="19.5" customHeight="1">
      <c r="A11" s="52"/>
      <c r="B11" s="53"/>
      <c r="C11" s="153"/>
      <c r="D11" s="153"/>
      <c r="E11" s="154"/>
      <c r="F11" s="156"/>
      <c r="G11" s="156"/>
      <c r="H11" s="156"/>
      <c r="I11" s="156"/>
      <c r="J11" s="157"/>
      <c r="K11" s="156"/>
      <c r="L11" s="156"/>
      <c r="M11" s="156"/>
      <c r="N11" s="156"/>
      <c r="O11" s="156"/>
      <c r="P11" s="156"/>
      <c r="Q11" s="156"/>
      <c r="R11" s="63"/>
      <c r="S11" s="153"/>
      <c r="T11" s="153"/>
      <c r="U11" s="153"/>
      <c r="V11" s="153"/>
      <c r="W11" s="153"/>
      <c r="X11" s="153"/>
      <c r="Y11" s="153"/>
      <c r="Z11" s="153"/>
      <c r="AA11" s="153"/>
    </row>
    <row r="12" ht="19.5" customHeight="1">
      <c r="A12" s="52"/>
      <c r="B12" s="53"/>
      <c r="C12" s="153"/>
      <c r="D12" s="153"/>
      <c r="E12" s="154"/>
      <c r="F12" s="162"/>
      <c r="G12" s="162"/>
      <c r="H12" s="162"/>
      <c r="I12" s="162"/>
      <c r="J12" s="164"/>
      <c r="K12" s="162"/>
      <c r="L12" s="162"/>
      <c r="M12" s="156"/>
      <c r="N12" s="156"/>
      <c r="O12" s="156"/>
      <c r="P12" s="156"/>
      <c r="Q12" s="156"/>
      <c r="R12" s="156"/>
      <c r="S12" s="159"/>
      <c r="T12" s="159"/>
      <c r="U12" s="159"/>
      <c r="V12" s="159"/>
      <c r="W12" s="159"/>
      <c r="X12" s="159"/>
      <c r="Y12" s="159"/>
      <c r="Z12" s="159"/>
      <c r="AA12" s="159"/>
    </row>
    <row r="13" ht="19.5" customHeight="1">
      <c r="A13" s="52"/>
      <c r="B13" s="53"/>
      <c r="C13" s="153"/>
      <c r="D13" s="153"/>
      <c r="E13" s="154"/>
      <c r="F13" s="156"/>
      <c r="G13" s="156"/>
      <c r="H13" s="156"/>
      <c r="I13" s="156"/>
      <c r="J13" s="157"/>
      <c r="K13" s="156"/>
      <c r="L13" s="156"/>
      <c r="M13" s="156"/>
      <c r="N13" s="156"/>
      <c r="O13" s="156"/>
      <c r="P13" s="156"/>
      <c r="Q13" s="156"/>
      <c r="R13" s="63"/>
      <c r="S13" s="153"/>
      <c r="T13" s="153"/>
      <c r="U13" s="153"/>
      <c r="V13" s="153"/>
      <c r="W13" s="153"/>
      <c r="X13" s="153"/>
      <c r="Y13" s="153"/>
      <c r="Z13" s="153"/>
      <c r="AA13" s="153"/>
    </row>
    <row r="14" ht="19.5" customHeight="1">
      <c r="A14" s="52"/>
      <c r="B14" s="53"/>
      <c r="C14" s="153"/>
      <c r="D14" s="153"/>
      <c r="E14" s="154"/>
      <c r="F14" s="156"/>
      <c r="G14" s="156"/>
      <c r="H14" s="156"/>
      <c r="I14" s="156"/>
      <c r="J14" s="157"/>
      <c r="K14" s="156"/>
      <c r="L14" s="156"/>
      <c r="M14" s="156"/>
      <c r="N14" s="156"/>
      <c r="O14" s="156"/>
      <c r="P14" s="156"/>
      <c r="Q14" s="156"/>
      <c r="R14" s="156"/>
      <c r="S14" s="159"/>
      <c r="T14" s="159"/>
      <c r="U14" s="159"/>
      <c r="V14" s="159"/>
      <c r="W14" s="159"/>
      <c r="X14" s="159"/>
      <c r="Y14" s="159"/>
      <c r="Z14" s="159"/>
      <c r="AA14" s="159"/>
    </row>
    <row r="15" ht="19.5" customHeight="1">
      <c r="A15" s="52"/>
      <c r="B15" s="166"/>
      <c r="C15" s="159"/>
      <c r="D15" s="159"/>
      <c r="E15" s="154"/>
      <c r="F15" s="156"/>
      <c r="G15" s="156"/>
      <c r="H15" s="156"/>
      <c r="I15" s="156"/>
      <c r="J15" s="157"/>
      <c r="K15" s="156"/>
      <c r="L15" s="156"/>
      <c r="M15" s="156"/>
      <c r="N15" s="156"/>
      <c r="O15" s="156"/>
      <c r="P15" s="156"/>
      <c r="Q15" s="156"/>
      <c r="R15" s="63"/>
      <c r="S15" s="153"/>
      <c r="T15" s="153"/>
      <c r="U15" s="153"/>
      <c r="V15" s="153"/>
      <c r="W15" s="153"/>
      <c r="X15" s="153"/>
      <c r="Y15" s="153"/>
      <c r="Z15" s="153"/>
      <c r="AA15" s="153"/>
    </row>
    <row r="16" ht="19.5" customHeight="1">
      <c r="A16" s="52"/>
      <c r="B16" s="166"/>
      <c r="C16" s="159"/>
      <c r="D16" s="159"/>
      <c r="E16" s="154"/>
      <c r="F16" s="156"/>
      <c r="G16" s="156"/>
      <c r="H16" s="156"/>
      <c r="I16" s="156"/>
      <c r="J16" s="157"/>
      <c r="K16" s="156"/>
      <c r="L16" s="156"/>
      <c r="M16" s="156"/>
      <c r="N16" s="156"/>
      <c r="O16" s="156"/>
      <c r="P16" s="156"/>
      <c r="Q16" s="156"/>
      <c r="R16" s="156"/>
      <c r="S16" s="159"/>
      <c r="T16" s="159"/>
      <c r="U16" s="159"/>
      <c r="V16" s="159"/>
      <c r="W16" s="159"/>
      <c r="X16" s="159"/>
      <c r="Y16" s="159"/>
      <c r="Z16" s="159"/>
      <c r="AA16" s="159"/>
    </row>
    <row r="17" ht="19.5" customHeight="1">
      <c r="A17" s="52"/>
      <c r="B17" s="166"/>
      <c r="C17" s="159"/>
      <c r="D17" s="159"/>
      <c r="E17" s="154"/>
      <c r="F17" s="156"/>
      <c r="G17" s="156"/>
      <c r="H17" s="156"/>
      <c r="I17" s="156"/>
      <c r="J17" s="157"/>
      <c r="K17" s="156"/>
      <c r="L17" s="156"/>
      <c r="M17" s="156"/>
      <c r="N17" s="156"/>
      <c r="O17" s="156"/>
      <c r="P17" s="156"/>
      <c r="Q17" s="156"/>
      <c r="R17" s="63"/>
      <c r="S17" s="153"/>
      <c r="T17" s="153"/>
      <c r="U17" s="153"/>
      <c r="V17" s="153"/>
      <c r="W17" s="153"/>
      <c r="X17" s="153"/>
      <c r="Y17" s="153"/>
      <c r="Z17" s="153"/>
      <c r="AA17" s="153"/>
    </row>
    <row r="18" ht="19.5" customHeight="1">
      <c r="A18" s="52"/>
      <c r="B18" s="166"/>
      <c r="C18" s="159"/>
      <c r="D18" s="159"/>
      <c r="E18" s="154"/>
      <c r="F18" s="156"/>
      <c r="G18" s="156"/>
      <c r="H18" s="156"/>
      <c r="I18" s="156"/>
      <c r="J18" s="157"/>
      <c r="K18" s="156"/>
      <c r="L18" s="156"/>
      <c r="M18" s="156"/>
      <c r="N18" s="156"/>
      <c r="O18" s="156"/>
      <c r="P18" s="156"/>
      <c r="Q18" s="156"/>
      <c r="R18" s="156"/>
      <c r="S18" s="159"/>
      <c r="T18" s="159"/>
      <c r="U18" s="159"/>
      <c r="V18" s="159"/>
      <c r="W18" s="159"/>
      <c r="X18" s="159"/>
      <c r="Y18" s="159"/>
      <c r="Z18" s="159"/>
      <c r="AA18" s="159"/>
    </row>
    <row r="19" ht="19.5" customHeight="1">
      <c r="A19" s="52"/>
      <c r="B19" s="171"/>
      <c r="C19" s="172"/>
      <c r="D19" s="172"/>
      <c r="E19" s="154"/>
      <c r="F19" s="162"/>
      <c r="G19" s="162"/>
      <c r="H19" s="162"/>
      <c r="I19" s="162"/>
      <c r="J19" s="174"/>
      <c r="K19" s="162"/>
      <c r="L19" s="129"/>
      <c r="M19" s="156"/>
      <c r="N19" s="79"/>
      <c r="O19" s="79"/>
      <c r="P19" s="79"/>
      <c r="Q19" s="79"/>
      <c r="R19" s="80"/>
      <c r="S19" s="112"/>
      <c r="T19" s="112"/>
      <c r="U19" s="112"/>
      <c r="V19" s="112"/>
      <c r="W19" s="112"/>
      <c r="X19" s="112"/>
      <c r="Y19" s="112"/>
      <c r="Z19" s="112"/>
      <c r="AA19" s="112"/>
    </row>
    <row r="20" ht="19.5" customHeight="1">
      <c r="A20" s="52"/>
      <c r="B20" s="166"/>
      <c r="C20" s="159"/>
      <c r="D20" s="159"/>
      <c r="E20" s="154"/>
      <c r="F20" s="156"/>
      <c r="G20" s="156"/>
      <c r="H20" s="156"/>
      <c r="I20" s="156"/>
      <c r="J20" s="178"/>
      <c r="K20" s="156"/>
      <c r="L20" s="79"/>
      <c r="M20" s="156"/>
      <c r="N20" s="79"/>
      <c r="O20" s="79"/>
      <c r="P20" s="79"/>
      <c r="Q20" s="79"/>
      <c r="R20" s="79"/>
      <c r="S20" s="82"/>
      <c r="T20" s="82"/>
      <c r="U20" s="82"/>
      <c r="V20" s="82"/>
      <c r="W20" s="82"/>
      <c r="X20" s="82"/>
      <c r="Y20" s="82"/>
      <c r="Z20" s="82"/>
      <c r="AA20" s="82"/>
    </row>
    <row r="21" ht="19.5" customHeight="1">
      <c r="A21" s="52"/>
      <c r="B21" s="166"/>
      <c r="C21" s="159"/>
      <c r="D21" s="159"/>
      <c r="E21" s="154"/>
      <c r="F21" s="156"/>
      <c r="G21" s="156"/>
      <c r="H21" s="156"/>
      <c r="I21" s="156"/>
      <c r="J21" s="178"/>
      <c r="K21" s="156"/>
      <c r="L21" s="79"/>
      <c r="M21" s="156"/>
      <c r="N21" s="79"/>
      <c r="O21" s="79"/>
      <c r="P21" s="79"/>
      <c r="Q21" s="79"/>
      <c r="R21" s="80"/>
      <c r="S21" s="112"/>
      <c r="T21" s="112"/>
      <c r="U21" s="112"/>
      <c r="V21" s="112"/>
      <c r="W21" s="112"/>
      <c r="X21" s="112"/>
      <c r="Y21" s="112"/>
      <c r="Z21" s="112"/>
      <c r="AA21" s="112"/>
    </row>
    <row r="22" ht="19.5" customHeight="1">
      <c r="A22" s="52"/>
      <c r="B22" s="166"/>
      <c r="C22" s="159"/>
      <c r="D22" s="159"/>
      <c r="E22" s="154"/>
      <c r="F22" s="156"/>
      <c r="G22" s="156"/>
      <c r="H22" s="156"/>
      <c r="I22" s="156"/>
      <c r="J22" s="178"/>
      <c r="K22" s="156"/>
      <c r="L22" s="79"/>
      <c r="M22" s="156"/>
      <c r="N22" s="79"/>
      <c r="O22" s="79"/>
      <c r="P22" s="79"/>
      <c r="Q22" s="79"/>
      <c r="R22" s="79"/>
      <c r="S22" s="82"/>
      <c r="T22" s="82"/>
      <c r="U22" s="82"/>
      <c r="V22" s="82"/>
      <c r="W22" s="82"/>
      <c r="X22" s="82"/>
      <c r="Y22" s="82"/>
      <c r="Z22" s="82"/>
      <c r="AA22" s="82"/>
    </row>
    <row r="23" ht="19.5" customHeight="1">
      <c r="A23" s="52"/>
      <c r="B23" s="166"/>
      <c r="C23" s="159"/>
      <c r="D23" s="159"/>
      <c r="E23" s="154"/>
      <c r="F23" s="156"/>
      <c r="G23" s="156"/>
      <c r="H23" s="156"/>
      <c r="I23" s="156"/>
      <c r="J23" s="178"/>
      <c r="K23" s="156"/>
      <c r="L23" s="79"/>
      <c r="M23" s="156"/>
      <c r="N23" s="79"/>
      <c r="O23" s="79"/>
      <c r="P23" s="79"/>
      <c r="Q23" s="79"/>
      <c r="R23" s="79"/>
      <c r="S23" s="82"/>
      <c r="T23" s="82"/>
      <c r="U23" s="82"/>
      <c r="V23" s="82"/>
      <c r="W23" s="82"/>
      <c r="X23" s="82"/>
      <c r="Y23" s="82"/>
      <c r="Z23" s="82"/>
      <c r="AA23" s="82"/>
    </row>
    <row r="24" ht="19.5" customHeight="1">
      <c r="A24" s="52"/>
      <c r="B24" s="166"/>
      <c r="C24" s="159"/>
      <c r="D24" s="159"/>
      <c r="E24" s="154"/>
      <c r="F24" s="156"/>
      <c r="G24" s="156"/>
      <c r="H24" s="156"/>
      <c r="I24" s="156"/>
      <c r="J24" s="178"/>
      <c r="K24" s="156"/>
      <c r="L24" s="79"/>
      <c r="M24" s="156"/>
      <c r="N24" s="79"/>
      <c r="O24" s="79"/>
      <c r="P24" s="79"/>
      <c r="Q24" s="79"/>
      <c r="R24" s="80"/>
      <c r="S24" s="112"/>
      <c r="T24" s="112"/>
      <c r="U24" s="112"/>
      <c r="V24" s="112"/>
      <c r="W24" s="112"/>
      <c r="X24" s="112"/>
      <c r="Y24" s="112"/>
      <c r="Z24" s="112"/>
      <c r="AA24" s="112"/>
    </row>
    <row r="25" ht="19.5" customHeight="1">
      <c r="A25" s="52"/>
      <c r="B25" s="166"/>
      <c r="C25" s="159"/>
      <c r="D25" s="159"/>
      <c r="E25" s="154"/>
      <c r="F25" s="156"/>
      <c r="G25" s="156"/>
      <c r="H25" s="156"/>
      <c r="I25" s="156"/>
      <c r="J25" s="178"/>
      <c r="K25" s="156"/>
      <c r="L25" s="79"/>
      <c r="M25" s="156"/>
      <c r="N25" s="79"/>
      <c r="O25" s="79"/>
      <c r="P25" s="79"/>
      <c r="Q25" s="79"/>
      <c r="R25" s="79"/>
      <c r="S25" s="82"/>
      <c r="T25" s="82"/>
      <c r="U25" s="82"/>
      <c r="V25" s="82"/>
      <c r="W25" s="82"/>
      <c r="X25" s="82"/>
      <c r="Y25" s="82"/>
      <c r="Z25" s="82"/>
      <c r="AA25" s="82"/>
    </row>
    <row r="26" ht="19.5" customHeight="1">
      <c r="A26" s="52"/>
      <c r="B26" s="166"/>
      <c r="C26" s="159"/>
      <c r="D26" s="159"/>
      <c r="E26" s="154"/>
      <c r="F26" s="156"/>
      <c r="G26" s="156"/>
      <c r="H26" s="156"/>
      <c r="I26" s="156"/>
      <c r="J26" s="178"/>
      <c r="K26" s="156"/>
      <c r="L26" s="79"/>
      <c r="M26" s="156"/>
      <c r="N26" s="79"/>
      <c r="O26" s="79"/>
      <c r="P26" s="79"/>
      <c r="Q26" s="79"/>
      <c r="R26" s="79"/>
      <c r="S26" s="82"/>
      <c r="T26" s="82"/>
      <c r="U26" s="82"/>
      <c r="V26" s="82"/>
      <c r="W26" s="82"/>
      <c r="X26" s="82"/>
      <c r="Y26" s="82"/>
      <c r="Z26" s="82"/>
      <c r="AA26" s="82"/>
    </row>
    <row r="27" ht="19.5" customHeight="1">
      <c r="A27" s="52"/>
      <c r="B27" s="166"/>
      <c r="C27" s="159"/>
      <c r="D27" s="159"/>
      <c r="E27" s="154"/>
      <c r="F27" s="156"/>
      <c r="G27" s="156"/>
      <c r="H27" s="156"/>
      <c r="I27" s="156"/>
      <c r="J27" s="178"/>
      <c r="K27" s="156"/>
      <c r="L27" s="79"/>
      <c r="M27" s="156"/>
      <c r="N27" s="79"/>
      <c r="O27" s="79"/>
      <c r="P27" s="79"/>
      <c r="Q27" s="79"/>
      <c r="R27" s="80"/>
      <c r="S27" s="112"/>
      <c r="T27" s="112"/>
      <c r="U27" s="112"/>
      <c r="V27" s="112"/>
      <c r="W27" s="112"/>
      <c r="X27" s="112"/>
      <c r="Y27" s="112"/>
      <c r="Z27" s="112"/>
      <c r="AA27" s="112"/>
    </row>
    <row r="28" ht="19.5" customHeight="1">
      <c r="A28" s="52"/>
      <c r="B28" s="166"/>
      <c r="C28" s="159"/>
      <c r="D28" s="159"/>
      <c r="E28" s="154"/>
      <c r="F28" s="156"/>
      <c r="G28" s="156"/>
      <c r="H28" s="156"/>
      <c r="I28" s="156"/>
      <c r="J28" s="178"/>
      <c r="K28" s="156"/>
      <c r="L28" s="79"/>
      <c r="M28" s="156"/>
      <c r="N28" s="79"/>
      <c r="O28" s="79"/>
      <c r="P28" s="79"/>
      <c r="Q28" s="79"/>
      <c r="R28" s="80"/>
      <c r="S28" s="112"/>
      <c r="T28" s="112"/>
      <c r="U28" s="112"/>
      <c r="V28" s="112"/>
      <c r="W28" s="112"/>
      <c r="X28" s="112"/>
      <c r="Y28" s="112"/>
      <c r="Z28" s="112"/>
      <c r="AA28" s="112"/>
    </row>
    <row r="29" ht="19.5" customHeight="1">
      <c r="A29" s="52"/>
      <c r="B29" s="166"/>
      <c r="C29" s="159"/>
      <c r="D29" s="159"/>
      <c r="E29" s="154"/>
      <c r="F29" s="156"/>
      <c r="G29" s="156"/>
      <c r="H29" s="156"/>
      <c r="I29" s="156"/>
      <c r="J29" s="178"/>
      <c r="K29" s="156"/>
      <c r="L29" s="79"/>
      <c r="M29" s="156"/>
      <c r="N29" s="79"/>
      <c r="O29" s="79"/>
      <c r="P29" s="79"/>
      <c r="Q29" s="79"/>
      <c r="R29" s="80"/>
      <c r="S29" s="112"/>
      <c r="T29" s="112"/>
      <c r="U29" s="112"/>
      <c r="V29" s="112"/>
      <c r="W29" s="112"/>
      <c r="X29" s="112"/>
      <c r="Y29" s="112"/>
      <c r="Z29" s="112"/>
      <c r="AA29" s="112"/>
    </row>
    <row r="30" ht="19.5" customHeight="1">
      <c r="A30" s="52"/>
      <c r="B30" s="166"/>
      <c r="C30" s="159"/>
      <c r="D30" s="159"/>
      <c r="E30" s="154"/>
      <c r="F30" s="156"/>
      <c r="G30" s="156"/>
      <c r="H30" s="156"/>
      <c r="I30" s="156"/>
      <c r="J30" s="178"/>
      <c r="K30" s="156"/>
      <c r="L30" s="79"/>
      <c r="M30" s="156"/>
      <c r="N30" s="79"/>
      <c r="O30" s="79"/>
      <c r="P30" s="79"/>
      <c r="Q30" s="79"/>
      <c r="R30" s="80"/>
      <c r="S30" s="112"/>
      <c r="T30" s="112"/>
      <c r="U30" s="112"/>
      <c r="V30" s="112"/>
      <c r="W30" s="112"/>
      <c r="X30" s="112"/>
      <c r="Y30" s="112"/>
      <c r="Z30" s="112"/>
      <c r="AA30" s="112"/>
    </row>
    <row r="31" ht="19.5" customHeight="1">
      <c r="A31" s="52"/>
      <c r="B31" s="166"/>
      <c r="C31" s="159"/>
      <c r="D31" s="159"/>
      <c r="E31" s="154"/>
      <c r="F31" s="156"/>
      <c r="G31" s="156"/>
      <c r="H31" s="156"/>
      <c r="I31" s="156"/>
      <c r="J31" s="178"/>
      <c r="K31" s="156"/>
      <c r="L31" s="79"/>
      <c r="M31" s="156"/>
      <c r="N31" s="79"/>
      <c r="O31" s="79"/>
      <c r="P31" s="79"/>
      <c r="Q31" s="79"/>
      <c r="R31" s="80"/>
      <c r="S31" s="112"/>
      <c r="T31" s="112"/>
      <c r="U31" s="112"/>
      <c r="V31" s="112"/>
      <c r="W31" s="112"/>
      <c r="X31" s="112"/>
      <c r="Y31" s="112"/>
      <c r="Z31" s="112"/>
      <c r="AA31" s="112"/>
    </row>
    <row r="32" ht="19.5" customHeight="1">
      <c r="A32" s="52"/>
      <c r="B32" s="171"/>
      <c r="C32" s="172"/>
      <c r="D32" s="172"/>
      <c r="E32" s="154"/>
      <c r="F32" s="162"/>
      <c r="G32" s="162"/>
      <c r="H32" s="162"/>
      <c r="I32" s="162"/>
      <c r="J32" s="174"/>
      <c r="K32" s="162"/>
      <c r="L32" s="129"/>
      <c r="M32" s="156"/>
      <c r="N32" s="79"/>
      <c r="O32" s="79"/>
      <c r="P32" s="79"/>
      <c r="Q32" s="79"/>
      <c r="R32" s="80"/>
      <c r="S32" s="112"/>
      <c r="T32" s="112"/>
      <c r="U32" s="112"/>
      <c r="V32" s="112"/>
      <c r="W32" s="112"/>
      <c r="X32" s="112"/>
      <c r="Y32" s="112"/>
      <c r="Z32" s="112"/>
      <c r="AA32" s="112"/>
    </row>
    <row r="33" ht="19.5" customHeight="1">
      <c r="A33" s="52"/>
      <c r="B33" s="166"/>
      <c r="C33" s="159"/>
      <c r="D33" s="159"/>
      <c r="E33" s="154"/>
      <c r="F33" s="156"/>
      <c r="G33" s="156"/>
      <c r="H33" s="156"/>
      <c r="I33" s="156"/>
      <c r="J33" s="178"/>
      <c r="K33" s="156"/>
      <c r="L33" s="79"/>
      <c r="M33" s="156"/>
      <c r="N33" s="79"/>
      <c r="O33" s="79"/>
      <c r="P33" s="79"/>
      <c r="Q33" s="79"/>
      <c r="R33" s="80"/>
      <c r="S33" s="112"/>
      <c r="T33" s="112"/>
      <c r="U33" s="112"/>
      <c r="V33" s="112"/>
      <c r="W33" s="112"/>
      <c r="X33" s="112"/>
      <c r="Y33" s="112"/>
      <c r="Z33" s="112"/>
      <c r="AA33" s="112"/>
    </row>
    <row r="34" ht="19.5" customHeight="1">
      <c r="A34" s="52"/>
      <c r="B34" s="171"/>
      <c r="C34" s="172"/>
      <c r="D34" s="172"/>
      <c r="E34" s="154"/>
      <c r="F34" s="162"/>
      <c r="G34" s="162"/>
      <c r="H34" s="162"/>
      <c r="I34" s="162"/>
      <c r="J34" s="174"/>
      <c r="K34" s="162"/>
      <c r="L34" s="129"/>
      <c r="M34" s="156"/>
      <c r="N34" s="79"/>
      <c r="O34" s="79"/>
      <c r="P34" s="79"/>
      <c r="Q34" s="79"/>
      <c r="R34" s="79"/>
      <c r="S34" s="82"/>
      <c r="T34" s="82"/>
      <c r="U34" s="82"/>
      <c r="V34" s="82"/>
      <c r="W34" s="82"/>
      <c r="X34" s="82"/>
      <c r="Y34" s="82"/>
      <c r="Z34" s="82"/>
      <c r="AA34" s="82"/>
    </row>
    <row r="35" ht="19.5" customHeight="1">
      <c r="A35" s="52"/>
      <c r="B35" s="166"/>
      <c r="C35" s="159"/>
      <c r="D35" s="159"/>
      <c r="E35" s="154"/>
      <c r="F35" s="156"/>
      <c r="G35" s="156"/>
      <c r="H35" s="156"/>
      <c r="I35" s="156"/>
      <c r="J35" s="178"/>
      <c r="K35" s="156"/>
      <c r="L35" s="79"/>
      <c r="M35" s="156"/>
      <c r="N35" s="79"/>
      <c r="O35" s="79"/>
      <c r="P35" s="79"/>
      <c r="Q35" s="79"/>
      <c r="R35" s="79"/>
      <c r="S35" s="82"/>
      <c r="T35" s="82"/>
      <c r="U35" s="82"/>
      <c r="V35" s="82"/>
      <c r="W35" s="82"/>
      <c r="X35" s="82"/>
      <c r="Y35" s="82"/>
      <c r="Z35" s="82"/>
      <c r="AA35" s="82"/>
    </row>
    <row r="36" ht="19.5" customHeight="1">
      <c r="A36" s="52"/>
      <c r="B36" s="166"/>
      <c r="C36" s="159"/>
      <c r="D36" s="159"/>
      <c r="E36" s="154"/>
      <c r="F36" s="156"/>
      <c r="G36" s="156"/>
      <c r="H36" s="156"/>
      <c r="I36" s="156"/>
      <c r="J36" s="178"/>
      <c r="K36" s="156"/>
      <c r="L36" s="79"/>
      <c r="M36" s="156"/>
      <c r="N36" s="79"/>
      <c r="O36" s="79"/>
      <c r="P36" s="79"/>
      <c r="Q36" s="79"/>
      <c r="R36" s="79"/>
      <c r="S36" s="82"/>
      <c r="T36" s="82"/>
      <c r="U36" s="82"/>
      <c r="V36" s="82"/>
      <c r="W36" s="82"/>
      <c r="X36" s="82"/>
      <c r="Y36" s="82"/>
      <c r="Z36" s="82"/>
      <c r="AA36" s="82"/>
    </row>
    <row r="37" ht="19.5" customHeight="1">
      <c r="A37" s="52"/>
      <c r="B37" s="166"/>
      <c r="C37" s="159"/>
      <c r="D37" s="159"/>
      <c r="E37" s="154"/>
      <c r="F37" s="156"/>
      <c r="G37" s="156"/>
      <c r="H37" s="156"/>
      <c r="I37" s="156"/>
      <c r="J37" s="178"/>
      <c r="K37" s="156"/>
      <c r="L37" s="79"/>
      <c r="M37" s="156"/>
      <c r="N37" s="79"/>
      <c r="O37" s="79"/>
      <c r="P37" s="79"/>
      <c r="Q37" s="79"/>
      <c r="R37" s="79"/>
      <c r="S37" s="82"/>
      <c r="T37" s="82"/>
      <c r="U37" s="82"/>
      <c r="V37" s="82"/>
      <c r="W37" s="82"/>
      <c r="X37" s="82"/>
      <c r="Y37" s="82"/>
      <c r="Z37" s="82"/>
      <c r="AA37" s="82"/>
    </row>
    <row r="38" ht="19.5" customHeight="1">
      <c r="A38" s="52"/>
      <c r="B38" s="171"/>
      <c r="C38" s="172"/>
      <c r="D38" s="172"/>
      <c r="E38" s="154"/>
      <c r="F38" s="162"/>
      <c r="G38" s="162"/>
      <c r="H38" s="162"/>
      <c r="I38" s="162"/>
      <c r="J38" s="174"/>
      <c r="K38" s="162"/>
      <c r="L38" s="129"/>
      <c r="M38" s="156"/>
      <c r="N38" s="79"/>
      <c r="O38" s="79"/>
      <c r="P38" s="79"/>
      <c r="Q38" s="79"/>
      <c r="R38" s="79"/>
      <c r="S38" s="82"/>
      <c r="T38" s="82"/>
      <c r="U38" s="82"/>
      <c r="V38" s="82"/>
      <c r="W38" s="82"/>
      <c r="X38" s="82"/>
      <c r="Y38" s="82"/>
      <c r="Z38" s="82"/>
      <c r="AA38" s="82"/>
    </row>
    <row r="39" ht="19.5" customHeight="1">
      <c r="A39" s="52"/>
      <c r="B39" s="171"/>
      <c r="C39" s="172"/>
      <c r="D39" s="172"/>
      <c r="E39" s="154"/>
      <c r="F39" s="162"/>
      <c r="G39" s="162"/>
      <c r="H39" s="162"/>
      <c r="I39" s="162"/>
      <c r="J39" s="174"/>
      <c r="K39" s="162"/>
      <c r="L39" s="129"/>
      <c r="M39" s="156"/>
      <c r="N39" s="79"/>
      <c r="O39" s="79"/>
      <c r="P39" s="79"/>
      <c r="Q39" s="79"/>
      <c r="R39" s="79"/>
      <c r="S39" s="82"/>
      <c r="T39" s="82"/>
      <c r="U39" s="82"/>
      <c r="V39" s="82"/>
      <c r="W39" s="82"/>
      <c r="X39" s="82"/>
      <c r="Y39" s="82"/>
      <c r="Z39" s="82"/>
      <c r="AA39" s="82"/>
    </row>
    <row r="40" ht="19.5" customHeight="1">
      <c r="A40" s="52"/>
      <c r="B40" s="171"/>
      <c r="C40" s="172"/>
      <c r="D40" s="172"/>
      <c r="E40" s="154"/>
      <c r="F40" s="162"/>
      <c r="G40" s="162"/>
      <c r="H40" s="162"/>
      <c r="I40" s="162"/>
      <c r="J40" s="174"/>
      <c r="K40" s="162"/>
      <c r="L40" s="129"/>
      <c r="M40" s="156"/>
      <c r="N40" s="79"/>
      <c r="O40" s="79"/>
      <c r="P40" s="79"/>
      <c r="Q40" s="79"/>
      <c r="R40" s="79"/>
      <c r="S40" s="82"/>
      <c r="T40" s="82"/>
      <c r="U40" s="82"/>
      <c r="V40" s="82"/>
      <c r="W40" s="82"/>
      <c r="X40" s="82"/>
      <c r="Y40" s="82"/>
      <c r="Z40" s="82"/>
      <c r="AA40" s="82"/>
    </row>
    <row r="41" ht="19.5" customHeight="1">
      <c r="A41" s="52"/>
      <c r="B41" s="171"/>
      <c r="C41" s="172"/>
      <c r="D41" s="172"/>
      <c r="E41" s="154"/>
      <c r="F41" s="162"/>
      <c r="G41" s="162"/>
      <c r="H41" s="162"/>
      <c r="I41" s="162"/>
      <c r="J41" s="174"/>
      <c r="K41" s="162"/>
      <c r="L41" s="129"/>
      <c r="M41" s="156"/>
      <c r="N41" s="79"/>
      <c r="O41" s="79"/>
      <c r="P41" s="79"/>
      <c r="Q41" s="79"/>
      <c r="R41" s="79"/>
      <c r="S41" s="82"/>
      <c r="T41" s="82"/>
      <c r="U41" s="82"/>
      <c r="V41" s="82"/>
      <c r="W41" s="82"/>
      <c r="X41" s="82"/>
      <c r="Y41" s="82"/>
      <c r="Z41" s="82"/>
      <c r="AA41" s="82"/>
    </row>
    <row r="42" ht="19.5" customHeight="1">
      <c r="A42" s="52"/>
      <c r="B42" s="171"/>
      <c r="C42" s="172"/>
      <c r="D42" s="172"/>
      <c r="E42" s="154"/>
      <c r="F42" s="162"/>
      <c r="G42" s="162"/>
      <c r="H42" s="162"/>
      <c r="I42" s="162"/>
      <c r="J42" s="174"/>
      <c r="K42" s="162"/>
      <c r="L42" s="129"/>
      <c r="M42" s="156"/>
      <c r="N42" s="79"/>
      <c r="O42" s="79"/>
      <c r="P42" s="79"/>
      <c r="Q42" s="79"/>
      <c r="R42" s="79"/>
      <c r="S42" s="82"/>
      <c r="T42" s="82"/>
      <c r="U42" s="82"/>
      <c r="V42" s="82"/>
      <c r="W42" s="82"/>
      <c r="X42" s="82"/>
      <c r="Y42" s="82"/>
      <c r="Z42" s="82"/>
      <c r="AA42" s="82"/>
    </row>
    <row r="43" ht="19.5" customHeight="1">
      <c r="A43" s="52"/>
      <c r="B43" s="171"/>
      <c r="C43" s="172"/>
      <c r="D43" s="172"/>
      <c r="E43" s="154"/>
      <c r="F43" s="162"/>
      <c r="G43" s="162"/>
      <c r="H43" s="162"/>
      <c r="I43" s="162"/>
      <c r="J43" s="174"/>
      <c r="K43" s="162"/>
      <c r="L43" s="129"/>
      <c r="M43" s="156"/>
      <c r="N43" s="79"/>
      <c r="O43" s="79"/>
      <c r="P43" s="79"/>
      <c r="Q43" s="79"/>
      <c r="R43" s="79"/>
      <c r="S43" s="82"/>
      <c r="T43" s="82"/>
      <c r="U43" s="82"/>
      <c r="V43" s="82"/>
      <c r="W43" s="82"/>
      <c r="X43" s="82"/>
      <c r="Y43" s="82"/>
      <c r="Z43" s="82"/>
      <c r="AA43" s="82"/>
    </row>
    <row r="44" ht="19.5" customHeight="1">
      <c r="A44" s="52"/>
      <c r="B44" s="171"/>
      <c r="C44" s="172"/>
      <c r="D44" s="172"/>
      <c r="E44" s="154"/>
      <c r="F44" s="162"/>
      <c r="G44" s="162"/>
      <c r="H44" s="162"/>
      <c r="I44" s="162"/>
      <c r="J44" s="174"/>
      <c r="K44" s="162"/>
      <c r="L44" s="129"/>
      <c r="M44" s="156"/>
      <c r="N44" s="79"/>
      <c r="O44" s="79"/>
      <c r="P44" s="79"/>
      <c r="Q44" s="79"/>
      <c r="R44" s="79"/>
      <c r="S44" s="82"/>
      <c r="T44" s="82"/>
      <c r="U44" s="82"/>
      <c r="V44" s="82"/>
      <c r="W44" s="82"/>
      <c r="X44" s="82"/>
      <c r="Y44" s="82"/>
      <c r="Z44" s="82"/>
      <c r="AA44" s="82"/>
    </row>
    <row r="45" ht="19.5" customHeight="1">
      <c r="A45" s="52"/>
      <c r="B45" s="171"/>
      <c r="C45" s="172"/>
      <c r="D45" s="172"/>
      <c r="E45" s="154"/>
      <c r="F45" s="162"/>
      <c r="G45" s="162"/>
      <c r="H45" s="162"/>
      <c r="I45" s="162"/>
      <c r="J45" s="174"/>
      <c r="K45" s="162"/>
      <c r="L45" s="129"/>
      <c r="M45" s="156"/>
      <c r="N45" s="79"/>
      <c r="O45" s="79"/>
      <c r="P45" s="79"/>
      <c r="Q45" s="79"/>
      <c r="R45" s="79"/>
      <c r="S45" s="82"/>
      <c r="T45" s="82"/>
      <c r="U45" s="82"/>
      <c r="V45" s="82"/>
      <c r="W45" s="82"/>
      <c r="X45" s="82"/>
      <c r="Y45" s="82"/>
      <c r="Z45" s="82"/>
      <c r="AA45" s="82"/>
    </row>
    <row r="46" ht="19.5" customHeight="1">
      <c r="A46" s="52"/>
      <c r="B46" s="171"/>
      <c r="C46" s="172"/>
      <c r="D46" s="172"/>
      <c r="E46" s="154"/>
      <c r="F46" s="162"/>
      <c r="G46" s="162"/>
      <c r="H46" s="162"/>
      <c r="I46" s="162"/>
      <c r="J46" s="174"/>
      <c r="K46" s="162"/>
      <c r="L46" s="129"/>
      <c r="M46" s="156"/>
      <c r="N46" s="79"/>
      <c r="O46" s="79"/>
      <c r="P46" s="79"/>
      <c r="Q46" s="79"/>
      <c r="R46" s="79"/>
      <c r="S46" s="82"/>
      <c r="T46" s="82"/>
      <c r="U46" s="82"/>
      <c r="V46" s="82"/>
      <c r="W46" s="82"/>
      <c r="X46" s="82"/>
      <c r="Y46" s="82"/>
      <c r="Z46" s="82"/>
      <c r="AA46" s="82"/>
    </row>
    <row r="47" ht="19.5" customHeight="1">
      <c r="A47" s="52"/>
      <c r="B47" s="171"/>
      <c r="C47" s="172"/>
      <c r="D47" s="172"/>
      <c r="E47" s="154"/>
      <c r="F47" s="162"/>
      <c r="G47" s="162"/>
      <c r="H47" s="162"/>
      <c r="I47" s="162"/>
      <c r="J47" s="174"/>
      <c r="K47" s="162"/>
      <c r="L47" s="129"/>
      <c r="M47" s="156"/>
      <c r="N47" s="79"/>
      <c r="O47" s="79"/>
      <c r="P47" s="79"/>
      <c r="Q47" s="79"/>
      <c r="R47" s="79"/>
      <c r="S47" s="82"/>
      <c r="T47" s="82"/>
      <c r="U47" s="82"/>
      <c r="V47" s="82"/>
      <c r="W47" s="82"/>
      <c r="X47" s="82"/>
      <c r="Y47" s="82"/>
      <c r="Z47" s="82"/>
      <c r="AA47" s="82"/>
    </row>
    <row r="48" ht="19.5" customHeight="1">
      <c r="A48" s="52"/>
      <c r="B48" s="171"/>
      <c r="C48" s="172"/>
      <c r="D48" s="172"/>
      <c r="E48" s="154"/>
      <c r="F48" s="162"/>
      <c r="G48" s="162"/>
      <c r="H48" s="162"/>
      <c r="I48" s="162"/>
      <c r="J48" s="174"/>
      <c r="K48" s="162"/>
      <c r="L48" s="129"/>
      <c r="M48" s="156"/>
      <c r="N48" s="79"/>
      <c r="O48" s="79"/>
      <c r="P48" s="79"/>
      <c r="Q48" s="79"/>
      <c r="R48" s="79"/>
      <c r="S48" s="82"/>
      <c r="T48" s="82"/>
      <c r="U48" s="82"/>
      <c r="V48" s="82"/>
      <c r="W48" s="82"/>
      <c r="X48" s="82"/>
      <c r="Y48" s="82"/>
      <c r="Z48" s="82"/>
      <c r="AA48" s="82"/>
    </row>
    <row r="49" ht="19.5" customHeight="1">
      <c r="A49" s="52"/>
      <c r="B49" s="171"/>
      <c r="C49" s="172"/>
      <c r="D49" s="172"/>
      <c r="E49" s="154"/>
      <c r="F49" s="162"/>
      <c r="G49" s="162"/>
      <c r="H49" s="162"/>
      <c r="I49" s="162"/>
      <c r="J49" s="174"/>
      <c r="K49" s="162"/>
      <c r="L49" s="129"/>
      <c r="M49" s="156"/>
      <c r="N49" s="79"/>
      <c r="O49" s="79"/>
      <c r="P49" s="79"/>
      <c r="Q49" s="79"/>
      <c r="R49" s="79"/>
      <c r="S49" s="82"/>
      <c r="T49" s="82"/>
      <c r="U49" s="82"/>
      <c r="V49" s="82"/>
      <c r="W49" s="82"/>
      <c r="X49" s="82"/>
      <c r="Y49" s="82"/>
      <c r="Z49" s="82"/>
      <c r="AA49" s="82"/>
    </row>
    <row r="50" ht="19.5" customHeight="1">
      <c r="A50" s="52"/>
      <c r="B50" s="171"/>
      <c r="C50" s="172"/>
      <c r="D50" s="172"/>
      <c r="E50" s="154"/>
      <c r="F50" s="162"/>
      <c r="G50" s="162"/>
      <c r="H50" s="162"/>
      <c r="I50" s="162"/>
      <c r="J50" s="174"/>
      <c r="K50" s="162"/>
      <c r="L50" s="129"/>
      <c r="M50" s="156"/>
      <c r="N50" s="79"/>
      <c r="O50" s="79"/>
      <c r="P50" s="79"/>
      <c r="Q50" s="79"/>
      <c r="R50" s="79"/>
      <c r="S50" s="82"/>
      <c r="T50" s="82"/>
      <c r="U50" s="82"/>
      <c r="V50" s="82"/>
      <c r="W50" s="82"/>
      <c r="X50" s="82"/>
      <c r="Y50" s="82"/>
      <c r="Z50" s="82"/>
      <c r="AA50" s="82"/>
    </row>
    <row r="51" ht="19.5" customHeight="1">
      <c r="A51" s="52"/>
      <c r="B51" s="171"/>
      <c r="C51" s="172"/>
      <c r="D51" s="172"/>
      <c r="E51" s="154"/>
      <c r="F51" s="162"/>
      <c r="G51" s="162"/>
      <c r="H51" s="162"/>
      <c r="I51" s="162"/>
      <c r="J51" s="174"/>
      <c r="K51" s="162"/>
      <c r="L51" s="129"/>
      <c r="M51" s="156"/>
      <c r="N51" s="79"/>
      <c r="O51" s="79"/>
      <c r="P51" s="79"/>
      <c r="Q51" s="79"/>
      <c r="R51" s="79"/>
      <c r="S51" s="82"/>
      <c r="T51" s="82"/>
      <c r="U51" s="82"/>
      <c r="V51" s="82"/>
      <c r="W51" s="82"/>
      <c r="X51" s="82"/>
      <c r="Y51" s="82"/>
      <c r="Z51" s="82"/>
      <c r="AA51" s="82"/>
    </row>
    <row r="52" ht="19.5" customHeight="1">
      <c r="A52" s="52"/>
      <c r="B52" s="171"/>
      <c r="C52" s="172"/>
      <c r="D52" s="172"/>
      <c r="E52" s="154"/>
      <c r="F52" s="162"/>
      <c r="G52" s="162"/>
      <c r="H52" s="162"/>
      <c r="I52" s="162"/>
      <c r="J52" s="174"/>
      <c r="K52" s="162"/>
      <c r="L52" s="129"/>
      <c r="M52" s="156"/>
      <c r="N52" s="79"/>
      <c r="O52" s="79"/>
      <c r="P52" s="79"/>
      <c r="Q52" s="79"/>
      <c r="R52" s="79"/>
      <c r="S52" s="82"/>
      <c r="T52" s="82"/>
      <c r="U52" s="82"/>
      <c r="V52" s="82"/>
      <c r="W52" s="82"/>
      <c r="X52" s="82"/>
      <c r="Y52" s="82"/>
      <c r="Z52" s="82"/>
      <c r="AA52" s="82"/>
    </row>
    <row r="53" ht="19.5" customHeight="1">
      <c r="A53" s="52"/>
      <c r="B53" s="171"/>
      <c r="C53" s="172"/>
      <c r="D53" s="172"/>
      <c r="E53" s="154"/>
      <c r="F53" s="162"/>
      <c r="G53" s="162"/>
      <c r="H53" s="162"/>
      <c r="I53" s="162"/>
      <c r="J53" s="174"/>
      <c r="K53" s="162"/>
      <c r="L53" s="129"/>
      <c r="M53" s="156"/>
      <c r="N53" s="79"/>
      <c r="O53" s="79"/>
      <c r="P53" s="79"/>
      <c r="Q53" s="79"/>
      <c r="R53" s="79"/>
      <c r="S53" s="82"/>
      <c r="T53" s="82"/>
      <c r="U53" s="82"/>
      <c r="V53" s="82"/>
      <c r="W53" s="82"/>
      <c r="X53" s="82"/>
      <c r="Y53" s="82"/>
      <c r="Z53" s="82"/>
      <c r="AA53" s="82"/>
    </row>
    <row r="54" ht="19.5" customHeight="1">
      <c r="A54" s="52"/>
      <c r="B54" s="171"/>
      <c r="C54" s="172"/>
      <c r="D54" s="172"/>
      <c r="E54" s="154"/>
      <c r="F54" s="162"/>
      <c r="G54" s="162"/>
      <c r="H54" s="162"/>
      <c r="I54" s="162"/>
      <c r="J54" s="174"/>
      <c r="K54" s="162"/>
      <c r="L54" s="129"/>
      <c r="M54" s="156"/>
      <c r="N54" s="79"/>
      <c r="O54" s="79"/>
      <c r="P54" s="79"/>
      <c r="Q54" s="79"/>
      <c r="R54" s="79"/>
      <c r="S54" s="82"/>
      <c r="T54" s="82"/>
      <c r="U54" s="82"/>
      <c r="V54" s="82"/>
      <c r="W54" s="82"/>
      <c r="X54" s="82"/>
      <c r="Y54" s="82"/>
      <c r="Z54" s="82"/>
      <c r="AA54" s="82"/>
    </row>
    <row r="55" ht="19.5" customHeight="1">
      <c r="A55" s="52"/>
      <c r="B55" s="171"/>
      <c r="C55" s="172"/>
      <c r="D55" s="172"/>
      <c r="E55" s="154"/>
      <c r="F55" s="162"/>
      <c r="G55" s="162"/>
      <c r="H55" s="162"/>
      <c r="I55" s="162"/>
      <c r="J55" s="174"/>
      <c r="K55" s="162"/>
      <c r="L55" s="129"/>
      <c r="M55" s="156"/>
      <c r="N55" s="79"/>
      <c r="O55" s="79"/>
      <c r="P55" s="79"/>
      <c r="Q55" s="79"/>
      <c r="R55" s="79"/>
      <c r="S55" s="82"/>
      <c r="T55" s="82"/>
      <c r="U55" s="82"/>
      <c r="V55" s="82"/>
      <c r="W55" s="82"/>
      <c r="X55" s="82"/>
      <c r="Y55" s="82"/>
      <c r="Z55" s="82"/>
      <c r="AA55" s="82"/>
    </row>
    <row r="56" ht="19.5" customHeight="1">
      <c r="A56" s="52"/>
      <c r="B56" s="171"/>
      <c r="C56" s="172"/>
      <c r="D56" s="172"/>
      <c r="E56" s="154"/>
      <c r="F56" s="162"/>
      <c r="G56" s="162"/>
      <c r="H56" s="162"/>
      <c r="I56" s="162"/>
      <c r="J56" s="174"/>
      <c r="K56" s="162"/>
      <c r="L56" s="129"/>
      <c r="M56" s="156"/>
      <c r="N56" s="79"/>
      <c r="O56" s="79"/>
      <c r="P56" s="79"/>
      <c r="Q56" s="79"/>
      <c r="R56" s="79"/>
      <c r="S56" s="82"/>
      <c r="T56" s="82"/>
      <c r="U56" s="82"/>
      <c r="V56" s="82"/>
      <c r="W56" s="82"/>
      <c r="X56" s="82"/>
      <c r="Y56" s="82"/>
      <c r="Z56" s="82"/>
      <c r="AA56" s="82"/>
    </row>
    <row r="57" ht="19.5" customHeight="1">
      <c r="A57" s="52"/>
      <c r="B57" s="171"/>
      <c r="C57" s="172"/>
      <c r="D57" s="172"/>
      <c r="E57" s="154"/>
      <c r="F57" s="162"/>
      <c r="G57" s="162"/>
      <c r="H57" s="162"/>
      <c r="I57" s="162"/>
      <c r="J57" s="174"/>
      <c r="K57" s="162"/>
      <c r="L57" s="129"/>
      <c r="M57" s="156"/>
      <c r="N57" s="79"/>
      <c r="O57" s="79"/>
      <c r="P57" s="79"/>
      <c r="Q57" s="79"/>
      <c r="R57" s="79"/>
      <c r="S57" s="82"/>
      <c r="T57" s="82"/>
      <c r="U57" s="82"/>
      <c r="V57" s="82"/>
      <c r="W57" s="82"/>
      <c r="X57" s="82"/>
      <c r="Y57" s="82"/>
      <c r="Z57" s="82"/>
      <c r="AA57" s="82"/>
    </row>
    <row r="58" ht="19.5" customHeight="1">
      <c r="A58" s="52"/>
      <c r="B58" s="171"/>
      <c r="C58" s="172"/>
      <c r="D58" s="172"/>
      <c r="E58" s="154"/>
      <c r="F58" s="162"/>
      <c r="G58" s="162"/>
      <c r="H58" s="162"/>
      <c r="I58" s="162"/>
      <c r="J58" s="174"/>
      <c r="K58" s="162"/>
      <c r="L58" s="129"/>
      <c r="M58" s="156"/>
      <c r="N58" s="79"/>
      <c r="O58" s="79"/>
      <c r="P58" s="79"/>
      <c r="Q58" s="79"/>
      <c r="R58" s="79"/>
      <c r="S58" s="82"/>
      <c r="T58" s="82"/>
      <c r="U58" s="82"/>
      <c r="V58" s="82"/>
      <c r="W58" s="82"/>
      <c r="X58" s="82"/>
      <c r="Y58" s="82"/>
      <c r="Z58" s="82"/>
      <c r="AA58" s="82"/>
    </row>
    <row r="59" ht="19.5" customHeight="1">
      <c r="A59" s="52"/>
      <c r="B59" s="171"/>
      <c r="C59" s="172"/>
      <c r="D59" s="172"/>
      <c r="E59" s="154"/>
      <c r="F59" s="162"/>
      <c r="G59" s="162"/>
      <c r="H59" s="162"/>
      <c r="I59" s="162"/>
      <c r="J59" s="174"/>
      <c r="K59" s="162"/>
      <c r="L59" s="129"/>
      <c r="M59" s="156"/>
      <c r="N59" s="79"/>
      <c r="O59" s="79"/>
      <c r="P59" s="79"/>
      <c r="Q59" s="79"/>
      <c r="R59" s="79"/>
      <c r="S59" s="82"/>
      <c r="T59" s="82"/>
      <c r="U59" s="82"/>
      <c r="V59" s="82"/>
      <c r="W59" s="82"/>
      <c r="X59" s="82"/>
      <c r="Y59" s="82"/>
      <c r="Z59" s="82"/>
      <c r="AA59" s="82"/>
    </row>
    <row r="60" ht="19.5" customHeight="1">
      <c r="A60" s="52"/>
      <c r="B60" s="171"/>
      <c r="C60" s="172"/>
      <c r="D60" s="172"/>
      <c r="E60" s="154"/>
      <c r="F60" s="162"/>
      <c r="G60" s="162"/>
      <c r="H60" s="162"/>
      <c r="I60" s="162"/>
      <c r="J60" s="174"/>
      <c r="K60" s="162"/>
      <c r="L60" s="129"/>
      <c r="M60" s="156"/>
      <c r="N60" s="79"/>
      <c r="O60" s="79"/>
      <c r="P60" s="79"/>
      <c r="Q60" s="79"/>
      <c r="R60" s="79"/>
      <c r="S60" s="82"/>
      <c r="T60" s="82"/>
      <c r="U60" s="82"/>
      <c r="V60" s="82"/>
      <c r="W60" s="82"/>
      <c r="X60" s="82"/>
      <c r="Y60" s="82"/>
      <c r="Z60" s="82"/>
      <c r="AA60" s="82"/>
    </row>
    <row r="61" ht="19.5" customHeight="1">
      <c r="A61" s="52"/>
      <c r="B61" s="171"/>
      <c r="C61" s="172"/>
      <c r="D61" s="172"/>
      <c r="E61" s="154"/>
      <c r="F61" s="162"/>
      <c r="G61" s="162"/>
      <c r="H61" s="162"/>
      <c r="I61" s="162"/>
      <c r="J61" s="174"/>
      <c r="K61" s="162"/>
      <c r="L61" s="129"/>
      <c r="M61" s="156"/>
      <c r="N61" s="79"/>
      <c r="O61" s="79"/>
      <c r="P61" s="79"/>
      <c r="Q61" s="79"/>
      <c r="R61" s="79"/>
      <c r="S61" s="82"/>
      <c r="T61" s="82"/>
      <c r="U61" s="82"/>
      <c r="V61" s="82"/>
      <c r="W61" s="82"/>
      <c r="X61" s="82"/>
      <c r="Y61" s="82"/>
      <c r="Z61" s="82"/>
      <c r="AA61" s="82"/>
    </row>
    <row r="62" ht="19.5" customHeight="1">
      <c r="A62" s="52"/>
      <c r="B62" s="171"/>
      <c r="C62" s="172"/>
      <c r="D62" s="172"/>
      <c r="E62" s="154"/>
      <c r="F62" s="162"/>
      <c r="G62" s="162"/>
      <c r="H62" s="162"/>
      <c r="I62" s="162"/>
      <c r="J62" s="174"/>
      <c r="K62" s="162"/>
      <c r="L62" s="129"/>
      <c r="M62" s="156"/>
      <c r="N62" s="79"/>
      <c r="O62" s="79"/>
      <c r="P62" s="79"/>
      <c r="Q62" s="79"/>
      <c r="R62" s="79"/>
      <c r="S62" s="82"/>
      <c r="T62" s="82"/>
      <c r="U62" s="82"/>
      <c r="V62" s="82"/>
      <c r="W62" s="82"/>
      <c r="X62" s="82"/>
      <c r="Y62" s="82"/>
      <c r="Z62" s="82"/>
      <c r="AA62" s="82"/>
    </row>
    <row r="63" ht="19.5" customHeight="1">
      <c r="A63" s="52"/>
      <c r="B63" s="171"/>
      <c r="C63" s="172"/>
      <c r="D63" s="172"/>
      <c r="E63" s="154"/>
      <c r="F63" s="162"/>
      <c r="G63" s="162"/>
      <c r="H63" s="162"/>
      <c r="I63" s="162"/>
      <c r="J63" s="174"/>
      <c r="K63" s="162"/>
      <c r="L63" s="129"/>
      <c r="M63" s="156"/>
      <c r="N63" s="79"/>
      <c r="O63" s="79"/>
      <c r="P63" s="79"/>
      <c r="Q63" s="79"/>
      <c r="R63" s="79"/>
      <c r="S63" s="82"/>
      <c r="T63" s="82"/>
      <c r="U63" s="82"/>
      <c r="V63" s="82"/>
      <c r="W63" s="82"/>
      <c r="X63" s="82"/>
      <c r="Y63" s="82"/>
      <c r="Z63" s="82"/>
      <c r="AA63" s="82"/>
    </row>
    <row r="64" ht="19.5" customHeight="1">
      <c r="A64" s="52"/>
      <c r="B64" s="171"/>
      <c r="C64" s="172"/>
      <c r="D64" s="172"/>
      <c r="E64" s="154"/>
      <c r="F64" s="162"/>
      <c r="G64" s="162"/>
      <c r="H64" s="162"/>
      <c r="I64" s="162"/>
      <c r="J64" s="174"/>
      <c r="K64" s="162"/>
      <c r="L64" s="129"/>
      <c r="M64" s="156"/>
      <c r="N64" s="79"/>
      <c r="O64" s="79"/>
      <c r="P64" s="79"/>
      <c r="Q64" s="79"/>
      <c r="R64" s="79"/>
      <c r="S64" s="82"/>
      <c r="T64" s="82"/>
      <c r="U64" s="82"/>
      <c r="V64" s="82"/>
      <c r="W64" s="82"/>
      <c r="X64" s="82"/>
      <c r="Y64" s="82"/>
      <c r="Z64" s="82"/>
      <c r="AA64" s="82"/>
    </row>
    <row r="65" ht="19.5" customHeight="1">
      <c r="A65" s="52"/>
      <c r="B65" s="171"/>
      <c r="C65" s="172"/>
      <c r="D65" s="172"/>
      <c r="E65" s="154"/>
      <c r="F65" s="162"/>
      <c r="G65" s="162"/>
      <c r="H65" s="162"/>
      <c r="I65" s="162"/>
      <c r="J65" s="174"/>
      <c r="K65" s="162"/>
      <c r="L65" s="129"/>
      <c r="M65" s="156"/>
      <c r="N65" s="79"/>
      <c r="O65" s="79"/>
      <c r="P65" s="79"/>
      <c r="Q65" s="79"/>
      <c r="R65" s="79"/>
      <c r="S65" s="82"/>
      <c r="T65" s="82"/>
      <c r="U65" s="82"/>
      <c r="V65" s="82"/>
      <c r="W65" s="82"/>
      <c r="X65" s="82"/>
      <c r="Y65" s="82"/>
      <c r="Z65" s="82"/>
      <c r="AA65" s="82"/>
    </row>
    <row r="66" ht="19.5" customHeight="1">
      <c r="A66" s="52"/>
      <c r="B66" s="171"/>
      <c r="C66" s="172"/>
      <c r="D66" s="172"/>
      <c r="E66" s="154"/>
      <c r="F66" s="162"/>
      <c r="G66" s="162"/>
      <c r="H66" s="162"/>
      <c r="I66" s="162"/>
      <c r="J66" s="174"/>
      <c r="K66" s="162"/>
      <c r="L66" s="129"/>
      <c r="M66" s="156"/>
      <c r="N66" s="79"/>
      <c r="O66" s="79"/>
      <c r="P66" s="79"/>
      <c r="Q66" s="79"/>
      <c r="R66" s="79"/>
      <c r="S66" s="82"/>
      <c r="T66" s="82"/>
      <c r="U66" s="82"/>
      <c r="V66" s="82"/>
      <c r="W66" s="82"/>
      <c r="X66" s="82"/>
      <c r="Y66" s="82"/>
      <c r="Z66" s="82"/>
      <c r="AA66" s="82"/>
    </row>
    <row r="67" ht="19.5" customHeight="1">
      <c r="A67" s="52"/>
      <c r="B67" s="171"/>
      <c r="C67" s="172"/>
      <c r="D67" s="172"/>
      <c r="E67" s="154"/>
      <c r="F67" s="162"/>
      <c r="G67" s="162"/>
      <c r="H67" s="162"/>
      <c r="I67" s="162"/>
      <c r="J67" s="174"/>
      <c r="K67" s="162"/>
      <c r="L67" s="129"/>
      <c r="M67" s="156"/>
      <c r="N67" s="79"/>
      <c r="O67" s="79"/>
      <c r="P67" s="79"/>
      <c r="Q67" s="79"/>
      <c r="R67" s="79"/>
      <c r="S67" s="82"/>
      <c r="T67" s="82"/>
      <c r="U67" s="82"/>
      <c r="V67" s="82"/>
      <c r="W67" s="82"/>
      <c r="X67" s="82"/>
      <c r="Y67" s="82"/>
      <c r="Z67" s="82"/>
      <c r="AA67" s="82"/>
    </row>
    <row r="68" ht="19.5" customHeight="1">
      <c r="A68" s="52"/>
      <c r="B68" s="171"/>
      <c r="C68" s="172"/>
      <c r="D68" s="172"/>
      <c r="E68" s="154"/>
      <c r="F68" s="162"/>
      <c r="G68" s="162"/>
      <c r="H68" s="162"/>
      <c r="I68" s="162"/>
      <c r="J68" s="174"/>
      <c r="K68" s="162"/>
      <c r="L68" s="129"/>
      <c r="M68" s="156"/>
      <c r="N68" s="79"/>
      <c r="O68" s="79"/>
      <c r="P68" s="79"/>
      <c r="Q68" s="79"/>
      <c r="R68" s="79"/>
      <c r="S68" s="82"/>
      <c r="T68" s="82"/>
      <c r="U68" s="82"/>
      <c r="V68" s="82"/>
      <c r="W68" s="82"/>
      <c r="X68" s="82"/>
      <c r="Y68" s="82"/>
      <c r="Z68" s="82"/>
      <c r="AA68" s="82"/>
    </row>
    <row r="69" ht="19.5" customHeight="1">
      <c r="A69" s="52"/>
      <c r="B69" s="171"/>
      <c r="C69" s="172"/>
      <c r="D69" s="172"/>
      <c r="E69" s="154"/>
      <c r="F69" s="162"/>
      <c r="G69" s="162"/>
      <c r="H69" s="162"/>
      <c r="I69" s="162"/>
      <c r="J69" s="174"/>
      <c r="K69" s="162"/>
      <c r="L69" s="129"/>
      <c r="M69" s="156"/>
      <c r="N69" s="79"/>
      <c r="O69" s="79"/>
      <c r="P69" s="79"/>
      <c r="Q69" s="79"/>
      <c r="R69" s="79"/>
      <c r="S69" s="82"/>
      <c r="T69" s="82"/>
      <c r="U69" s="82"/>
      <c r="V69" s="82"/>
      <c r="W69" s="82"/>
      <c r="X69" s="82"/>
      <c r="Y69" s="82"/>
      <c r="Z69" s="82"/>
      <c r="AA69" s="82"/>
    </row>
    <row r="70" ht="19.5" customHeight="1">
      <c r="A70" s="52"/>
      <c r="B70" s="171"/>
      <c r="C70" s="172"/>
      <c r="D70" s="172"/>
      <c r="E70" s="154"/>
      <c r="F70" s="162"/>
      <c r="G70" s="162"/>
      <c r="H70" s="162"/>
      <c r="I70" s="162"/>
      <c r="J70" s="174"/>
      <c r="K70" s="162"/>
      <c r="L70" s="129"/>
      <c r="M70" s="156"/>
      <c r="N70" s="79"/>
      <c r="O70" s="79"/>
      <c r="P70" s="79"/>
      <c r="Q70" s="79"/>
      <c r="R70" s="79"/>
      <c r="S70" s="82"/>
      <c r="T70" s="82"/>
      <c r="U70" s="82"/>
      <c r="V70" s="82"/>
      <c r="W70" s="82"/>
      <c r="X70" s="82"/>
      <c r="Y70" s="82"/>
      <c r="Z70" s="82"/>
      <c r="AA70" s="82"/>
    </row>
    <row r="71" ht="19.5" customHeight="1">
      <c r="A71" s="52"/>
      <c r="B71" s="171"/>
      <c r="C71" s="172"/>
      <c r="D71" s="172"/>
      <c r="E71" s="154"/>
      <c r="F71" s="162"/>
      <c r="G71" s="162"/>
      <c r="H71" s="162"/>
      <c r="I71" s="162"/>
      <c r="J71" s="174"/>
      <c r="K71" s="162"/>
      <c r="L71" s="129"/>
      <c r="M71" s="156"/>
      <c r="N71" s="79"/>
      <c r="O71" s="79"/>
      <c r="P71" s="79"/>
      <c r="Q71" s="79"/>
      <c r="R71" s="79"/>
      <c r="S71" s="82"/>
      <c r="T71" s="82"/>
      <c r="U71" s="82"/>
      <c r="V71" s="82"/>
      <c r="W71" s="82"/>
      <c r="X71" s="82"/>
      <c r="Y71" s="82"/>
      <c r="Z71" s="82"/>
      <c r="AA71" s="82"/>
    </row>
    <row r="72" ht="19.5" customHeight="1">
      <c r="A72" s="52"/>
      <c r="B72" s="171"/>
      <c r="C72" s="172"/>
      <c r="D72" s="172"/>
      <c r="E72" s="154"/>
      <c r="F72" s="162"/>
      <c r="G72" s="162"/>
      <c r="H72" s="162"/>
      <c r="I72" s="162"/>
      <c r="J72" s="174"/>
      <c r="K72" s="162"/>
      <c r="L72" s="129"/>
      <c r="M72" s="156"/>
      <c r="N72" s="79"/>
      <c r="O72" s="79"/>
      <c r="P72" s="79"/>
      <c r="Q72" s="79"/>
      <c r="R72" s="79"/>
      <c r="S72" s="82"/>
      <c r="T72" s="82"/>
      <c r="U72" s="82"/>
      <c r="V72" s="82"/>
      <c r="W72" s="82"/>
      <c r="X72" s="82"/>
      <c r="Y72" s="82"/>
      <c r="Z72" s="82"/>
      <c r="AA72" s="82"/>
    </row>
    <row r="73" ht="19.5" customHeight="1">
      <c r="A73" s="52"/>
      <c r="B73" s="171"/>
      <c r="C73" s="172"/>
      <c r="D73" s="172"/>
      <c r="E73" s="154"/>
      <c r="F73" s="162"/>
      <c r="G73" s="162"/>
      <c r="H73" s="162"/>
      <c r="I73" s="162"/>
      <c r="J73" s="174"/>
      <c r="K73" s="162"/>
      <c r="L73" s="129"/>
      <c r="M73" s="156"/>
      <c r="N73" s="79"/>
      <c r="O73" s="79"/>
      <c r="P73" s="79"/>
      <c r="Q73" s="79"/>
      <c r="R73" s="79"/>
      <c r="S73" s="82"/>
      <c r="T73" s="82"/>
      <c r="U73" s="82"/>
      <c r="V73" s="82"/>
      <c r="W73" s="82"/>
      <c r="X73" s="82"/>
      <c r="Y73" s="82"/>
      <c r="Z73" s="82"/>
      <c r="AA73" s="82"/>
    </row>
    <row r="74" ht="19.5" customHeight="1">
      <c r="A74" s="52"/>
      <c r="B74" s="171"/>
      <c r="C74" s="172"/>
      <c r="D74" s="172"/>
      <c r="E74" s="154"/>
      <c r="F74" s="162"/>
      <c r="G74" s="162"/>
      <c r="H74" s="162"/>
      <c r="I74" s="162"/>
      <c r="J74" s="174"/>
      <c r="K74" s="162"/>
      <c r="L74" s="129"/>
      <c r="M74" s="156"/>
      <c r="N74" s="79"/>
      <c r="O74" s="79"/>
      <c r="P74" s="79"/>
      <c r="Q74" s="79"/>
      <c r="R74" s="79"/>
      <c r="S74" s="82"/>
      <c r="T74" s="82"/>
      <c r="U74" s="82"/>
      <c r="V74" s="82"/>
      <c r="W74" s="82"/>
      <c r="X74" s="82"/>
      <c r="Y74" s="82"/>
      <c r="Z74" s="82"/>
      <c r="AA74" s="82"/>
    </row>
    <row r="75" ht="19.5" customHeight="1">
      <c r="A75" s="52"/>
      <c r="B75" s="171"/>
      <c r="C75" s="172"/>
      <c r="D75" s="172"/>
      <c r="E75" s="154"/>
      <c r="F75" s="162"/>
      <c r="G75" s="162"/>
      <c r="H75" s="162"/>
      <c r="I75" s="162"/>
      <c r="J75" s="174"/>
      <c r="K75" s="162"/>
      <c r="L75" s="129"/>
      <c r="M75" s="156"/>
      <c r="N75" s="79"/>
      <c r="O75" s="79"/>
      <c r="P75" s="79"/>
      <c r="Q75" s="79"/>
      <c r="R75" s="79"/>
      <c r="S75" s="82"/>
      <c r="T75" s="82"/>
      <c r="U75" s="82"/>
      <c r="V75" s="82"/>
      <c r="W75" s="82"/>
      <c r="X75" s="82"/>
      <c r="Y75" s="82"/>
      <c r="Z75" s="82"/>
      <c r="AA75" s="82"/>
    </row>
    <row r="76" ht="19.5" customHeight="1">
      <c r="A76" s="52"/>
      <c r="B76" s="171"/>
      <c r="C76" s="172"/>
      <c r="D76" s="172"/>
      <c r="E76" s="154"/>
      <c r="F76" s="162"/>
      <c r="G76" s="162"/>
      <c r="H76" s="162"/>
      <c r="I76" s="162"/>
      <c r="J76" s="174"/>
      <c r="K76" s="162"/>
      <c r="L76" s="129"/>
      <c r="M76" s="156"/>
      <c r="N76" s="79"/>
      <c r="O76" s="79"/>
      <c r="P76" s="79"/>
      <c r="Q76" s="79"/>
      <c r="R76" s="79"/>
      <c r="S76" s="82"/>
      <c r="T76" s="82"/>
      <c r="U76" s="82"/>
      <c r="V76" s="82"/>
      <c r="W76" s="82"/>
      <c r="X76" s="82"/>
      <c r="Y76" s="82"/>
      <c r="Z76" s="82"/>
      <c r="AA76" s="82"/>
    </row>
    <row r="77" ht="19.5" customHeight="1">
      <c r="A77" s="52"/>
      <c r="B77" s="171"/>
      <c r="C77" s="172"/>
      <c r="D77" s="172"/>
      <c r="E77" s="154"/>
      <c r="F77" s="162"/>
      <c r="G77" s="162"/>
      <c r="H77" s="162"/>
      <c r="I77" s="162"/>
      <c r="J77" s="174"/>
      <c r="K77" s="162"/>
      <c r="L77" s="129"/>
      <c r="M77" s="156"/>
      <c r="N77" s="79"/>
      <c r="O77" s="79"/>
      <c r="P77" s="79"/>
      <c r="Q77" s="79"/>
      <c r="R77" s="79"/>
      <c r="S77" s="82"/>
      <c r="T77" s="82"/>
      <c r="U77" s="82"/>
      <c r="V77" s="82"/>
      <c r="W77" s="82"/>
      <c r="X77" s="82"/>
      <c r="Y77" s="82"/>
      <c r="Z77" s="82"/>
      <c r="AA77" s="82"/>
    </row>
    <row r="78" ht="19.5" customHeight="1">
      <c r="A78" s="52"/>
      <c r="B78" s="171"/>
      <c r="C78" s="172"/>
      <c r="D78" s="172"/>
      <c r="E78" s="154"/>
      <c r="F78" s="162"/>
      <c r="G78" s="162"/>
      <c r="H78" s="162"/>
      <c r="I78" s="162"/>
      <c r="J78" s="174"/>
      <c r="K78" s="162"/>
      <c r="L78" s="129"/>
      <c r="M78" s="156"/>
      <c r="N78" s="79"/>
      <c r="O78" s="79"/>
      <c r="P78" s="79"/>
      <c r="Q78" s="79"/>
      <c r="R78" s="79"/>
      <c r="S78" s="82"/>
      <c r="T78" s="82"/>
      <c r="U78" s="82"/>
      <c r="V78" s="82"/>
      <c r="W78" s="82"/>
      <c r="X78" s="82"/>
      <c r="Y78" s="82"/>
      <c r="Z78" s="82"/>
      <c r="AA78" s="82"/>
    </row>
    <row r="79" ht="19.5" customHeight="1">
      <c r="A79" s="52"/>
      <c r="B79" s="171"/>
      <c r="C79" s="172"/>
      <c r="D79" s="172"/>
      <c r="E79" s="154"/>
      <c r="F79" s="162"/>
      <c r="G79" s="162"/>
      <c r="H79" s="162"/>
      <c r="I79" s="162"/>
      <c r="J79" s="174"/>
      <c r="K79" s="162"/>
      <c r="L79" s="129"/>
      <c r="M79" s="156"/>
      <c r="N79" s="79"/>
      <c r="O79" s="79"/>
      <c r="P79" s="79"/>
      <c r="Q79" s="79"/>
      <c r="R79" s="79"/>
      <c r="S79" s="82"/>
      <c r="T79" s="82"/>
      <c r="U79" s="82"/>
      <c r="V79" s="82"/>
      <c r="W79" s="82"/>
      <c r="X79" s="82"/>
      <c r="Y79" s="82"/>
      <c r="Z79" s="82"/>
      <c r="AA79" s="82"/>
    </row>
    <row r="80" ht="19.5" customHeight="1">
      <c r="A80" s="52"/>
      <c r="B80" s="171"/>
      <c r="C80" s="172"/>
      <c r="D80" s="172"/>
      <c r="E80" s="154"/>
      <c r="F80" s="162"/>
      <c r="G80" s="162"/>
      <c r="H80" s="162"/>
      <c r="I80" s="162"/>
      <c r="J80" s="174"/>
      <c r="K80" s="162"/>
      <c r="L80" s="129"/>
      <c r="M80" s="156"/>
      <c r="N80" s="79"/>
      <c r="O80" s="79"/>
      <c r="P80" s="79"/>
      <c r="Q80" s="79"/>
      <c r="R80" s="79"/>
      <c r="S80" s="82"/>
      <c r="T80" s="82"/>
      <c r="U80" s="82"/>
      <c r="V80" s="82"/>
      <c r="W80" s="82"/>
      <c r="X80" s="82"/>
      <c r="Y80" s="82"/>
      <c r="Z80" s="82"/>
      <c r="AA80" s="82"/>
    </row>
    <row r="81" ht="19.5" customHeight="1">
      <c r="A81" s="52"/>
      <c r="B81" s="171"/>
      <c r="C81" s="172"/>
      <c r="D81" s="172"/>
      <c r="E81" s="154"/>
      <c r="F81" s="162"/>
      <c r="G81" s="162"/>
      <c r="H81" s="162"/>
      <c r="I81" s="162"/>
      <c r="J81" s="174"/>
      <c r="K81" s="162"/>
      <c r="L81" s="129"/>
      <c r="M81" s="156"/>
      <c r="N81" s="79"/>
      <c r="O81" s="79"/>
      <c r="P81" s="79"/>
      <c r="Q81" s="79"/>
      <c r="R81" s="79"/>
      <c r="S81" s="82"/>
      <c r="T81" s="82"/>
      <c r="U81" s="82"/>
      <c r="V81" s="82"/>
      <c r="W81" s="82"/>
      <c r="X81" s="82"/>
      <c r="Y81" s="82"/>
      <c r="Z81" s="82"/>
      <c r="AA81" s="82"/>
    </row>
    <row r="82" ht="19.5" customHeight="1">
      <c r="A82" s="52"/>
      <c r="B82" s="171"/>
      <c r="C82" s="172"/>
      <c r="D82" s="172"/>
      <c r="E82" s="154"/>
      <c r="F82" s="162"/>
      <c r="G82" s="162"/>
      <c r="H82" s="162"/>
      <c r="I82" s="162"/>
      <c r="J82" s="174"/>
      <c r="K82" s="162"/>
      <c r="L82" s="129"/>
      <c r="M82" s="156"/>
      <c r="N82" s="79"/>
      <c r="O82" s="79"/>
      <c r="P82" s="79"/>
      <c r="Q82" s="79"/>
      <c r="R82" s="79"/>
      <c r="S82" s="82"/>
      <c r="T82" s="82"/>
      <c r="U82" s="82"/>
      <c r="V82" s="82"/>
      <c r="W82" s="82"/>
      <c r="X82" s="82"/>
      <c r="Y82" s="82"/>
      <c r="Z82" s="82"/>
      <c r="AA82" s="82"/>
    </row>
    <row r="83" ht="19.5" customHeight="1">
      <c r="A83" s="52"/>
      <c r="B83" s="171"/>
      <c r="C83" s="172"/>
      <c r="D83" s="172"/>
      <c r="E83" s="154"/>
      <c r="F83" s="162"/>
      <c r="G83" s="162"/>
      <c r="H83" s="162"/>
      <c r="I83" s="162"/>
      <c r="J83" s="174"/>
      <c r="K83" s="162"/>
      <c r="L83" s="129"/>
      <c r="M83" s="156"/>
      <c r="N83" s="79"/>
      <c r="O83" s="79"/>
      <c r="P83" s="79"/>
      <c r="Q83" s="79"/>
      <c r="R83" s="79"/>
      <c r="S83" s="82"/>
      <c r="T83" s="82"/>
      <c r="U83" s="82"/>
      <c r="V83" s="82"/>
      <c r="W83" s="82"/>
      <c r="X83" s="82"/>
      <c r="Y83" s="82"/>
      <c r="Z83" s="82"/>
      <c r="AA83" s="82"/>
    </row>
    <row r="84" ht="19.5" customHeight="1">
      <c r="A84" s="52"/>
      <c r="B84" s="171"/>
      <c r="C84" s="172"/>
      <c r="D84" s="172"/>
      <c r="E84" s="154"/>
      <c r="F84" s="162"/>
      <c r="G84" s="162"/>
      <c r="H84" s="162"/>
      <c r="I84" s="162"/>
      <c r="J84" s="174"/>
      <c r="K84" s="162"/>
      <c r="L84" s="129"/>
      <c r="M84" s="156"/>
      <c r="N84" s="79"/>
      <c r="O84" s="79"/>
      <c r="P84" s="79"/>
      <c r="Q84" s="79"/>
      <c r="R84" s="79"/>
      <c r="S84" s="82"/>
      <c r="T84" s="82"/>
      <c r="U84" s="82"/>
      <c r="V84" s="82"/>
      <c r="W84" s="82"/>
      <c r="X84" s="82"/>
      <c r="Y84" s="82"/>
      <c r="Z84" s="82"/>
      <c r="AA84" s="82"/>
    </row>
    <row r="85" ht="19.5" customHeight="1">
      <c r="A85" s="52"/>
      <c r="B85" s="171"/>
      <c r="C85" s="172"/>
      <c r="D85" s="172"/>
      <c r="E85" s="154"/>
      <c r="F85" s="162"/>
      <c r="G85" s="162"/>
      <c r="H85" s="162"/>
      <c r="I85" s="162"/>
      <c r="J85" s="174"/>
      <c r="K85" s="162"/>
      <c r="L85" s="129"/>
      <c r="M85" s="156"/>
      <c r="N85" s="79"/>
      <c r="O85" s="79"/>
      <c r="P85" s="79"/>
      <c r="Q85" s="79"/>
      <c r="R85" s="79"/>
      <c r="S85" s="82"/>
      <c r="T85" s="82"/>
      <c r="U85" s="82"/>
      <c r="V85" s="82"/>
      <c r="W85" s="82"/>
      <c r="X85" s="82"/>
      <c r="Y85" s="82"/>
      <c r="Z85" s="82"/>
      <c r="AA85" s="82"/>
    </row>
    <row r="86" ht="19.5" customHeight="1">
      <c r="A86" s="52"/>
      <c r="B86" s="171"/>
      <c r="C86" s="172"/>
      <c r="D86" s="172"/>
      <c r="E86" s="154"/>
      <c r="F86" s="162"/>
      <c r="G86" s="162"/>
      <c r="H86" s="162"/>
      <c r="I86" s="162"/>
      <c r="J86" s="174"/>
      <c r="K86" s="162"/>
      <c r="L86" s="129"/>
      <c r="M86" s="156"/>
      <c r="N86" s="79"/>
      <c r="O86" s="79"/>
      <c r="P86" s="79"/>
      <c r="Q86" s="79"/>
      <c r="R86" s="79"/>
      <c r="S86" s="82"/>
      <c r="T86" s="82"/>
      <c r="U86" s="82"/>
      <c r="V86" s="82"/>
      <c r="W86" s="82"/>
      <c r="X86" s="82"/>
      <c r="Y86" s="82"/>
      <c r="Z86" s="82"/>
      <c r="AA86" s="82"/>
    </row>
    <row r="87" ht="19.5" customHeight="1">
      <c r="A87" s="52"/>
      <c r="B87" s="171"/>
      <c r="C87" s="172"/>
      <c r="D87" s="172"/>
      <c r="E87" s="154"/>
      <c r="F87" s="162"/>
      <c r="G87" s="162"/>
      <c r="H87" s="162"/>
      <c r="I87" s="162"/>
      <c r="J87" s="174"/>
      <c r="K87" s="162"/>
      <c r="L87" s="129"/>
      <c r="M87" s="156"/>
      <c r="N87" s="79"/>
      <c r="O87" s="79"/>
      <c r="P87" s="79"/>
      <c r="Q87" s="79"/>
      <c r="R87" s="79"/>
      <c r="S87" s="82"/>
      <c r="T87" s="82"/>
      <c r="U87" s="82"/>
      <c r="V87" s="82"/>
      <c r="W87" s="82"/>
      <c r="X87" s="82"/>
      <c r="Y87" s="82"/>
      <c r="Z87" s="82"/>
      <c r="AA87" s="82"/>
    </row>
    <row r="88" ht="19.5" customHeight="1">
      <c r="A88" s="52"/>
      <c r="B88" s="171"/>
      <c r="C88" s="172"/>
      <c r="D88" s="172"/>
      <c r="E88" s="154"/>
      <c r="F88" s="162"/>
      <c r="G88" s="162"/>
      <c r="H88" s="162"/>
      <c r="I88" s="162"/>
      <c r="J88" s="174"/>
      <c r="K88" s="162"/>
      <c r="L88" s="129"/>
      <c r="M88" s="156"/>
      <c r="N88" s="79"/>
      <c r="O88" s="79"/>
      <c r="P88" s="79"/>
      <c r="Q88" s="79"/>
      <c r="R88" s="79"/>
      <c r="S88" s="82"/>
      <c r="T88" s="82"/>
      <c r="U88" s="82"/>
      <c r="V88" s="82"/>
      <c r="W88" s="82"/>
      <c r="X88" s="82"/>
      <c r="Y88" s="82"/>
      <c r="Z88" s="82"/>
      <c r="AA88" s="82"/>
    </row>
    <row r="89" ht="19.5" customHeight="1">
      <c r="A89" s="52"/>
      <c r="B89" s="171"/>
      <c r="C89" s="172"/>
      <c r="D89" s="172"/>
      <c r="E89" s="154"/>
      <c r="F89" s="162"/>
      <c r="G89" s="162"/>
      <c r="H89" s="162"/>
      <c r="I89" s="162"/>
      <c r="J89" s="174"/>
      <c r="K89" s="162"/>
      <c r="L89" s="129"/>
      <c r="M89" s="156"/>
      <c r="N89" s="79"/>
      <c r="O89" s="79"/>
      <c r="P89" s="79"/>
      <c r="Q89" s="79"/>
      <c r="R89" s="79"/>
      <c r="S89" s="82"/>
      <c r="T89" s="82"/>
      <c r="U89" s="82"/>
      <c r="V89" s="82"/>
      <c r="W89" s="82"/>
      <c r="X89" s="82"/>
      <c r="Y89" s="82"/>
      <c r="Z89" s="82"/>
      <c r="AA89" s="82"/>
    </row>
    <row r="90" ht="19.5" customHeight="1">
      <c r="A90" s="52"/>
      <c r="B90" s="171"/>
      <c r="C90" s="172"/>
      <c r="D90" s="172"/>
      <c r="E90" s="154"/>
      <c r="F90" s="162"/>
      <c r="G90" s="162"/>
      <c r="H90" s="162"/>
      <c r="I90" s="162"/>
      <c r="J90" s="174"/>
      <c r="K90" s="162"/>
      <c r="L90" s="129"/>
      <c r="M90" s="156"/>
      <c r="N90" s="79"/>
      <c r="O90" s="79"/>
      <c r="P90" s="79"/>
      <c r="Q90" s="79"/>
      <c r="R90" s="79"/>
      <c r="S90" s="82"/>
      <c r="T90" s="82"/>
      <c r="U90" s="82"/>
      <c r="V90" s="82"/>
      <c r="W90" s="82"/>
      <c r="X90" s="82"/>
      <c r="Y90" s="82"/>
      <c r="Z90" s="82"/>
      <c r="AA90" s="82"/>
    </row>
    <row r="91" ht="19.5" customHeight="1">
      <c r="A91" s="52"/>
      <c r="B91" s="171"/>
      <c r="C91" s="172"/>
      <c r="D91" s="172"/>
      <c r="E91" s="154"/>
      <c r="F91" s="162"/>
      <c r="G91" s="162"/>
      <c r="H91" s="162"/>
      <c r="I91" s="162"/>
      <c r="J91" s="174"/>
      <c r="K91" s="162"/>
      <c r="L91" s="129"/>
      <c r="M91" s="156"/>
      <c r="N91" s="79"/>
      <c r="O91" s="79"/>
      <c r="P91" s="79"/>
      <c r="Q91" s="79"/>
      <c r="R91" s="79"/>
      <c r="S91" s="82"/>
      <c r="T91" s="82"/>
      <c r="U91" s="82"/>
      <c r="V91" s="82"/>
      <c r="W91" s="82"/>
      <c r="X91" s="82"/>
      <c r="Y91" s="82"/>
      <c r="Z91" s="82"/>
      <c r="AA91" s="82"/>
    </row>
    <row r="92" ht="19.5" customHeight="1">
      <c r="A92" s="52"/>
      <c r="B92" s="171"/>
      <c r="C92" s="172"/>
      <c r="D92" s="172"/>
      <c r="E92" s="154"/>
      <c r="F92" s="162"/>
      <c r="G92" s="162"/>
      <c r="H92" s="162"/>
      <c r="I92" s="162"/>
      <c r="J92" s="174"/>
      <c r="K92" s="162"/>
      <c r="L92" s="129"/>
      <c r="M92" s="156"/>
      <c r="N92" s="79"/>
      <c r="O92" s="79"/>
      <c r="P92" s="79"/>
      <c r="Q92" s="79"/>
      <c r="R92" s="79"/>
      <c r="S92" s="82"/>
      <c r="T92" s="82"/>
      <c r="U92" s="82"/>
      <c r="V92" s="82"/>
      <c r="W92" s="82"/>
      <c r="X92" s="82"/>
      <c r="Y92" s="82"/>
      <c r="Z92" s="82"/>
      <c r="AA92" s="82"/>
    </row>
    <row r="93" ht="19.5" customHeight="1">
      <c r="A93" s="52"/>
      <c r="B93" s="171"/>
      <c r="C93" s="172"/>
      <c r="D93" s="172"/>
      <c r="E93" s="154"/>
      <c r="F93" s="162"/>
      <c r="G93" s="162"/>
      <c r="H93" s="162"/>
      <c r="I93" s="162"/>
      <c r="J93" s="174"/>
      <c r="K93" s="162"/>
      <c r="L93" s="129"/>
      <c r="M93" s="156"/>
      <c r="N93" s="79"/>
      <c r="O93" s="79"/>
      <c r="P93" s="79"/>
      <c r="Q93" s="79"/>
      <c r="R93" s="79"/>
      <c r="S93" s="82"/>
      <c r="T93" s="82"/>
      <c r="U93" s="82"/>
      <c r="V93" s="82"/>
      <c r="W93" s="82"/>
      <c r="X93" s="82"/>
      <c r="Y93" s="82"/>
      <c r="Z93" s="82"/>
      <c r="AA93" s="82"/>
    </row>
    <row r="94" ht="19.5" customHeight="1">
      <c r="A94" s="52"/>
      <c r="B94" s="171"/>
      <c r="C94" s="172"/>
      <c r="D94" s="172"/>
      <c r="E94" s="154"/>
      <c r="F94" s="162"/>
      <c r="G94" s="162"/>
      <c r="H94" s="162"/>
      <c r="I94" s="162"/>
      <c r="J94" s="174"/>
      <c r="K94" s="162"/>
      <c r="L94" s="129"/>
      <c r="M94" s="156"/>
      <c r="N94" s="79"/>
      <c r="O94" s="79"/>
      <c r="P94" s="79"/>
      <c r="Q94" s="79"/>
      <c r="R94" s="79"/>
      <c r="S94" s="82"/>
      <c r="T94" s="82"/>
      <c r="U94" s="82"/>
      <c r="V94" s="82"/>
      <c r="W94" s="82"/>
      <c r="X94" s="82"/>
      <c r="Y94" s="82"/>
      <c r="Z94" s="82"/>
      <c r="AA94" s="82"/>
    </row>
    <row r="95" ht="19.5" customHeight="1">
      <c r="A95" s="52"/>
      <c r="B95" s="171"/>
      <c r="C95" s="172"/>
      <c r="D95" s="172"/>
      <c r="E95" s="154"/>
      <c r="F95" s="162"/>
      <c r="G95" s="162"/>
      <c r="H95" s="162"/>
      <c r="I95" s="162"/>
      <c r="J95" s="174"/>
      <c r="K95" s="162"/>
      <c r="L95" s="129"/>
      <c r="M95" s="156"/>
      <c r="N95" s="79"/>
      <c r="O95" s="79"/>
      <c r="P95" s="79"/>
      <c r="Q95" s="79"/>
      <c r="R95" s="79"/>
      <c r="S95" s="82"/>
      <c r="T95" s="82"/>
      <c r="U95" s="82"/>
      <c r="V95" s="82"/>
      <c r="W95" s="82"/>
      <c r="X95" s="82"/>
      <c r="Y95" s="82"/>
      <c r="Z95" s="82"/>
      <c r="AA95" s="82"/>
    </row>
    <row r="96" ht="19.5" customHeight="1">
      <c r="A96" s="52"/>
      <c r="B96" s="171"/>
      <c r="C96" s="172"/>
      <c r="D96" s="172"/>
      <c r="E96" s="154"/>
      <c r="F96" s="162"/>
      <c r="G96" s="162"/>
      <c r="H96" s="162"/>
      <c r="I96" s="162"/>
      <c r="J96" s="174"/>
      <c r="K96" s="162"/>
      <c r="L96" s="129"/>
      <c r="M96" s="156"/>
      <c r="N96" s="79"/>
      <c r="O96" s="79"/>
      <c r="P96" s="79"/>
      <c r="Q96" s="79"/>
      <c r="R96" s="79"/>
      <c r="S96" s="82"/>
      <c r="T96" s="82"/>
      <c r="U96" s="82"/>
      <c r="V96" s="82"/>
      <c r="W96" s="82"/>
      <c r="X96" s="82"/>
      <c r="Y96" s="82"/>
      <c r="Z96" s="82"/>
      <c r="AA96" s="82"/>
    </row>
    <row r="97" ht="19.5" customHeight="1">
      <c r="A97" s="52"/>
      <c r="B97" s="171"/>
      <c r="C97" s="172"/>
      <c r="D97" s="172"/>
      <c r="E97" s="154"/>
      <c r="F97" s="162"/>
      <c r="G97" s="162"/>
      <c r="H97" s="162"/>
      <c r="I97" s="162"/>
      <c r="J97" s="174"/>
      <c r="K97" s="162"/>
      <c r="L97" s="129"/>
      <c r="M97" s="156"/>
      <c r="N97" s="79"/>
      <c r="O97" s="79"/>
      <c r="P97" s="79"/>
      <c r="Q97" s="79"/>
      <c r="R97" s="79"/>
      <c r="S97" s="82"/>
      <c r="T97" s="82"/>
      <c r="U97" s="82"/>
      <c r="V97" s="82"/>
      <c r="W97" s="82"/>
      <c r="X97" s="82"/>
      <c r="Y97" s="82"/>
      <c r="Z97" s="82"/>
      <c r="AA97" s="82"/>
    </row>
    <row r="98" ht="19.5" customHeight="1">
      <c r="A98" s="52"/>
      <c r="B98" s="171"/>
      <c r="C98" s="172"/>
      <c r="D98" s="172"/>
      <c r="E98" s="154"/>
      <c r="F98" s="162"/>
      <c r="G98" s="162"/>
      <c r="H98" s="162"/>
      <c r="I98" s="162"/>
      <c r="J98" s="174"/>
      <c r="K98" s="162"/>
      <c r="L98" s="129"/>
      <c r="M98" s="156"/>
      <c r="N98" s="79"/>
      <c r="O98" s="79"/>
      <c r="P98" s="79"/>
      <c r="Q98" s="79"/>
      <c r="R98" s="79"/>
      <c r="S98" s="82"/>
      <c r="T98" s="82"/>
      <c r="U98" s="82"/>
      <c r="V98" s="82"/>
      <c r="W98" s="82"/>
      <c r="X98" s="82"/>
      <c r="Y98" s="82"/>
      <c r="Z98" s="82"/>
      <c r="AA98" s="82"/>
    </row>
    <row r="99" ht="19.5" customHeight="1">
      <c r="A99" s="52"/>
      <c r="B99" s="171"/>
      <c r="C99" s="172"/>
      <c r="D99" s="172"/>
      <c r="E99" s="154"/>
      <c r="F99" s="162"/>
      <c r="G99" s="162"/>
      <c r="H99" s="162"/>
      <c r="I99" s="162"/>
      <c r="J99" s="174"/>
      <c r="K99" s="162"/>
      <c r="L99" s="129"/>
      <c r="M99" s="156"/>
      <c r="N99" s="79"/>
      <c r="O99" s="79"/>
      <c r="P99" s="79"/>
      <c r="Q99" s="79"/>
      <c r="R99" s="79"/>
      <c r="S99" s="82"/>
      <c r="T99" s="82"/>
      <c r="U99" s="82"/>
      <c r="V99" s="82"/>
      <c r="W99" s="82"/>
      <c r="X99" s="82"/>
      <c r="Y99" s="82"/>
      <c r="Z99" s="82"/>
      <c r="AA99" s="82"/>
    </row>
    <row r="100" ht="19.5" customHeight="1">
      <c r="A100" s="52"/>
      <c r="B100" s="171"/>
      <c r="C100" s="172"/>
      <c r="D100" s="172"/>
      <c r="E100" s="154"/>
      <c r="F100" s="162"/>
      <c r="G100" s="162"/>
      <c r="H100" s="162"/>
      <c r="I100" s="162"/>
      <c r="J100" s="174"/>
      <c r="K100" s="162"/>
      <c r="L100" s="129"/>
      <c r="M100" s="156"/>
      <c r="N100" s="79"/>
      <c r="O100" s="79"/>
      <c r="P100" s="79"/>
      <c r="Q100" s="79"/>
      <c r="R100" s="79"/>
      <c r="S100" s="82"/>
      <c r="T100" s="82"/>
      <c r="U100" s="82"/>
      <c r="V100" s="82"/>
      <c r="W100" s="82"/>
      <c r="X100" s="82"/>
      <c r="Y100" s="82"/>
      <c r="Z100" s="82"/>
      <c r="AA100" s="82"/>
    </row>
    <row r="101" ht="19.5" customHeight="1">
      <c r="A101" s="52"/>
      <c r="B101" s="171"/>
      <c r="C101" s="172"/>
      <c r="D101" s="172"/>
      <c r="E101" s="154"/>
      <c r="F101" s="162"/>
      <c r="G101" s="162"/>
      <c r="H101" s="162"/>
      <c r="I101" s="162"/>
      <c r="J101" s="174"/>
      <c r="K101" s="162"/>
      <c r="L101" s="129"/>
      <c r="M101" s="156"/>
      <c r="N101" s="79"/>
      <c r="O101" s="79"/>
      <c r="P101" s="79"/>
      <c r="Q101" s="79"/>
      <c r="R101" s="79"/>
      <c r="S101" s="82"/>
      <c r="T101" s="82"/>
      <c r="U101" s="82"/>
      <c r="V101" s="82"/>
      <c r="W101" s="82"/>
      <c r="X101" s="82"/>
      <c r="Y101" s="82"/>
      <c r="Z101" s="82"/>
      <c r="AA101" s="82"/>
    </row>
    <row r="102" ht="19.5" customHeight="1">
      <c r="A102" s="52"/>
      <c r="B102" s="171"/>
      <c r="C102" s="172"/>
      <c r="D102" s="172"/>
      <c r="E102" s="154"/>
      <c r="F102" s="162"/>
      <c r="G102" s="162"/>
      <c r="H102" s="162"/>
      <c r="I102" s="162"/>
      <c r="J102" s="174"/>
      <c r="K102" s="162"/>
      <c r="L102" s="129"/>
      <c r="M102" s="156"/>
      <c r="N102" s="79"/>
      <c r="O102" s="79"/>
      <c r="P102" s="79"/>
      <c r="Q102" s="79"/>
      <c r="R102" s="79"/>
      <c r="S102" s="82"/>
      <c r="T102" s="82"/>
      <c r="U102" s="82"/>
      <c r="V102" s="82"/>
      <c r="W102" s="82"/>
      <c r="X102" s="82"/>
      <c r="Y102" s="82"/>
      <c r="Z102" s="82"/>
      <c r="AA102" s="82"/>
    </row>
    <row r="103" ht="19.5" customHeight="1">
      <c r="A103" s="52"/>
      <c r="B103" s="171"/>
      <c r="C103" s="172"/>
      <c r="D103" s="172"/>
      <c r="E103" s="154"/>
      <c r="F103" s="162"/>
      <c r="G103" s="162"/>
      <c r="H103" s="162"/>
      <c r="I103" s="162"/>
      <c r="J103" s="174"/>
      <c r="K103" s="162"/>
      <c r="L103" s="129"/>
      <c r="M103" s="156"/>
      <c r="N103" s="79"/>
      <c r="O103" s="79"/>
      <c r="P103" s="79"/>
      <c r="Q103" s="79"/>
      <c r="R103" s="79"/>
      <c r="S103" s="82"/>
      <c r="T103" s="82"/>
      <c r="U103" s="82"/>
      <c r="V103" s="82"/>
      <c r="W103" s="82"/>
      <c r="X103" s="82"/>
      <c r="Y103" s="82"/>
      <c r="Z103" s="82"/>
      <c r="AA103" s="82"/>
    </row>
    <row r="104" ht="19.5" customHeight="1">
      <c r="A104" s="52"/>
      <c r="B104" s="171"/>
      <c r="C104" s="172"/>
      <c r="D104" s="172"/>
      <c r="E104" s="154"/>
      <c r="F104" s="162"/>
      <c r="G104" s="162"/>
      <c r="H104" s="162"/>
      <c r="I104" s="162"/>
      <c r="J104" s="174"/>
      <c r="K104" s="162"/>
      <c r="L104" s="129"/>
      <c r="M104" s="156"/>
      <c r="N104" s="79"/>
      <c r="O104" s="79"/>
      <c r="P104" s="79"/>
      <c r="Q104" s="79"/>
      <c r="R104" s="79"/>
      <c r="S104" s="82"/>
      <c r="T104" s="82"/>
      <c r="U104" s="82"/>
      <c r="V104" s="82"/>
      <c r="W104" s="82"/>
      <c r="X104" s="82"/>
      <c r="Y104" s="82"/>
      <c r="Z104" s="82"/>
      <c r="AA104" s="82"/>
    </row>
    <row r="105" ht="19.5" customHeight="1">
      <c r="A105" s="52"/>
      <c r="B105" s="171"/>
      <c r="C105" s="172"/>
      <c r="D105" s="172"/>
      <c r="E105" s="154"/>
      <c r="F105" s="162"/>
      <c r="G105" s="162"/>
      <c r="H105" s="162"/>
      <c r="I105" s="162"/>
      <c r="J105" s="174"/>
      <c r="K105" s="162"/>
      <c r="L105" s="129"/>
      <c r="M105" s="156"/>
      <c r="N105" s="79"/>
      <c r="O105" s="79"/>
      <c r="P105" s="79"/>
      <c r="Q105" s="79"/>
      <c r="R105" s="79"/>
      <c r="S105" s="82"/>
      <c r="T105" s="82"/>
      <c r="U105" s="82"/>
      <c r="V105" s="82"/>
      <c r="W105" s="82"/>
      <c r="X105" s="82"/>
      <c r="Y105" s="82"/>
      <c r="Z105" s="82"/>
      <c r="AA105" s="82"/>
    </row>
    <row r="106" ht="19.5" customHeight="1">
      <c r="A106" s="52"/>
      <c r="B106" s="171"/>
      <c r="C106" s="172"/>
      <c r="D106" s="172"/>
      <c r="E106" s="154"/>
      <c r="F106" s="162"/>
      <c r="G106" s="162"/>
      <c r="H106" s="162"/>
      <c r="I106" s="162"/>
      <c r="J106" s="174"/>
      <c r="K106" s="162"/>
      <c r="L106" s="129"/>
      <c r="M106" s="156"/>
      <c r="N106" s="79"/>
      <c r="O106" s="79"/>
      <c r="P106" s="79"/>
      <c r="Q106" s="79"/>
      <c r="R106" s="79"/>
      <c r="S106" s="82"/>
      <c r="T106" s="82"/>
      <c r="U106" s="82"/>
      <c r="V106" s="82"/>
      <c r="W106" s="82"/>
      <c r="X106" s="82"/>
      <c r="Y106" s="82"/>
      <c r="Z106" s="82"/>
      <c r="AA106" s="82"/>
    </row>
    <row r="107" ht="19.5" customHeight="1">
      <c r="A107" s="52"/>
      <c r="B107" s="171"/>
      <c r="C107" s="172"/>
      <c r="D107" s="172"/>
      <c r="E107" s="154"/>
      <c r="F107" s="162"/>
      <c r="G107" s="162"/>
      <c r="H107" s="162"/>
      <c r="I107" s="162"/>
      <c r="J107" s="174"/>
      <c r="K107" s="162"/>
      <c r="L107" s="129"/>
      <c r="M107" s="156"/>
      <c r="N107" s="79"/>
      <c r="O107" s="79"/>
      <c r="P107" s="79"/>
      <c r="Q107" s="79"/>
      <c r="R107" s="79"/>
      <c r="S107" s="82"/>
      <c r="T107" s="82"/>
      <c r="U107" s="82"/>
      <c r="V107" s="82"/>
      <c r="W107" s="82"/>
      <c r="X107" s="82"/>
      <c r="Y107" s="82"/>
      <c r="Z107" s="82"/>
      <c r="AA107" s="82"/>
    </row>
    <row r="108" ht="19.5" customHeight="1">
      <c r="A108" s="52"/>
      <c r="B108" s="171"/>
      <c r="C108" s="172"/>
      <c r="D108" s="172"/>
      <c r="E108" s="154"/>
      <c r="F108" s="162"/>
      <c r="G108" s="162"/>
      <c r="H108" s="162"/>
      <c r="I108" s="162"/>
      <c r="J108" s="174"/>
      <c r="K108" s="162"/>
      <c r="L108" s="129"/>
      <c r="M108" s="156"/>
      <c r="N108" s="79"/>
      <c r="O108" s="79"/>
      <c r="P108" s="79"/>
      <c r="Q108" s="79"/>
      <c r="R108" s="79"/>
      <c r="S108" s="82"/>
      <c r="T108" s="82"/>
      <c r="U108" s="82"/>
      <c r="V108" s="82"/>
      <c r="W108" s="82"/>
      <c r="X108" s="82"/>
      <c r="Y108" s="82"/>
      <c r="Z108" s="82"/>
      <c r="AA108" s="82"/>
    </row>
    <row r="109" ht="19.5" customHeight="1">
      <c r="A109" s="52"/>
      <c r="B109" s="171"/>
      <c r="C109" s="172"/>
      <c r="D109" s="172"/>
      <c r="E109" s="154"/>
      <c r="F109" s="162"/>
      <c r="G109" s="162"/>
      <c r="H109" s="162"/>
      <c r="I109" s="162"/>
      <c r="J109" s="174"/>
      <c r="K109" s="162"/>
      <c r="L109" s="129"/>
      <c r="M109" s="156"/>
      <c r="N109" s="79"/>
      <c r="O109" s="79"/>
      <c r="P109" s="79"/>
      <c r="Q109" s="79"/>
      <c r="R109" s="79"/>
      <c r="S109" s="82"/>
      <c r="T109" s="82"/>
      <c r="U109" s="82"/>
      <c r="V109" s="82"/>
      <c r="W109" s="82"/>
      <c r="X109" s="82"/>
      <c r="Y109" s="82"/>
      <c r="Z109" s="82"/>
      <c r="AA109" s="82"/>
    </row>
    <row r="110" ht="19.5" customHeight="1">
      <c r="A110" s="52"/>
      <c r="B110" s="171"/>
      <c r="C110" s="172"/>
      <c r="D110" s="172"/>
      <c r="E110" s="154"/>
      <c r="F110" s="162"/>
      <c r="G110" s="162"/>
      <c r="H110" s="162"/>
      <c r="I110" s="162"/>
      <c r="J110" s="174"/>
      <c r="K110" s="162"/>
      <c r="L110" s="129"/>
      <c r="M110" s="156"/>
      <c r="N110" s="79"/>
      <c r="O110" s="79"/>
      <c r="P110" s="79"/>
      <c r="Q110" s="79"/>
      <c r="R110" s="79"/>
      <c r="S110" s="82"/>
      <c r="T110" s="82"/>
      <c r="U110" s="82"/>
      <c r="V110" s="82"/>
      <c r="W110" s="82"/>
      <c r="X110" s="82"/>
      <c r="Y110" s="82"/>
      <c r="Z110" s="82"/>
      <c r="AA110" s="82"/>
    </row>
    <row r="111" ht="19.5" customHeight="1">
      <c r="A111" s="52"/>
      <c r="B111" s="171"/>
      <c r="C111" s="172"/>
      <c r="D111" s="172"/>
      <c r="E111" s="154"/>
      <c r="F111" s="162"/>
      <c r="G111" s="162"/>
      <c r="H111" s="162"/>
      <c r="I111" s="162"/>
      <c r="J111" s="174"/>
      <c r="K111" s="162"/>
      <c r="L111" s="129"/>
      <c r="M111" s="156"/>
      <c r="N111" s="79"/>
      <c r="O111" s="79"/>
      <c r="P111" s="79"/>
      <c r="Q111" s="79"/>
      <c r="R111" s="79"/>
      <c r="S111" s="82"/>
      <c r="T111" s="82"/>
      <c r="U111" s="82"/>
      <c r="V111" s="82"/>
      <c r="W111" s="82"/>
      <c r="X111" s="82"/>
      <c r="Y111" s="82"/>
      <c r="Z111" s="82"/>
      <c r="AA111" s="82"/>
    </row>
    <row r="112" ht="19.5" customHeight="1">
      <c r="A112" s="52"/>
      <c r="B112" s="171"/>
      <c r="C112" s="172"/>
      <c r="D112" s="172"/>
      <c r="E112" s="154"/>
      <c r="F112" s="162"/>
      <c r="G112" s="162"/>
      <c r="H112" s="162"/>
      <c r="I112" s="162"/>
      <c r="J112" s="174"/>
      <c r="K112" s="162"/>
      <c r="L112" s="129"/>
      <c r="M112" s="156"/>
      <c r="N112" s="79"/>
      <c r="O112" s="79"/>
      <c r="P112" s="79"/>
      <c r="Q112" s="79"/>
      <c r="R112" s="79"/>
      <c r="S112" s="82"/>
      <c r="T112" s="82"/>
      <c r="U112" s="82"/>
      <c r="V112" s="82"/>
      <c r="W112" s="82"/>
      <c r="X112" s="82"/>
      <c r="Y112" s="82"/>
      <c r="Z112" s="82"/>
      <c r="AA112" s="82"/>
    </row>
    <row r="113" ht="19.5" customHeight="1">
      <c r="A113" s="52"/>
      <c r="B113" s="171"/>
      <c r="C113" s="172"/>
      <c r="D113" s="172"/>
      <c r="E113" s="154"/>
      <c r="F113" s="162"/>
      <c r="G113" s="162"/>
      <c r="H113" s="162"/>
      <c r="I113" s="162"/>
      <c r="J113" s="174"/>
      <c r="K113" s="162"/>
      <c r="L113" s="129"/>
      <c r="M113" s="156"/>
      <c r="N113" s="79"/>
      <c r="O113" s="79"/>
      <c r="P113" s="79"/>
      <c r="Q113" s="79"/>
      <c r="R113" s="79"/>
      <c r="S113" s="82"/>
      <c r="T113" s="82"/>
      <c r="U113" s="82"/>
      <c r="V113" s="82"/>
      <c r="W113" s="82"/>
      <c r="X113" s="82"/>
      <c r="Y113" s="82"/>
      <c r="Z113" s="82"/>
      <c r="AA113" s="82"/>
    </row>
    <row r="114" ht="19.5" customHeight="1">
      <c r="A114" s="52"/>
      <c r="B114" s="171"/>
      <c r="C114" s="172"/>
      <c r="D114" s="172"/>
      <c r="E114" s="154"/>
      <c r="F114" s="162"/>
      <c r="G114" s="162"/>
      <c r="H114" s="162"/>
      <c r="I114" s="162"/>
      <c r="J114" s="174"/>
      <c r="K114" s="162"/>
      <c r="L114" s="129"/>
      <c r="M114" s="156"/>
      <c r="N114" s="79"/>
      <c r="O114" s="79"/>
      <c r="P114" s="79"/>
      <c r="Q114" s="79"/>
      <c r="R114" s="79"/>
      <c r="S114" s="82"/>
      <c r="T114" s="82"/>
      <c r="U114" s="82"/>
      <c r="V114" s="82"/>
      <c r="W114" s="82"/>
      <c r="X114" s="82"/>
      <c r="Y114" s="82"/>
      <c r="Z114" s="82"/>
      <c r="AA114" s="82"/>
    </row>
    <row r="115" ht="19.5" customHeight="1">
      <c r="A115" s="52"/>
      <c r="B115" s="171"/>
      <c r="C115" s="172"/>
      <c r="D115" s="172"/>
      <c r="E115" s="154"/>
      <c r="F115" s="162"/>
      <c r="G115" s="162"/>
      <c r="H115" s="162"/>
      <c r="I115" s="162"/>
      <c r="J115" s="174"/>
      <c r="K115" s="162"/>
      <c r="L115" s="129"/>
      <c r="M115" s="156"/>
      <c r="N115" s="79"/>
      <c r="O115" s="79"/>
      <c r="P115" s="79"/>
      <c r="Q115" s="79"/>
      <c r="R115" s="79"/>
      <c r="S115" s="82"/>
      <c r="T115" s="82"/>
      <c r="U115" s="82"/>
      <c r="V115" s="82"/>
      <c r="W115" s="82"/>
      <c r="X115" s="82"/>
      <c r="Y115" s="82"/>
      <c r="Z115" s="82"/>
      <c r="AA115" s="82"/>
    </row>
    <row r="116" ht="19.5" customHeight="1">
      <c r="A116" s="52"/>
      <c r="B116" s="171"/>
      <c r="C116" s="172"/>
      <c r="D116" s="172"/>
      <c r="E116" s="154"/>
      <c r="F116" s="162"/>
      <c r="G116" s="162"/>
      <c r="H116" s="162"/>
      <c r="I116" s="162"/>
      <c r="J116" s="174"/>
      <c r="K116" s="162"/>
      <c r="L116" s="129"/>
      <c r="M116" s="156"/>
      <c r="N116" s="79"/>
      <c r="O116" s="79"/>
      <c r="P116" s="79"/>
      <c r="Q116" s="79"/>
      <c r="R116" s="79"/>
      <c r="S116" s="82"/>
      <c r="T116" s="82"/>
      <c r="U116" s="82"/>
      <c r="V116" s="82"/>
      <c r="W116" s="82"/>
      <c r="X116" s="82"/>
      <c r="Y116" s="82"/>
      <c r="Z116" s="82"/>
      <c r="AA116" s="82"/>
    </row>
    <row r="117" ht="19.5" customHeight="1">
      <c r="A117" s="52"/>
      <c r="B117" s="171"/>
      <c r="C117" s="172"/>
      <c r="D117" s="172"/>
      <c r="E117" s="154"/>
      <c r="F117" s="162"/>
      <c r="G117" s="162"/>
      <c r="H117" s="162"/>
      <c r="I117" s="162"/>
      <c r="J117" s="174"/>
      <c r="K117" s="162"/>
      <c r="L117" s="129"/>
      <c r="M117" s="156"/>
      <c r="N117" s="79"/>
      <c r="O117" s="79"/>
      <c r="P117" s="79"/>
      <c r="Q117" s="79"/>
      <c r="R117" s="79"/>
      <c r="S117" s="82"/>
      <c r="T117" s="82"/>
      <c r="U117" s="82"/>
      <c r="V117" s="82"/>
      <c r="W117" s="82"/>
      <c r="X117" s="82"/>
      <c r="Y117" s="82"/>
      <c r="Z117" s="82"/>
      <c r="AA117" s="82"/>
    </row>
    <row r="118" ht="19.5" customHeight="1">
      <c r="A118" s="52"/>
      <c r="B118" s="171"/>
      <c r="C118" s="172"/>
      <c r="D118" s="172"/>
      <c r="E118" s="154"/>
      <c r="F118" s="162"/>
      <c r="G118" s="162"/>
      <c r="H118" s="162"/>
      <c r="I118" s="162"/>
      <c r="J118" s="174"/>
      <c r="K118" s="162"/>
      <c r="L118" s="129"/>
      <c r="M118" s="156"/>
      <c r="N118" s="79"/>
      <c r="O118" s="79"/>
      <c r="P118" s="79"/>
      <c r="Q118" s="79"/>
      <c r="R118" s="79"/>
      <c r="S118" s="82"/>
      <c r="T118" s="82"/>
      <c r="U118" s="82"/>
      <c r="V118" s="82"/>
      <c r="W118" s="82"/>
      <c r="X118" s="82"/>
      <c r="Y118" s="82"/>
      <c r="Z118" s="82"/>
      <c r="AA118" s="82"/>
    </row>
    <row r="119" ht="19.5" customHeight="1">
      <c r="A119" s="52"/>
      <c r="B119" s="171"/>
      <c r="C119" s="172"/>
      <c r="D119" s="172"/>
      <c r="E119" s="154"/>
      <c r="F119" s="162"/>
      <c r="G119" s="162"/>
      <c r="H119" s="162"/>
      <c r="I119" s="162"/>
      <c r="J119" s="174"/>
      <c r="K119" s="162"/>
      <c r="L119" s="129"/>
      <c r="M119" s="156"/>
      <c r="N119" s="79"/>
      <c r="O119" s="79"/>
      <c r="P119" s="79"/>
      <c r="Q119" s="79"/>
      <c r="R119" s="79"/>
      <c r="S119" s="82"/>
      <c r="T119" s="82"/>
      <c r="U119" s="82"/>
      <c r="V119" s="82"/>
      <c r="W119" s="82"/>
      <c r="X119" s="82"/>
      <c r="Y119" s="82"/>
      <c r="Z119" s="82"/>
      <c r="AA119" s="82"/>
    </row>
    <row r="120" ht="19.5" customHeight="1">
      <c r="A120" s="52"/>
      <c r="B120" s="171"/>
      <c r="C120" s="172"/>
      <c r="D120" s="172"/>
      <c r="E120" s="154"/>
      <c r="F120" s="162"/>
      <c r="G120" s="162"/>
      <c r="H120" s="162"/>
      <c r="I120" s="162"/>
      <c r="J120" s="174"/>
      <c r="K120" s="162"/>
      <c r="L120" s="129"/>
      <c r="M120" s="156"/>
      <c r="N120" s="79"/>
      <c r="O120" s="79"/>
      <c r="P120" s="79"/>
      <c r="Q120" s="79"/>
      <c r="R120" s="79"/>
      <c r="S120" s="82"/>
      <c r="T120" s="82"/>
      <c r="U120" s="82"/>
      <c r="V120" s="82"/>
      <c r="W120" s="82"/>
      <c r="X120" s="82"/>
      <c r="Y120" s="82"/>
      <c r="Z120" s="82"/>
      <c r="AA120" s="82"/>
    </row>
    <row r="121" ht="19.5" customHeight="1">
      <c r="A121" s="52"/>
      <c r="B121" s="171"/>
      <c r="C121" s="172"/>
      <c r="D121" s="172"/>
      <c r="E121" s="154"/>
      <c r="F121" s="162"/>
      <c r="G121" s="162"/>
      <c r="H121" s="162"/>
      <c r="I121" s="162"/>
      <c r="J121" s="174"/>
      <c r="K121" s="162"/>
      <c r="L121" s="129"/>
      <c r="M121" s="156"/>
      <c r="N121" s="79"/>
      <c r="O121" s="79"/>
      <c r="P121" s="79"/>
      <c r="Q121" s="79"/>
      <c r="R121" s="79"/>
      <c r="S121" s="82"/>
      <c r="T121" s="82"/>
      <c r="U121" s="82"/>
      <c r="V121" s="82"/>
      <c r="W121" s="82"/>
      <c r="X121" s="82"/>
      <c r="Y121" s="82"/>
      <c r="Z121" s="82"/>
      <c r="AA121" s="82"/>
    </row>
    <row r="122" ht="19.5" customHeight="1">
      <c r="A122" s="52"/>
      <c r="B122" s="171"/>
      <c r="C122" s="172"/>
      <c r="D122" s="172"/>
      <c r="E122" s="154"/>
      <c r="F122" s="162"/>
      <c r="G122" s="162"/>
      <c r="H122" s="162"/>
      <c r="I122" s="162"/>
      <c r="J122" s="174"/>
      <c r="K122" s="162"/>
      <c r="L122" s="129"/>
      <c r="M122" s="156"/>
      <c r="N122" s="79"/>
      <c r="O122" s="79"/>
      <c r="P122" s="79"/>
      <c r="Q122" s="79"/>
      <c r="R122" s="79"/>
      <c r="S122" s="82"/>
      <c r="T122" s="82"/>
      <c r="U122" s="82"/>
      <c r="V122" s="82"/>
      <c r="W122" s="82"/>
      <c r="X122" s="82"/>
      <c r="Y122" s="82"/>
      <c r="Z122" s="82"/>
      <c r="AA122" s="82"/>
    </row>
    <row r="123" ht="19.5" customHeight="1">
      <c r="A123" s="52"/>
      <c r="B123" s="171"/>
      <c r="C123" s="172"/>
      <c r="D123" s="172"/>
      <c r="E123" s="154"/>
      <c r="F123" s="162"/>
      <c r="G123" s="162"/>
      <c r="H123" s="162"/>
      <c r="I123" s="162"/>
      <c r="J123" s="174"/>
      <c r="K123" s="162"/>
      <c r="L123" s="129"/>
      <c r="M123" s="156"/>
      <c r="N123" s="79"/>
      <c r="O123" s="79"/>
      <c r="P123" s="79"/>
      <c r="Q123" s="79"/>
      <c r="R123" s="79"/>
      <c r="S123" s="82"/>
      <c r="T123" s="82"/>
      <c r="U123" s="82"/>
      <c r="V123" s="82"/>
      <c r="W123" s="82"/>
      <c r="X123" s="82"/>
      <c r="Y123" s="82"/>
      <c r="Z123" s="82"/>
      <c r="AA123" s="82"/>
    </row>
    <row r="124" ht="19.5" customHeight="1">
      <c r="A124" s="52"/>
      <c r="B124" s="171"/>
      <c r="C124" s="172"/>
      <c r="D124" s="172"/>
      <c r="E124" s="154"/>
      <c r="F124" s="162"/>
      <c r="G124" s="162"/>
      <c r="H124" s="162"/>
      <c r="I124" s="162"/>
      <c r="J124" s="174"/>
      <c r="K124" s="162"/>
      <c r="L124" s="129"/>
      <c r="M124" s="156"/>
      <c r="N124" s="79"/>
      <c r="O124" s="79"/>
      <c r="P124" s="79"/>
      <c r="Q124" s="79"/>
      <c r="R124" s="79"/>
      <c r="S124" s="82"/>
      <c r="T124" s="82"/>
      <c r="U124" s="82"/>
      <c r="V124" s="82"/>
      <c r="W124" s="82"/>
      <c r="X124" s="82"/>
      <c r="Y124" s="82"/>
      <c r="Z124" s="82"/>
      <c r="AA124" s="82"/>
    </row>
    <row r="125" ht="19.5" customHeight="1">
      <c r="A125" s="52"/>
      <c r="B125" s="171"/>
      <c r="C125" s="172"/>
      <c r="D125" s="172"/>
      <c r="E125" s="154"/>
      <c r="F125" s="162"/>
      <c r="G125" s="162"/>
      <c r="H125" s="162"/>
      <c r="I125" s="162"/>
      <c r="J125" s="174"/>
      <c r="K125" s="162"/>
      <c r="L125" s="129"/>
      <c r="M125" s="156"/>
      <c r="N125" s="79"/>
      <c r="O125" s="79"/>
      <c r="P125" s="79"/>
      <c r="Q125" s="79"/>
      <c r="R125" s="79"/>
      <c r="S125" s="82"/>
      <c r="T125" s="82"/>
      <c r="U125" s="82"/>
      <c r="V125" s="82"/>
      <c r="W125" s="82"/>
      <c r="X125" s="82"/>
      <c r="Y125" s="82"/>
      <c r="Z125" s="82"/>
      <c r="AA125" s="82"/>
    </row>
    <row r="126" ht="19.5" customHeight="1">
      <c r="A126" s="52"/>
      <c r="B126" s="171"/>
      <c r="C126" s="172"/>
      <c r="D126" s="172"/>
      <c r="E126" s="154"/>
      <c r="F126" s="162"/>
      <c r="G126" s="162"/>
      <c r="H126" s="162"/>
      <c r="I126" s="162"/>
      <c r="J126" s="174"/>
      <c r="K126" s="162"/>
      <c r="L126" s="129"/>
      <c r="M126" s="156"/>
      <c r="N126" s="79"/>
      <c r="O126" s="79"/>
      <c r="P126" s="79"/>
      <c r="Q126" s="79"/>
      <c r="R126" s="79"/>
      <c r="S126" s="82"/>
      <c r="T126" s="82"/>
      <c r="U126" s="82"/>
      <c r="V126" s="82"/>
      <c r="W126" s="82"/>
      <c r="X126" s="82"/>
      <c r="Y126" s="82"/>
      <c r="Z126" s="82"/>
      <c r="AA126" s="82"/>
    </row>
    <row r="127" ht="19.5" customHeight="1">
      <c r="A127" s="52"/>
      <c r="B127" s="171"/>
      <c r="C127" s="172"/>
      <c r="D127" s="172"/>
      <c r="E127" s="154"/>
      <c r="F127" s="162"/>
      <c r="G127" s="162"/>
      <c r="H127" s="162"/>
      <c r="I127" s="162"/>
      <c r="J127" s="174"/>
      <c r="K127" s="162"/>
      <c r="L127" s="129"/>
      <c r="M127" s="156"/>
      <c r="N127" s="79"/>
      <c r="O127" s="79"/>
      <c r="P127" s="79"/>
      <c r="Q127" s="79"/>
      <c r="R127" s="79"/>
      <c r="S127" s="82"/>
      <c r="T127" s="82"/>
      <c r="U127" s="82"/>
      <c r="V127" s="82"/>
      <c r="W127" s="82"/>
      <c r="X127" s="82"/>
      <c r="Y127" s="82"/>
      <c r="Z127" s="82"/>
      <c r="AA127" s="82"/>
    </row>
    <row r="128" ht="19.5" customHeight="1">
      <c r="A128" s="52"/>
      <c r="B128" s="171"/>
      <c r="C128" s="172"/>
      <c r="D128" s="172"/>
      <c r="E128" s="154"/>
      <c r="F128" s="162"/>
      <c r="G128" s="162"/>
      <c r="H128" s="162"/>
      <c r="I128" s="162"/>
      <c r="J128" s="174"/>
      <c r="K128" s="162"/>
      <c r="L128" s="129"/>
      <c r="M128" s="156"/>
      <c r="N128" s="79"/>
      <c r="O128" s="79"/>
      <c r="P128" s="79"/>
      <c r="Q128" s="79"/>
      <c r="R128" s="79"/>
      <c r="S128" s="82"/>
      <c r="T128" s="82"/>
      <c r="U128" s="82"/>
      <c r="V128" s="82"/>
      <c r="W128" s="82"/>
      <c r="X128" s="82"/>
      <c r="Y128" s="82"/>
      <c r="Z128" s="82"/>
      <c r="AA128" s="82"/>
    </row>
    <row r="129" ht="19.5" customHeight="1">
      <c r="A129" s="52"/>
      <c r="B129" s="171"/>
      <c r="C129" s="172"/>
      <c r="D129" s="172"/>
      <c r="E129" s="154"/>
      <c r="F129" s="162"/>
      <c r="G129" s="162"/>
      <c r="H129" s="162"/>
      <c r="I129" s="162"/>
      <c r="J129" s="174"/>
      <c r="K129" s="162"/>
      <c r="L129" s="129"/>
      <c r="M129" s="156"/>
      <c r="N129" s="79"/>
      <c r="O129" s="79"/>
      <c r="P129" s="79"/>
      <c r="Q129" s="79"/>
      <c r="R129" s="79"/>
      <c r="S129" s="82"/>
      <c r="T129" s="82"/>
      <c r="U129" s="82"/>
      <c r="V129" s="82"/>
      <c r="W129" s="82"/>
      <c r="X129" s="82"/>
      <c r="Y129" s="82"/>
      <c r="Z129" s="82"/>
      <c r="AA129" s="82"/>
    </row>
    <row r="130" ht="19.5" customHeight="1">
      <c r="A130" s="52"/>
      <c r="B130" s="171"/>
      <c r="C130" s="172"/>
      <c r="D130" s="172"/>
      <c r="E130" s="154"/>
      <c r="F130" s="162"/>
      <c r="G130" s="162"/>
      <c r="H130" s="162"/>
      <c r="I130" s="162"/>
      <c r="J130" s="174"/>
      <c r="K130" s="162"/>
      <c r="L130" s="129"/>
      <c r="M130" s="156"/>
      <c r="N130" s="79"/>
      <c r="O130" s="79"/>
      <c r="P130" s="79"/>
      <c r="Q130" s="79"/>
      <c r="R130" s="79"/>
      <c r="S130" s="82"/>
      <c r="T130" s="82"/>
      <c r="U130" s="82"/>
      <c r="V130" s="82"/>
      <c r="W130" s="82"/>
      <c r="X130" s="82"/>
      <c r="Y130" s="82"/>
      <c r="Z130" s="82"/>
      <c r="AA130" s="82"/>
    </row>
    <row r="131" ht="19.5" customHeight="1">
      <c r="A131" s="52"/>
      <c r="B131" s="171"/>
      <c r="C131" s="172"/>
      <c r="D131" s="172"/>
      <c r="E131" s="154"/>
      <c r="F131" s="162"/>
      <c r="G131" s="162"/>
      <c r="H131" s="162"/>
      <c r="I131" s="162"/>
      <c r="J131" s="174"/>
      <c r="K131" s="162"/>
      <c r="L131" s="129"/>
      <c r="M131" s="156"/>
      <c r="N131" s="79"/>
      <c r="O131" s="79"/>
      <c r="P131" s="79"/>
      <c r="Q131" s="79"/>
      <c r="R131" s="79"/>
      <c r="S131" s="82"/>
      <c r="T131" s="82"/>
      <c r="U131" s="82"/>
      <c r="V131" s="82"/>
      <c r="W131" s="82"/>
      <c r="X131" s="82"/>
      <c r="Y131" s="82"/>
      <c r="Z131" s="82"/>
      <c r="AA131" s="82"/>
    </row>
    <row r="132" ht="19.5" customHeight="1">
      <c r="A132" s="52"/>
      <c r="B132" s="171"/>
      <c r="C132" s="172"/>
      <c r="D132" s="172"/>
      <c r="E132" s="154"/>
      <c r="F132" s="162"/>
      <c r="G132" s="162"/>
      <c r="H132" s="162"/>
      <c r="I132" s="162"/>
      <c r="J132" s="174"/>
      <c r="K132" s="162"/>
      <c r="L132" s="129"/>
      <c r="M132" s="156"/>
      <c r="N132" s="79"/>
      <c r="O132" s="79"/>
      <c r="P132" s="79"/>
      <c r="Q132" s="79"/>
      <c r="R132" s="79"/>
      <c r="S132" s="82"/>
      <c r="T132" s="82"/>
      <c r="U132" s="82"/>
      <c r="V132" s="82"/>
      <c r="W132" s="82"/>
      <c r="X132" s="82"/>
      <c r="Y132" s="82"/>
      <c r="Z132" s="82"/>
      <c r="AA132" s="82"/>
    </row>
    <row r="133" ht="19.5" customHeight="1">
      <c r="A133" s="52"/>
      <c r="B133" s="171"/>
      <c r="C133" s="172"/>
      <c r="D133" s="172"/>
      <c r="E133" s="154"/>
      <c r="F133" s="162"/>
      <c r="G133" s="162"/>
      <c r="H133" s="162"/>
      <c r="I133" s="162"/>
      <c r="J133" s="174"/>
      <c r="K133" s="162"/>
      <c r="L133" s="129"/>
      <c r="M133" s="156"/>
      <c r="N133" s="79"/>
      <c r="O133" s="79"/>
      <c r="P133" s="79"/>
      <c r="Q133" s="79"/>
      <c r="R133" s="79"/>
      <c r="S133" s="82"/>
      <c r="T133" s="82"/>
      <c r="U133" s="82"/>
      <c r="V133" s="82"/>
      <c r="W133" s="82"/>
      <c r="X133" s="82"/>
      <c r="Y133" s="82"/>
      <c r="Z133" s="82"/>
      <c r="AA133" s="82"/>
    </row>
    <row r="134" ht="19.5" customHeight="1">
      <c r="A134" s="52"/>
      <c r="B134" s="171"/>
      <c r="C134" s="172"/>
      <c r="D134" s="172"/>
      <c r="E134" s="154"/>
      <c r="F134" s="162"/>
      <c r="G134" s="162"/>
      <c r="H134" s="162"/>
      <c r="I134" s="162"/>
      <c r="J134" s="174"/>
      <c r="K134" s="162"/>
      <c r="L134" s="129"/>
      <c r="M134" s="156"/>
      <c r="N134" s="79"/>
      <c r="O134" s="79"/>
      <c r="P134" s="79"/>
      <c r="Q134" s="79"/>
      <c r="R134" s="79"/>
      <c r="S134" s="82"/>
      <c r="T134" s="82"/>
      <c r="U134" s="82"/>
      <c r="V134" s="82"/>
      <c r="W134" s="82"/>
      <c r="X134" s="82"/>
      <c r="Y134" s="82"/>
      <c r="Z134" s="82"/>
      <c r="AA134" s="82"/>
    </row>
    <row r="135" ht="19.5" customHeight="1">
      <c r="A135" s="52"/>
      <c r="B135" s="171"/>
      <c r="C135" s="172"/>
      <c r="D135" s="172"/>
      <c r="E135" s="154"/>
      <c r="F135" s="162"/>
      <c r="G135" s="162"/>
      <c r="H135" s="162"/>
      <c r="I135" s="162"/>
      <c r="J135" s="174"/>
      <c r="K135" s="162"/>
      <c r="L135" s="129"/>
      <c r="M135" s="156"/>
      <c r="N135" s="79"/>
      <c r="O135" s="79"/>
      <c r="P135" s="79"/>
      <c r="Q135" s="79"/>
      <c r="R135" s="79"/>
      <c r="S135" s="82"/>
      <c r="T135" s="82"/>
      <c r="U135" s="82"/>
      <c r="V135" s="82"/>
      <c r="W135" s="82"/>
      <c r="X135" s="82"/>
      <c r="Y135" s="82"/>
      <c r="Z135" s="82"/>
      <c r="AA135" s="82"/>
    </row>
    <row r="136" ht="19.5" customHeight="1">
      <c r="A136" s="52"/>
      <c r="B136" s="171"/>
      <c r="C136" s="172"/>
      <c r="D136" s="172"/>
      <c r="E136" s="154"/>
      <c r="F136" s="162"/>
      <c r="G136" s="162"/>
      <c r="H136" s="162"/>
      <c r="I136" s="162"/>
      <c r="J136" s="174"/>
      <c r="K136" s="162"/>
      <c r="L136" s="129"/>
      <c r="M136" s="156"/>
      <c r="N136" s="79"/>
      <c r="O136" s="79"/>
      <c r="P136" s="79"/>
      <c r="Q136" s="79"/>
      <c r="R136" s="79"/>
      <c r="S136" s="82"/>
      <c r="T136" s="82"/>
      <c r="U136" s="82"/>
      <c r="V136" s="82"/>
      <c r="W136" s="82"/>
      <c r="X136" s="82"/>
      <c r="Y136" s="82"/>
      <c r="Z136" s="82"/>
      <c r="AA136" s="82"/>
    </row>
    <row r="137" ht="19.5" customHeight="1">
      <c r="A137" s="52"/>
      <c r="B137" s="171"/>
      <c r="C137" s="172"/>
      <c r="D137" s="172"/>
      <c r="E137" s="154"/>
      <c r="F137" s="162"/>
      <c r="G137" s="162"/>
      <c r="H137" s="162"/>
      <c r="I137" s="162"/>
      <c r="J137" s="174"/>
      <c r="K137" s="162"/>
      <c r="L137" s="129"/>
      <c r="M137" s="156"/>
      <c r="N137" s="79"/>
      <c r="O137" s="79"/>
      <c r="P137" s="79"/>
      <c r="Q137" s="79"/>
      <c r="R137" s="79"/>
      <c r="S137" s="82"/>
      <c r="T137" s="82"/>
      <c r="U137" s="82"/>
      <c r="V137" s="82"/>
      <c r="W137" s="82"/>
      <c r="X137" s="82"/>
      <c r="Y137" s="82"/>
      <c r="Z137" s="82"/>
      <c r="AA137" s="82"/>
    </row>
    <row r="138" ht="19.5" customHeight="1">
      <c r="A138" s="52"/>
      <c r="B138" s="171"/>
      <c r="C138" s="172"/>
      <c r="D138" s="172"/>
      <c r="E138" s="154"/>
      <c r="F138" s="162"/>
      <c r="G138" s="162"/>
      <c r="H138" s="162"/>
      <c r="I138" s="162"/>
      <c r="J138" s="174"/>
      <c r="K138" s="162"/>
      <c r="L138" s="129"/>
      <c r="M138" s="156"/>
      <c r="N138" s="79"/>
      <c r="O138" s="79"/>
      <c r="P138" s="79"/>
      <c r="Q138" s="79"/>
      <c r="R138" s="79"/>
      <c r="S138" s="82"/>
      <c r="T138" s="82"/>
      <c r="U138" s="82"/>
      <c r="V138" s="82"/>
      <c r="W138" s="82"/>
      <c r="X138" s="82"/>
      <c r="Y138" s="82"/>
      <c r="Z138" s="82"/>
      <c r="AA138" s="82"/>
    </row>
    <row r="139" ht="19.5" customHeight="1">
      <c r="A139" s="52"/>
      <c r="B139" s="171"/>
      <c r="C139" s="172"/>
      <c r="D139" s="172"/>
      <c r="E139" s="154"/>
      <c r="F139" s="162"/>
      <c r="G139" s="162"/>
      <c r="H139" s="162"/>
      <c r="I139" s="162"/>
      <c r="J139" s="174"/>
      <c r="K139" s="162"/>
      <c r="L139" s="129"/>
      <c r="M139" s="156"/>
      <c r="N139" s="79"/>
      <c r="O139" s="79"/>
      <c r="P139" s="79"/>
      <c r="Q139" s="79"/>
      <c r="R139" s="79"/>
      <c r="S139" s="82"/>
      <c r="T139" s="82"/>
      <c r="U139" s="82"/>
      <c r="V139" s="82"/>
      <c r="W139" s="82"/>
      <c r="X139" s="82"/>
      <c r="Y139" s="82"/>
      <c r="Z139" s="82"/>
      <c r="AA139" s="82"/>
    </row>
    <row r="140" ht="19.5" customHeight="1">
      <c r="A140" s="52"/>
      <c r="B140" s="171"/>
      <c r="C140" s="172"/>
      <c r="D140" s="172"/>
      <c r="E140" s="154"/>
      <c r="F140" s="162"/>
      <c r="G140" s="162"/>
      <c r="H140" s="162"/>
      <c r="I140" s="162"/>
      <c r="J140" s="174"/>
      <c r="K140" s="162"/>
      <c r="L140" s="129"/>
      <c r="M140" s="156"/>
      <c r="N140" s="79"/>
      <c r="O140" s="79"/>
      <c r="P140" s="79"/>
      <c r="Q140" s="79"/>
      <c r="R140" s="79"/>
      <c r="S140" s="82"/>
      <c r="T140" s="82"/>
      <c r="U140" s="82"/>
      <c r="V140" s="82"/>
      <c r="W140" s="82"/>
      <c r="X140" s="82"/>
      <c r="Y140" s="82"/>
      <c r="Z140" s="82"/>
      <c r="AA140" s="82"/>
    </row>
    <row r="141" ht="19.5" customHeight="1">
      <c r="A141" s="52"/>
      <c r="B141" s="171"/>
      <c r="C141" s="172"/>
      <c r="D141" s="172"/>
      <c r="E141" s="154"/>
      <c r="F141" s="162"/>
      <c r="G141" s="162"/>
      <c r="H141" s="162"/>
      <c r="I141" s="162"/>
      <c r="J141" s="174"/>
      <c r="K141" s="162"/>
      <c r="L141" s="129"/>
      <c r="M141" s="156"/>
      <c r="N141" s="79"/>
      <c r="O141" s="79"/>
      <c r="P141" s="79"/>
      <c r="Q141" s="79"/>
      <c r="R141" s="79"/>
      <c r="S141" s="82"/>
      <c r="T141" s="82"/>
      <c r="U141" s="82"/>
      <c r="V141" s="82"/>
      <c r="W141" s="82"/>
      <c r="X141" s="82"/>
      <c r="Y141" s="82"/>
      <c r="Z141" s="82"/>
      <c r="AA141" s="82"/>
    </row>
    <row r="142" ht="19.5" customHeight="1">
      <c r="A142" s="52"/>
      <c r="B142" s="171"/>
      <c r="C142" s="172"/>
      <c r="D142" s="172"/>
      <c r="E142" s="154"/>
      <c r="F142" s="162"/>
      <c r="G142" s="162"/>
      <c r="H142" s="162"/>
      <c r="I142" s="162"/>
      <c r="J142" s="174"/>
      <c r="K142" s="162"/>
      <c r="L142" s="129"/>
      <c r="M142" s="156"/>
      <c r="N142" s="79"/>
      <c r="O142" s="79"/>
      <c r="P142" s="79"/>
      <c r="Q142" s="79"/>
      <c r="R142" s="79"/>
      <c r="S142" s="82"/>
      <c r="T142" s="82"/>
      <c r="U142" s="82"/>
      <c r="V142" s="82"/>
      <c r="W142" s="82"/>
      <c r="X142" s="82"/>
      <c r="Y142" s="82"/>
      <c r="Z142" s="82"/>
      <c r="AA142" s="82"/>
    </row>
    <row r="143" ht="19.5" customHeight="1">
      <c r="A143" s="52"/>
      <c r="B143" s="171"/>
      <c r="C143" s="172"/>
      <c r="D143" s="172"/>
      <c r="E143" s="154"/>
      <c r="F143" s="162"/>
      <c r="G143" s="162"/>
      <c r="H143" s="162"/>
      <c r="I143" s="162"/>
      <c r="J143" s="174"/>
      <c r="K143" s="162"/>
      <c r="L143" s="129"/>
      <c r="M143" s="156"/>
      <c r="N143" s="79"/>
      <c r="O143" s="79"/>
      <c r="P143" s="79"/>
      <c r="Q143" s="79"/>
      <c r="R143" s="79"/>
      <c r="S143" s="82"/>
      <c r="T143" s="82"/>
      <c r="U143" s="82"/>
      <c r="V143" s="82"/>
      <c r="W143" s="82"/>
      <c r="X143" s="82"/>
      <c r="Y143" s="82"/>
      <c r="Z143" s="82"/>
      <c r="AA143" s="82"/>
    </row>
    <row r="144" ht="19.5" customHeight="1">
      <c r="A144" s="52"/>
      <c r="B144" s="171"/>
      <c r="C144" s="172"/>
      <c r="D144" s="172"/>
      <c r="E144" s="154"/>
      <c r="F144" s="162"/>
      <c r="G144" s="162"/>
      <c r="H144" s="162"/>
      <c r="I144" s="162"/>
      <c r="J144" s="174"/>
      <c r="K144" s="162"/>
      <c r="L144" s="129"/>
      <c r="M144" s="156"/>
      <c r="N144" s="79"/>
      <c r="O144" s="79"/>
      <c r="P144" s="79"/>
      <c r="Q144" s="79"/>
      <c r="R144" s="79"/>
      <c r="S144" s="82"/>
      <c r="T144" s="82"/>
      <c r="U144" s="82"/>
      <c r="V144" s="82"/>
      <c r="W144" s="82"/>
      <c r="X144" s="82"/>
      <c r="Y144" s="82"/>
      <c r="Z144" s="82"/>
      <c r="AA144" s="82"/>
    </row>
    <row r="145" ht="19.5" customHeight="1">
      <c r="A145" s="52"/>
      <c r="B145" s="171"/>
      <c r="C145" s="172"/>
      <c r="D145" s="172"/>
      <c r="E145" s="154"/>
      <c r="F145" s="162"/>
      <c r="G145" s="162"/>
      <c r="H145" s="162"/>
      <c r="I145" s="162"/>
      <c r="J145" s="174"/>
      <c r="K145" s="162"/>
      <c r="L145" s="129"/>
      <c r="M145" s="156"/>
      <c r="N145" s="79"/>
      <c r="O145" s="79"/>
      <c r="P145" s="79"/>
      <c r="Q145" s="79"/>
      <c r="R145" s="79"/>
      <c r="S145" s="82"/>
      <c r="T145" s="82"/>
      <c r="U145" s="82"/>
      <c r="V145" s="82"/>
      <c r="W145" s="82"/>
      <c r="X145" s="82"/>
      <c r="Y145" s="82"/>
      <c r="Z145" s="82"/>
      <c r="AA145" s="82"/>
    </row>
    <row r="146" ht="19.5" customHeight="1">
      <c r="A146" s="52"/>
      <c r="B146" s="171"/>
      <c r="C146" s="172"/>
      <c r="D146" s="172"/>
      <c r="E146" s="154"/>
      <c r="F146" s="162"/>
      <c r="G146" s="162"/>
      <c r="H146" s="162"/>
      <c r="I146" s="162"/>
      <c r="J146" s="174"/>
      <c r="K146" s="162"/>
      <c r="L146" s="129"/>
      <c r="M146" s="156"/>
      <c r="N146" s="79"/>
      <c r="O146" s="79"/>
      <c r="P146" s="79"/>
      <c r="Q146" s="79"/>
      <c r="R146" s="79"/>
      <c r="S146" s="82"/>
      <c r="T146" s="82"/>
      <c r="U146" s="82"/>
      <c r="V146" s="82"/>
      <c r="W146" s="82"/>
      <c r="X146" s="82"/>
      <c r="Y146" s="82"/>
      <c r="Z146" s="82"/>
      <c r="AA146" s="82"/>
    </row>
    <row r="147" ht="19.5" customHeight="1">
      <c r="A147" s="52"/>
      <c r="B147" s="171"/>
      <c r="C147" s="172"/>
      <c r="D147" s="172"/>
      <c r="E147" s="154"/>
      <c r="F147" s="162"/>
      <c r="G147" s="162"/>
      <c r="H147" s="162"/>
      <c r="I147" s="162"/>
      <c r="J147" s="174"/>
      <c r="K147" s="162"/>
      <c r="L147" s="129"/>
      <c r="M147" s="156"/>
      <c r="N147" s="79"/>
      <c r="O147" s="79"/>
      <c r="P147" s="79"/>
      <c r="Q147" s="79"/>
      <c r="R147" s="79"/>
      <c r="S147" s="82"/>
      <c r="T147" s="82"/>
      <c r="U147" s="82"/>
      <c r="V147" s="82"/>
      <c r="W147" s="82"/>
      <c r="X147" s="82"/>
      <c r="Y147" s="82"/>
      <c r="Z147" s="82"/>
      <c r="AA147" s="82"/>
    </row>
    <row r="148" ht="19.5" customHeight="1">
      <c r="A148" s="52"/>
      <c r="B148" s="171"/>
      <c r="C148" s="172"/>
      <c r="D148" s="172"/>
      <c r="E148" s="154"/>
      <c r="F148" s="162"/>
      <c r="G148" s="162"/>
      <c r="H148" s="162"/>
      <c r="I148" s="162"/>
      <c r="J148" s="174"/>
      <c r="K148" s="162"/>
      <c r="L148" s="129"/>
      <c r="M148" s="156"/>
      <c r="N148" s="79"/>
      <c r="O148" s="79"/>
      <c r="P148" s="79"/>
      <c r="Q148" s="79"/>
      <c r="R148" s="79"/>
      <c r="S148" s="82"/>
      <c r="T148" s="82"/>
      <c r="U148" s="82"/>
      <c r="V148" s="82"/>
      <c r="W148" s="82"/>
      <c r="X148" s="82"/>
      <c r="Y148" s="82"/>
      <c r="Z148" s="82"/>
      <c r="AA148" s="82"/>
    </row>
    <row r="149" ht="19.5" customHeight="1">
      <c r="A149" s="52"/>
      <c r="B149" s="171"/>
      <c r="C149" s="172"/>
      <c r="D149" s="172"/>
      <c r="E149" s="154"/>
      <c r="F149" s="162"/>
      <c r="G149" s="162"/>
      <c r="H149" s="162"/>
      <c r="I149" s="162"/>
      <c r="J149" s="174"/>
      <c r="K149" s="162"/>
      <c r="L149" s="129"/>
      <c r="M149" s="156"/>
      <c r="N149" s="79"/>
      <c r="O149" s="79"/>
      <c r="P149" s="79"/>
      <c r="Q149" s="79"/>
      <c r="R149" s="79"/>
      <c r="S149" s="82"/>
      <c r="T149" s="82"/>
      <c r="U149" s="82"/>
      <c r="V149" s="82"/>
      <c r="W149" s="82"/>
      <c r="X149" s="82"/>
      <c r="Y149" s="82"/>
      <c r="Z149" s="82"/>
      <c r="AA149" s="82"/>
    </row>
    <row r="150" ht="19.5" customHeight="1">
      <c r="A150" s="52"/>
      <c r="B150" s="171"/>
      <c r="C150" s="172"/>
      <c r="D150" s="172"/>
      <c r="E150" s="154"/>
      <c r="F150" s="162"/>
      <c r="G150" s="162"/>
      <c r="H150" s="162"/>
      <c r="I150" s="162"/>
      <c r="J150" s="174"/>
      <c r="K150" s="162"/>
      <c r="L150" s="129"/>
      <c r="M150" s="156"/>
      <c r="N150" s="79"/>
      <c r="O150" s="79"/>
      <c r="P150" s="79"/>
      <c r="Q150" s="79"/>
      <c r="R150" s="79"/>
      <c r="S150" s="82"/>
      <c r="T150" s="82"/>
      <c r="U150" s="82"/>
      <c r="V150" s="82"/>
      <c r="W150" s="82"/>
      <c r="X150" s="82"/>
      <c r="Y150" s="82"/>
      <c r="Z150" s="82"/>
      <c r="AA150" s="82"/>
    </row>
    <row r="151" ht="19.5" customHeight="1">
      <c r="A151" s="52"/>
      <c r="B151" s="171"/>
      <c r="C151" s="172"/>
      <c r="D151" s="172"/>
      <c r="E151" s="154"/>
      <c r="F151" s="162"/>
      <c r="G151" s="162"/>
      <c r="H151" s="162"/>
      <c r="I151" s="162"/>
      <c r="J151" s="174"/>
      <c r="K151" s="162"/>
      <c r="L151" s="129"/>
      <c r="M151" s="156"/>
      <c r="N151" s="79"/>
      <c r="O151" s="79"/>
      <c r="P151" s="79"/>
      <c r="Q151" s="79"/>
      <c r="R151" s="79"/>
      <c r="S151" s="82"/>
      <c r="T151" s="82"/>
      <c r="U151" s="82"/>
      <c r="V151" s="82"/>
      <c r="W151" s="82"/>
      <c r="X151" s="82"/>
      <c r="Y151" s="82"/>
      <c r="Z151" s="82"/>
      <c r="AA151" s="82"/>
    </row>
    <row r="152" ht="19.5" customHeight="1">
      <c r="A152" s="52"/>
      <c r="B152" s="171"/>
      <c r="C152" s="172"/>
      <c r="D152" s="172"/>
      <c r="E152" s="154"/>
      <c r="F152" s="162"/>
      <c r="G152" s="162"/>
      <c r="H152" s="162"/>
      <c r="I152" s="162"/>
      <c r="J152" s="174"/>
      <c r="K152" s="162"/>
      <c r="L152" s="129"/>
      <c r="M152" s="156"/>
      <c r="N152" s="79"/>
      <c r="O152" s="79"/>
      <c r="P152" s="79"/>
      <c r="Q152" s="79"/>
      <c r="R152" s="79"/>
      <c r="S152" s="82"/>
      <c r="T152" s="82"/>
      <c r="U152" s="82"/>
      <c r="V152" s="82"/>
      <c r="W152" s="82"/>
      <c r="X152" s="82"/>
      <c r="Y152" s="82"/>
      <c r="Z152" s="82"/>
      <c r="AA152" s="82"/>
    </row>
    <row r="153" ht="19.5" customHeight="1">
      <c r="A153" s="52"/>
      <c r="B153" s="171"/>
      <c r="C153" s="172"/>
      <c r="D153" s="172"/>
      <c r="E153" s="154"/>
      <c r="F153" s="162"/>
      <c r="G153" s="162"/>
      <c r="H153" s="162"/>
      <c r="I153" s="162"/>
      <c r="J153" s="174"/>
      <c r="K153" s="162"/>
      <c r="L153" s="129"/>
      <c r="M153" s="156"/>
      <c r="N153" s="79"/>
      <c r="O153" s="79"/>
      <c r="P153" s="79"/>
      <c r="Q153" s="79"/>
      <c r="R153" s="79"/>
      <c r="S153" s="82"/>
      <c r="T153" s="82"/>
      <c r="U153" s="82"/>
      <c r="V153" s="82"/>
      <c r="W153" s="82"/>
      <c r="X153" s="82"/>
      <c r="Y153" s="82"/>
      <c r="Z153" s="82"/>
      <c r="AA153" s="82"/>
    </row>
    <row r="154" ht="19.5" customHeight="1">
      <c r="A154" s="52"/>
      <c r="B154" s="171"/>
      <c r="C154" s="172"/>
      <c r="D154" s="172"/>
      <c r="E154" s="154"/>
      <c r="F154" s="162"/>
      <c r="G154" s="162"/>
      <c r="H154" s="162"/>
      <c r="I154" s="162"/>
      <c r="J154" s="174"/>
      <c r="K154" s="162"/>
      <c r="L154" s="129"/>
      <c r="M154" s="156"/>
      <c r="N154" s="79"/>
      <c r="O154" s="79"/>
      <c r="P154" s="79"/>
      <c r="Q154" s="79"/>
      <c r="R154" s="79"/>
      <c r="S154" s="82"/>
      <c r="T154" s="82"/>
      <c r="U154" s="82"/>
      <c r="V154" s="82"/>
      <c r="W154" s="82"/>
      <c r="X154" s="82"/>
      <c r="Y154" s="82"/>
      <c r="Z154" s="82"/>
      <c r="AA154" s="82"/>
    </row>
    <row r="155" ht="19.5" customHeight="1">
      <c r="A155" s="52"/>
      <c r="B155" s="171"/>
      <c r="C155" s="172"/>
      <c r="D155" s="172"/>
      <c r="E155" s="154"/>
      <c r="F155" s="162"/>
      <c r="G155" s="162"/>
      <c r="H155" s="162"/>
      <c r="I155" s="162"/>
      <c r="J155" s="174"/>
      <c r="K155" s="162"/>
      <c r="L155" s="129"/>
      <c r="M155" s="156"/>
      <c r="N155" s="79"/>
      <c r="O155" s="79"/>
      <c r="P155" s="79"/>
      <c r="Q155" s="79"/>
      <c r="R155" s="79"/>
      <c r="S155" s="82"/>
      <c r="T155" s="82"/>
      <c r="U155" s="82"/>
      <c r="V155" s="82"/>
      <c r="W155" s="82"/>
      <c r="X155" s="82"/>
      <c r="Y155" s="82"/>
      <c r="Z155" s="82"/>
      <c r="AA155" s="82"/>
    </row>
    <row r="156" ht="19.5" customHeight="1">
      <c r="A156" s="52"/>
      <c r="B156" s="171"/>
      <c r="C156" s="172"/>
      <c r="D156" s="172"/>
      <c r="E156" s="154"/>
      <c r="F156" s="162"/>
      <c r="G156" s="162"/>
      <c r="H156" s="162"/>
      <c r="I156" s="162"/>
      <c r="J156" s="174"/>
      <c r="K156" s="162"/>
      <c r="L156" s="129"/>
      <c r="M156" s="156"/>
      <c r="N156" s="79"/>
      <c r="O156" s="79"/>
      <c r="P156" s="79"/>
      <c r="Q156" s="79"/>
      <c r="R156" s="79"/>
      <c r="S156" s="82"/>
      <c r="T156" s="82"/>
      <c r="U156" s="82"/>
      <c r="V156" s="82"/>
      <c r="W156" s="82"/>
      <c r="X156" s="82"/>
      <c r="Y156" s="82"/>
      <c r="Z156" s="82"/>
      <c r="AA156" s="82"/>
    </row>
    <row r="157" ht="19.5" customHeight="1">
      <c r="A157" s="52"/>
      <c r="B157" s="171"/>
      <c r="C157" s="172"/>
      <c r="D157" s="172"/>
      <c r="E157" s="154"/>
      <c r="F157" s="162"/>
      <c r="G157" s="162"/>
      <c r="H157" s="162"/>
      <c r="I157" s="162"/>
      <c r="J157" s="174"/>
      <c r="K157" s="162"/>
      <c r="L157" s="129"/>
      <c r="M157" s="156"/>
      <c r="N157" s="79"/>
      <c r="O157" s="79"/>
      <c r="P157" s="79"/>
      <c r="Q157" s="79"/>
      <c r="R157" s="79"/>
      <c r="S157" s="82"/>
      <c r="T157" s="82"/>
      <c r="U157" s="82"/>
      <c r="V157" s="82"/>
      <c r="W157" s="82"/>
      <c r="X157" s="82"/>
      <c r="Y157" s="82"/>
      <c r="Z157" s="82"/>
      <c r="AA157" s="82"/>
    </row>
    <row r="158" ht="19.5" customHeight="1">
      <c r="A158" s="52"/>
      <c r="B158" s="171"/>
      <c r="C158" s="172"/>
      <c r="D158" s="172"/>
      <c r="E158" s="154"/>
      <c r="F158" s="162"/>
      <c r="G158" s="162"/>
      <c r="H158" s="162"/>
      <c r="I158" s="162"/>
      <c r="J158" s="174"/>
      <c r="K158" s="162"/>
      <c r="L158" s="129"/>
      <c r="M158" s="156"/>
      <c r="N158" s="79"/>
      <c r="O158" s="79"/>
      <c r="P158" s="79"/>
      <c r="Q158" s="79"/>
      <c r="R158" s="79"/>
      <c r="S158" s="82"/>
      <c r="T158" s="82"/>
      <c r="U158" s="82"/>
      <c r="V158" s="82"/>
      <c r="W158" s="82"/>
      <c r="X158" s="82"/>
      <c r="Y158" s="82"/>
      <c r="Z158" s="82"/>
      <c r="AA158" s="82"/>
    </row>
    <row r="159" ht="19.5" customHeight="1">
      <c r="A159" s="52"/>
      <c r="B159" s="171"/>
      <c r="C159" s="172"/>
      <c r="D159" s="172"/>
      <c r="E159" s="154"/>
      <c r="F159" s="162"/>
      <c r="G159" s="162"/>
      <c r="H159" s="162"/>
      <c r="I159" s="162"/>
      <c r="J159" s="174"/>
      <c r="K159" s="162"/>
      <c r="L159" s="129"/>
      <c r="M159" s="156"/>
      <c r="N159" s="79"/>
      <c r="O159" s="79"/>
      <c r="P159" s="79"/>
      <c r="Q159" s="79"/>
      <c r="R159" s="79"/>
      <c r="S159" s="82"/>
      <c r="T159" s="82"/>
      <c r="U159" s="82"/>
      <c r="V159" s="82"/>
      <c r="W159" s="82"/>
      <c r="X159" s="82"/>
      <c r="Y159" s="82"/>
      <c r="Z159" s="82"/>
      <c r="AA159" s="82"/>
    </row>
    <row r="160" ht="19.5" customHeight="1">
      <c r="A160" s="52"/>
      <c r="B160" s="171"/>
      <c r="C160" s="172"/>
      <c r="D160" s="172"/>
      <c r="E160" s="154"/>
      <c r="F160" s="162"/>
      <c r="G160" s="162"/>
      <c r="H160" s="162"/>
      <c r="I160" s="162"/>
      <c r="J160" s="174"/>
      <c r="K160" s="162"/>
      <c r="L160" s="129"/>
      <c r="M160" s="156"/>
      <c r="N160" s="79"/>
      <c r="O160" s="79"/>
      <c r="P160" s="79"/>
      <c r="Q160" s="79"/>
      <c r="R160" s="79"/>
      <c r="S160" s="82"/>
      <c r="T160" s="82"/>
      <c r="U160" s="82"/>
      <c r="V160" s="82"/>
      <c r="W160" s="82"/>
      <c r="X160" s="82"/>
      <c r="Y160" s="82"/>
      <c r="Z160" s="82"/>
      <c r="AA160" s="82"/>
    </row>
    <row r="161" ht="19.5" customHeight="1">
      <c r="A161" s="52"/>
      <c r="B161" s="171"/>
      <c r="C161" s="172"/>
      <c r="D161" s="172"/>
      <c r="E161" s="154"/>
      <c r="F161" s="162"/>
      <c r="G161" s="162"/>
      <c r="H161" s="162"/>
      <c r="I161" s="162"/>
      <c r="J161" s="174"/>
      <c r="K161" s="162"/>
      <c r="L161" s="129"/>
      <c r="M161" s="156"/>
      <c r="N161" s="79"/>
      <c r="O161" s="79"/>
      <c r="P161" s="79"/>
      <c r="Q161" s="79"/>
      <c r="R161" s="79"/>
      <c r="S161" s="82"/>
      <c r="T161" s="82"/>
      <c r="U161" s="82"/>
      <c r="V161" s="82"/>
      <c r="W161" s="82"/>
      <c r="X161" s="82"/>
      <c r="Y161" s="82"/>
      <c r="Z161" s="82"/>
      <c r="AA161" s="82"/>
    </row>
    <row r="162" ht="19.5" customHeight="1">
      <c r="A162" s="52"/>
      <c r="B162" s="171"/>
      <c r="C162" s="172"/>
      <c r="D162" s="172"/>
      <c r="E162" s="154"/>
      <c r="F162" s="162"/>
      <c r="G162" s="162"/>
      <c r="H162" s="162"/>
      <c r="I162" s="162"/>
      <c r="J162" s="174"/>
      <c r="K162" s="162"/>
      <c r="L162" s="129"/>
      <c r="M162" s="156"/>
      <c r="N162" s="79"/>
      <c r="O162" s="79"/>
      <c r="P162" s="79"/>
      <c r="Q162" s="79"/>
      <c r="R162" s="79"/>
      <c r="S162" s="82"/>
      <c r="T162" s="82"/>
      <c r="U162" s="82"/>
      <c r="V162" s="82"/>
      <c r="W162" s="82"/>
      <c r="X162" s="82"/>
      <c r="Y162" s="82"/>
      <c r="Z162" s="82"/>
      <c r="AA162" s="82"/>
    </row>
    <row r="163" ht="19.5" customHeight="1">
      <c r="A163" s="52"/>
      <c r="B163" s="171"/>
      <c r="C163" s="172"/>
      <c r="D163" s="172"/>
      <c r="E163" s="154"/>
      <c r="F163" s="162"/>
      <c r="G163" s="162"/>
      <c r="H163" s="162"/>
      <c r="I163" s="162"/>
      <c r="J163" s="174"/>
      <c r="K163" s="162"/>
      <c r="L163" s="129"/>
      <c r="M163" s="156"/>
      <c r="N163" s="79"/>
      <c r="O163" s="79"/>
      <c r="P163" s="79"/>
      <c r="Q163" s="79"/>
      <c r="R163" s="79"/>
      <c r="S163" s="82"/>
      <c r="T163" s="82"/>
      <c r="U163" s="82"/>
      <c r="V163" s="82"/>
      <c r="W163" s="82"/>
      <c r="X163" s="82"/>
      <c r="Y163" s="82"/>
      <c r="Z163" s="82"/>
      <c r="AA163" s="82"/>
    </row>
    <row r="164" ht="19.5" customHeight="1">
      <c r="A164" s="52"/>
      <c r="B164" s="171"/>
      <c r="C164" s="172"/>
      <c r="D164" s="172"/>
      <c r="E164" s="154"/>
      <c r="F164" s="162"/>
      <c r="G164" s="162"/>
      <c r="H164" s="162"/>
      <c r="I164" s="162"/>
      <c r="J164" s="174"/>
      <c r="K164" s="162"/>
      <c r="L164" s="129"/>
      <c r="M164" s="156"/>
      <c r="N164" s="79"/>
      <c r="O164" s="79"/>
      <c r="P164" s="79"/>
      <c r="Q164" s="79"/>
      <c r="R164" s="79"/>
      <c r="S164" s="82"/>
      <c r="T164" s="82"/>
      <c r="U164" s="82"/>
      <c r="V164" s="82"/>
      <c r="W164" s="82"/>
      <c r="X164" s="82"/>
      <c r="Y164" s="82"/>
      <c r="Z164" s="82"/>
      <c r="AA164" s="82"/>
    </row>
    <row r="165" ht="19.5" customHeight="1">
      <c r="A165" s="52"/>
      <c r="B165" s="171"/>
      <c r="C165" s="172"/>
      <c r="D165" s="172"/>
      <c r="E165" s="154"/>
      <c r="F165" s="162"/>
      <c r="G165" s="162"/>
      <c r="H165" s="162"/>
      <c r="I165" s="162"/>
      <c r="J165" s="174"/>
      <c r="K165" s="162"/>
      <c r="L165" s="129"/>
      <c r="M165" s="156"/>
      <c r="N165" s="79"/>
      <c r="O165" s="79"/>
      <c r="P165" s="79"/>
      <c r="Q165" s="79"/>
      <c r="R165" s="79"/>
      <c r="S165" s="82"/>
      <c r="T165" s="82"/>
      <c r="U165" s="82"/>
      <c r="V165" s="82"/>
      <c r="W165" s="82"/>
      <c r="X165" s="82"/>
      <c r="Y165" s="82"/>
      <c r="Z165" s="82"/>
      <c r="AA165" s="82"/>
    </row>
    <row r="166" ht="19.5" customHeight="1">
      <c r="A166" s="52"/>
      <c r="B166" s="171"/>
      <c r="C166" s="172"/>
      <c r="D166" s="172"/>
      <c r="E166" s="154"/>
      <c r="F166" s="162"/>
      <c r="G166" s="162"/>
      <c r="H166" s="162"/>
      <c r="I166" s="162"/>
      <c r="J166" s="174"/>
      <c r="K166" s="162"/>
      <c r="L166" s="129"/>
      <c r="M166" s="156"/>
      <c r="N166" s="79"/>
      <c r="O166" s="79"/>
      <c r="P166" s="79"/>
      <c r="Q166" s="79"/>
      <c r="R166" s="79"/>
      <c r="S166" s="82"/>
      <c r="T166" s="82"/>
      <c r="U166" s="82"/>
      <c r="V166" s="82"/>
      <c r="W166" s="82"/>
      <c r="X166" s="82"/>
      <c r="Y166" s="82"/>
      <c r="Z166" s="82"/>
      <c r="AA166" s="82"/>
    </row>
    <row r="167" ht="19.5" customHeight="1">
      <c r="A167" s="52"/>
      <c r="B167" s="171"/>
      <c r="C167" s="172"/>
      <c r="D167" s="172"/>
      <c r="E167" s="154"/>
      <c r="F167" s="162"/>
      <c r="G167" s="162"/>
      <c r="H167" s="162"/>
      <c r="I167" s="162"/>
      <c r="J167" s="174"/>
      <c r="K167" s="162"/>
      <c r="L167" s="129"/>
      <c r="M167" s="156"/>
      <c r="N167" s="79"/>
      <c r="O167" s="79"/>
      <c r="P167" s="79"/>
      <c r="Q167" s="79"/>
      <c r="R167" s="79"/>
      <c r="S167" s="82"/>
      <c r="T167" s="82"/>
      <c r="U167" s="82"/>
      <c r="V167" s="82"/>
      <c r="W167" s="82"/>
      <c r="X167" s="82"/>
      <c r="Y167" s="82"/>
      <c r="Z167" s="82"/>
      <c r="AA167" s="82"/>
    </row>
    <row r="168" ht="19.5" customHeight="1">
      <c r="A168" s="52"/>
      <c r="B168" s="171"/>
      <c r="C168" s="172"/>
      <c r="D168" s="172"/>
      <c r="E168" s="154"/>
      <c r="F168" s="162"/>
      <c r="G168" s="162"/>
      <c r="H168" s="162"/>
      <c r="I168" s="162"/>
      <c r="J168" s="174"/>
      <c r="K168" s="162"/>
      <c r="L168" s="129"/>
      <c r="M168" s="156"/>
      <c r="N168" s="79"/>
      <c r="O168" s="79"/>
      <c r="P168" s="79"/>
      <c r="Q168" s="79"/>
      <c r="R168" s="79"/>
      <c r="S168" s="82"/>
      <c r="T168" s="82"/>
      <c r="U168" s="82"/>
      <c r="V168" s="82"/>
      <c r="W168" s="82"/>
      <c r="X168" s="82"/>
      <c r="Y168" s="82"/>
      <c r="Z168" s="82"/>
      <c r="AA168" s="82"/>
    </row>
    <row r="169" ht="19.5" customHeight="1">
      <c r="A169" s="52"/>
      <c r="B169" s="171"/>
      <c r="C169" s="172"/>
      <c r="D169" s="172"/>
      <c r="E169" s="154"/>
      <c r="F169" s="162"/>
      <c r="G169" s="162"/>
      <c r="H169" s="162"/>
      <c r="I169" s="162"/>
      <c r="J169" s="174"/>
      <c r="K169" s="162"/>
      <c r="L169" s="129"/>
      <c r="M169" s="156"/>
      <c r="N169" s="79"/>
      <c r="O169" s="79"/>
      <c r="P169" s="79"/>
      <c r="Q169" s="79"/>
      <c r="R169" s="79"/>
      <c r="S169" s="82"/>
      <c r="T169" s="82"/>
      <c r="U169" s="82"/>
      <c r="V169" s="82"/>
      <c r="W169" s="82"/>
      <c r="X169" s="82"/>
      <c r="Y169" s="82"/>
      <c r="Z169" s="82"/>
      <c r="AA169" s="82"/>
    </row>
    <row r="170" ht="19.5" customHeight="1">
      <c r="A170" s="52"/>
      <c r="B170" s="171"/>
      <c r="C170" s="172"/>
      <c r="D170" s="172"/>
      <c r="E170" s="154"/>
      <c r="F170" s="162"/>
      <c r="G170" s="162"/>
      <c r="H170" s="162"/>
      <c r="I170" s="162"/>
      <c r="J170" s="174"/>
      <c r="K170" s="162"/>
      <c r="L170" s="129"/>
      <c r="M170" s="156"/>
      <c r="N170" s="79"/>
      <c r="O170" s="79"/>
      <c r="P170" s="79"/>
      <c r="Q170" s="79"/>
      <c r="R170" s="79"/>
      <c r="S170" s="82"/>
      <c r="T170" s="82"/>
      <c r="U170" s="82"/>
      <c r="V170" s="82"/>
      <c r="W170" s="82"/>
      <c r="X170" s="82"/>
      <c r="Y170" s="82"/>
      <c r="Z170" s="82"/>
      <c r="AA170" s="82"/>
    </row>
    <row r="171" ht="19.5" customHeight="1">
      <c r="A171" s="52"/>
      <c r="B171" s="171"/>
      <c r="C171" s="172"/>
      <c r="D171" s="172"/>
      <c r="E171" s="154"/>
      <c r="F171" s="162"/>
      <c r="G171" s="162"/>
      <c r="H171" s="162"/>
      <c r="I171" s="162"/>
      <c r="J171" s="174"/>
      <c r="K171" s="162"/>
      <c r="L171" s="129"/>
      <c r="M171" s="156"/>
      <c r="N171" s="79"/>
      <c r="O171" s="79"/>
      <c r="P171" s="79"/>
      <c r="Q171" s="79"/>
      <c r="R171" s="79"/>
      <c r="S171" s="82"/>
      <c r="T171" s="82"/>
      <c r="U171" s="82"/>
      <c r="V171" s="82"/>
      <c r="W171" s="82"/>
      <c r="X171" s="82"/>
      <c r="Y171" s="82"/>
      <c r="Z171" s="82"/>
      <c r="AA171" s="82"/>
    </row>
    <row r="172" ht="19.5" customHeight="1">
      <c r="A172" s="52"/>
      <c r="B172" s="171"/>
      <c r="C172" s="172"/>
      <c r="D172" s="172"/>
      <c r="E172" s="154"/>
      <c r="F172" s="162"/>
      <c r="G172" s="162"/>
      <c r="H172" s="162"/>
      <c r="I172" s="162"/>
      <c r="J172" s="174"/>
      <c r="K172" s="162"/>
      <c r="L172" s="129"/>
      <c r="M172" s="156"/>
      <c r="N172" s="79"/>
      <c r="O172" s="79"/>
      <c r="P172" s="79"/>
      <c r="Q172" s="79"/>
      <c r="R172" s="79"/>
      <c r="S172" s="82"/>
      <c r="T172" s="82"/>
      <c r="U172" s="82"/>
      <c r="V172" s="82"/>
      <c r="W172" s="82"/>
      <c r="X172" s="82"/>
      <c r="Y172" s="82"/>
      <c r="Z172" s="82"/>
      <c r="AA172" s="82"/>
    </row>
    <row r="173" ht="19.5" customHeight="1">
      <c r="A173" s="52"/>
      <c r="B173" s="171"/>
      <c r="C173" s="172"/>
      <c r="D173" s="172"/>
      <c r="E173" s="154"/>
      <c r="F173" s="162"/>
      <c r="G173" s="162"/>
      <c r="H173" s="162"/>
      <c r="I173" s="162"/>
      <c r="J173" s="174"/>
      <c r="K173" s="162"/>
      <c r="L173" s="129"/>
      <c r="M173" s="156"/>
      <c r="N173" s="79"/>
      <c r="O173" s="79"/>
      <c r="P173" s="79"/>
      <c r="Q173" s="79"/>
      <c r="R173" s="79"/>
      <c r="S173" s="82"/>
      <c r="T173" s="82"/>
      <c r="U173" s="82"/>
      <c r="V173" s="82"/>
      <c r="W173" s="82"/>
      <c r="X173" s="82"/>
      <c r="Y173" s="82"/>
      <c r="Z173" s="82"/>
      <c r="AA173" s="82"/>
    </row>
    <row r="174" ht="19.5" customHeight="1">
      <c r="A174" s="52"/>
      <c r="B174" s="171"/>
      <c r="C174" s="172"/>
      <c r="D174" s="172"/>
      <c r="E174" s="154"/>
      <c r="F174" s="162"/>
      <c r="G174" s="162"/>
      <c r="H174" s="162"/>
      <c r="I174" s="162"/>
      <c r="J174" s="174"/>
      <c r="K174" s="162"/>
      <c r="L174" s="129"/>
      <c r="M174" s="156"/>
      <c r="N174" s="79"/>
      <c r="O174" s="79"/>
      <c r="P174" s="79"/>
      <c r="Q174" s="79"/>
      <c r="R174" s="79"/>
      <c r="S174" s="82"/>
      <c r="T174" s="82"/>
      <c r="U174" s="82"/>
      <c r="V174" s="82"/>
      <c r="W174" s="82"/>
      <c r="X174" s="82"/>
      <c r="Y174" s="82"/>
      <c r="Z174" s="82"/>
      <c r="AA174" s="82"/>
    </row>
    <row r="175" ht="19.5" customHeight="1">
      <c r="A175" s="52"/>
      <c r="B175" s="171"/>
      <c r="C175" s="172"/>
      <c r="D175" s="172"/>
      <c r="E175" s="154"/>
      <c r="F175" s="162"/>
      <c r="G175" s="162"/>
      <c r="H175" s="162"/>
      <c r="I175" s="162"/>
      <c r="J175" s="174"/>
      <c r="K175" s="162"/>
      <c r="L175" s="129"/>
      <c r="M175" s="156"/>
      <c r="N175" s="79"/>
      <c r="O175" s="79"/>
      <c r="P175" s="79"/>
      <c r="Q175" s="79"/>
      <c r="R175" s="79"/>
      <c r="S175" s="82"/>
      <c r="T175" s="82"/>
      <c r="U175" s="82"/>
      <c r="V175" s="82"/>
      <c r="W175" s="82"/>
      <c r="X175" s="82"/>
      <c r="Y175" s="82"/>
      <c r="Z175" s="82"/>
      <c r="AA175" s="82"/>
    </row>
    <row r="176" ht="19.5" customHeight="1">
      <c r="A176" s="52"/>
      <c r="B176" s="171"/>
      <c r="C176" s="172"/>
      <c r="D176" s="172"/>
      <c r="E176" s="154"/>
      <c r="F176" s="162"/>
      <c r="G176" s="162"/>
      <c r="H176" s="162"/>
      <c r="I176" s="162"/>
      <c r="J176" s="174"/>
      <c r="K176" s="162"/>
      <c r="L176" s="129"/>
      <c r="M176" s="156"/>
      <c r="N176" s="79"/>
      <c r="O176" s="79"/>
      <c r="P176" s="79"/>
      <c r="Q176" s="79"/>
      <c r="R176" s="79"/>
      <c r="S176" s="82"/>
      <c r="T176" s="82"/>
      <c r="U176" s="82"/>
      <c r="V176" s="82"/>
      <c r="W176" s="82"/>
      <c r="X176" s="82"/>
      <c r="Y176" s="82"/>
      <c r="Z176" s="82"/>
      <c r="AA176" s="82"/>
    </row>
    <row r="177" ht="19.5" customHeight="1">
      <c r="A177" s="52"/>
      <c r="B177" s="171"/>
      <c r="C177" s="172"/>
      <c r="D177" s="172"/>
      <c r="E177" s="154"/>
      <c r="F177" s="162"/>
      <c r="G177" s="162"/>
      <c r="H177" s="162"/>
      <c r="I177" s="162"/>
      <c r="J177" s="174"/>
      <c r="K177" s="162"/>
      <c r="L177" s="129"/>
      <c r="M177" s="156"/>
      <c r="N177" s="79"/>
      <c r="O177" s="79"/>
      <c r="P177" s="79"/>
      <c r="Q177" s="79"/>
      <c r="R177" s="79"/>
      <c r="S177" s="82"/>
      <c r="T177" s="82"/>
      <c r="U177" s="82"/>
      <c r="V177" s="82"/>
      <c r="W177" s="82"/>
      <c r="X177" s="82"/>
      <c r="Y177" s="82"/>
      <c r="Z177" s="82"/>
      <c r="AA177" s="82"/>
    </row>
    <row r="178" ht="19.5" customHeight="1">
      <c r="A178" s="52"/>
      <c r="B178" s="171"/>
      <c r="C178" s="172"/>
      <c r="D178" s="172"/>
      <c r="E178" s="154"/>
      <c r="F178" s="162"/>
      <c r="G178" s="162"/>
      <c r="H178" s="162"/>
      <c r="I178" s="162"/>
      <c r="J178" s="174"/>
      <c r="K178" s="162"/>
      <c r="L178" s="129"/>
      <c r="M178" s="156"/>
      <c r="N178" s="79"/>
      <c r="O178" s="79"/>
      <c r="P178" s="79"/>
      <c r="Q178" s="79"/>
      <c r="R178" s="79"/>
      <c r="S178" s="82"/>
      <c r="T178" s="82"/>
      <c r="U178" s="82"/>
      <c r="V178" s="82"/>
      <c r="W178" s="82"/>
      <c r="X178" s="82"/>
      <c r="Y178" s="82"/>
      <c r="Z178" s="82"/>
      <c r="AA178" s="82"/>
    </row>
    <row r="179" ht="19.5" customHeight="1">
      <c r="A179" s="52"/>
      <c r="B179" s="171"/>
      <c r="C179" s="172"/>
      <c r="D179" s="172"/>
      <c r="E179" s="154"/>
      <c r="F179" s="162"/>
      <c r="G179" s="162"/>
      <c r="H179" s="162"/>
      <c r="I179" s="162"/>
      <c r="J179" s="174"/>
      <c r="K179" s="162"/>
      <c r="L179" s="129"/>
      <c r="M179" s="156"/>
      <c r="N179" s="79"/>
      <c r="O179" s="79"/>
      <c r="P179" s="79"/>
      <c r="Q179" s="79"/>
      <c r="R179" s="79"/>
      <c r="S179" s="82"/>
      <c r="T179" s="82"/>
      <c r="U179" s="82"/>
      <c r="V179" s="82"/>
      <c r="W179" s="82"/>
      <c r="X179" s="82"/>
      <c r="Y179" s="82"/>
      <c r="Z179" s="82"/>
      <c r="AA179" s="82"/>
    </row>
    <row r="180" ht="19.5" customHeight="1">
      <c r="A180" s="52"/>
      <c r="B180" s="171"/>
      <c r="C180" s="172"/>
      <c r="D180" s="172"/>
      <c r="E180" s="154"/>
      <c r="F180" s="162"/>
      <c r="G180" s="162"/>
      <c r="H180" s="162"/>
      <c r="I180" s="162"/>
      <c r="J180" s="174"/>
      <c r="K180" s="162"/>
      <c r="L180" s="129"/>
      <c r="M180" s="156"/>
      <c r="N180" s="79"/>
      <c r="O180" s="79"/>
      <c r="P180" s="79"/>
      <c r="Q180" s="79"/>
      <c r="R180" s="79"/>
      <c r="S180" s="82"/>
      <c r="T180" s="82"/>
      <c r="U180" s="82"/>
      <c r="V180" s="82"/>
      <c r="W180" s="82"/>
      <c r="X180" s="82"/>
      <c r="Y180" s="82"/>
      <c r="Z180" s="82"/>
      <c r="AA180" s="82"/>
    </row>
    <row r="181" ht="19.5" customHeight="1">
      <c r="A181" s="52"/>
      <c r="B181" s="171"/>
      <c r="C181" s="172"/>
      <c r="D181" s="172"/>
      <c r="E181" s="154"/>
      <c r="F181" s="162"/>
      <c r="G181" s="162"/>
      <c r="H181" s="162"/>
      <c r="I181" s="162"/>
      <c r="J181" s="174"/>
      <c r="K181" s="162"/>
      <c r="L181" s="129"/>
      <c r="M181" s="156"/>
      <c r="N181" s="79"/>
      <c r="O181" s="79"/>
      <c r="P181" s="79"/>
      <c r="Q181" s="79"/>
      <c r="R181" s="79"/>
      <c r="S181" s="82"/>
      <c r="T181" s="82"/>
      <c r="U181" s="82"/>
      <c r="V181" s="82"/>
      <c r="W181" s="82"/>
      <c r="X181" s="82"/>
      <c r="Y181" s="82"/>
      <c r="Z181" s="82"/>
      <c r="AA181" s="82"/>
    </row>
    <row r="182" ht="19.5" customHeight="1">
      <c r="A182" s="52"/>
      <c r="B182" s="171"/>
      <c r="C182" s="172"/>
      <c r="D182" s="172"/>
      <c r="E182" s="154"/>
      <c r="F182" s="162"/>
      <c r="G182" s="162"/>
      <c r="H182" s="162"/>
      <c r="I182" s="162"/>
      <c r="J182" s="174"/>
      <c r="K182" s="162"/>
      <c r="L182" s="129"/>
      <c r="M182" s="156"/>
      <c r="N182" s="79"/>
      <c r="O182" s="79"/>
      <c r="P182" s="79"/>
      <c r="Q182" s="79"/>
      <c r="R182" s="79"/>
      <c r="S182" s="82"/>
      <c r="T182" s="82"/>
      <c r="U182" s="82"/>
      <c r="V182" s="82"/>
      <c r="W182" s="82"/>
      <c r="X182" s="82"/>
      <c r="Y182" s="82"/>
      <c r="Z182" s="82"/>
      <c r="AA182" s="82"/>
    </row>
    <row r="183" ht="19.5" customHeight="1">
      <c r="A183" s="52"/>
      <c r="B183" s="171"/>
      <c r="C183" s="172"/>
      <c r="D183" s="172"/>
      <c r="E183" s="154"/>
      <c r="F183" s="162"/>
      <c r="G183" s="162"/>
      <c r="H183" s="162"/>
      <c r="I183" s="162"/>
      <c r="J183" s="174"/>
      <c r="K183" s="162"/>
      <c r="L183" s="129"/>
      <c r="M183" s="156"/>
      <c r="N183" s="79"/>
      <c r="O183" s="79"/>
      <c r="P183" s="79"/>
      <c r="Q183" s="79"/>
      <c r="R183" s="79"/>
      <c r="S183" s="82"/>
      <c r="T183" s="82"/>
      <c r="U183" s="82"/>
      <c r="V183" s="82"/>
      <c r="W183" s="82"/>
      <c r="X183" s="82"/>
      <c r="Y183" s="82"/>
      <c r="Z183" s="82"/>
      <c r="AA183" s="82"/>
    </row>
    <row r="184" ht="19.5" customHeight="1">
      <c r="A184" s="52"/>
      <c r="B184" s="171"/>
      <c r="C184" s="172"/>
      <c r="D184" s="172"/>
      <c r="E184" s="154"/>
      <c r="F184" s="162"/>
      <c r="G184" s="162"/>
      <c r="H184" s="162"/>
      <c r="I184" s="162"/>
      <c r="J184" s="174"/>
      <c r="K184" s="162"/>
      <c r="L184" s="129"/>
      <c r="M184" s="156"/>
      <c r="N184" s="79"/>
      <c r="O184" s="79"/>
      <c r="P184" s="79"/>
      <c r="Q184" s="79"/>
      <c r="R184" s="79"/>
      <c r="S184" s="82"/>
      <c r="T184" s="82"/>
      <c r="U184" s="82"/>
      <c r="V184" s="82"/>
      <c r="W184" s="82"/>
      <c r="X184" s="82"/>
      <c r="Y184" s="82"/>
      <c r="Z184" s="82"/>
      <c r="AA184" s="82"/>
    </row>
    <row r="185" ht="19.5" customHeight="1">
      <c r="A185" s="52"/>
      <c r="B185" s="171"/>
      <c r="C185" s="172"/>
      <c r="D185" s="172"/>
      <c r="E185" s="154"/>
      <c r="F185" s="162"/>
      <c r="G185" s="162"/>
      <c r="H185" s="162"/>
      <c r="I185" s="162"/>
      <c r="J185" s="174"/>
      <c r="K185" s="162"/>
      <c r="L185" s="129"/>
      <c r="M185" s="156"/>
      <c r="N185" s="79"/>
      <c r="O185" s="79"/>
      <c r="P185" s="79"/>
      <c r="Q185" s="79"/>
      <c r="R185" s="79"/>
      <c r="S185" s="82"/>
      <c r="T185" s="82"/>
      <c r="U185" s="82"/>
      <c r="V185" s="82"/>
      <c r="W185" s="82"/>
      <c r="X185" s="82"/>
      <c r="Y185" s="82"/>
      <c r="Z185" s="82"/>
      <c r="AA185" s="82"/>
    </row>
    <row r="186" ht="19.5" customHeight="1">
      <c r="A186" s="52"/>
      <c r="B186" s="171"/>
      <c r="C186" s="172"/>
      <c r="D186" s="172"/>
      <c r="E186" s="154"/>
      <c r="F186" s="162"/>
      <c r="G186" s="162"/>
      <c r="H186" s="162"/>
      <c r="I186" s="162"/>
      <c r="J186" s="174"/>
      <c r="K186" s="162"/>
      <c r="L186" s="129"/>
      <c r="M186" s="156"/>
      <c r="N186" s="79"/>
      <c r="O186" s="79"/>
      <c r="P186" s="79"/>
      <c r="Q186" s="79"/>
      <c r="R186" s="79"/>
      <c r="S186" s="82"/>
      <c r="T186" s="82"/>
      <c r="U186" s="82"/>
      <c r="V186" s="82"/>
      <c r="W186" s="82"/>
      <c r="X186" s="82"/>
      <c r="Y186" s="82"/>
      <c r="Z186" s="82"/>
      <c r="AA186" s="82"/>
    </row>
    <row r="187" ht="19.5" customHeight="1">
      <c r="A187" s="52"/>
      <c r="B187" s="171"/>
      <c r="C187" s="172"/>
      <c r="D187" s="172"/>
      <c r="E187" s="154"/>
      <c r="F187" s="162"/>
      <c r="G187" s="162"/>
      <c r="H187" s="162"/>
      <c r="I187" s="162"/>
      <c r="J187" s="174"/>
      <c r="K187" s="162"/>
      <c r="L187" s="129"/>
      <c r="M187" s="156"/>
      <c r="N187" s="79"/>
      <c r="O187" s="79"/>
      <c r="P187" s="79"/>
      <c r="Q187" s="79"/>
      <c r="R187" s="79"/>
      <c r="S187" s="82"/>
      <c r="T187" s="82"/>
      <c r="U187" s="82"/>
      <c r="V187" s="82"/>
      <c r="W187" s="82"/>
      <c r="X187" s="82"/>
      <c r="Y187" s="82"/>
      <c r="Z187" s="82"/>
      <c r="AA187" s="82"/>
    </row>
    <row r="188" ht="19.5" customHeight="1">
      <c r="A188" s="52"/>
      <c r="B188" s="171"/>
      <c r="C188" s="172"/>
      <c r="D188" s="172"/>
      <c r="E188" s="154"/>
      <c r="F188" s="162"/>
      <c r="G188" s="162"/>
      <c r="H188" s="162"/>
      <c r="I188" s="162"/>
      <c r="J188" s="174"/>
      <c r="K188" s="162"/>
      <c r="L188" s="129"/>
      <c r="M188" s="156"/>
      <c r="N188" s="79"/>
      <c r="O188" s="79"/>
      <c r="P188" s="79"/>
      <c r="Q188" s="79"/>
      <c r="R188" s="79"/>
      <c r="S188" s="82"/>
      <c r="T188" s="82"/>
      <c r="U188" s="82"/>
      <c r="V188" s="82"/>
      <c r="W188" s="82"/>
      <c r="X188" s="82"/>
      <c r="Y188" s="82"/>
      <c r="Z188" s="82"/>
      <c r="AA188" s="82"/>
    </row>
    <row r="189" ht="19.5" customHeight="1">
      <c r="A189" s="52"/>
      <c r="B189" s="171"/>
      <c r="C189" s="172"/>
      <c r="D189" s="172"/>
      <c r="E189" s="154"/>
      <c r="F189" s="162"/>
      <c r="G189" s="162"/>
      <c r="H189" s="162"/>
      <c r="I189" s="162"/>
      <c r="J189" s="174"/>
      <c r="K189" s="162"/>
      <c r="L189" s="129"/>
      <c r="M189" s="156"/>
      <c r="N189" s="79"/>
      <c r="O189" s="79"/>
      <c r="P189" s="79"/>
      <c r="Q189" s="79"/>
      <c r="R189" s="79"/>
      <c r="S189" s="82"/>
      <c r="T189" s="82"/>
      <c r="U189" s="82"/>
      <c r="V189" s="82"/>
      <c r="W189" s="82"/>
      <c r="X189" s="82"/>
      <c r="Y189" s="82"/>
      <c r="Z189" s="82"/>
      <c r="AA189" s="82"/>
    </row>
    <row r="190" ht="19.5" customHeight="1">
      <c r="A190" s="52"/>
      <c r="B190" s="171"/>
      <c r="C190" s="172"/>
      <c r="D190" s="172"/>
      <c r="E190" s="154"/>
      <c r="F190" s="162"/>
      <c r="G190" s="162"/>
      <c r="H190" s="162"/>
      <c r="I190" s="162"/>
      <c r="J190" s="174"/>
      <c r="K190" s="162"/>
      <c r="L190" s="129"/>
      <c r="M190" s="156"/>
      <c r="N190" s="79"/>
      <c r="O190" s="79"/>
      <c r="P190" s="79"/>
      <c r="Q190" s="79"/>
      <c r="R190" s="79"/>
      <c r="S190" s="82"/>
      <c r="T190" s="82"/>
      <c r="U190" s="82"/>
      <c r="V190" s="82"/>
      <c r="W190" s="82"/>
      <c r="X190" s="82"/>
      <c r="Y190" s="82"/>
      <c r="Z190" s="82"/>
      <c r="AA190" s="82"/>
    </row>
    <row r="191" ht="19.5" customHeight="1">
      <c r="A191" s="52"/>
      <c r="B191" s="171"/>
      <c r="C191" s="172"/>
      <c r="D191" s="172"/>
      <c r="E191" s="154"/>
      <c r="F191" s="162"/>
      <c r="G191" s="162"/>
      <c r="H191" s="162"/>
      <c r="I191" s="162"/>
      <c r="J191" s="174"/>
      <c r="K191" s="162"/>
      <c r="L191" s="129"/>
      <c r="M191" s="156"/>
      <c r="N191" s="79"/>
      <c r="O191" s="79"/>
      <c r="P191" s="79"/>
      <c r="Q191" s="79"/>
      <c r="R191" s="79"/>
      <c r="S191" s="82"/>
      <c r="T191" s="82"/>
      <c r="U191" s="82"/>
      <c r="V191" s="82"/>
      <c r="W191" s="82"/>
      <c r="X191" s="82"/>
      <c r="Y191" s="82"/>
      <c r="Z191" s="82"/>
      <c r="AA191" s="82"/>
    </row>
    <row r="192" ht="19.5" customHeight="1">
      <c r="A192" s="52"/>
      <c r="B192" s="171"/>
      <c r="C192" s="172"/>
      <c r="D192" s="172"/>
      <c r="E192" s="154"/>
      <c r="F192" s="162"/>
      <c r="G192" s="162"/>
      <c r="H192" s="162"/>
      <c r="I192" s="162"/>
      <c r="J192" s="174"/>
      <c r="K192" s="162"/>
      <c r="L192" s="129"/>
      <c r="M192" s="156"/>
      <c r="N192" s="79"/>
      <c r="O192" s="79"/>
      <c r="P192" s="79"/>
      <c r="Q192" s="79"/>
      <c r="R192" s="79"/>
      <c r="S192" s="82"/>
      <c r="T192" s="82"/>
      <c r="U192" s="82"/>
      <c r="V192" s="82"/>
      <c r="W192" s="82"/>
      <c r="X192" s="82"/>
      <c r="Y192" s="82"/>
      <c r="Z192" s="82"/>
      <c r="AA192" s="82"/>
    </row>
    <row r="193" ht="19.5" customHeight="1">
      <c r="A193" s="52"/>
      <c r="B193" s="171"/>
      <c r="C193" s="172"/>
      <c r="D193" s="172"/>
      <c r="E193" s="154"/>
      <c r="F193" s="162"/>
      <c r="G193" s="162"/>
      <c r="H193" s="162"/>
      <c r="I193" s="162"/>
      <c r="J193" s="174"/>
      <c r="K193" s="162"/>
      <c r="L193" s="129"/>
      <c r="M193" s="156"/>
      <c r="N193" s="79"/>
      <c r="O193" s="79"/>
      <c r="P193" s="79"/>
      <c r="Q193" s="79"/>
      <c r="R193" s="79"/>
      <c r="S193" s="82"/>
      <c r="T193" s="82"/>
      <c r="U193" s="82"/>
      <c r="V193" s="82"/>
      <c r="W193" s="82"/>
      <c r="X193" s="82"/>
      <c r="Y193" s="82"/>
      <c r="Z193" s="82"/>
      <c r="AA193" s="82"/>
    </row>
    <row r="194" ht="19.5" customHeight="1">
      <c r="A194" s="52"/>
      <c r="B194" s="171"/>
      <c r="C194" s="172"/>
      <c r="D194" s="172"/>
      <c r="E194" s="154"/>
      <c r="F194" s="162"/>
      <c r="G194" s="162"/>
      <c r="H194" s="162"/>
      <c r="I194" s="162"/>
      <c r="J194" s="174"/>
      <c r="K194" s="162"/>
      <c r="L194" s="129"/>
      <c r="M194" s="156"/>
      <c r="N194" s="79"/>
      <c r="O194" s="79"/>
      <c r="P194" s="79"/>
      <c r="Q194" s="79"/>
      <c r="R194" s="79"/>
      <c r="S194" s="82"/>
      <c r="T194" s="82"/>
      <c r="U194" s="82"/>
      <c r="V194" s="82"/>
      <c r="W194" s="82"/>
      <c r="X194" s="82"/>
      <c r="Y194" s="82"/>
      <c r="Z194" s="82"/>
      <c r="AA194" s="82"/>
    </row>
    <row r="195" ht="19.5" customHeight="1">
      <c r="A195" s="52"/>
      <c r="B195" s="171"/>
      <c r="C195" s="172"/>
      <c r="D195" s="172"/>
      <c r="E195" s="154"/>
      <c r="F195" s="162"/>
      <c r="G195" s="162"/>
      <c r="H195" s="162"/>
      <c r="I195" s="162"/>
      <c r="J195" s="174"/>
      <c r="K195" s="162"/>
      <c r="L195" s="129"/>
      <c r="M195" s="156"/>
      <c r="N195" s="79"/>
      <c r="O195" s="79"/>
      <c r="P195" s="79"/>
      <c r="Q195" s="79"/>
      <c r="R195" s="79"/>
      <c r="S195" s="82"/>
      <c r="T195" s="82"/>
      <c r="U195" s="82"/>
      <c r="V195" s="82"/>
      <c r="W195" s="82"/>
      <c r="X195" s="82"/>
      <c r="Y195" s="82"/>
      <c r="Z195" s="82"/>
      <c r="AA195" s="82"/>
    </row>
    <row r="196" ht="19.5" customHeight="1">
      <c r="A196" s="52"/>
      <c r="B196" s="171"/>
      <c r="C196" s="172"/>
      <c r="D196" s="172"/>
      <c r="E196" s="154"/>
      <c r="F196" s="162"/>
      <c r="G196" s="162"/>
      <c r="H196" s="162"/>
      <c r="I196" s="162"/>
      <c r="J196" s="174"/>
      <c r="K196" s="162"/>
      <c r="L196" s="129"/>
      <c r="M196" s="156"/>
      <c r="N196" s="79"/>
      <c r="O196" s="79"/>
      <c r="P196" s="79"/>
      <c r="Q196" s="79"/>
      <c r="R196" s="79"/>
      <c r="S196" s="82"/>
      <c r="T196" s="82"/>
      <c r="U196" s="82"/>
      <c r="V196" s="82"/>
      <c r="W196" s="82"/>
      <c r="X196" s="82"/>
      <c r="Y196" s="82"/>
      <c r="Z196" s="82"/>
      <c r="AA196" s="82"/>
    </row>
    <row r="197" ht="19.5" customHeight="1">
      <c r="A197" s="52"/>
      <c r="B197" s="171"/>
      <c r="C197" s="172"/>
      <c r="D197" s="172"/>
      <c r="E197" s="154"/>
      <c r="F197" s="162"/>
      <c r="G197" s="162"/>
      <c r="H197" s="162"/>
      <c r="I197" s="162"/>
      <c r="J197" s="174"/>
      <c r="K197" s="162"/>
      <c r="L197" s="129"/>
      <c r="M197" s="156"/>
      <c r="N197" s="79"/>
      <c r="O197" s="79"/>
      <c r="P197" s="79"/>
      <c r="Q197" s="79"/>
      <c r="R197" s="79"/>
      <c r="S197" s="82"/>
      <c r="T197" s="82"/>
      <c r="U197" s="82"/>
      <c r="V197" s="82"/>
      <c r="W197" s="82"/>
      <c r="X197" s="82"/>
      <c r="Y197" s="82"/>
      <c r="Z197" s="82"/>
      <c r="AA197" s="82"/>
    </row>
    <row r="198" ht="19.5" customHeight="1">
      <c r="A198" s="52"/>
      <c r="B198" s="171"/>
      <c r="C198" s="172"/>
      <c r="D198" s="172"/>
      <c r="E198" s="154"/>
      <c r="F198" s="162"/>
      <c r="G198" s="162"/>
      <c r="H198" s="162"/>
      <c r="I198" s="162"/>
      <c r="J198" s="174"/>
      <c r="K198" s="162"/>
      <c r="L198" s="129"/>
      <c r="M198" s="156"/>
      <c r="N198" s="79"/>
      <c r="O198" s="79"/>
      <c r="P198" s="79"/>
      <c r="Q198" s="79"/>
      <c r="R198" s="79"/>
      <c r="S198" s="82"/>
      <c r="T198" s="82"/>
      <c r="U198" s="82"/>
      <c r="V198" s="82"/>
      <c r="W198" s="82"/>
      <c r="X198" s="82"/>
      <c r="Y198" s="82"/>
      <c r="Z198" s="82"/>
      <c r="AA198" s="82"/>
    </row>
    <row r="199" ht="19.5" customHeight="1">
      <c r="A199" s="52"/>
      <c r="B199" s="171"/>
      <c r="C199" s="172"/>
      <c r="D199" s="172"/>
      <c r="E199" s="154"/>
      <c r="F199" s="162"/>
      <c r="G199" s="162"/>
      <c r="H199" s="162"/>
      <c r="I199" s="162"/>
      <c r="J199" s="174"/>
      <c r="K199" s="162"/>
      <c r="L199" s="129"/>
      <c r="M199" s="156"/>
      <c r="N199" s="79"/>
      <c r="O199" s="79"/>
      <c r="P199" s="79"/>
      <c r="Q199" s="79"/>
      <c r="R199" s="79"/>
      <c r="S199" s="82"/>
      <c r="T199" s="82"/>
      <c r="U199" s="82"/>
      <c r="V199" s="82"/>
      <c r="W199" s="82"/>
      <c r="X199" s="82"/>
      <c r="Y199" s="82"/>
      <c r="Z199" s="82"/>
      <c r="AA199" s="82"/>
    </row>
    <row r="200" ht="19.5" customHeight="1">
      <c r="A200" s="52"/>
      <c r="B200" s="171"/>
      <c r="C200" s="172"/>
      <c r="D200" s="172"/>
      <c r="E200" s="154"/>
      <c r="F200" s="162"/>
      <c r="G200" s="162"/>
      <c r="H200" s="162"/>
      <c r="I200" s="162"/>
      <c r="J200" s="174"/>
      <c r="K200" s="162"/>
      <c r="L200" s="129"/>
      <c r="M200" s="156"/>
      <c r="N200" s="79"/>
      <c r="O200" s="79"/>
      <c r="P200" s="79"/>
      <c r="Q200" s="79"/>
      <c r="R200" s="79"/>
      <c r="S200" s="82"/>
      <c r="T200" s="82"/>
      <c r="U200" s="82"/>
      <c r="V200" s="82"/>
      <c r="W200" s="82"/>
      <c r="X200" s="82"/>
      <c r="Y200" s="82"/>
      <c r="Z200" s="82"/>
      <c r="AA200" s="82"/>
    </row>
    <row r="201" ht="19.5" customHeight="1">
      <c r="A201" s="52"/>
      <c r="B201" s="171"/>
      <c r="C201" s="172"/>
      <c r="D201" s="172"/>
      <c r="E201" s="154"/>
      <c r="F201" s="162"/>
      <c r="G201" s="162"/>
      <c r="H201" s="162"/>
      <c r="I201" s="162"/>
      <c r="J201" s="174"/>
      <c r="K201" s="162"/>
      <c r="L201" s="129"/>
      <c r="M201" s="156"/>
      <c r="N201" s="79"/>
      <c r="O201" s="79"/>
      <c r="P201" s="79"/>
      <c r="Q201" s="79"/>
      <c r="R201" s="79"/>
      <c r="S201" s="82"/>
      <c r="T201" s="82"/>
      <c r="U201" s="82"/>
      <c r="V201" s="82"/>
      <c r="W201" s="82"/>
      <c r="X201" s="82"/>
      <c r="Y201" s="82"/>
      <c r="Z201" s="82"/>
      <c r="AA201" s="82"/>
    </row>
    <row r="202" ht="19.5" customHeight="1">
      <c r="A202" s="52"/>
      <c r="B202" s="171"/>
      <c r="C202" s="172"/>
      <c r="D202" s="172"/>
      <c r="E202" s="154"/>
      <c r="F202" s="162"/>
      <c r="G202" s="162"/>
      <c r="H202" s="162"/>
      <c r="I202" s="162"/>
      <c r="J202" s="174"/>
      <c r="K202" s="162"/>
      <c r="L202" s="129"/>
      <c r="M202" s="156"/>
      <c r="N202" s="79"/>
      <c r="O202" s="79"/>
      <c r="P202" s="79"/>
      <c r="Q202" s="79"/>
      <c r="R202" s="79"/>
      <c r="S202" s="82"/>
      <c r="T202" s="82"/>
      <c r="U202" s="82"/>
      <c r="V202" s="82"/>
      <c r="W202" s="82"/>
      <c r="X202" s="82"/>
      <c r="Y202" s="82"/>
      <c r="Z202" s="82"/>
      <c r="AA202" s="82"/>
    </row>
    <row r="203" ht="19.5" customHeight="1">
      <c r="A203" s="52"/>
      <c r="B203" s="171"/>
      <c r="C203" s="172"/>
      <c r="D203" s="172"/>
      <c r="E203" s="154"/>
      <c r="F203" s="162"/>
      <c r="G203" s="162"/>
      <c r="H203" s="162"/>
      <c r="I203" s="162"/>
      <c r="J203" s="174"/>
      <c r="K203" s="162"/>
      <c r="L203" s="129"/>
      <c r="M203" s="156"/>
      <c r="N203" s="79"/>
      <c r="O203" s="79"/>
      <c r="P203" s="79"/>
      <c r="Q203" s="79"/>
      <c r="R203" s="79"/>
      <c r="S203" s="82"/>
      <c r="T203" s="82"/>
      <c r="U203" s="82"/>
      <c r="V203" s="82"/>
      <c r="W203" s="82"/>
      <c r="X203" s="82"/>
      <c r="Y203" s="82"/>
      <c r="Z203" s="82"/>
      <c r="AA203" s="82"/>
    </row>
    <row r="204" ht="19.5" customHeight="1">
      <c r="A204" s="52"/>
      <c r="B204" s="171"/>
      <c r="C204" s="172"/>
      <c r="D204" s="172"/>
      <c r="E204" s="154"/>
      <c r="F204" s="162"/>
      <c r="G204" s="162"/>
      <c r="H204" s="162"/>
      <c r="I204" s="162"/>
      <c r="J204" s="174"/>
      <c r="K204" s="162"/>
      <c r="L204" s="129"/>
      <c r="M204" s="156"/>
      <c r="N204" s="79"/>
      <c r="O204" s="79"/>
      <c r="P204" s="79"/>
      <c r="Q204" s="79"/>
      <c r="R204" s="79"/>
      <c r="S204" s="82"/>
      <c r="T204" s="82"/>
      <c r="U204" s="82"/>
      <c r="V204" s="82"/>
      <c r="W204" s="82"/>
      <c r="X204" s="82"/>
      <c r="Y204" s="82"/>
      <c r="Z204" s="82"/>
      <c r="AA204" s="82"/>
    </row>
    <row r="205" ht="19.5" customHeight="1">
      <c r="A205" s="52"/>
      <c r="B205" s="171"/>
      <c r="C205" s="172"/>
      <c r="D205" s="172"/>
      <c r="E205" s="154"/>
      <c r="F205" s="162"/>
      <c r="G205" s="162"/>
      <c r="H205" s="162"/>
      <c r="I205" s="162"/>
      <c r="J205" s="174"/>
      <c r="K205" s="162"/>
      <c r="L205" s="129"/>
      <c r="M205" s="156"/>
      <c r="N205" s="79"/>
      <c r="O205" s="79"/>
      <c r="P205" s="79"/>
      <c r="Q205" s="79"/>
      <c r="R205" s="79"/>
      <c r="S205" s="82"/>
      <c r="T205" s="82"/>
      <c r="U205" s="82"/>
      <c r="V205" s="82"/>
      <c r="W205" s="82"/>
      <c r="X205" s="82"/>
      <c r="Y205" s="82"/>
      <c r="Z205" s="82"/>
      <c r="AA205" s="82"/>
    </row>
    <row r="206" ht="19.5" customHeight="1">
      <c r="A206" s="52"/>
      <c r="B206" s="171"/>
      <c r="C206" s="172"/>
      <c r="D206" s="172"/>
      <c r="E206" s="154"/>
      <c r="F206" s="162"/>
      <c r="G206" s="162"/>
      <c r="H206" s="162"/>
      <c r="I206" s="162"/>
      <c r="J206" s="174"/>
      <c r="K206" s="162"/>
      <c r="L206" s="129"/>
      <c r="M206" s="156"/>
      <c r="N206" s="79"/>
      <c r="O206" s="79"/>
      <c r="P206" s="79"/>
      <c r="Q206" s="79"/>
      <c r="R206" s="79"/>
      <c r="S206" s="82"/>
      <c r="T206" s="82"/>
      <c r="U206" s="82"/>
      <c r="V206" s="82"/>
      <c r="W206" s="82"/>
      <c r="X206" s="82"/>
      <c r="Y206" s="82"/>
      <c r="Z206" s="82"/>
      <c r="AA206" s="82"/>
    </row>
    <row r="207" ht="19.5" customHeight="1">
      <c r="A207" s="52"/>
      <c r="B207" s="171"/>
      <c r="C207" s="172"/>
      <c r="D207" s="172"/>
      <c r="E207" s="154"/>
      <c r="F207" s="162"/>
      <c r="G207" s="162"/>
      <c r="H207" s="162"/>
      <c r="I207" s="162"/>
      <c r="J207" s="174"/>
      <c r="K207" s="162"/>
      <c r="L207" s="129"/>
      <c r="M207" s="156"/>
      <c r="N207" s="79"/>
      <c r="O207" s="79"/>
      <c r="P207" s="79"/>
      <c r="Q207" s="79"/>
      <c r="R207" s="79"/>
      <c r="S207" s="82"/>
      <c r="T207" s="82"/>
      <c r="U207" s="82"/>
      <c r="V207" s="82"/>
      <c r="W207" s="82"/>
      <c r="X207" s="82"/>
      <c r="Y207" s="82"/>
      <c r="Z207" s="82"/>
      <c r="AA207" s="82"/>
    </row>
    <row r="208" ht="19.5" customHeight="1">
      <c r="A208" s="52"/>
      <c r="B208" s="171"/>
      <c r="C208" s="172"/>
      <c r="D208" s="172"/>
      <c r="E208" s="154"/>
      <c r="F208" s="162"/>
      <c r="G208" s="162"/>
      <c r="H208" s="162"/>
      <c r="I208" s="162"/>
      <c r="J208" s="174"/>
      <c r="K208" s="162"/>
      <c r="L208" s="129"/>
      <c r="M208" s="156"/>
      <c r="N208" s="79"/>
      <c r="O208" s="79"/>
      <c r="P208" s="79"/>
      <c r="Q208" s="79"/>
      <c r="R208" s="79"/>
      <c r="S208" s="82"/>
      <c r="T208" s="82"/>
      <c r="U208" s="82"/>
      <c r="V208" s="82"/>
      <c r="W208" s="82"/>
      <c r="X208" s="82"/>
      <c r="Y208" s="82"/>
      <c r="Z208" s="82"/>
      <c r="AA208" s="82"/>
    </row>
    <row r="209" ht="19.5" customHeight="1">
      <c r="A209" s="52"/>
      <c r="B209" s="171"/>
      <c r="C209" s="172"/>
      <c r="D209" s="172"/>
      <c r="E209" s="154"/>
      <c r="F209" s="162"/>
      <c r="G209" s="162"/>
      <c r="H209" s="162"/>
      <c r="I209" s="162"/>
      <c r="J209" s="174"/>
      <c r="K209" s="162"/>
      <c r="L209" s="129"/>
      <c r="M209" s="156"/>
      <c r="N209" s="79"/>
      <c r="O209" s="79"/>
      <c r="P209" s="79"/>
      <c r="Q209" s="79"/>
      <c r="R209" s="79"/>
      <c r="S209" s="82"/>
      <c r="T209" s="82"/>
      <c r="U209" s="82"/>
      <c r="V209" s="82"/>
      <c r="W209" s="82"/>
      <c r="X209" s="82"/>
      <c r="Y209" s="82"/>
      <c r="Z209" s="82"/>
      <c r="AA209" s="82"/>
    </row>
    <row r="210" ht="19.5" customHeight="1">
      <c r="A210" s="52"/>
      <c r="B210" s="171"/>
      <c r="C210" s="172"/>
      <c r="D210" s="172"/>
      <c r="E210" s="154"/>
      <c r="F210" s="162"/>
      <c r="G210" s="162"/>
      <c r="H210" s="162"/>
      <c r="I210" s="162"/>
      <c r="J210" s="174"/>
      <c r="K210" s="162"/>
      <c r="L210" s="129"/>
      <c r="M210" s="156"/>
      <c r="N210" s="79"/>
      <c r="O210" s="79"/>
      <c r="P210" s="79"/>
      <c r="Q210" s="79"/>
      <c r="R210" s="79"/>
      <c r="S210" s="82"/>
      <c r="T210" s="82"/>
      <c r="U210" s="82"/>
      <c r="V210" s="82"/>
      <c r="W210" s="82"/>
      <c r="X210" s="82"/>
      <c r="Y210" s="82"/>
      <c r="Z210" s="82"/>
      <c r="AA210" s="82"/>
    </row>
    <row r="211" ht="19.5" customHeight="1">
      <c r="A211" s="52"/>
      <c r="B211" s="171"/>
      <c r="C211" s="172"/>
      <c r="D211" s="172"/>
      <c r="E211" s="154"/>
      <c r="F211" s="162"/>
      <c r="G211" s="162"/>
      <c r="H211" s="162"/>
      <c r="I211" s="162"/>
      <c r="J211" s="174"/>
      <c r="K211" s="162"/>
      <c r="L211" s="129"/>
      <c r="M211" s="156"/>
      <c r="N211" s="79"/>
      <c r="O211" s="79"/>
      <c r="P211" s="79"/>
      <c r="Q211" s="79"/>
      <c r="R211" s="79"/>
      <c r="S211" s="82"/>
      <c r="T211" s="82"/>
      <c r="U211" s="82"/>
      <c r="V211" s="82"/>
      <c r="W211" s="82"/>
      <c r="X211" s="82"/>
      <c r="Y211" s="82"/>
      <c r="Z211" s="82"/>
      <c r="AA211" s="82"/>
    </row>
    <row r="212" ht="19.5" customHeight="1">
      <c r="A212" s="52"/>
      <c r="B212" s="171"/>
      <c r="C212" s="172"/>
      <c r="D212" s="172"/>
      <c r="E212" s="154"/>
      <c r="F212" s="162"/>
      <c r="G212" s="162"/>
      <c r="H212" s="162"/>
      <c r="I212" s="162"/>
      <c r="J212" s="174"/>
      <c r="K212" s="162"/>
      <c r="L212" s="129"/>
      <c r="M212" s="156"/>
      <c r="N212" s="79"/>
      <c r="O212" s="79"/>
      <c r="P212" s="79"/>
      <c r="Q212" s="79"/>
      <c r="R212" s="79"/>
      <c r="S212" s="82"/>
      <c r="T212" s="82"/>
      <c r="U212" s="82"/>
      <c r="V212" s="82"/>
      <c r="W212" s="82"/>
      <c r="X212" s="82"/>
      <c r="Y212" s="82"/>
      <c r="Z212" s="82"/>
      <c r="AA212" s="82"/>
    </row>
    <row r="213" ht="19.5" customHeight="1">
      <c r="A213" s="52"/>
      <c r="B213" s="171"/>
      <c r="C213" s="172"/>
      <c r="D213" s="172"/>
      <c r="E213" s="154"/>
      <c r="F213" s="162"/>
      <c r="G213" s="162"/>
      <c r="H213" s="162"/>
      <c r="I213" s="162"/>
      <c r="J213" s="174"/>
      <c r="K213" s="162"/>
      <c r="L213" s="129"/>
      <c r="M213" s="156"/>
      <c r="N213" s="79"/>
      <c r="O213" s="79"/>
      <c r="P213" s="79"/>
      <c r="Q213" s="79"/>
      <c r="R213" s="79"/>
      <c r="S213" s="82"/>
      <c r="T213" s="82"/>
      <c r="U213" s="82"/>
      <c r="V213" s="82"/>
      <c r="W213" s="82"/>
      <c r="X213" s="82"/>
      <c r="Y213" s="82"/>
      <c r="Z213" s="82"/>
      <c r="AA213" s="82"/>
    </row>
    <row r="214" ht="19.5" customHeight="1">
      <c r="A214" s="52"/>
      <c r="B214" s="171"/>
      <c r="C214" s="172"/>
      <c r="D214" s="172"/>
      <c r="E214" s="154"/>
      <c r="F214" s="162"/>
      <c r="G214" s="162"/>
      <c r="H214" s="162"/>
      <c r="I214" s="162"/>
      <c r="J214" s="174"/>
      <c r="K214" s="162"/>
      <c r="L214" s="129"/>
      <c r="M214" s="156"/>
      <c r="N214" s="79"/>
      <c r="O214" s="79"/>
      <c r="P214" s="79"/>
      <c r="Q214" s="79"/>
      <c r="R214" s="79"/>
      <c r="S214" s="82"/>
      <c r="T214" s="82"/>
      <c r="U214" s="82"/>
      <c r="V214" s="82"/>
      <c r="W214" s="82"/>
      <c r="X214" s="82"/>
      <c r="Y214" s="82"/>
      <c r="Z214" s="82"/>
      <c r="AA214" s="82"/>
    </row>
    <row r="215" ht="19.5" customHeight="1">
      <c r="A215" s="52"/>
      <c r="B215" s="171"/>
      <c r="C215" s="172"/>
      <c r="D215" s="172"/>
      <c r="E215" s="154"/>
      <c r="F215" s="162"/>
      <c r="G215" s="162"/>
      <c r="H215" s="162"/>
      <c r="I215" s="162"/>
      <c r="J215" s="174"/>
      <c r="K215" s="162"/>
      <c r="L215" s="129"/>
      <c r="M215" s="156"/>
      <c r="N215" s="79"/>
      <c r="O215" s="79"/>
      <c r="P215" s="79"/>
      <c r="Q215" s="79"/>
      <c r="R215" s="79"/>
      <c r="S215" s="82"/>
      <c r="T215" s="82"/>
      <c r="U215" s="82"/>
      <c r="V215" s="82"/>
      <c r="W215" s="82"/>
      <c r="X215" s="82"/>
      <c r="Y215" s="82"/>
      <c r="Z215" s="82"/>
      <c r="AA215" s="82"/>
    </row>
    <row r="216" ht="19.5" customHeight="1">
      <c r="A216" s="52"/>
      <c r="B216" s="171"/>
      <c r="C216" s="172"/>
      <c r="D216" s="172"/>
      <c r="E216" s="154"/>
      <c r="F216" s="162"/>
      <c r="G216" s="162"/>
      <c r="H216" s="162"/>
      <c r="I216" s="162"/>
      <c r="J216" s="174"/>
      <c r="K216" s="162"/>
      <c r="L216" s="129"/>
      <c r="M216" s="156"/>
      <c r="N216" s="79"/>
      <c r="O216" s="79"/>
      <c r="P216" s="79"/>
      <c r="Q216" s="79"/>
      <c r="R216" s="79"/>
      <c r="S216" s="82"/>
      <c r="T216" s="82"/>
      <c r="U216" s="82"/>
      <c r="V216" s="82"/>
      <c r="W216" s="82"/>
      <c r="X216" s="82"/>
      <c r="Y216" s="82"/>
      <c r="Z216" s="82"/>
      <c r="AA216" s="82"/>
    </row>
    <row r="217" ht="19.5" customHeight="1">
      <c r="A217" s="52"/>
      <c r="B217" s="171"/>
      <c r="C217" s="172"/>
      <c r="D217" s="172"/>
      <c r="E217" s="154"/>
      <c r="F217" s="162"/>
      <c r="G217" s="162"/>
      <c r="H217" s="162"/>
      <c r="I217" s="162"/>
      <c r="J217" s="174"/>
      <c r="K217" s="162"/>
      <c r="L217" s="129"/>
      <c r="M217" s="156"/>
      <c r="N217" s="79"/>
      <c r="O217" s="79"/>
      <c r="P217" s="79"/>
      <c r="Q217" s="79"/>
      <c r="R217" s="79"/>
      <c r="S217" s="82"/>
      <c r="T217" s="82"/>
      <c r="U217" s="82"/>
      <c r="V217" s="82"/>
      <c r="W217" s="82"/>
      <c r="X217" s="82"/>
      <c r="Y217" s="82"/>
      <c r="Z217" s="82"/>
      <c r="AA217" s="82"/>
    </row>
    <row r="218" ht="19.5" customHeight="1">
      <c r="A218" s="52"/>
      <c r="B218" s="171"/>
      <c r="C218" s="172"/>
      <c r="D218" s="172"/>
      <c r="E218" s="154"/>
      <c r="F218" s="162"/>
      <c r="G218" s="162"/>
      <c r="H218" s="162"/>
      <c r="I218" s="162"/>
      <c r="J218" s="174"/>
      <c r="K218" s="162"/>
      <c r="L218" s="129"/>
      <c r="M218" s="156"/>
      <c r="N218" s="79"/>
      <c r="O218" s="79"/>
      <c r="P218" s="79"/>
      <c r="Q218" s="79"/>
      <c r="R218" s="79"/>
      <c r="S218" s="82"/>
      <c r="T218" s="82"/>
      <c r="U218" s="82"/>
      <c r="V218" s="82"/>
      <c r="W218" s="82"/>
      <c r="X218" s="82"/>
      <c r="Y218" s="82"/>
      <c r="Z218" s="82"/>
      <c r="AA218" s="82"/>
    </row>
    <row r="219" ht="19.5" customHeight="1">
      <c r="A219" s="52"/>
      <c r="B219" s="171"/>
      <c r="C219" s="172"/>
      <c r="D219" s="172"/>
      <c r="E219" s="154"/>
      <c r="F219" s="162"/>
      <c r="G219" s="162"/>
      <c r="H219" s="162"/>
      <c r="I219" s="162"/>
      <c r="J219" s="174"/>
      <c r="K219" s="162"/>
      <c r="L219" s="129"/>
      <c r="M219" s="156"/>
      <c r="N219" s="79"/>
      <c r="O219" s="79"/>
      <c r="P219" s="79"/>
      <c r="Q219" s="79"/>
      <c r="R219" s="79"/>
      <c r="S219" s="82"/>
      <c r="T219" s="82"/>
      <c r="U219" s="82"/>
      <c r="V219" s="82"/>
      <c r="W219" s="82"/>
      <c r="X219" s="82"/>
      <c r="Y219" s="82"/>
      <c r="Z219" s="82"/>
      <c r="AA219" s="82"/>
    </row>
    <row r="220" ht="19.5" customHeight="1">
      <c r="A220" s="52"/>
      <c r="B220" s="171"/>
      <c r="C220" s="172"/>
      <c r="D220" s="172"/>
      <c r="E220" s="154"/>
      <c r="F220" s="162"/>
      <c r="G220" s="162"/>
      <c r="H220" s="162"/>
      <c r="I220" s="162"/>
      <c r="J220" s="174"/>
      <c r="K220" s="162"/>
      <c r="L220" s="129"/>
      <c r="M220" s="156"/>
      <c r="N220" s="79"/>
      <c r="O220" s="79"/>
      <c r="P220" s="79"/>
      <c r="Q220" s="79"/>
      <c r="R220" s="79"/>
      <c r="S220" s="82"/>
      <c r="T220" s="82"/>
      <c r="U220" s="82"/>
      <c r="V220" s="82"/>
      <c r="W220" s="82"/>
      <c r="X220" s="82"/>
      <c r="Y220" s="82"/>
      <c r="Z220" s="82"/>
      <c r="AA220" s="82"/>
    </row>
    <row r="221" ht="15.75" customHeight="1">
      <c r="A221" s="261"/>
      <c r="B221" s="171"/>
      <c r="C221" s="172"/>
      <c r="D221" s="172"/>
      <c r="E221" s="154"/>
      <c r="F221" s="162"/>
      <c r="G221" s="162"/>
      <c r="H221" s="162"/>
      <c r="I221" s="162"/>
      <c r="J221" s="174"/>
      <c r="K221" s="162"/>
      <c r="L221" s="129"/>
      <c r="M221" s="156"/>
      <c r="N221" s="79"/>
      <c r="O221" s="79"/>
      <c r="P221" s="79"/>
      <c r="Q221" s="79"/>
      <c r="R221" s="79"/>
      <c r="S221" s="82"/>
      <c r="T221" s="82"/>
      <c r="U221" s="82"/>
      <c r="V221" s="82"/>
      <c r="W221" s="82"/>
      <c r="X221" s="82"/>
      <c r="Y221" s="82"/>
      <c r="Z221" s="82"/>
      <c r="AA221" s="82"/>
    </row>
    <row r="222" ht="15.75" customHeight="1">
      <c r="A222" s="261"/>
      <c r="B222" s="171"/>
      <c r="C222" s="172"/>
      <c r="D222" s="172"/>
      <c r="E222" s="154"/>
      <c r="F222" s="162"/>
      <c r="G222" s="162"/>
      <c r="H222" s="162"/>
      <c r="I222" s="162"/>
      <c r="J222" s="174"/>
      <c r="K222" s="162"/>
      <c r="L222" s="129"/>
      <c r="M222" s="156"/>
      <c r="N222" s="79"/>
      <c r="O222" s="79"/>
      <c r="P222" s="79"/>
      <c r="Q222" s="79"/>
      <c r="R222" s="79"/>
      <c r="S222" s="82"/>
      <c r="T222" s="82"/>
      <c r="U222" s="82"/>
      <c r="V222" s="82"/>
      <c r="W222" s="82"/>
      <c r="X222" s="82"/>
      <c r="Y222" s="82"/>
      <c r="Z222" s="82"/>
      <c r="AA222" s="82"/>
    </row>
    <row r="223" ht="15.75" customHeight="1">
      <c r="A223" s="261"/>
      <c r="B223" s="171"/>
      <c r="C223" s="172"/>
      <c r="D223" s="172"/>
      <c r="E223" s="154"/>
      <c r="F223" s="162"/>
      <c r="G223" s="162"/>
      <c r="H223" s="162"/>
      <c r="I223" s="162"/>
      <c r="J223" s="174"/>
      <c r="K223" s="162"/>
      <c r="L223" s="129"/>
      <c r="M223" s="156"/>
      <c r="N223" s="79"/>
      <c r="O223" s="79"/>
      <c r="P223" s="79"/>
      <c r="Q223" s="79"/>
      <c r="R223" s="79"/>
      <c r="S223" s="82"/>
      <c r="T223" s="82"/>
      <c r="U223" s="82"/>
      <c r="V223" s="82"/>
      <c r="W223" s="82"/>
      <c r="X223" s="82"/>
      <c r="Y223" s="82"/>
      <c r="Z223" s="82"/>
      <c r="AA223" s="82"/>
    </row>
    <row r="224" ht="15.75" customHeight="1">
      <c r="A224" s="261"/>
      <c r="B224" s="171"/>
      <c r="C224" s="172"/>
      <c r="D224" s="172"/>
      <c r="E224" s="154"/>
      <c r="F224" s="162"/>
      <c r="G224" s="162"/>
      <c r="H224" s="162"/>
      <c r="I224" s="162"/>
      <c r="J224" s="174"/>
      <c r="K224" s="162"/>
      <c r="L224" s="129"/>
      <c r="M224" s="156"/>
      <c r="N224" s="79"/>
      <c r="O224" s="79"/>
      <c r="P224" s="79"/>
      <c r="Q224" s="79"/>
      <c r="R224" s="79"/>
      <c r="S224" s="82"/>
      <c r="T224" s="82"/>
      <c r="U224" s="82"/>
      <c r="V224" s="82"/>
      <c r="W224" s="82"/>
      <c r="X224" s="82"/>
      <c r="Y224" s="82"/>
      <c r="Z224" s="82"/>
      <c r="AA224" s="82"/>
    </row>
    <row r="225" ht="15.75" customHeight="1">
      <c r="A225" s="261"/>
      <c r="B225" s="171"/>
      <c r="C225" s="172"/>
      <c r="D225" s="172"/>
      <c r="E225" s="154"/>
      <c r="F225" s="162"/>
      <c r="G225" s="162"/>
      <c r="H225" s="162"/>
      <c r="I225" s="162"/>
      <c r="J225" s="174"/>
      <c r="K225" s="162"/>
      <c r="L225" s="129"/>
      <c r="M225" s="156"/>
      <c r="N225" s="79"/>
      <c r="O225" s="79"/>
      <c r="P225" s="79"/>
      <c r="Q225" s="79"/>
      <c r="R225" s="79"/>
      <c r="S225" s="82"/>
      <c r="T225" s="82"/>
      <c r="U225" s="82"/>
      <c r="V225" s="82"/>
      <c r="W225" s="82"/>
      <c r="X225" s="82"/>
      <c r="Y225" s="82"/>
      <c r="Z225" s="82"/>
      <c r="AA225" s="82"/>
    </row>
    <row r="226" ht="15.75" customHeight="1">
      <c r="A226" s="261"/>
      <c r="B226" s="171"/>
      <c r="C226" s="172"/>
      <c r="D226" s="172"/>
      <c r="E226" s="154"/>
      <c r="F226" s="162"/>
      <c r="G226" s="162"/>
      <c r="H226" s="162"/>
      <c r="I226" s="162"/>
      <c r="J226" s="174"/>
      <c r="K226" s="162"/>
      <c r="L226" s="129"/>
      <c r="M226" s="156"/>
      <c r="N226" s="79"/>
      <c r="O226" s="79"/>
      <c r="P226" s="79"/>
      <c r="Q226" s="79"/>
      <c r="R226" s="79"/>
      <c r="S226" s="82"/>
      <c r="T226" s="82"/>
      <c r="U226" s="82"/>
      <c r="V226" s="82"/>
      <c r="W226" s="82"/>
      <c r="X226" s="82"/>
      <c r="Y226" s="82"/>
      <c r="Z226" s="82"/>
      <c r="AA226" s="82"/>
    </row>
    <row r="227" ht="15.75" customHeight="1">
      <c r="A227" s="261"/>
      <c r="B227" s="171"/>
      <c r="C227" s="172"/>
      <c r="D227" s="172"/>
      <c r="E227" s="154"/>
      <c r="F227" s="162"/>
      <c r="G227" s="162"/>
      <c r="H227" s="162"/>
      <c r="I227" s="162"/>
      <c r="J227" s="174"/>
      <c r="K227" s="162"/>
      <c r="L227" s="129"/>
      <c r="M227" s="156"/>
      <c r="N227" s="79"/>
      <c r="O227" s="79"/>
      <c r="P227" s="79"/>
      <c r="Q227" s="79"/>
      <c r="R227" s="79"/>
      <c r="S227" s="82"/>
      <c r="T227" s="82"/>
      <c r="U227" s="82"/>
      <c r="V227" s="82"/>
      <c r="W227" s="82"/>
      <c r="X227" s="82"/>
      <c r="Y227" s="82"/>
      <c r="Z227" s="82"/>
      <c r="AA227" s="82"/>
    </row>
    <row r="228" ht="15.75" customHeight="1">
      <c r="A228" s="261"/>
      <c r="B228" s="171"/>
      <c r="C228" s="172"/>
      <c r="D228" s="172"/>
      <c r="E228" s="154"/>
      <c r="F228" s="162"/>
      <c r="G228" s="162"/>
      <c r="H228" s="162"/>
      <c r="I228" s="162"/>
      <c r="J228" s="174"/>
      <c r="K228" s="162"/>
      <c r="L228" s="129"/>
      <c r="M228" s="156"/>
      <c r="N228" s="79"/>
      <c r="O228" s="79"/>
      <c r="P228" s="79"/>
      <c r="Q228" s="79"/>
      <c r="R228" s="79"/>
      <c r="S228" s="82"/>
      <c r="T228" s="82"/>
      <c r="U228" s="82"/>
      <c r="V228" s="82"/>
      <c r="W228" s="82"/>
      <c r="X228" s="82"/>
      <c r="Y228" s="82"/>
      <c r="Z228" s="82"/>
      <c r="AA228" s="82"/>
    </row>
    <row r="229" ht="15.75" customHeight="1">
      <c r="A229" s="261"/>
      <c r="B229" s="171"/>
      <c r="C229" s="172"/>
      <c r="D229" s="172"/>
      <c r="E229" s="154"/>
      <c r="F229" s="162"/>
      <c r="G229" s="162"/>
      <c r="H229" s="162"/>
      <c r="I229" s="162"/>
      <c r="J229" s="174"/>
      <c r="K229" s="162"/>
      <c r="L229" s="129"/>
      <c r="M229" s="156"/>
      <c r="N229" s="79"/>
      <c r="O229" s="79"/>
      <c r="P229" s="79"/>
      <c r="Q229" s="79"/>
      <c r="R229" s="79"/>
      <c r="S229" s="82"/>
      <c r="T229" s="82"/>
      <c r="U229" s="82"/>
      <c r="V229" s="82"/>
      <c r="W229" s="82"/>
      <c r="X229" s="82"/>
      <c r="Y229" s="82"/>
      <c r="Z229" s="82"/>
      <c r="AA229" s="82"/>
    </row>
    <row r="230" ht="15.75" customHeight="1">
      <c r="A230" s="261"/>
      <c r="B230" s="171"/>
      <c r="C230" s="172"/>
      <c r="D230" s="172"/>
      <c r="E230" s="154"/>
      <c r="F230" s="162"/>
      <c r="G230" s="162"/>
      <c r="H230" s="162"/>
      <c r="I230" s="162"/>
      <c r="J230" s="174"/>
      <c r="K230" s="162"/>
      <c r="L230" s="129"/>
      <c r="M230" s="156"/>
      <c r="N230" s="79"/>
      <c r="O230" s="79"/>
      <c r="P230" s="79"/>
      <c r="Q230" s="79"/>
      <c r="R230" s="79"/>
      <c r="S230" s="82"/>
      <c r="T230" s="82"/>
      <c r="U230" s="82"/>
      <c r="V230" s="82"/>
      <c r="W230" s="82"/>
      <c r="X230" s="82"/>
      <c r="Y230" s="82"/>
      <c r="Z230" s="82"/>
      <c r="AA230" s="82"/>
    </row>
    <row r="231" ht="15.75" customHeight="1">
      <c r="A231" s="261"/>
      <c r="B231" s="171"/>
      <c r="C231" s="172"/>
      <c r="D231" s="172"/>
      <c r="E231" s="154"/>
      <c r="F231" s="162"/>
      <c r="G231" s="162"/>
      <c r="H231" s="162"/>
      <c r="I231" s="162"/>
      <c r="J231" s="174"/>
      <c r="K231" s="162"/>
      <c r="L231" s="129"/>
      <c r="M231" s="156"/>
      <c r="N231" s="79"/>
      <c r="O231" s="79"/>
      <c r="P231" s="79"/>
      <c r="Q231" s="79"/>
      <c r="R231" s="79"/>
      <c r="S231" s="82"/>
      <c r="T231" s="82"/>
      <c r="U231" s="82"/>
      <c r="V231" s="82"/>
      <c r="W231" s="82"/>
      <c r="X231" s="82"/>
      <c r="Y231" s="82"/>
      <c r="Z231" s="82"/>
      <c r="AA231" s="82"/>
    </row>
    <row r="232" ht="15.75" customHeight="1">
      <c r="A232" s="261"/>
      <c r="B232" s="171"/>
      <c r="C232" s="172"/>
      <c r="D232" s="172"/>
      <c r="E232" s="154"/>
      <c r="F232" s="162"/>
      <c r="G232" s="162"/>
      <c r="H232" s="162"/>
      <c r="I232" s="162"/>
      <c r="J232" s="174"/>
      <c r="K232" s="162"/>
      <c r="L232" s="129"/>
      <c r="M232" s="156"/>
      <c r="N232" s="79"/>
      <c r="O232" s="79"/>
      <c r="P232" s="79"/>
      <c r="Q232" s="79"/>
      <c r="R232" s="79"/>
      <c r="S232" s="82"/>
      <c r="T232" s="82"/>
      <c r="U232" s="82"/>
      <c r="V232" s="82"/>
      <c r="W232" s="82"/>
      <c r="X232" s="82"/>
      <c r="Y232" s="82"/>
      <c r="Z232" s="82"/>
      <c r="AA232" s="82"/>
    </row>
    <row r="233" ht="15.75" customHeight="1">
      <c r="A233" s="261"/>
      <c r="B233" s="171"/>
      <c r="C233" s="172"/>
      <c r="D233" s="172"/>
      <c r="E233" s="154"/>
      <c r="F233" s="162"/>
      <c r="G233" s="162"/>
      <c r="H233" s="162"/>
      <c r="I233" s="162"/>
      <c r="J233" s="174"/>
      <c r="K233" s="162"/>
      <c r="L233" s="129"/>
      <c r="M233" s="156"/>
      <c r="N233" s="79"/>
      <c r="O233" s="79"/>
      <c r="P233" s="79"/>
      <c r="Q233" s="79"/>
      <c r="R233" s="79"/>
      <c r="S233" s="82"/>
      <c r="T233" s="82"/>
      <c r="U233" s="82"/>
      <c r="V233" s="82"/>
      <c r="W233" s="82"/>
      <c r="X233" s="82"/>
      <c r="Y233" s="82"/>
      <c r="Z233" s="82"/>
      <c r="AA233" s="82"/>
    </row>
    <row r="234" ht="15.75" customHeight="1">
      <c r="A234" s="261"/>
      <c r="B234" s="171"/>
      <c r="C234" s="172"/>
      <c r="D234" s="172"/>
      <c r="E234" s="154"/>
      <c r="F234" s="162"/>
      <c r="G234" s="162"/>
      <c r="H234" s="162"/>
      <c r="I234" s="162"/>
      <c r="J234" s="174"/>
      <c r="K234" s="162"/>
      <c r="L234" s="129"/>
      <c r="M234" s="156"/>
      <c r="N234" s="79"/>
      <c r="O234" s="79"/>
      <c r="P234" s="79"/>
      <c r="Q234" s="79"/>
      <c r="R234" s="79"/>
      <c r="S234" s="82"/>
      <c r="T234" s="82"/>
      <c r="U234" s="82"/>
      <c r="V234" s="82"/>
      <c r="W234" s="82"/>
      <c r="X234" s="82"/>
      <c r="Y234" s="82"/>
      <c r="Z234" s="82"/>
      <c r="AA234" s="82"/>
    </row>
    <row r="235" ht="15.75" customHeight="1">
      <c r="A235" s="261"/>
      <c r="B235" s="171"/>
      <c r="C235" s="172"/>
      <c r="D235" s="172"/>
      <c r="E235" s="154"/>
      <c r="F235" s="162"/>
      <c r="G235" s="162"/>
      <c r="H235" s="162"/>
      <c r="I235" s="162"/>
      <c r="J235" s="174"/>
      <c r="K235" s="162"/>
      <c r="L235" s="129"/>
      <c r="M235" s="156"/>
      <c r="N235" s="79"/>
      <c r="O235" s="79"/>
      <c r="P235" s="79"/>
      <c r="Q235" s="79"/>
      <c r="R235" s="79"/>
      <c r="S235" s="82"/>
      <c r="T235" s="82"/>
      <c r="U235" s="82"/>
      <c r="V235" s="82"/>
      <c r="W235" s="82"/>
      <c r="X235" s="82"/>
      <c r="Y235" s="82"/>
      <c r="Z235" s="82"/>
      <c r="AA235" s="82"/>
    </row>
    <row r="236" ht="15.75" customHeight="1">
      <c r="A236" s="261"/>
      <c r="B236" s="171"/>
      <c r="C236" s="172"/>
      <c r="D236" s="172"/>
      <c r="E236" s="154"/>
      <c r="F236" s="162"/>
      <c r="G236" s="162"/>
      <c r="H236" s="162"/>
      <c r="I236" s="162"/>
      <c r="J236" s="174"/>
      <c r="K236" s="162"/>
      <c r="L236" s="129"/>
      <c r="M236" s="156"/>
      <c r="N236" s="79"/>
      <c r="O236" s="79"/>
      <c r="P236" s="79"/>
      <c r="Q236" s="79"/>
      <c r="R236" s="79"/>
      <c r="S236" s="82"/>
      <c r="T236" s="82"/>
      <c r="U236" s="82"/>
      <c r="V236" s="82"/>
      <c r="W236" s="82"/>
      <c r="X236" s="82"/>
      <c r="Y236" s="82"/>
      <c r="Z236" s="82"/>
      <c r="AA236" s="82"/>
    </row>
    <row r="237" ht="15.75" customHeight="1">
      <c r="A237" s="261"/>
      <c r="B237" s="171"/>
      <c r="C237" s="172"/>
      <c r="D237" s="172"/>
      <c r="E237" s="154"/>
      <c r="F237" s="162"/>
      <c r="G237" s="162"/>
      <c r="H237" s="162"/>
      <c r="I237" s="162"/>
      <c r="J237" s="174"/>
      <c r="K237" s="162"/>
      <c r="L237" s="129"/>
      <c r="M237" s="156"/>
      <c r="N237" s="79"/>
      <c r="O237" s="79"/>
      <c r="P237" s="79"/>
      <c r="Q237" s="79"/>
      <c r="R237" s="79"/>
      <c r="S237" s="82"/>
      <c r="T237" s="82"/>
      <c r="U237" s="82"/>
      <c r="V237" s="82"/>
      <c r="W237" s="82"/>
      <c r="X237" s="82"/>
      <c r="Y237" s="82"/>
      <c r="Z237" s="82"/>
      <c r="AA237" s="82"/>
    </row>
    <row r="238" ht="15.75" customHeight="1">
      <c r="A238" s="261"/>
      <c r="B238" s="171"/>
      <c r="C238" s="172"/>
      <c r="D238" s="172"/>
      <c r="E238" s="154"/>
      <c r="F238" s="162"/>
      <c r="G238" s="162"/>
      <c r="H238" s="162"/>
      <c r="I238" s="162"/>
      <c r="J238" s="174"/>
      <c r="K238" s="162"/>
      <c r="L238" s="129"/>
      <c r="M238" s="156"/>
      <c r="N238" s="79"/>
      <c r="O238" s="79"/>
      <c r="P238" s="79"/>
      <c r="Q238" s="79"/>
      <c r="R238" s="79"/>
      <c r="S238" s="82"/>
      <c r="T238" s="82"/>
      <c r="U238" s="82"/>
      <c r="V238" s="82"/>
      <c r="W238" s="82"/>
      <c r="X238" s="82"/>
      <c r="Y238" s="82"/>
      <c r="Z238" s="82"/>
      <c r="AA238" s="82"/>
    </row>
    <row r="239" ht="15.75" customHeight="1">
      <c r="A239" s="261"/>
      <c r="B239" s="171"/>
      <c r="C239" s="172"/>
      <c r="D239" s="172"/>
      <c r="E239" s="154"/>
      <c r="F239" s="162"/>
      <c r="G239" s="162"/>
      <c r="H239" s="162"/>
      <c r="I239" s="162"/>
      <c r="J239" s="174"/>
      <c r="K239" s="162"/>
      <c r="L239" s="129"/>
      <c r="M239" s="156"/>
      <c r="N239" s="79"/>
      <c r="O239" s="79"/>
      <c r="P239" s="79"/>
      <c r="Q239" s="79"/>
      <c r="R239" s="79"/>
      <c r="S239" s="82"/>
      <c r="T239" s="82"/>
      <c r="U239" s="82"/>
      <c r="V239" s="82"/>
      <c r="W239" s="82"/>
      <c r="X239" s="82"/>
      <c r="Y239" s="82"/>
      <c r="Z239" s="82"/>
      <c r="AA239" s="82"/>
    </row>
    <row r="240" ht="15.75" customHeight="1">
      <c r="A240" s="261"/>
      <c r="B240" s="171"/>
      <c r="C240" s="172"/>
      <c r="D240" s="172"/>
      <c r="E240" s="154"/>
      <c r="F240" s="162"/>
      <c r="G240" s="162"/>
      <c r="H240" s="162"/>
      <c r="I240" s="162"/>
      <c r="J240" s="174"/>
      <c r="K240" s="162"/>
      <c r="L240" s="129"/>
      <c r="M240" s="156"/>
      <c r="N240" s="79"/>
      <c r="O240" s="79"/>
      <c r="P240" s="79"/>
      <c r="Q240" s="79"/>
      <c r="R240" s="79"/>
      <c r="S240" s="82"/>
      <c r="T240" s="82"/>
      <c r="U240" s="82"/>
      <c r="V240" s="82"/>
      <c r="W240" s="82"/>
      <c r="X240" s="82"/>
      <c r="Y240" s="82"/>
      <c r="Z240" s="82"/>
      <c r="AA240" s="82"/>
    </row>
    <row r="241" ht="15.75" customHeight="1">
      <c r="A241" s="261"/>
      <c r="B241" s="171"/>
      <c r="C241" s="172"/>
      <c r="D241" s="172"/>
      <c r="E241" s="154"/>
      <c r="F241" s="162"/>
      <c r="G241" s="162"/>
      <c r="H241" s="162"/>
      <c r="I241" s="162"/>
      <c r="J241" s="174"/>
      <c r="K241" s="162"/>
      <c r="L241" s="129"/>
      <c r="M241" s="156"/>
      <c r="N241" s="79"/>
      <c r="O241" s="79"/>
      <c r="P241" s="79"/>
      <c r="Q241" s="79"/>
      <c r="R241" s="79"/>
      <c r="S241" s="82"/>
      <c r="T241" s="82"/>
      <c r="U241" s="82"/>
      <c r="V241" s="82"/>
      <c r="W241" s="82"/>
      <c r="X241" s="82"/>
      <c r="Y241" s="82"/>
      <c r="Z241" s="82"/>
      <c r="AA241" s="82"/>
    </row>
    <row r="242" ht="15.75" customHeight="1">
      <c r="A242" s="261"/>
      <c r="B242" s="171"/>
      <c r="C242" s="172"/>
      <c r="D242" s="172"/>
      <c r="E242" s="154"/>
      <c r="F242" s="162"/>
      <c r="G242" s="162"/>
      <c r="H242" s="162"/>
      <c r="I242" s="162"/>
      <c r="J242" s="174"/>
      <c r="K242" s="162"/>
      <c r="L242" s="129"/>
      <c r="M242" s="156"/>
      <c r="N242" s="79"/>
      <c r="O242" s="79"/>
      <c r="P242" s="79"/>
      <c r="Q242" s="79"/>
      <c r="R242" s="79"/>
      <c r="S242" s="82"/>
      <c r="T242" s="82"/>
      <c r="U242" s="82"/>
      <c r="V242" s="82"/>
      <c r="W242" s="82"/>
      <c r="X242" s="82"/>
      <c r="Y242" s="82"/>
      <c r="Z242" s="82"/>
      <c r="AA242" s="82"/>
    </row>
    <row r="243" ht="15.75" customHeight="1">
      <c r="A243" s="261"/>
      <c r="B243" s="171"/>
      <c r="C243" s="172"/>
      <c r="D243" s="172"/>
      <c r="E243" s="154"/>
      <c r="F243" s="162"/>
      <c r="G243" s="162"/>
      <c r="H243" s="162"/>
      <c r="I243" s="162"/>
      <c r="J243" s="174"/>
      <c r="K243" s="162"/>
      <c r="L243" s="129"/>
      <c r="M243" s="156"/>
      <c r="N243" s="79"/>
      <c r="O243" s="79"/>
      <c r="P243" s="79"/>
      <c r="Q243" s="79"/>
      <c r="R243" s="79"/>
      <c r="S243" s="82"/>
      <c r="T243" s="82"/>
      <c r="U243" s="82"/>
      <c r="V243" s="82"/>
      <c r="W243" s="82"/>
      <c r="X243" s="82"/>
      <c r="Y243" s="82"/>
      <c r="Z243" s="82"/>
      <c r="AA243" s="82"/>
    </row>
    <row r="244" ht="15.75" customHeight="1">
      <c r="A244" s="261"/>
      <c r="B244" s="171"/>
      <c r="C244" s="172"/>
      <c r="D244" s="172"/>
      <c r="E244" s="154"/>
      <c r="F244" s="162"/>
      <c r="G244" s="162"/>
      <c r="H244" s="162"/>
      <c r="I244" s="162"/>
      <c r="J244" s="174"/>
      <c r="K244" s="162"/>
      <c r="L244" s="129"/>
      <c r="M244" s="156"/>
      <c r="N244" s="79"/>
      <c r="O244" s="79"/>
      <c r="P244" s="79"/>
      <c r="Q244" s="79"/>
      <c r="R244" s="79"/>
      <c r="S244" s="82"/>
      <c r="T244" s="82"/>
      <c r="U244" s="82"/>
      <c r="V244" s="82"/>
      <c r="W244" s="82"/>
      <c r="X244" s="82"/>
      <c r="Y244" s="82"/>
      <c r="Z244" s="82"/>
      <c r="AA244" s="82"/>
    </row>
    <row r="245" ht="15.75" customHeight="1">
      <c r="A245" s="261"/>
      <c r="B245" s="171"/>
      <c r="C245" s="172"/>
      <c r="D245" s="172"/>
      <c r="E245" s="154"/>
      <c r="F245" s="162"/>
      <c r="G245" s="162"/>
      <c r="H245" s="162"/>
      <c r="I245" s="162"/>
      <c r="J245" s="174"/>
      <c r="K245" s="162"/>
      <c r="L245" s="129"/>
      <c r="M245" s="156"/>
      <c r="N245" s="79"/>
      <c r="O245" s="79"/>
      <c r="P245" s="79"/>
      <c r="Q245" s="79"/>
      <c r="R245" s="79"/>
      <c r="S245" s="82"/>
      <c r="T245" s="82"/>
      <c r="U245" s="82"/>
      <c r="V245" s="82"/>
      <c r="W245" s="82"/>
      <c r="X245" s="82"/>
      <c r="Y245" s="82"/>
      <c r="Z245" s="82"/>
      <c r="AA245" s="82"/>
    </row>
    <row r="246" ht="15.75" customHeight="1">
      <c r="A246" s="261"/>
      <c r="B246" s="171"/>
      <c r="C246" s="172"/>
      <c r="D246" s="172"/>
      <c r="E246" s="154"/>
      <c r="F246" s="162"/>
      <c r="G246" s="162"/>
      <c r="H246" s="162"/>
      <c r="I246" s="162"/>
      <c r="J246" s="174"/>
      <c r="K246" s="162"/>
      <c r="L246" s="129"/>
      <c r="M246" s="156"/>
      <c r="N246" s="79"/>
      <c r="O246" s="79"/>
      <c r="P246" s="79"/>
      <c r="Q246" s="79"/>
      <c r="R246" s="79"/>
      <c r="S246" s="82"/>
      <c r="T246" s="82"/>
      <c r="U246" s="82"/>
      <c r="V246" s="82"/>
      <c r="W246" s="82"/>
      <c r="X246" s="82"/>
      <c r="Y246" s="82"/>
      <c r="Z246" s="82"/>
      <c r="AA246" s="82"/>
    </row>
    <row r="247" ht="15.75" customHeight="1">
      <c r="A247" s="261"/>
      <c r="B247" s="171"/>
      <c r="C247" s="172"/>
      <c r="D247" s="172"/>
      <c r="E247" s="154"/>
      <c r="F247" s="162"/>
      <c r="G247" s="162"/>
      <c r="H247" s="162"/>
      <c r="I247" s="162"/>
      <c r="J247" s="174"/>
      <c r="K247" s="162"/>
      <c r="L247" s="129"/>
      <c r="M247" s="156"/>
      <c r="N247" s="79"/>
      <c r="O247" s="79"/>
      <c r="P247" s="79"/>
      <c r="Q247" s="79"/>
      <c r="R247" s="79"/>
      <c r="S247" s="82"/>
      <c r="T247" s="82"/>
      <c r="U247" s="82"/>
      <c r="V247" s="82"/>
      <c r="W247" s="82"/>
      <c r="X247" s="82"/>
      <c r="Y247" s="82"/>
      <c r="Z247" s="82"/>
      <c r="AA247" s="82"/>
    </row>
    <row r="248" ht="15.75" customHeight="1">
      <c r="A248" s="261"/>
      <c r="B248" s="171"/>
      <c r="C248" s="172"/>
      <c r="D248" s="172"/>
      <c r="E248" s="154"/>
      <c r="F248" s="162"/>
      <c r="G248" s="162"/>
      <c r="H248" s="162"/>
      <c r="I248" s="162"/>
      <c r="J248" s="174"/>
      <c r="K248" s="162"/>
      <c r="L248" s="129"/>
      <c r="M248" s="156"/>
      <c r="N248" s="79"/>
      <c r="O248" s="79"/>
      <c r="P248" s="79"/>
      <c r="Q248" s="79"/>
      <c r="R248" s="79"/>
      <c r="S248" s="82"/>
      <c r="T248" s="82"/>
      <c r="U248" s="82"/>
      <c r="V248" s="82"/>
      <c r="W248" s="82"/>
      <c r="X248" s="82"/>
      <c r="Y248" s="82"/>
      <c r="Z248" s="82"/>
      <c r="AA248" s="82"/>
    </row>
    <row r="249" ht="15.75" customHeight="1">
      <c r="A249" s="261"/>
      <c r="B249" s="171"/>
      <c r="C249" s="172"/>
      <c r="D249" s="172"/>
      <c r="E249" s="154"/>
      <c r="F249" s="162"/>
      <c r="G249" s="162"/>
      <c r="H249" s="162"/>
      <c r="I249" s="162"/>
      <c r="J249" s="174"/>
      <c r="K249" s="162"/>
      <c r="L249" s="129"/>
      <c r="M249" s="156"/>
      <c r="N249" s="79"/>
      <c r="O249" s="79"/>
      <c r="P249" s="79"/>
      <c r="Q249" s="79"/>
      <c r="R249" s="79"/>
      <c r="S249" s="82"/>
      <c r="T249" s="82"/>
      <c r="U249" s="82"/>
      <c r="V249" s="82"/>
      <c r="W249" s="82"/>
      <c r="X249" s="82"/>
      <c r="Y249" s="82"/>
      <c r="Z249" s="82"/>
      <c r="AA249" s="82"/>
    </row>
    <row r="250" ht="15.75" customHeight="1">
      <c r="A250" s="261"/>
      <c r="B250" s="171"/>
      <c r="C250" s="172"/>
      <c r="D250" s="172"/>
      <c r="E250" s="154"/>
      <c r="F250" s="162"/>
      <c r="G250" s="162"/>
      <c r="H250" s="162"/>
      <c r="I250" s="162"/>
      <c r="J250" s="174"/>
      <c r="K250" s="162"/>
      <c r="L250" s="129"/>
      <c r="M250" s="156"/>
      <c r="N250" s="79"/>
      <c r="O250" s="79"/>
      <c r="P250" s="79"/>
      <c r="Q250" s="79"/>
      <c r="R250" s="79"/>
      <c r="S250" s="82"/>
      <c r="T250" s="82"/>
      <c r="U250" s="82"/>
      <c r="V250" s="82"/>
      <c r="W250" s="82"/>
      <c r="X250" s="82"/>
      <c r="Y250" s="82"/>
      <c r="Z250" s="82"/>
      <c r="AA250" s="82"/>
    </row>
    <row r="251" ht="15.75" customHeight="1">
      <c r="A251" s="261"/>
      <c r="B251" s="171"/>
      <c r="C251" s="172"/>
      <c r="D251" s="172"/>
      <c r="E251" s="154"/>
      <c r="F251" s="162"/>
      <c r="G251" s="162"/>
      <c r="H251" s="162"/>
      <c r="I251" s="162"/>
      <c r="J251" s="174"/>
      <c r="K251" s="162"/>
      <c r="L251" s="129"/>
      <c r="M251" s="156"/>
      <c r="N251" s="79"/>
      <c r="O251" s="79"/>
      <c r="P251" s="79"/>
      <c r="Q251" s="79"/>
      <c r="R251" s="79"/>
      <c r="S251" s="82"/>
      <c r="T251" s="82"/>
      <c r="U251" s="82"/>
      <c r="V251" s="82"/>
      <c r="W251" s="82"/>
      <c r="X251" s="82"/>
      <c r="Y251" s="82"/>
      <c r="Z251" s="82"/>
      <c r="AA251" s="82"/>
    </row>
    <row r="252" ht="15.75" customHeight="1">
      <c r="A252" s="261"/>
      <c r="B252" s="171"/>
      <c r="C252" s="172"/>
      <c r="D252" s="172"/>
      <c r="E252" s="154"/>
      <c r="F252" s="162"/>
      <c r="G252" s="162"/>
      <c r="H252" s="162"/>
      <c r="I252" s="162"/>
      <c r="J252" s="174"/>
      <c r="K252" s="162"/>
      <c r="L252" s="129"/>
      <c r="M252" s="156"/>
      <c r="N252" s="79"/>
      <c r="O252" s="79"/>
      <c r="P252" s="79"/>
      <c r="Q252" s="79"/>
      <c r="R252" s="79"/>
      <c r="S252" s="82"/>
      <c r="T252" s="82"/>
      <c r="U252" s="82"/>
      <c r="V252" s="82"/>
      <c r="W252" s="82"/>
      <c r="X252" s="82"/>
      <c r="Y252" s="82"/>
      <c r="Z252" s="82"/>
      <c r="AA252" s="82"/>
    </row>
    <row r="253" ht="15.75" customHeight="1">
      <c r="A253" s="261"/>
      <c r="B253" s="171"/>
      <c r="C253" s="172"/>
      <c r="D253" s="172"/>
      <c r="E253" s="154"/>
      <c r="F253" s="162"/>
      <c r="G253" s="162"/>
      <c r="H253" s="162"/>
      <c r="I253" s="162"/>
      <c r="J253" s="174"/>
      <c r="K253" s="162"/>
      <c r="L253" s="129"/>
      <c r="M253" s="156"/>
      <c r="N253" s="79"/>
      <c r="O253" s="79"/>
      <c r="P253" s="79"/>
      <c r="Q253" s="79"/>
      <c r="R253" s="79"/>
      <c r="S253" s="82"/>
      <c r="T253" s="82"/>
      <c r="U253" s="82"/>
      <c r="V253" s="82"/>
      <c r="W253" s="82"/>
      <c r="X253" s="82"/>
      <c r="Y253" s="82"/>
      <c r="Z253" s="82"/>
      <c r="AA253" s="82"/>
    </row>
    <row r="254" ht="15.75" customHeight="1">
      <c r="A254" s="261"/>
      <c r="B254" s="171"/>
      <c r="C254" s="172"/>
      <c r="D254" s="172"/>
      <c r="E254" s="154"/>
      <c r="F254" s="162"/>
      <c r="G254" s="162"/>
      <c r="H254" s="162"/>
      <c r="I254" s="162"/>
      <c r="J254" s="174"/>
      <c r="K254" s="162"/>
      <c r="L254" s="129"/>
      <c r="M254" s="156"/>
      <c r="N254" s="79"/>
      <c r="O254" s="79"/>
      <c r="P254" s="79"/>
      <c r="Q254" s="79"/>
      <c r="R254" s="79"/>
      <c r="S254" s="82"/>
      <c r="T254" s="82"/>
      <c r="U254" s="82"/>
      <c r="V254" s="82"/>
      <c r="W254" s="82"/>
      <c r="X254" s="82"/>
      <c r="Y254" s="82"/>
      <c r="Z254" s="82"/>
      <c r="AA254" s="82"/>
    </row>
    <row r="255" ht="15.75" customHeight="1">
      <c r="A255" s="261"/>
      <c r="B255" s="171"/>
      <c r="C255" s="172"/>
      <c r="D255" s="172"/>
      <c r="E255" s="154"/>
      <c r="F255" s="162"/>
      <c r="G255" s="162"/>
      <c r="H255" s="162"/>
      <c r="I255" s="162"/>
      <c r="J255" s="174"/>
      <c r="K255" s="162"/>
      <c r="L255" s="129"/>
      <c r="M255" s="156"/>
      <c r="N255" s="79"/>
      <c r="O255" s="79"/>
      <c r="P255" s="79"/>
      <c r="Q255" s="79"/>
      <c r="R255" s="79"/>
      <c r="S255" s="82"/>
      <c r="T255" s="82"/>
      <c r="U255" s="82"/>
      <c r="V255" s="82"/>
      <c r="W255" s="82"/>
      <c r="X255" s="82"/>
      <c r="Y255" s="82"/>
      <c r="Z255" s="82"/>
      <c r="AA255" s="82"/>
    </row>
    <row r="256" ht="15.75" customHeight="1">
      <c r="A256" s="261"/>
      <c r="B256" s="171"/>
      <c r="C256" s="172"/>
      <c r="D256" s="172"/>
      <c r="E256" s="154"/>
      <c r="F256" s="162"/>
      <c r="G256" s="162"/>
      <c r="H256" s="162"/>
      <c r="I256" s="162"/>
      <c r="J256" s="174"/>
      <c r="K256" s="162"/>
      <c r="L256" s="129"/>
      <c r="M256" s="156"/>
      <c r="N256" s="79"/>
      <c r="O256" s="79"/>
      <c r="P256" s="79"/>
      <c r="Q256" s="79"/>
      <c r="R256" s="79"/>
      <c r="S256" s="82"/>
      <c r="T256" s="82"/>
      <c r="U256" s="82"/>
      <c r="V256" s="82"/>
      <c r="W256" s="82"/>
      <c r="X256" s="82"/>
      <c r="Y256" s="82"/>
      <c r="Z256" s="82"/>
      <c r="AA256" s="82"/>
    </row>
    <row r="257" ht="15.75" customHeight="1">
      <c r="A257" s="261"/>
      <c r="B257" s="171"/>
      <c r="C257" s="172"/>
      <c r="D257" s="172"/>
      <c r="E257" s="154"/>
      <c r="F257" s="162"/>
      <c r="G257" s="162"/>
      <c r="H257" s="162"/>
      <c r="I257" s="162"/>
      <c r="J257" s="174"/>
      <c r="K257" s="162"/>
      <c r="L257" s="129"/>
      <c r="M257" s="156"/>
      <c r="N257" s="79"/>
      <c r="O257" s="79"/>
      <c r="P257" s="79"/>
      <c r="Q257" s="79"/>
      <c r="R257" s="79"/>
      <c r="S257" s="82"/>
      <c r="T257" s="82"/>
      <c r="U257" s="82"/>
      <c r="V257" s="82"/>
      <c r="W257" s="82"/>
      <c r="X257" s="82"/>
      <c r="Y257" s="82"/>
      <c r="Z257" s="82"/>
      <c r="AA257" s="82"/>
    </row>
    <row r="258" ht="15.75" customHeight="1">
      <c r="A258" s="261"/>
      <c r="B258" s="171"/>
      <c r="C258" s="172"/>
      <c r="D258" s="172"/>
      <c r="E258" s="154"/>
      <c r="F258" s="162"/>
      <c r="G258" s="162"/>
      <c r="H258" s="162"/>
      <c r="I258" s="162"/>
      <c r="J258" s="174"/>
      <c r="K258" s="162"/>
      <c r="L258" s="129"/>
      <c r="M258" s="156"/>
      <c r="N258" s="79"/>
      <c r="O258" s="79"/>
      <c r="P258" s="79"/>
      <c r="Q258" s="79"/>
      <c r="R258" s="79"/>
      <c r="S258" s="82"/>
      <c r="T258" s="82"/>
      <c r="U258" s="82"/>
      <c r="V258" s="82"/>
      <c r="W258" s="82"/>
      <c r="X258" s="82"/>
      <c r="Y258" s="82"/>
      <c r="Z258" s="82"/>
      <c r="AA258" s="82"/>
    </row>
    <row r="259" ht="15.75" customHeight="1">
      <c r="A259" s="261"/>
      <c r="B259" s="171"/>
      <c r="C259" s="172"/>
      <c r="D259" s="172"/>
      <c r="E259" s="154"/>
      <c r="F259" s="162"/>
      <c r="G259" s="162"/>
      <c r="H259" s="162"/>
      <c r="I259" s="162"/>
      <c r="J259" s="174"/>
      <c r="K259" s="162"/>
      <c r="L259" s="129"/>
      <c r="M259" s="156"/>
      <c r="N259" s="79"/>
      <c r="O259" s="79"/>
      <c r="P259" s="79"/>
      <c r="Q259" s="79"/>
      <c r="R259" s="79"/>
      <c r="S259" s="82"/>
      <c r="T259" s="82"/>
      <c r="U259" s="82"/>
      <c r="V259" s="82"/>
      <c r="W259" s="82"/>
      <c r="X259" s="82"/>
      <c r="Y259" s="82"/>
      <c r="Z259" s="82"/>
      <c r="AA259" s="82"/>
    </row>
    <row r="260" ht="15.75" customHeight="1">
      <c r="A260" s="261"/>
      <c r="B260" s="171"/>
      <c r="C260" s="172"/>
      <c r="D260" s="172"/>
      <c r="E260" s="154"/>
      <c r="F260" s="162"/>
      <c r="G260" s="162"/>
      <c r="H260" s="162"/>
      <c r="I260" s="162"/>
      <c r="J260" s="174"/>
      <c r="K260" s="162"/>
      <c r="L260" s="129"/>
      <c r="M260" s="156"/>
      <c r="N260" s="79"/>
      <c r="O260" s="79"/>
      <c r="P260" s="79"/>
      <c r="Q260" s="79"/>
      <c r="R260" s="79"/>
      <c r="S260" s="82"/>
      <c r="T260" s="82"/>
      <c r="U260" s="82"/>
      <c r="V260" s="82"/>
      <c r="W260" s="82"/>
      <c r="X260" s="82"/>
      <c r="Y260" s="82"/>
      <c r="Z260" s="82"/>
      <c r="AA260" s="82"/>
    </row>
    <row r="261" ht="15.75" customHeight="1">
      <c r="A261" s="261"/>
      <c r="B261" s="171"/>
      <c r="C261" s="172"/>
      <c r="D261" s="172"/>
      <c r="E261" s="154"/>
      <c r="F261" s="162"/>
      <c r="G261" s="162"/>
      <c r="H261" s="162"/>
      <c r="I261" s="162"/>
      <c r="J261" s="174"/>
      <c r="K261" s="162"/>
      <c r="L261" s="129"/>
      <c r="M261" s="156"/>
      <c r="N261" s="79"/>
      <c r="O261" s="79"/>
      <c r="P261" s="79"/>
      <c r="Q261" s="79"/>
      <c r="R261" s="79"/>
      <c r="S261" s="82"/>
      <c r="T261" s="82"/>
      <c r="U261" s="82"/>
      <c r="V261" s="82"/>
      <c r="W261" s="82"/>
      <c r="X261" s="82"/>
      <c r="Y261" s="82"/>
      <c r="Z261" s="82"/>
      <c r="AA261" s="82"/>
    </row>
    <row r="262" ht="15.75" customHeight="1">
      <c r="A262" s="261"/>
      <c r="B262" s="171"/>
      <c r="C262" s="172"/>
      <c r="D262" s="172"/>
      <c r="E262" s="154"/>
      <c r="F262" s="162"/>
      <c r="G262" s="162"/>
      <c r="H262" s="162"/>
      <c r="I262" s="162"/>
      <c r="J262" s="174"/>
      <c r="K262" s="162"/>
      <c r="L262" s="129"/>
      <c r="M262" s="156"/>
      <c r="N262" s="79"/>
      <c r="O262" s="79"/>
      <c r="P262" s="79"/>
      <c r="Q262" s="79"/>
      <c r="R262" s="79"/>
      <c r="S262" s="82"/>
      <c r="T262" s="82"/>
      <c r="U262" s="82"/>
      <c r="V262" s="82"/>
      <c r="W262" s="82"/>
      <c r="X262" s="82"/>
      <c r="Y262" s="82"/>
      <c r="Z262" s="82"/>
      <c r="AA262" s="82"/>
    </row>
    <row r="263" ht="15.75" customHeight="1">
      <c r="A263" s="261"/>
      <c r="B263" s="171"/>
      <c r="C263" s="172"/>
      <c r="D263" s="172"/>
      <c r="E263" s="154"/>
      <c r="F263" s="162"/>
      <c r="G263" s="162"/>
      <c r="H263" s="162"/>
      <c r="I263" s="162"/>
      <c r="J263" s="174"/>
      <c r="K263" s="162"/>
      <c r="L263" s="129"/>
      <c r="M263" s="156"/>
      <c r="N263" s="79"/>
      <c r="O263" s="79"/>
      <c r="P263" s="79"/>
      <c r="Q263" s="79"/>
      <c r="R263" s="79"/>
      <c r="S263" s="82"/>
      <c r="T263" s="82"/>
      <c r="U263" s="82"/>
      <c r="V263" s="82"/>
      <c r="W263" s="82"/>
      <c r="X263" s="82"/>
      <c r="Y263" s="82"/>
      <c r="Z263" s="82"/>
      <c r="AA263" s="82"/>
    </row>
    <row r="264" ht="15.75" customHeight="1">
      <c r="A264" s="261"/>
      <c r="B264" s="171"/>
      <c r="C264" s="172"/>
      <c r="D264" s="172"/>
      <c r="E264" s="154"/>
      <c r="F264" s="162"/>
      <c r="G264" s="162"/>
      <c r="H264" s="162"/>
      <c r="I264" s="162"/>
      <c r="J264" s="174"/>
      <c r="K264" s="162"/>
      <c r="L264" s="129"/>
      <c r="M264" s="156"/>
      <c r="N264" s="79"/>
      <c r="O264" s="79"/>
      <c r="P264" s="79"/>
      <c r="Q264" s="79"/>
      <c r="R264" s="79"/>
      <c r="S264" s="82"/>
      <c r="T264" s="82"/>
      <c r="U264" s="82"/>
      <c r="V264" s="82"/>
      <c r="W264" s="82"/>
      <c r="X264" s="82"/>
      <c r="Y264" s="82"/>
      <c r="Z264" s="82"/>
      <c r="AA264" s="82"/>
    </row>
    <row r="265" ht="15.75" customHeight="1">
      <c r="A265" s="261"/>
      <c r="B265" s="171"/>
      <c r="C265" s="172"/>
      <c r="D265" s="172"/>
      <c r="E265" s="154"/>
      <c r="F265" s="162"/>
      <c r="G265" s="162"/>
      <c r="H265" s="162"/>
      <c r="I265" s="162"/>
      <c r="J265" s="174"/>
      <c r="K265" s="162"/>
      <c r="L265" s="129"/>
      <c r="M265" s="156"/>
      <c r="N265" s="79"/>
      <c r="O265" s="79"/>
      <c r="P265" s="79"/>
      <c r="Q265" s="79"/>
      <c r="R265" s="79"/>
      <c r="S265" s="82"/>
      <c r="T265" s="82"/>
      <c r="U265" s="82"/>
      <c r="V265" s="82"/>
      <c r="W265" s="82"/>
      <c r="X265" s="82"/>
      <c r="Y265" s="82"/>
      <c r="Z265" s="82"/>
      <c r="AA265" s="82"/>
    </row>
    <row r="266" ht="15.75" customHeight="1">
      <c r="A266" s="261"/>
      <c r="B266" s="171"/>
      <c r="C266" s="172"/>
      <c r="D266" s="172"/>
      <c r="E266" s="154"/>
      <c r="F266" s="162"/>
      <c r="G266" s="162"/>
      <c r="H266" s="162"/>
      <c r="I266" s="162"/>
      <c r="J266" s="174"/>
      <c r="K266" s="162"/>
      <c r="L266" s="129"/>
      <c r="M266" s="156"/>
      <c r="N266" s="79"/>
      <c r="O266" s="79"/>
      <c r="P266" s="79"/>
      <c r="Q266" s="79"/>
      <c r="R266" s="79"/>
      <c r="S266" s="82"/>
      <c r="T266" s="82"/>
      <c r="U266" s="82"/>
      <c r="V266" s="82"/>
      <c r="W266" s="82"/>
      <c r="X266" s="82"/>
      <c r="Y266" s="82"/>
      <c r="Z266" s="82"/>
      <c r="AA266" s="82"/>
    </row>
    <row r="267" ht="15.75" customHeight="1">
      <c r="A267" s="261"/>
      <c r="B267" s="171"/>
      <c r="C267" s="172"/>
      <c r="D267" s="172"/>
      <c r="E267" s="154"/>
      <c r="F267" s="162"/>
      <c r="G267" s="162"/>
      <c r="H267" s="162"/>
      <c r="I267" s="162"/>
      <c r="J267" s="174"/>
      <c r="K267" s="162"/>
      <c r="L267" s="129"/>
      <c r="M267" s="156"/>
      <c r="N267" s="79"/>
      <c r="O267" s="79"/>
      <c r="P267" s="79"/>
      <c r="Q267" s="79"/>
      <c r="R267" s="79"/>
      <c r="S267" s="82"/>
      <c r="T267" s="82"/>
      <c r="U267" s="82"/>
      <c r="V267" s="82"/>
      <c r="W267" s="82"/>
      <c r="X267" s="82"/>
      <c r="Y267" s="82"/>
      <c r="Z267" s="82"/>
      <c r="AA267" s="82"/>
    </row>
    <row r="268" ht="15.75" customHeight="1">
      <c r="A268" s="261"/>
      <c r="B268" s="171"/>
      <c r="C268" s="172"/>
      <c r="D268" s="172"/>
      <c r="E268" s="154"/>
      <c r="F268" s="162"/>
      <c r="G268" s="162"/>
      <c r="H268" s="162"/>
      <c r="I268" s="162"/>
      <c r="J268" s="174"/>
      <c r="K268" s="162"/>
      <c r="L268" s="129"/>
      <c r="M268" s="156"/>
      <c r="N268" s="79"/>
      <c r="O268" s="79"/>
      <c r="P268" s="79"/>
      <c r="Q268" s="79"/>
      <c r="R268" s="79"/>
      <c r="S268" s="82"/>
      <c r="T268" s="82"/>
      <c r="U268" s="82"/>
      <c r="V268" s="82"/>
      <c r="W268" s="82"/>
      <c r="X268" s="82"/>
      <c r="Y268" s="82"/>
      <c r="Z268" s="82"/>
      <c r="AA268" s="82"/>
    </row>
    <row r="269" ht="15.75" customHeight="1">
      <c r="A269" s="261"/>
      <c r="B269" s="171"/>
      <c r="C269" s="172"/>
      <c r="D269" s="172"/>
      <c r="E269" s="154"/>
      <c r="F269" s="162"/>
      <c r="G269" s="162"/>
      <c r="H269" s="162"/>
      <c r="I269" s="162"/>
      <c r="J269" s="174"/>
      <c r="K269" s="162"/>
      <c r="L269" s="129"/>
      <c r="M269" s="156"/>
      <c r="N269" s="79"/>
      <c r="O269" s="79"/>
      <c r="P269" s="79"/>
      <c r="Q269" s="79"/>
      <c r="R269" s="79"/>
      <c r="S269" s="82"/>
      <c r="T269" s="82"/>
      <c r="U269" s="82"/>
      <c r="V269" s="82"/>
      <c r="W269" s="82"/>
      <c r="X269" s="82"/>
      <c r="Y269" s="82"/>
      <c r="Z269" s="82"/>
      <c r="AA269" s="82"/>
    </row>
    <row r="270" ht="15.75" customHeight="1">
      <c r="A270" s="261"/>
      <c r="B270" s="171"/>
      <c r="C270" s="172"/>
      <c r="D270" s="172"/>
      <c r="E270" s="154"/>
      <c r="F270" s="162"/>
      <c r="G270" s="162"/>
      <c r="H270" s="162"/>
      <c r="I270" s="162"/>
      <c r="J270" s="174"/>
      <c r="K270" s="162"/>
      <c r="L270" s="129"/>
      <c r="M270" s="156"/>
      <c r="N270" s="79"/>
      <c r="O270" s="79"/>
      <c r="P270" s="79"/>
      <c r="Q270" s="79"/>
      <c r="R270" s="79"/>
      <c r="S270" s="82"/>
      <c r="T270" s="82"/>
      <c r="U270" s="82"/>
      <c r="V270" s="82"/>
      <c r="W270" s="82"/>
      <c r="X270" s="82"/>
      <c r="Y270" s="82"/>
      <c r="Z270" s="82"/>
      <c r="AA270" s="82"/>
    </row>
    <row r="271" ht="15.75" customHeight="1">
      <c r="A271" s="261"/>
      <c r="B271" s="171"/>
      <c r="C271" s="172"/>
      <c r="D271" s="172"/>
      <c r="E271" s="154"/>
      <c r="F271" s="162"/>
      <c r="G271" s="162"/>
      <c r="H271" s="162"/>
      <c r="I271" s="162"/>
      <c r="J271" s="174"/>
      <c r="K271" s="162"/>
      <c r="L271" s="129"/>
      <c r="M271" s="156"/>
      <c r="N271" s="79"/>
      <c r="O271" s="79"/>
      <c r="P271" s="79"/>
      <c r="Q271" s="79"/>
      <c r="R271" s="79"/>
      <c r="S271" s="82"/>
      <c r="T271" s="82"/>
      <c r="U271" s="82"/>
      <c r="V271" s="82"/>
      <c r="W271" s="82"/>
      <c r="X271" s="82"/>
      <c r="Y271" s="82"/>
      <c r="Z271" s="82"/>
      <c r="AA271" s="82"/>
    </row>
    <row r="272" ht="15.75" customHeight="1">
      <c r="A272" s="261"/>
      <c r="B272" s="171"/>
      <c r="C272" s="172"/>
      <c r="D272" s="172"/>
      <c r="E272" s="154"/>
      <c r="F272" s="162"/>
      <c r="G272" s="162"/>
      <c r="H272" s="162"/>
      <c r="I272" s="162"/>
      <c r="J272" s="174"/>
      <c r="K272" s="162"/>
      <c r="L272" s="129"/>
      <c r="M272" s="156"/>
      <c r="N272" s="79"/>
      <c r="O272" s="79"/>
      <c r="P272" s="79"/>
      <c r="Q272" s="79"/>
      <c r="R272" s="79"/>
      <c r="S272" s="82"/>
      <c r="T272" s="82"/>
      <c r="U272" s="82"/>
      <c r="V272" s="82"/>
      <c r="W272" s="82"/>
      <c r="X272" s="82"/>
      <c r="Y272" s="82"/>
      <c r="Z272" s="82"/>
      <c r="AA272" s="82"/>
    </row>
    <row r="273" ht="15.75" customHeight="1">
      <c r="A273" s="261"/>
      <c r="B273" s="171"/>
      <c r="C273" s="172"/>
      <c r="D273" s="172"/>
      <c r="E273" s="154"/>
      <c r="F273" s="162"/>
      <c r="G273" s="162"/>
      <c r="H273" s="162"/>
      <c r="I273" s="162"/>
      <c r="J273" s="174"/>
      <c r="K273" s="162"/>
      <c r="L273" s="129"/>
      <c r="M273" s="156"/>
      <c r="N273" s="79"/>
      <c r="O273" s="79"/>
      <c r="P273" s="79"/>
      <c r="Q273" s="79"/>
      <c r="R273" s="79"/>
      <c r="S273" s="82"/>
      <c r="T273" s="82"/>
      <c r="U273" s="82"/>
      <c r="V273" s="82"/>
      <c r="W273" s="82"/>
      <c r="X273" s="82"/>
      <c r="Y273" s="82"/>
      <c r="Z273" s="82"/>
      <c r="AA273" s="82"/>
    </row>
    <row r="274" ht="15.75" customHeight="1">
      <c r="A274" s="261"/>
      <c r="B274" s="171"/>
      <c r="C274" s="172"/>
      <c r="D274" s="172"/>
      <c r="E274" s="154"/>
      <c r="F274" s="162"/>
      <c r="G274" s="162"/>
      <c r="H274" s="162"/>
      <c r="I274" s="162"/>
      <c r="J274" s="174"/>
      <c r="K274" s="162"/>
      <c r="L274" s="129"/>
      <c r="M274" s="156"/>
      <c r="N274" s="79"/>
      <c r="O274" s="79"/>
      <c r="P274" s="79"/>
      <c r="Q274" s="79"/>
      <c r="R274" s="79"/>
      <c r="S274" s="82"/>
      <c r="T274" s="82"/>
      <c r="U274" s="82"/>
      <c r="V274" s="82"/>
      <c r="W274" s="82"/>
      <c r="X274" s="82"/>
      <c r="Y274" s="82"/>
      <c r="Z274" s="82"/>
      <c r="AA274" s="82"/>
    </row>
    <row r="275" ht="15.75" customHeight="1">
      <c r="A275" s="261"/>
      <c r="B275" s="171"/>
      <c r="C275" s="172"/>
      <c r="D275" s="172"/>
      <c r="E275" s="154"/>
      <c r="F275" s="162"/>
      <c r="G275" s="162"/>
      <c r="H275" s="162"/>
      <c r="I275" s="162"/>
      <c r="J275" s="174"/>
      <c r="K275" s="162"/>
      <c r="L275" s="129"/>
      <c r="M275" s="156"/>
      <c r="N275" s="79"/>
      <c r="O275" s="79"/>
      <c r="P275" s="79"/>
      <c r="Q275" s="79"/>
      <c r="R275" s="79"/>
      <c r="S275" s="82"/>
      <c r="T275" s="82"/>
      <c r="U275" s="82"/>
      <c r="V275" s="82"/>
      <c r="W275" s="82"/>
      <c r="X275" s="82"/>
      <c r="Y275" s="82"/>
      <c r="Z275" s="82"/>
      <c r="AA275" s="82"/>
    </row>
    <row r="276" ht="15.75" customHeight="1">
      <c r="A276" s="261"/>
      <c r="B276" s="171"/>
      <c r="C276" s="172"/>
      <c r="D276" s="172"/>
      <c r="E276" s="154"/>
      <c r="F276" s="162"/>
      <c r="G276" s="162"/>
      <c r="H276" s="162"/>
      <c r="I276" s="162"/>
      <c r="J276" s="174"/>
      <c r="K276" s="162"/>
      <c r="L276" s="129"/>
      <c r="M276" s="156"/>
      <c r="N276" s="79"/>
      <c r="O276" s="79"/>
      <c r="P276" s="79"/>
      <c r="Q276" s="79"/>
      <c r="R276" s="79"/>
      <c r="S276" s="82"/>
      <c r="T276" s="82"/>
      <c r="U276" s="82"/>
      <c r="V276" s="82"/>
      <c r="W276" s="82"/>
      <c r="X276" s="82"/>
      <c r="Y276" s="82"/>
      <c r="Z276" s="82"/>
      <c r="AA276" s="82"/>
    </row>
    <row r="277" ht="15.75" customHeight="1">
      <c r="A277" s="261"/>
      <c r="B277" s="171"/>
      <c r="C277" s="172"/>
      <c r="D277" s="172"/>
      <c r="E277" s="154"/>
      <c r="F277" s="162"/>
      <c r="G277" s="162"/>
      <c r="H277" s="162"/>
      <c r="I277" s="162"/>
      <c r="J277" s="174"/>
      <c r="K277" s="162"/>
      <c r="L277" s="129"/>
      <c r="M277" s="156"/>
      <c r="N277" s="79"/>
      <c r="O277" s="79"/>
      <c r="P277" s="79"/>
      <c r="Q277" s="79"/>
      <c r="R277" s="79"/>
      <c r="S277" s="82"/>
      <c r="T277" s="82"/>
      <c r="U277" s="82"/>
      <c r="V277" s="82"/>
      <c r="W277" s="82"/>
      <c r="X277" s="82"/>
      <c r="Y277" s="82"/>
      <c r="Z277" s="82"/>
      <c r="AA277" s="82"/>
    </row>
    <row r="278" ht="15.75" customHeight="1">
      <c r="A278" s="261"/>
      <c r="B278" s="171"/>
      <c r="C278" s="172"/>
      <c r="D278" s="172"/>
      <c r="E278" s="154"/>
      <c r="F278" s="162"/>
      <c r="G278" s="162"/>
      <c r="H278" s="162"/>
      <c r="I278" s="162"/>
      <c r="J278" s="174"/>
      <c r="K278" s="162"/>
      <c r="L278" s="129"/>
      <c r="M278" s="156"/>
      <c r="N278" s="79"/>
      <c r="O278" s="79"/>
      <c r="P278" s="79"/>
      <c r="Q278" s="79"/>
      <c r="R278" s="79"/>
      <c r="S278" s="82"/>
      <c r="T278" s="82"/>
      <c r="U278" s="82"/>
      <c r="V278" s="82"/>
      <c r="W278" s="82"/>
      <c r="X278" s="82"/>
      <c r="Y278" s="82"/>
      <c r="Z278" s="82"/>
      <c r="AA278" s="82"/>
    </row>
    <row r="279" ht="15.75" customHeight="1">
      <c r="A279" s="261"/>
      <c r="B279" s="171"/>
      <c r="C279" s="172"/>
      <c r="D279" s="172"/>
      <c r="E279" s="154"/>
      <c r="F279" s="162"/>
      <c r="G279" s="162"/>
      <c r="H279" s="162"/>
      <c r="I279" s="162"/>
      <c r="J279" s="174"/>
      <c r="K279" s="162"/>
      <c r="L279" s="129"/>
      <c r="M279" s="156"/>
      <c r="N279" s="79"/>
      <c r="O279" s="79"/>
      <c r="P279" s="79"/>
      <c r="Q279" s="79"/>
      <c r="R279" s="79"/>
      <c r="S279" s="82"/>
      <c r="T279" s="82"/>
      <c r="U279" s="82"/>
      <c r="V279" s="82"/>
      <c r="W279" s="82"/>
      <c r="X279" s="82"/>
      <c r="Y279" s="82"/>
      <c r="Z279" s="82"/>
      <c r="AA279" s="82"/>
    </row>
    <row r="280" ht="15.75" customHeight="1">
      <c r="A280" s="261"/>
      <c r="B280" s="171"/>
      <c r="C280" s="172"/>
      <c r="D280" s="172"/>
      <c r="E280" s="154"/>
      <c r="F280" s="162"/>
      <c r="G280" s="162"/>
      <c r="H280" s="162"/>
      <c r="I280" s="162"/>
      <c r="J280" s="174"/>
      <c r="K280" s="162"/>
      <c r="L280" s="129"/>
      <c r="M280" s="156"/>
      <c r="N280" s="79"/>
      <c r="O280" s="79"/>
      <c r="P280" s="79"/>
      <c r="Q280" s="79"/>
      <c r="R280" s="79"/>
      <c r="S280" s="82"/>
      <c r="T280" s="82"/>
      <c r="U280" s="82"/>
      <c r="V280" s="82"/>
      <c r="W280" s="82"/>
      <c r="X280" s="82"/>
      <c r="Y280" s="82"/>
      <c r="Z280" s="82"/>
      <c r="AA280" s="82"/>
    </row>
    <row r="281" ht="15.75" customHeight="1">
      <c r="A281" s="261"/>
      <c r="B281" s="171"/>
      <c r="C281" s="172"/>
      <c r="D281" s="172"/>
      <c r="E281" s="154"/>
      <c r="F281" s="162"/>
      <c r="G281" s="162"/>
      <c r="H281" s="162"/>
      <c r="I281" s="162"/>
      <c r="J281" s="174"/>
      <c r="K281" s="162"/>
      <c r="L281" s="129"/>
      <c r="M281" s="156"/>
      <c r="N281" s="79"/>
      <c r="O281" s="79"/>
      <c r="P281" s="79"/>
      <c r="Q281" s="79"/>
      <c r="R281" s="79"/>
      <c r="S281" s="82"/>
      <c r="T281" s="82"/>
      <c r="U281" s="82"/>
      <c r="V281" s="82"/>
      <c r="W281" s="82"/>
      <c r="X281" s="82"/>
      <c r="Y281" s="82"/>
      <c r="Z281" s="82"/>
      <c r="AA281" s="82"/>
    </row>
    <row r="282" ht="15.75" customHeight="1">
      <c r="A282" s="261"/>
      <c r="B282" s="171"/>
      <c r="C282" s="172"/>
      <c r="D282" s="172"/>
      <c r="E282" s="154"/>
      <c r="F282" s="162"/>
      <c r="G282" s="162"/>
      <c r="H282" s="162"/>
      <c r="I282" s="162"/>
      <c r="J282" s="174"/>
      <c r="K282" s="162"/>
      <c r="L282" s="129"/>
      <c r="M282" s="156"/>
      <c r="N282" s="79"/>
      <c r="O282" s="79"/>
      <c r="P282" s="79"/>
      <c r="Q282" s="79"/>
      <c r="R282" s="79"/>
      <c r="S282" s="82"/>
      <c r="T282" s="82"/>
      <c r="U282" s="82"/>
      <c r="V282" s="82"/>
      <c r="W282" s="82"/>
      <c r="X282" s="82"/>
      <c r="Y282" s="82"/>
      <c r="Z282" s="82"/>
      <c r="AA282" s="82"/>
    </row>
    <row r="283" ht="15.75" customHeight="1">
      <c r="A283" s="261"/>
      <c r="B283" s="171"/>
      <c r="C283" s="172"/>
      <c r="D283" s="172"/>
      <c r="E283" s="154"/>
      <c r="F283" s="162"/>
      <c r="G283" s="162"/>
      <c r="H283" s="162"/>
      <c r="I283" s="162"/>
      <c r="J283" s="174"/>
      <c r="K283" s="162"/>
      <c r="L283" s="129"/>
      <c r="M283" s="156"/>
      <c r="N283" s="79"/>
      <c r="O283" s="79"/>
      <c r="P283" s="79"/>
      <c r="Q283" s="79"/>
      <c r="R283" s="79"/>
      <c r="S283" s="82"/>
      <c r="T283" s="82"/>
      <c r="U283" s="82"/>
      <c r="V283" s="82"/>
      <c r="W283" s="82"/>
      <c r="X283" s="82"/>
      <c r="Y283" s="82"/>
      <c r="Z283" s="82"/>
      <c r="AA283" s="82"/>
    </row>
    <row r="284" ht="15.75" customHeight="1">
      <c r="A284" s="261"/>
      <c r="B284" s="171"/>
      <c r="C284" s="172"/>
      <c r="D284" s="172"/>
      <c r="E284" s="154"/>
      <c r="F284" s="162"/>
      <c r="G284" s="162"/>
      <c r="H284" s="162"/>
      <c r="I284" s="162"/>
      <c r="J284" s="174"/>
      <c r="K284" s="162"/>
      <c r="L284" s="129"/>
      <c r="M284" s="156"/>
      <c r="N284" s="79"/>
      <c r="O284" s="79"/>
      <c r="P284" s="79"/>
      <c r="Q284" s="79"/>
      <c r="R284" s="79"/>
      <c r="S284" s="82"/>
      <c r="T284" s="82"/>
      <c r="U284" s="82"/>
      <c r="V284" s="82"/>
      <c r="W284" s="82"/>
      <c r="X284" s="82"/>
      <c r="Y284" s="82"/>
      <c r="Z284" s="82"/>
      <c r="AA284" s="82"/>
    </row>
    <row r="285" ht="15.75" customHeight="1">
      <c r="A285" s="261"/>
      <c r="B285" s="171"/>
      <c r="C285" s="172"/>
      <c r="D285" s="172"/>
      <c r="E285" s="154"/>
      <c r="F285" s="162"/>
      <c r="G285" s="162"/>
      <c r="H285" s="162"/>
      <c r="I285" s="162"/>
      <c r="J285" s="174"/>
      <c r="K285" s="162"/>
      <c r="L285" s="129"/>
      <c r="M285" s="156"/>
      <c r="N285" s="79"/>
      <c r="O285" s="79"/>
      <c r="P285" s="79"/>
      <c r="Q285" s="79"/>
      <c r="R285" s="79"/>
      <c r="S285" s="82"/>
      <c r="T285" s="82"/>
      <c r="U285" s="82"/>
      <c r="V285" s="82"/>
      <c r="W285" s="82"/>
      <c r="X285" s="82"/>
      <c r="Y285" s="82"/>
      <c r="Z285" s="82"/>
      <c r="AA285" s="82"/>
    </row>
    <row r="286" ht="15.75" customHeight="1">
      <c r="A286" s="261"/>
      <c r="B286" s="171"/>
      <c r="C286" s="172"/>
      <c r="D286" s="172"/>
      <c r="E286" s="154"/>
      <c r="F286" s="162"/>
      <c r="G286" s="162"/>
      <c r="H286" s="162"/>
      <c r="I286" s="162"/>
      <c r="J286" s="174"/>
      <c r="K286" s="162"/>
      <c r="L286" s="129"/>
      <c r="M286" s="156"/>
      <c r="N286" s="79"/>
      <c r="O286" s="79"/>
      <c r="P286" s="79"/>
      <c r="Q286" s="79"/>
      <c r="R286" s="79"/>
      <c r="S286" s="82"/>
      <c r="T286" s="82"/>
      <c r="U286" s="82"/>
      <c r="V286" s="82"/>
      <c r="W286" s="82"/>
      <c r="X286" s="82"/>
      <c r="Y286" s="82"/>
      <c r="Z286" s="82"/>
      <c r="AA286" s="82"/>
    </row>
    <row r="287" ht="15.75" customHeight="1">
      <c r="A287" s="261"/>
      <c r="B287" s="171"/>
      <c r="C287" s="172"/>
      <c r="D287" s="172"/>
      <c r="E287" s="154"/>
      <c r="F287" s="162"/>
      <c r="G287" s="162"/>
      <c r="H287" s="162"/>
      <c r="I287" s="162"/>
      <c r="J287" s="174"/>
      <c r="K287" s="162"/>
      <c r="L287" s="129"/>
      <c r="M287" s="156"/>
      <c r="N287" s="79"/>
      <c r="O287" s="79"/>
      <c r="P287" s="79"/>
      <c r="Q287" s="79"/>
      <c r="R287" s="79"/>
      <c r="S287" s="82"/>
      <c r="T287" s="82"/>
      <c r="U287" s="82"/>
      <c r="V287" s="82"/>
      <c r="W287" s="82"/>
      <c r="X287" s="82"/>
      <c r="Y287" s="82"/>
      <c r="Z287" s="82"/>
      <c r="AA287" s="82"/>
    </row>
    <row r="288" ht="15.75" customHeight="1">
      <c r="A288" s="261"/>
      <c r="B288" s="171"/>
      <c r="C288" s="172"/>
      <c r="D288" s="172"/>
      <c r="E288" s="154"/>
      <c r="F288" s="162"/>
      <c r="G288" s="162"/>
      <c r="H288" s="162"/>
      <c r="I288" s="162"/>
      <c r="J288" s="174"/>
      <c r="K288" s="162"/>
      <c r="L288" s="129"/>
      <c r="M288" s="156"/>
      <c r="N288" s="79"/>
      <c r="O288" s="79"/>
      <c r="P288" s="79"/>
      <c r="Q288" s="79"/>
      <c r="R288" s="79"/>
      <c r="S288" s="82"/>
      <c r="T288" s="82"/>
      <c r="U288" s="82"/>
      <c r="V288" s="82"/>
      <c r="W288" s="82"/>
      <c r="X288" s="82"/>
      <c r="Y288" s="82"/>
      <c r="Z288" s="82"/>
      <c r="AA288" s="82"/>
    </row>
    <row r="289" ht="15.75" customHeight="1">
      <c r="A289" s="261"/>
      <c r="B289" s="171"/>
      <c r="C289" s="172"/>
      <c r="D289" s="172"/>
      <c r="E289" s="154"/>
      <c r="F289" s="162"/>
      <c r="G289" s="162"/>
      <c r="H289" s="162"/>
      <c r="I289" s="162"/>
      <c r="J289" s="174"/>
      <c r="K289" s="162"/>
      <c r="L289" s="129"/>
      <c r="M289" s="156"/>
      <c r="N289" s="79"/>
      <c r="O289" s="79"/>
      <c r="P289" s="79"/>
      <c r="Q289" s="79"/>
      <c r="R289" s="79"/>
      <c r="S289" s="82"/>
      <c r="T289" s="82"/>
      <c r="U289" s="82"/>
      <c r="V289" s="82"/>
      <c r="W289" s="82"/>
      <c r="X289" s="82"/>
      <c r="Y289" s="82"/>
      <c r="Z289" s="82"/>
      <c r="AA289" s="82"/>
    </row>
    <row r="290" ht="15.75" customHeight="1">
      <c r="A290" s="261"/>
      <c r="B290" s="171"/>
      <c r="C290" s="172"/>
      <c r="D290" s="172"/>
      <c r="E290" s="154"/>
      <c r="F290" s="162"/>
      <c r="G290" s="162"/>
      <c r="H290" s="162"/>
      <c r="I290" s="162"/>
      <c r="J290" s="174"/>
      <c r="K290" s="162"/>
      <c r="L290" s="129"/>
      <c r="M290" s="156"/>
      <c r="N290" s="79"/>
      <c r="O290" s="79"/>
      <c r="P290" s="79"/>
      <c r="Q290" s="79"/>
      <c r="R290" s="79"/>
      <c r="S290" s="82"/>
      <c r="T290" s="82"/>
      <c r="U290" s="82"/>
      <c r="V290" s="82"/>
      <c r="W290" s="82"/>
      <c r="X290" s="82"/>
      <c r="Y290" s="82"/>
      <c r="Z290" s="82"/>
      <c r="AA290" s="82"/>
    </row>
    <row r="291" ht="15.75" customHeight="1">
      <c r="A291" s="261"/>
      <c r="B291" s="171"/>
      <c r="C291" s="172"/>
      <c r="D291" s="172"/>
      <c r="E291" s="154"/>
      <c r="F291" s="162"/>
      <c r="G291" s="162"/>
      <c r="H291" s="162"/>
      <c r="I291" s="162"/>
      <c r="J291" s="174"/>
      <c r="K291" s="162"/>
      <c r="L291" s="129"/>
      <c r="M291" s="156"/>
      <c r="N291" s="79"/>
      <c r="O291" s="79"/>
      <c r="P291" s="79"/>
      <c r="Q291" s="79"/>
      <c r="R291" s="79"/>
      <c r="S291" s="82"/>
      <c r="T291" s="82"/>
      <c r="U291" s="82"/>
      <c r="V291" s="82"/>
      <c r="W291" s="82"/>
      <c r="X291" s="82"/>
      <c r="Y291" s="82"/>
      <c r="Z291" s="82"/>
      <c r="AA291" s="82"/>
    </row>
    <row r="292" ht="15.75" customHeight="1">
      <c r="A292" s="261"/>
      <c r="B292" s="171"/>
      <c r="C292" s="172"/>
      <c r="D292" s="172"/>
      <c r="E292" s="154"/>
      <c r="F292" s="162"/>
      <c r="G292" s="162"/>
      <c r="H292" s="162"/>
      <c r="I292" s="162"/>
      <c r="J292" s="174"/>
      <c r="K292" s="162"/>
      <c r="L292" s="129"/>
      <c r="M292" s="156"/>
      <c r="N292" s="79"/>
      <c r="O292" s="79"/>
      <c r="P292" s="79"/>
      <c r="Q292" s="79"/>
      <c r="R292" s="79"/>
      <c r="S292" s="82"/>
      <c r="T292" s="82"/>
      <c r="U292" s="82"/>
      <c r="V292" s="82"/>
      <c r="W292" s="82"/>
      <c r="X292" s="82"/>
      <c r="Y292" s="82"/>
      <c r="Z292" s="82"/>
      <c r="AA292" s="82"/>
    </row>
    <row r="293" ht="15.75" customHeight="1">
      <c r="A293" s="261"/>
      <c r="B293" s="171"/>
      <c r="C293" s="172"/>
      <c r="D293" s="172"/>
      <c r="E293" s="154"/>
      <c r="F293" s="162"/>
      <c r="G293" s="162"/>
      <c r="H293" s="162"/>
      <c r="I293" s="162"/>
      <c r="J293" s="174"/>
      <c r="K293" s="162"/>
      <c r="L293" s="129"/>
      <c r="M293" s="156"/>
      <c r="N293" s="79"/>
      <c r="O293" s="79"/>
      <c r="P293" s="79"/>
      <c r="Q293" s="79"/>
      <c r="R293" s="79"/>
      <c r="S293" s="82"/>
      <c r="T293" s="82"/>
      <c r="U293" s="82"/>
      <c r="V293" s="82"/>
      <c r="W293" s="82"/>
      <c r="X293" s="82"/>
      <c r="Y293" s="82"/>
      <c r="Z293" s="82"/>
      <c r="AA293" s="82"/>
    </row>
    <row r="294" ht="15.75" customHeight="1">
      <c r="A294" s="261"/>
      <c r="B294" s="171"/>
      <c r="C294" s="172"/>
      <c r="D294" s="172"/>
      <c r="E294" s="154"/>
      <c r="F294" s="162"/>
      <c r="G294" s="162"/>
      <c r="H294" s="162"/>
      <c r="I294" s="162"/>
      <c r="J294" s="174"/>
      <c r="K294" s="162"/>
      <c r="L294" s="129"/>
      <c r="M294" s="156"/>
      <c r="N294" s="79"/>
      <c r="O294" s="79"/>
      <c r="P294" s="79"/>
      <c r="Q294" s="79"/>
      <c r="R294" s="79"/>
      <c r="S294" s="82"/>
      <c r="T294" s="82"/>
      <c r="U294" s="82"/>
      <c r="V294" s="82"/>
      <c r="W294" s="82"/>
      <c r="X294" s="82"/>
      <c r="Y294" s="82"/>
      <c r="Z294" s="82"/>
      <c r="AA294" s="82"/>
    </row>
    <row r="295" ht="15.75" customHeight="1">
      <c r="A295" s="261"/>
      <c r="B295" s="171"/>
      <c r="C295" s="172"/>
      <c r="D295" s="172"/>
      <c r="E295" s="154"/>
      <c r="F295" s="162"/>
      <c r="G295" s="162"/>
      <c r="H295" s="162"/>
      <c r="I295" s="162"/>
      <c r="J295" s="174"/>
      <c r="K295" s="162"/>
      <c r="L295" s="129"/>
      <c r="M295" s="156"/>
      <c r="N295" s="79"/>
      <c r="O295" s="79"/>
      <c r="P295" s="79"/>
      <c r="Q295" s="79"/>
      <c r="R295" s="79"/>
      <c r="S295" s="82"/>
      <c r="T295" s="82"/>
      <c r="U295" s="82"/>
      <c r="V295" s="82"/>
      <c r="W295" s="82"/>
      <c r="X295" s="82"/>
      <c r="Y295" s="82"/>
      <c r="Z295" s="82"/>
      <c r="AA295" s="82"/>
    </row>
    <row r="296" ht="15.75" customHeight="1">
      <c r="A296" s="261"/>
      <c r="B296" s="171"/>
      <c r="C296" s="172"/>
      <c r="D296" s="172"/>
      <c r="E296" s="154"/>
      <c r="F296" s="162"/>
      <c r="G296" s="162"/>
      <c r="H296" s="162"/>
      <c r="I296" s="162"/>
      <c r="J296" s="174"/>
      <c r="K296" s="162"/>
      <c r="L296" s="129"/>
      <c r="M296" s="156"/>
      <c r="N296" s="79"/>
      <c r="O296" s="79"/>
      <c r="P296" s="79"/>
      <c r="Q296" s="79"/>
      <c r="R296" s="79"/>
      <c r="S296" s="82"/>
      <c r="T296" s="82"/>
      <c r="U296" s="82"/>
      <c r="V296" s="82"/>
      <c r="W296" s="82"/>
      <c r="X296" s="82"/>
      <c r="Y296" s="82"/>
      <c r="Z296" s="82"/>
      <c r="AA296" s="82"/>
    </row>
    <row r="297" ht="15.75" customHeight="1">
      <c r="A297" s="261"/>
      <c r="B297" s="171"/>
      <c r="C297" s="172"/>
      <c r="D297" s="172"/>
      <c r="E297" s="154"/>
      <c r="F297" s="162"/>
      <c r="G297" s="162"/>
      <c r="H297" s="162"/>
      <c r="I297" s="162"/>
      <c r="J297" s="174"/>
      <c r="K297" s="162"/>
      <c r="L297" s="129"/>
      <c r="M297" s="156"/>
      <c r="N297" s="79"/>
      <c r="O297" s="79"/>
      <c r="P297" s="79"/>
      <c r="Q297" s="79"/>
      <c r="R297" s="79"/>
      <c r="S297" s="82"/>
      <c r="T297" s="82"/>
      <c r="U297" s="82"/>
      <c r="V297" s="82"/>
      <c r="W297" s="82"/>
      <c r="X297" s="82"/>
      <c r="Y297" s="82"/>
      <c r="Z297" s="82"/>
      <c r="AA297" s="82"/>
    </row>
    <row r="298" ht="15.75" customHeight="1">
      <c r="A298" s="261"/>
      <c r="B298" s="171"/>
      <c r="C298" s="172"/>
      <c r="D298" s="172"/>
      <c r="E298" s="154"/>
      <c r="F298" s="162"/>
      <c r="G298" s="162"/>
      <c r="H298" s="162"/>
      <c r="I298" s="162"/>
      <c r="J298" s="174"/>
      <c r="K298" s="162"/>
      <c r="L298" s="129"/>
      <c r="M298" s="156"/>
      <c r="N298" s="79"/>
      <c r="O298" s="79"/>
      <c r="P298" s="79"/>
      <c r="Q298" s="79"/>
      <c r="R298" s="79"/>
      <c r="S298" s="82"/>
      <c r="T298" s="82"/>
      <c r="U298" s="82"/>
      <c r="V298" s="82"/>
      <c r="W298" s="82"/>
      <c r="X298" s="82"/>
      <c r="Y298" s="82"/>
      <c r="Z298" s="82"/>
      <c r="AA298" s="82"/>
    </row>
    <row r="299" ht="15.75" customHeight="1">
      <c r="A299" s="261"/>
      <c r="B299" s="171"/>
      <c r="C299" s="172"/>
      <c r="D299" s="172"/>
      <c r="E299" s="154"/>
      <c r="F299" s="162"/>
      <c r="G299" s="162"/>
      <c r="H299" s="162"/>
      <c r="I299" s="162"/>
      <c r="J299" s="174"/>
      <c r="K299" s="162"/>
      <c r="L299" s="129"/>
      <c r="M299" s="156"/>
      <c r="N299" s="79"/>
      <c r="O299" s="79"/>
      <c r="P299" s="79"/>
      <c r="Q299" s="79"/>
      <c r="R299" s="79"/>
      <c r="S299" s="82"/>
      <c r="T299" s="82"/>
      <c r="U299" s="82"/>
      <c r="V299" s="82"/>
      <c r="W299" s="82"/>
      <c r="X299" s="82"/>
      <c r="Y299" s="82"/>
      <c r="Z299" s="82"/>
      <c r="AA299" s="82"/>
    </row>
    <row r="300" ht="15.75" customHeight="1">
      <c r="A300" s="261"/>
      <c r="B300" s="171"/>
      <c r="C300" s="172"/>
      <c r="D300" s="172"/>
      <c r="E300" s="154"/>
      <c r="F300" s="162"/>
      <c r="G300" s="162"/>
      <c r="H300" s="162"/>
      <c r="I300" s="162"/>
      <c r="J300" s="174"/>
      <c r="K300" s="162"/>
      <c r="L300" s="129"/>
      <c r="M300" s="156"/>
      <c r="N300" s="79"/>
      <c r="O300" s="79"/>
      <c r="P300" s="79"/>
      <c r="Q300" s="79"/>
      <c r="R300" s="79"/>
      <c r="S300" s="82"/>
      <c r="T300" s="82"/>
      <c r="U300" s="82"/>
      <c r="V300" s="82"/>
      <c r="W300" s="82"/>
      <c r="X300" s="82"/>
      <c r="Y300" s="82"/>
      <c r="Z300" s="82"/>
      <c r="AA300" s="82"/>
    </row>
    <row r="301" ht="15.75" customHeight="1">
      <c r="A301" s="261"/>
      <c r="B301" s="171"/>
      <c r="C301" s="172"/>
      <c r="D301" s="172"/>
      <c r="E301" s="154"/>
      <c r="F301" s="162"/>
      <c r="G301" s="162"/>
      <c r="H301" s="162"/>
      <c r="I301" s="162"/>
      <c r="J301" s="174"/>
      <c r="K301" s="162"/>
      <c r="L301" s="129"/>
      <c r="M301" s="156"/>
      <c r="N301" s="79"/>
      <c r="O301" s="79"/>
      <c r="P301" s="79"/>
      <c r="Q301" s="79"/>
      <c r="R301" s="79"/>
      <c r="S301" s="82"/>
      <c r="T301" s="82"/>
      <c r="U301" s="82"/>
      <c r="V301" s="82"/>
      <c r="W301" s="82"/>
      <c r="X301" s="82"/>
      <c r="Y301" s="82"/>
      <c r="Z301" s="82"/>
      <c r="AA301" s="82"/>
    </row>
    <row r="302" ht="15.75" customHeight="1">
      <c r="A302" s="261"/>
      <c r="B302" s="171"/>
      <c r="C302" s="172"/>
      <c r="D302" s="172"/>
      <c r="E302" s="154"/>
      <c r="F302" s="162"/>
      <c r="G302" s="162"/>
      <c r="H302" s="162"/>
      <c r="I302" s="162"/>
      <c r="J302" s="174"/>
      <c r="K302" s="162"/>
      <c r="L302" s="129"/>
      <c r="M302" s="156"/>
      <c r="N302" s="79"/>
      <c r="O302" s="79"/>
      <c r="P302" s="79"/>
      <c r="Q302" s="79"/>
      <c r="R302" s="79"/>
      <c r="S302" s="82"/>
      <c r="T302" s="82"/>
      <c r="U302" s="82"/>
      <c r="V302" s="82"/>
      <c r="W302" s="82"/>
      <c r="X302" s="82"/>
      <c r="Y302" s="82"/>
      <c r="Z302" s="82"/>
      <c r="AA302" s="82"/>
    </row>
    <row r="303" ht="15.75" customHeight="1">
      <c r="A303" s="261"/>
      <c r="B303" s="171"/>
      <c r="C303" s="172"/>
      <c r="D303" s="172"/>
      <c r="E303" s="154"/>
      <c r="F303" s="162"/>
      <c r="G303" s="162"/>
      <c r="H303" s="162"/>
      <c r="I303" s="162"/>
      <c r="J303" s="174"/>
      <c r="K303" s="162"/>
      <c r="L303" s="129"/>
      <c r="M303" s="156"/>
      <c r="N303" s="79"/>
      <c r="O303" s="79"/>
      <c r="P303" s="79"/>
      <c r="Q303" s="79"/>
      <c r="R303" s="79"/>
      <c r="S303" s="82"/>
      <c r="T303" s="82"/>
      <c r="U303" s="82"/>
      <c r="V303" s="82"/>
      <c r="W303" s="82"/>
      <c r="X303" s="82"/>
      <c r="Y303" s="82"/>
      <c r="Z303" s="82"/>
      <c r="AA303" s="82"/>
    </row>
    <row r="304" ht="15.75" customHeight="1">
      <c r="A304" s="261"/>
      <c r="B304" s="171"/>
      <c r="C304" s="172"/>
      <c r="D304" s="172"/>
      <c r="E304" s="154"/>
      <c r="F304" s="162"/>
      <c r="G304" s="162"/>
      <c r="H304" s="162"/>
      <c r="I304" s="162"/>
      <c r="J304" s="174"/>
      <c r="K304" s="162"/>
      <c r="L304" s="129"/>
      <c r="M304" s="156"/>
      <c r="N304" s="79"/>
      <c r="O304" s="79"/>
      <c r="P304" s="79"/>
      <c r="Q304" s="79"/>
      <c r="R304" s="79"/>
      <c r="S304" s="82"/>
      <c r="T304" s="82"/>
      <c r="U304" s="82"/>
      <c r="V304" s="82"/>
      <c r="W304" s="82"/>
      <c r="X304" s="82"/>
      <c r="Y304" s="82"/>
      <c r="Z304" s="82"/>
      <c r="AA304" s="82"/>
    </row>
    <row r="305" ht="15.75" customHeight="1">
      <c r="A305" s="261"/>
      <c r="B305" s="171"/>
      <c r="C305" s="172"/>
      <c r="D305" s="172"/>
      <c r="E305" s="154"/>
      <c r="F305" s="162"/>
      <c r="G305" s="162"/>
      <c r="H305" s="162"/>
      <c r="I305" s="162"/>
      <c r="J305" s="174"/>
      <c r="K305" s="162"/>
      <c r="L305" s="129"/>
      <c r="M305" s="156"/>
      <c r="N305" s="79"/>
      <c r="O305" s="79"/>
      <c r="P305" s="79"/>
      <c r="Q305" s="79"/>
      <c r="R305" s="79"/>
      <c r="S305" s="82"/>
      <c r="T305" s="82"/>
      <c r="U305" s="82"/>
      <c r="V305" s="82"/>
      <c r="W305" s="82"/>
      <c r="X305" s="82"/>
      <c r="Y305" s="82"/>
      <c r="Z305" s="82"/>
      <c r="AA305" s="82"/>
    </row>
    <row r="306" ht="15.75" customHeight="1">
      <c r="A306" s="261"/>
      <c r="B306" s="171"/>
      <c r="C306" s="172"/>
      <c r="D306" s="172"/>
      <c r="E306" s="154"/>
      <c r="F306" s="162"/>
      <c r="G306" s="162"/>
      <c r="H306" s="162"/>
      <c r="I306" s="162"/>
      <c r="J306" s="174"/>
      <c r="K306" s="162"/>
      <c r="L306" s="129"/>
      <c r="M306" s="156"/>
      <c r="N306" s="79"/>
      <c r="O306" s="79"/>
      <c r="P306" s="79"/>
      <c r="Q306" s="79"/>
      <c r="R306" s="79"/>
      <c r="S306" s="82"/>
      <c r="T306" s="82"/>
      <c r="U306" s="82"/>
      <c r="V306" s="82"/>
      <c r="W306" s="82"/>
      <c r="X306" s="82"/>
      <c r="Y306" s="82"/>
      <c r="Z306" s="82"/>
      <c r="AA306" s="82"/>
    </row>
    <row r="307" ht="15.75" customHeight="1">
      <c r="A307" s="261"/>
      <c r="B307" s="171"/>
      <c r="C307" s="172"/>
      <c r="D307" s="172"/>
      <c r="E307" s="154"/>
      <c r="F307" s="162"/>
      <c r="G307" s="162"/>
      <c r="H307" s="162"/>
      <c r="I307" s="162"/>
      <c r="J307" s="174"/>
      <c r="K307" s="162"/>
      <c r="L307" s="129"/>
      <c r="M307" s="156"/>
      <c r="N307" s="79"/>
      <c r="O307" s="79"/>
      <c r="P307" s="79"/>
      <c r="Q307" s="79"/>
      <c r="R307" s="79"/>
      <c r="S307" s="82"/>
      <c r="T307" s="82"/>
      <c r="U307" s="82"/>
      <c r="V307" s="82"/>
      <c r="W307" s="82"/>
      <c r="X307" s="82"/>
      <c r="Y307" s="82"/>
      <c r="Z307" s="82"/>
      <c r="AA307" s="82"/>
    </row>
    <row r="308" ht="15.75" customHeight="1">
      <c r="A308" s="261"/>
      <c r="B308" s="171"/>
      <c r="C308" s="172"/>
      <c r="D308" s="172"/>
      <c r="E308" s="154"/>
      <c r="F308" s="162"/>
      <c r="G308" s="162"/>
      <c r="H308" s="162"/>
      <c r="I308" s="162"/>
      <c r="J308" s="174"/>
      <c r="K308" s="162"/>
      <c r="L308" s="129"/>
      <c r="M308" s="156"/>
      <c r="N308" s="79"/>
      <c r="O308" s="79"/>
      <c r="P308" s="79"/>
      <c r="Q308" s="79"/>
      <c r="R308" s="79"/>
      <c r="S308" s="82"/>
      <c r="T308" s="82"/>
      <c r="U308" s="82"/>
      <c r="V308" s="82"/>
      <c r="W308" s="82"/>
      <c r="X308" s="82"/>
      <c r="Y308" s="82"/>
      <c r="Z308" s="82"/>
      <c r="AA308" s="82"/>
    </row>
    <row r="309" ht="15.75" customHeight="1">
      <c r="A309" s="261"/>
      <c r="B309" s="171"/>
      <c r="C309" s="172"/>
      <c r="D309" s="172"/>
      <c r="E309" s="154"/>
      <c r="F309" s="162"/>
      <c r="G309" s="162"/>
      <c r="H309" s="162"/>
      <c r="I309" s="162"/>
      <c r="J309" s="174"/>
      <c r="K309" s="162"/>
      <c r="L309" s="129"/>
      <c r="M309" s="156"/>
      <c r="N309" s="79"/>
      <c r="O309" s="79"/>
      <c r="P309" s="79"/>
      <c r="Q309" s="79"/>
      <c r="R309" s="79"/>
      <c r="S309" s="82"/>
      <c r="T309" s="82"/>
      <c r="U309" s="82"/>
      <c r="V309" s="82"/>
      <c r="W309" s="82"/>
      <c r="X309" s="82"/>
      <c r="Y309" s="82"/>
      <c r="Z309" s="82"/>
      <c r="AA309" s="82"/>
    </row>
    <row r="310" ht="15.75" customHeight="1">
      <c r="A310" s="261"/>
      <c r="B310" s="171"/>
      <c r="C310" s="172"/>
      <c r="D310" s="172"/>
      <c r="E310" s="154"/>
      <c r="F310" s="162"/>
      <c r="G310" s="162"/>
      <c r="H310" s="162"/>
      <c r="I310" s="162"/>
      <c r="J310" s="174"/>
      <c r="K310" s="162"/>
      <c r="L310" s="129"/>
      <c r="M310" s="156"/>
      <c r="N310" s="79"/>
      <c r="O310" s="79"/>
      <c r="P310" s="79"/>
      <c r="Q310" s="79"/>
      <c r="R310" s="79"/>
      <c r="S310" s="82"/>
      <c r="T310" s="82"/>
      <c r="U310" s="82"/>
      <c r="V310" s="82"/>
      <c r="W310" s="82"/>
      <c r="X310" s="82"/>
      <c r="Y310" s="82"/>
      <c r="Z310" s="82"/>
      <c r="AA310" s="82"/>
    </row>
    <row r="311" ht="15.75" customHeight="1">
      <c r="A311" s="261"/>
      <c r="B311" s="171"/>
      <c r="C311" s="172"/>
      <c r="D311" s="172"/>
      <c r="E311" s="154"/>
      <c r="F311" s="162"/>
      <c r="G311" s="162"/>
      <c r="H311" s="162"/>
      <c r="I311" s="162"/>
      <c r="J311" s="174"/>
      <c r="K311" s="162"/>
      <c r="L311" s="129"/>
      <c r="M311" s="156"/>
      <c r="N311" s="79"/>
      <c r="O311" s="79"/>
      <c r="P311" s="79"/>
      <c r="Q311" s="79"/>
      <c r="R311" s="79"/>
      <c r="S311" s="82"/>
      <c r="T311" s="82"/>
      <c r="U311" s="82"/>
      <c r="V311" s="82"/>
      <c r="W311" s="82"/>
      <c r="X311" s="82"/>
      <c r="Y311" s="82"/>
      <c r="Z311" s="82"/>
      <c r="AA311" s="82"/>
    </row>
    <row r="312" ht="15.75" customHeight="1">
      <c r="A312" s="261"/>
      <c r="B312" s="171"/>
      <c r="C312" s="172"/>
      <c r="D312" s="172"/>
      <c r="E312" s="154"/>
      <c r="F312" s="162"/>
      <c r="G312" s="162"/>
      <c r="H312" s="162"/>
      <c r="I312" s="162"/>
      <c r="J312" s="174"/>
      <c r="K312" s="162"/>
      <c r="L312" s="129"/>
      <c r="M312" s="156"/>
      <c r="N312" s="79"/>
      <c r="O312" s="79"/>
      <c r="P312" s="79"/>
      <c r="Q312" s="79"/>
      <c r="R312" s="79"/>
      <c r="S312" s="82"/>
      <c r="T312" s="82"/>
      <c r="U312" s="82"/>
      <c r="V312" s="82"/>
      <c r="W312" s="82"/>
      <c r="X312" s="82"/>
      <c r="Y312" s="82"/>
      <c r="Z312" s="82"/>
      <c r="AA312" s="82"/>
    </row>
    <row r="313" ht="15.75" customHeight="1">
      <c r="A313" s="261"/>
      <c r="B313" s="171"/>
      <c r="C313" s="172"/>
      <c r="D313" s="172"/>
      <c r="E313" s="154"/>
      <c r="F313" s="162"/>
      <c r="G313" s="162"/>
      <c r="H313" s="162"/>
      <c r="I313" s="162"/>
      <c r="J313" s="174"/>
      <c r="K313" s="162"/>
      <c r="L313" s="129"/>
      <c r="M313" s="156"/>
      <c r="N313" s="79"/>
      <c r="O313" s="79"/>
      <c r="P313" s="79"/>
      <c r="Q313" s="79"/>
      <c r="R313" s="79"/>
      <c r="S313" s="82"/>
      <c r="T313" s="82"/>
      <c r="U313" s="82"/>
      <c r="V313" s="82"/>
      <c r="W313" s="82"/>
      <c r="X313" s="82"/>
      <c r="Y313" s="82"/>
      <c r="Z313" s="82"/>
      <c r="AA313" s="82"/>
    </row>
    <row r="314" ht="15.75" customHeight="1">
      <c r="A314" s="261"/>
      <c r="B314" s="171"/>
      <c r="C314" s="172"/>
      <c r="D314" s="172"/>
      <c r="E314" s="154"/>
      <c r="F314" s="162"/>
      <c r="G314" s="162"/>
      <c r="H314" s="162"/>
      <c r="I314" s="162"/>
      <c r="J314" s="174"/>
      <c r="K314" s="162"/>
      <c r="L314" s="129"/>
      <c r="M314" s="156"/>
      <c r="N314" s="79"/>
      <c r="O314" s="79"/>
      <c r="P314" s="79"/>
      <c r="Q314" s="79"/>
      <c r="R314" s="79"/>
      <c r="S314" s="82"/>
      <c r="T314" s="82"/>
      <c r="U314" s="82"/>
      <c r="V314" s="82"/>
      <c r="W314" s="82"/>
      <c r="X314" s="82"/>
      <c r="Y314" s="82"/>
      <c r="Z314" s="82"/>
      <c r="AA314" s="82"/>
    </row>
    <row r="315" ht="15.75" customHeight="1">
      <c r="A315" s="261"/>
      <c r="B315" s="171"/>
      <c r="C315" s="172"/>
      <c r="D315" s="172"/>
      <c r="E315" s="154"/>
      <c r="F315" s="162"/>
      <c r="G315" s="162"/>
      <c r="H315" s="162"/>
      <c r="I315" s="162"/>
      <c r="J315" s="174"/>
      <c r="K315" s="162"/>
      <c r="L315" s="129"/>
      <c r="M315" s="156"/>
      <c r="N315" s="79"/>
      <c r="O315" s="79"/>
      <c r="P315" s="79"/>
      <c r="Q315" s="79"/>
      <c r="R315" s="79"/>
      <c r="S315" s="82"/>
      <c r="T315" s="82"/>
      <c r="U315" s="82"/>
      <c r="V315" s="82"/>
      <c r="W315" s="82"/>
      <c r="X315" s="82"/>
      <c r="Y315" s="82"/>
      <c r="Z315" s="82"/>
      <c r="AA315" s="82"/>
    </row>
    <row r="316" ht="15.75" customHeight="1">
      <c r="A316" s="261"/>
      <c r="B316" s="171"/>
      <c r="C316" s="172"/>
      <c r="D316" s="172"/>
      <c r="E316" s="154"/>
      <c r="F316" s="162"/>
      <c r="G316" s="162"/>
      <c r="H316" s="162"/>
      <c r="I316" s="162"/>
      <c r="J316" s="174"/>
      <c r="K316" s="162"/>
      <c r="L316" s="129"/>
      <c r="M316" s="156"/>
      <c r="N316" s="79"/>
      <c r="O316" s="79"/>
      <c r="P316" s="79"/>
      <c r="Q316" s="79"/>
      <c r="R316" s="79"/>
      <c r="S316" s="82"/>
      <c r="T316" s="82"/>
      <c r="U316" s="82"/>
      <c r="V316" s="82"/>
      <c r="W316" s="82"/>
      <c r="X316" s="82"/>
      <c r="Y316" s="82"/>
      <c r="Z316" s="82"/>
      <c r="AA316" s="82"/>
    </row>
    <row r="317" ht="15.75" customHeight="1">
      <c r="A317" s="261"/>
      <c r="B317" s="171"/>
      <c r="C317" s="172"/>
      <c r="D317" s="172"/>
      <c r="E317" s="154"/>
      <c r="F317" s="162"/>
      <c r="G317" s="162"/>
      <c r="H317" s="162"/>
      <c r="I317" s="162"/>
      <c r="J317" s="174"/>
      <c r="K317" s="162"/>
      <c r="L317" s="129"/>
      <c r="M317" s="156"/>
      <c r="N317" s="79"/>
      <c r="O317" s="79"/>
      <c r="P317" s="79"/>
      <c r="Q317" s="79"/>
      <c r="R317" s="79"/>
      <c r="S317" s="82"/>
      <c r="T317" s="82"/>
      <c r="U317" s="82"/>
      <c r="V317" s="82"/>
      <c r="W317" s="82"/>
      <c r="X317" s="82"/>
      <c r="Y317" s="82"/>
      <c r="Z317" s="82"/>
      <c r="AA317" s="82"/>
    </row>
    <row r="318" ht="15.75" customHeight="1">
      <c r="A318" s="261"/>
      <c r="B318" s="171"/>
      <c r="C318" s="172"/>
      <c r="D318" s="172"/>
      <c r="E318" s="154"/>
      <c r="F318" s="162"/>
      <c r="G318" s="162"/>
      <c r="H318" s="162"/>
      <c r="I318" s="162"/>
      <c r="J318" s="174"/>
      <c r="K318" s="162"/>
      <c r="L318" s="129"/>
      <c r="M318" s="156"/>
      <c r="N318" s="79"/>
      <c r="O318" s="79"/>
      <c r="P318" s="79"/>
      <c r="Q318" s="79"/>
      <c r="R318" s="79"/>
      <c r="S318" s="82"/>
      <c r="T318" s="82"/>
      <c r="U318" s="82"/>
      <c r="V318" s="82"/>
      <c r="W318" s="82"/>
      <c r="X318" s="82"/>
      <c r="Y318" s="82"/>
      <c r="Z318" s="82"/>
      <c r="AA318" s="82"/>
    </row>
    <row r="319" ht="15.75" customHeight="1">
      <c r="A319" s="261"/>
      <c r="B319" s="171"/>
      <c r="C319" s="172"/>
      <c r="D319" s="172"/>
      <c r="E319" s="154"/>
      <c r="F319" s="162"/>
      <c r="G319" s="162"/>
      <c r="H319" s="162"/>
      <c r="I319" s="162"/>
      <c r="J319" s="174"/>
      <c r="K319" s="162"/>
      <c r="L319" s="129"/>
      <c r="M319" s="156"/>
      <c r="N319" s="79"/>
      <c r="O319" s="79"/>
      <c r="P319" s="79"/>
      <c r="Q319" s="79"/>
      <c r="R319" s="79"/>
      <c r="S319" s="82"/>
      <c r="T319" s="82"/>
      <c r="U319" s="82"/>
      <c r="V319" s="82"/>
      <c r="W319" s="82"/>
      <c r="X319" s="82"/>
      <c r="Y319" s="82"/>
      <c r="Z319" s="82"/>
      <c r="AA319" s="82"/>
    </row>
    <row r="320" ht="15.75" customHeight="1">
      <c r="A320" s="261"/>
      <c r="B320" s="171"/>
      <c r="C320" s="172"/>
      <c r="D320" s="172"/>
      <c r="E320" s="154"/>
      <c r="F320" s="162"/>
      <c r="G320" s="162"/>
      <c r="H320" s="162"/>
      <c r="I320" s="162"/>
      <c r="J320" s="174"/>
      <c r="K320" s="162"/>
      <c r="L320" s="129"/>
      <c r="M320" s="156"/>
      <c r="N320" s="79"/>
      <c r="O320" s="79"/>
      <c r="P320" s="79"/>
      <c r="Q320" s="79"/>
      <c r="R320" s="79"/>
      <c r="S320" s="82"/>
      <c r="T320" s="82"/>
      <c r="U320" s="82"/>
      <c r="V320" s="82"/>
      <c r="W320" s="82"/>
      <c r="X320" s="82"/>
      <c r="Y320" s="82"/>
      <c r="Z320" s="82"/>
      <c r="AA320" s="82"/>
    </row>
    <row r="321" ht="15.75" customHeight="1">
      <c r="A321" s="261"/>
      <c r="B321" s="171"/>
      <c r="C321" s="172"/>
      <c r="D321" s="172"/>
      <c r="E321" s="154"/>
      <c r="F321" s="162"/>
      <c r="G321" s="162"/>
      <c r="H321" s="162"/>
      <c r="I321" s="162"/>
      <c r="J321" s="174"/>
      <c r="K321" s="162"/>
      <c r="L321" s="129"/>
      <c r="M321" s="156"/>
      <c r="N321" s="79"/>
      <c r="O321" s="79"/>
      <c r="P321" s="79"/>
      <c r="Q321" s="79"/>
      <c r="R321" s="79"/>
      <c r="S321" s="82"/>
      <c r="T321" s="82"/>
      <c r="U321" s="82"/>
      <c r="V321" s="82"/>
      <c r="W321" s="82"/>
      <c r="X321" s="82"/>
      <c r="Y321" s="82"/>
      <c r="Z321" s="82"/>
      <c r="AA321" s="82"/>
    </row>
    <row r="322" ht="15.75" customHeight="1">
      <c r="A322" s="261"/>
      <c r="B322" s="171"/>
      <c r="C322" s="172"/>
      <c r="D322" s="172"/>
      <c r="E322" s="154"/>
      <c r="F322" s="162"/>
      <c r="G322" s="162"/>
      <c r="H322" s="162"/>
      <c r="I322" s="162"/>
      <c r="J322" s="174"/>
      <c r="K322" s="162"/>
      <c r="L322" s="129"/>
      <c r="M322" s="156"/>
      <c r="N322" s="79"/>
      <c r="O322" s="79"/>
      <c r="P322" s="79"/>
      <c r="Q322" s="79"/>
      <c r="R322" s="79"/>
      <c r="S322" s="82"/>
      <c r="T322" s="82"/>
      <c r="U322" s="82"/>
      <c r="V322" s="82"/>
      <c r="W322" s="82"/>
      <c r="X322" s="82"/>
      <c r="Y322" s="82"/>
      <c r="Z322" s="82"/>
      <c r="AA322" s="82"/>
    </row>
    <row r="323" ht="15.75" customHeight="1">
      <c r="A323" s="261"/>
      <c r="B323" s="171"/>
      <c r="C323" s="172"/>
      <c r="D323" s="172"/>
      <c r="E323" s="154"/>
      <c r="F323" s="162"/>
      <c r="G323" s="162"/>
      <c r="H323" s="162"/>
      <c r="I323" s="162"/>
      <c r="J323" s="174"/>
      <c r="K323" s="162"/>
      <c r="L323" s="129"/>
      <c r="M323" s="156"/>
      <c r="N323" s="79"/>
      <c r="O323" s="79"/>
      <c r="P323" s="79"/>
      <c r="Q323" s="79"/>
      <c r="R323" s="79"/>
      <c r="S323" s="82"/>
      <c r="T323" s="82"/>
      <c r="U323" s="82"/>
      <c r="V323" s="82"/>
      <c r="W323" s="82"/>
      <c r="X323" s="82"/>
      <c r="Y323" s="82"/>
      <c r="Z323" s="82"/>
      <c r="AA323" s="82"/>
    </row>
    <row r="324" ht="15.75" customHeight="1">
      <c r="A324" s="261"/>
      <c r="B324" s="171"/>
      <c r="C324" s="172"/>
      <c r="D324" s="172"/>
      <c r="E324" s="154"/>
      <c r="F324" s="162"/>
      <c r="G324" s="162"/>
      <c r="H324" s="162"/>
      <c r="I324" s="162"/>
      <c r="J324" s="174"/>
      <c r="K324" s="162"/>
      <c r="L324" s="129"/>
      <c r="M324" s="156"/>
      <c r="N324" s="79"/>
      <c r="O324" s="79"/>
      <c r="P324" s="79"/>
      <c r="Q324" s="79"/>
      <c r="R324" s="79"/>
      <c r="S324" s="82"/>
      <c r="T324" s="82"/>
      <c r="U324" s="82"/>
      <c r="V324" s="82"/>
      <c r="W324" s="82"/>
      <c r="X324" s="82"/>
      <c r="Y324" s="82"/>
      <c r="Z324" s="82"/>
      <c r="AA324" s="82"/>
    </row>
    <row r="325" ht="15.75" customHeight="1">
      <c r="A325" s="261"/>
      <c r="B325" s="171"/>
      <c r="C325" s="172"/>
      <c r="D325" s="172"/>
      <c r="E325" s="154"/>
      <c r="F325" s="162"/>
      <c r="G325" s="162"/>
      <c r="H325" s="162"/>
      <c r="I325" s="162"/>
      <c r="J325" s="174"/>
      <c r="K325" s="162"/>
      <c r="L325" s="129"/>
      <c r="M325" s="156"/>
      <c r="N325" s="79"/>
      <c r="O325" s="79"/>
      <c r="P325" s="79"/>
      <c r="Q325" s="79"/>
      <c r="R325" s="79"/>
      <c r="S325" s="82"/>
      <c r="T325" s="82"/>
      <c r="U325" s="82"/>
      <c r="V325" s="82"/>
      <c r="W325" s="82"/>
      <c r="X325" s="82"/>
      <c r="Y325" s="82"/>
      <c r="Z325" s="82"/>
      <c r="AA325" s="82"/>
    </row>
    <row r="326" ht="15.75" customHeight="1">
      <c r="A326" s="261"/>
      <c r="B326" s="171"/>
      <c r="C326" s="172"/>
      <c r="D326" s="172"/>
      <c r="E326" s="154"/>
      <c r="F326" s="162"/>
      <c r="G326" s="162"/>
      <c r="H326" s="162"/>
      <c r="I326" s="162"/>
      <c r="J326" s="174"/>
      <c r="K326" s="162"/>
      <c r="L326" s="129"/>
      <c r="M326" s="156"/>
      <c r="N326" s="79"/>
      <c r="O326" s="79"/>
      <c r="P326" s="79"/>
      <c r="Q326" s="79"/>
      <c r="R326" s="79"/>
      <c r="S326" s="82"/>
      <c r="T326" s="82"/>
      <c r="U326" s="82"/>
      <c r="V326" s="82"/>
      <c r="W326" s="82"/>
      <c r="X326" s="82"/>
      <c r="Y326" s="82"/>
      <c r="Z326" s="82"/>
      <c r="AA326" s="82"/>
    </row>
    <row r="327" ht="15.75" customHeight="1">
      <c r="A327" s="261"/>
      <c r="B327" s="171"/>
      <c r="C327" s="172"/>
      <c r="D327" s="172"/>
      <c r="E327" s="154"/>
      <c r="F327" s="162"/>
      <c r="G327" s="162"/>
      <c r="H327" s="162"/>
      <c r="I327" s="162"/>
      <c r="J327" s="174"/>
      <c r="K327" s="162"/>
      <c r="L327" s="129"/>
      <c r="M327" s="156"/>
      <c r="N327" s="79"/>
      <c r="O327" s="79"/>
      <c r="P327" s="79"/>
      <c r="Q327" s="79"/>
      <c r="R327" s="79"/>
      <c r="S327" s="82"/>
      <c r="T327" s="82"/>
      <c r="U327" s="82"/>
      <c r="V327" s="82"/>
      <c r="W327" s="82"/>
      <c r="X327" s="82"/>
      <c r="Y327" s="82"/>
      <c r="Z327" s="82"/>
      <c r="AA327" s="82"/>
    </row>
    <row r="328" ht="15.75" customHeight="1">
      <c r="A328" s="261"/>
      <c r="B328" s="171"/>
      <c r="C328" s="172"/>
      <c r="D328" s="172"/>
      <c r="E328" s="154"/>
      <c r="F328" s="162"/>
      <c r="G328" s="162"/>
      <c r="H328" s="162"/>
      <c r="I328" s="162"/>
      <c r="J328" s="174"/>
      <c r="K328" s="162"/>
      <c r="L328" s="129"/>
      <c r="M328" s="156"/>
      <c r="N328" s="79"/>
      <c r="O328" s="79"/>
      <c r="P328" s="79"/>
      <c r="Q328" s="79"/>
      <c r="R328" s="79"/>
      <c r="S328" s="82"/>
      <c r="T328" s="82"/>
      <c r="U328" s="82"/>
      <c r="V328" s="82"/>
      <c r="W328" s="82"/>
      <c r="X328" s="82"/>
      <c r="Y328" s="82"/>
      <c r="Z328" s="82"/>
      <c r="AA328" s="82"/>
    </row>
    <row r="329" ht="15.75" customHeight="1">
      <c r="A329" s="261"/>
      <c r="B329" s="171"/>
      <c r="C329" s="172"/>
      <c r="D329" s="172"/>
      <c r="E329" s="154"/>
      <c r="F329" s="162"/>
      <c r="G329" s="162"/>
      <c r="H329" s="162"/>
      <c r="I329" s="162"/>
      <c r="J329" s="174"/>
      <c r="K329" s="162"/>
      <c r="L329" s="129"/>
      <c r="M329" s="156"/>
      <c r="N329" s="79"/>
      <c r="O329" s="79"/>
      <c r="P329" s="79"/>
      <c r="Q329" s="79"/>
      <c r="R329" s="79"/>
      <c r="S329" s="82"/>
      <c r="T329" s="82"/>
      <c r="U329" s="82"/>
      <c r="V329" s="82"/>
      <c r="W329" s="82"/>
      <c r="X329" s="82"/>
      <c r="Y329" s="82"/>
      <c r="Z329" s="82"/>
      <c r="AA329" s="82"/>
    </row>
    <row r="330" ht="15.75" customHeight="1">
      <c r="A330" s="261"/>
      <c r="B330" s="171"/>
      <c r="C330" s="172"/>
      <c r="D330" s="172"/>
      <c r="E330" s="154"/>
      <c r="F330" s="162"/>
      <c r="G330" s="162"/>
      <c r="H330" s="162"/>
      <c r="I330" s="162"/>
      <c r="J330" s="174"/>
      <c r="K330" s="162"/>
      <c r="L330" s="129"/>
      <c r="M330" s="156"/>
      <c r="N330" s="79"/>
      <c r="O330" s="79"/>
      <c r="P330" s="79"/>
      <c r="Q330" s="79"/>
      <c r="R330" s="79"/>
      <c r="S330" s="82"/>
      <c r="T330" s="82"/>
      <c r="U330" s="82"/>
      <c r="V330" s="82"/>
      <c r="W330" s="82"/>
      <c r="X330" s="82"/>
      <c r="Y330" s="82"/>
      <c r="Z330" s="82"/>
      <c r="AA330" s="82"/>
    </row>
    <row r="331" ht="15.75" customHeight="1">
      <c r="A331" s="261"/>
      <c r="B331" s="171"/>
      <c r="C331" s="172"/>
      <c r="D331" s="172"/>
      <c r="E331" s="154"/>
      <c r="F331" s="162"/>
      <c r="G331" s="162"/>
      <c r="H331" s="162"/>
      <c r="I331" s="162"/>
      <c r="J331" s="174"/>
      <c r="K331" s="162"/>
      <c r="L331" s="129"/>
      <c r="M331" s="156"/>
      <c r="N331" s="79"/>
      <c r="O331" s="79"/>
      <c r="P331" s="79"/>
      <c r="Q331" s="79"/>
      <c r="R331" s="79"/>
      <c r="S331" s="82"/>
      <c r="T331" s="82"/>
      <c r="U331" s="82"/>
      <c r="V331" s="82"/>
      <c r="W331" s="82"/>
      <c r="X331" s="82"/>
      <c r="Y331" s="82"/>
      <c r="Z331" s="82"/>
      <c r="AA331" s="82"/>
    </row>
    <row r="332" ht="15.75" customHeight="1">
      <c r="A332" s="261"/>
      <c r="B332" s="171"/>
      <c r="C332" s="172"/>
      <c r="D332" s="172"/>
      <c r="E332" s="154"/>
      <c r="F332" s="162"/>
      <c r="G332" s="162"/>
      <c r="H332" s="162"/>
      <c r="I332" s="162"/>
      <c r="J332" s="174"/>
      <c r="K332" s="162"/>
      <c r="L332" s="129"/>
      <c r="M332" s="156"/>
      <c r="N332" s="79"/>
      <c r="O332" s="79"/>
      <c r="P332" s="79"/>
      <c r="Q332" s="79"/>
      <c r="R332" s="79"/>
      <c r="S332" s="82"/>
      <c r="T332" s="82"/>
      <c r="U332" s="82"/>
      <c r="V332" s="82"/>
      <c r="W332" s="82"/>
      <c r="X332" s="82"/>
      <c r="Y332" s="82"/>
      <c r="Z332" s="82"/>
      <c r="AA332" s="82"/>
    </row>
    <row r="333" ht="15.75" customHeight="1">
      <c r="A333" s="261"/>
      <c r="B333" s="171"/>
      <c r="C333" s="172"/>
      <c r="D333" s="172"/>
      <c r="E333" s="154"/>
      <c r="F333" s="162"/>
      <c r="G333" s="162"/>
      <c r="H333" s="162"/>
      <c r="I333" s="162"/>
      <c r="J333" s="174"/>
      <c r="K333" s="162"/>
      <c r="L333" s="129"/>
      <c r="M333" s="156"/>
      <c r="N333" s="79"/>
      <c r="O333" s="79"/>
      <c r="P333" s="79"/>
      <c r="Q333" s="79"/>
      <c r="R333" s="79"/>
      <c r="S333" s="82"/>
      <c r="T333" s="82"/>
      <c r="U333" s="82"/>
      <c r="V333" s="82"/>
      <c r="W333" s="82"/>
      <c r="X333" s="82"/>
      <c r="Y333" s="82"/>
      <c r="Z333" s="82"/>
      <c r="AA333" s="82"/>
    </row>
    <row r="334" ht="15.75" customHeight="1">
      <c r="A334" s="261"/>
      <c r="B334" s="171"/>
      <c r="C334" s="172"/>
      <c r="D334" s="172"/>
      <c r="E334" s="154"/>
      <c r="F334" s="162"/>
      <c r="G334" s="162"/>
      <c r="H334" s="162"/>
      <c r="I334" s="162"/>
      <c r="J334" s="174"/>
      <c r="K334" s="162"/>
      <c r="L334" s="129"/>
      <c r="M334" s="156"/>
      <c r="N334" s="79"/>
      <c r="O334" s="79"/>
      <c r="P334" s="79"/>
      <c r="Q334" s="79"/>
      <c r="R334" s="79"/>
      <c r="S334" s="82"/>
      <c r="T334" s="82"/>
      <c r="U334" s="82"/>
      <c r="V334" s="82"/>
      <c r="W334" s="82"/>
      <c r="X334" s="82"/>
      <c r="Y334" s="82"/>
      <c r="Z334" s="82"/>
      <c r="AA334" s="82"/>
    </row>
    <row r="335" ht="15.75" customHeight="1">
      <c r="A335" s="261"/>
      <c r="B335" s="171"/>
      <c r="C335" s="172"/>
      <c r="D335" s="172"/>
      <c r="E335" s="154"/>
      <c r="F335" s="162"/>
      <c r="G335" s="162"/>
      <c r="H335" s="162"/>
      <c r="I335" s="162"/>
      <c r="J335" s="174"/>
      <c r="K335" s="162"/>
      <c r="L335" s="129"/>
      <c r="M335" s="156"/>
      <c r="N335" s="79"/>
      <c r="O335" s="79"/>
      <c r="P335" s="79"/>
      <c r="Q335" s="79"/>
      <c r="R335" s="79"/>
      <c r="S335" s="82"/>
      <c r="T335" s="82"/>
      <c r="U335" s="82"/>
      <c r="V335" s="82"/>
      <c r="W335" s="82"/>
      <c r="X335" s="82"/>
      <c r="Y335" s="82"/>
      <c r="Z335" s="82"/>
      <c r="AA335" s="82"/>
    </row>
    <row r="336" ht="15.75" customHeight="1">
      <c r="A336" s="261"/>
      <c r="B336" s="171"/>
      <c r="C336" s="172"/>
      <c r="D336" s="172"/>
      <c r="E336" s="154"/>
      <c r="F336" s="162"/>
      <c r="G336" s="162"/>
      <c r="H336" s="162"/>
      <c r="I336" s="162"/>
      <c r="J336" s="174"/>
      <c r="K336" s="162"/>
      <c r="L336" s="129"/>
      <c r="M336" s="156"/>
      <c r="N336" s="79"/>
      <c r="O336" s="79"/>
      <c r="P336" s="79"/>
      <c r="Q336" s="79"/>
      <c r="R336" s="79"/>
      <c r="S336" s="82"/>
      <c r="T336" s="82"/>
      <c r="U336" s="82"/>
      <c r="V336" s="82"/>
      <c r="W336" s="82"/>
      <c r="X336" s="82"/>
      <c r="Y336" s="82"/>
      <c r="Z336" s="82"/>
      <c r="AA336" s="82"/>
    </row>
    <row r="337" ht="15.75" customHeight="1">
      <c r="A337" s="261"/>
      <c r="B337" s="171"/>
      <c r="C337" s="172"/>
      <c r="D337" s="172"/>
      <c r="E337" s="154"/>
      <c r="F337" s="162"/>
      <c r="G337" s="162"/>
      <c r="H337" s="162"/>
      <c r="I337" s="162"/>
      <c r="J337" s="174"/>
      <c r="K337" s="162"/>
      <c r="L337" s="129"/>
      <c r="M337" s="156"/>
      <c r="N337" s="79"/>
      <c r="O337" s="79"/>
      <c r="P337" s="79"/>
      <c r="Q337" s="79"/>
      <c r="R337" s="79"/>
      <c r="S337" s="82"/>
      <c r="T337" s="82"/>
      <c r="U337" s="82"/>
      <c r="V337" s="82"/>
      <c r="W337" s="82"/>
      <c r="X337" s="82"/>
      <c r="Y337" s="82"/>
      <c r="Z337" s="82"/>
      <c r="AA337" s="82"/>
    </row>
    <row r="338" ht="15.75" customHeight="1">
      <c r="A338" s="261"/>
      <c r="B338" s="171"/>
      <c r="C338" s="172"/>
      <c r="D338" s="172"/>
      <c r="E338" s="154"/>
      <c r="F338" s="162"/>
      <c r="G338" s="162"/>
      <c r="H338" s="162"/>
      <c r="I338" s="162"/>
      <c r="J338" s="174"/>
      <c r="K338" s="162"/>
      <c r="L338" s="129"/>
      <c r="M338" s="156"/>
      <c r="N338" s="79"/>
      <c r="O338" s="79"/>
      <c r="P338" s="79"/>
      <c r="Q338" s="79"/>
      <c r="R338" s="79"/>
      <c r="S338" s="82"/>
      <c r="T338" s="82"/>
      <c r="U338" s="82"/>
      <c r="V338" s="82"/>
      <c r="W338" s="82"/>
      <c r="X338" s="82"/>
      <c r="Y338" s="82"/>
      <c r="Z338" s="82"/>
      <c r="AA338" s="82"/>
    </row>
    <row r="339" ht="15.75" customHeight="1">
      <c r="A339" s="261"/>
      <c r="B339" s="171"/>
      <c r="C339" s="172"/>
      <c r="D339" s="172"/>
      <c r="E339" s="154"/>
      <c r="F339" s="162"/>
      <c r="G339" s="162"/>
      <c r="H339" s="162"/>
      <c r="I339" s="162"/>
      <c r="J339" s="174"/>
      <c r="K339" s="162"/>
      <c r="L339" s="129"/>
      <c r="M339" s="156"/>
      <c r="N339" s="79"/>
      <c r="O339" s="79"/>
      <c r="P339" s="79"/>
      <c r="Q339" s="79"/>
      <c r="R339" s="79"/>
      <c r="S339" s="82"/>
      <c r="T339" s="82"/>
      <c r="U339" s="82"/>
      <c r="V339" s="82"/>
      <c r="W339" s="82"/>
      <c r="X339" s="82"/>
      <c r="Y339" s="82"/>
      <c r="Z339" s="82"/>
      <c r="AA339" s="82"/>
    </row>
    <row r="340" ht="15.75" customHeight="1">
      <c r="A340" s="261"/>
      <c r="B340" s="171"/>
      <c r="C340" s="172"/>
      <c r="D340" s="172"/>
      <c r="E340" s="154"/>
      <c r="F340" s="162"/>
      <c r="G340" s="162"/>
      <c r="H340" s="162"/>
      <c r="I340" s="162"/>
      <c r="J340" s="174"/>
      <c r="K340" s="162"/>
      <c r="L340" s="129"/>
      <c r="M340" s="156"/>
      <c r="N340" s="79"/>
      <c r="O340" s="79"/>
      <c r="P340" s="79"/>
      <c r="Q340" s="79"/>
      <c r="R340" s="79"/>
      <c r="S340" s="82"/>
      <c r="T340" s="82"/>
      <c r="U340" s="82"/>
      <c r="V340" s="82"/>
      <c r="W340" s="82"/>
      <c r="X340" s="82"/>
      <c r="Y340" s="82"/>
      <c r="Z340" s="82"/>
      <c r="AA340" s="82"/>
    </row>
    <row r="341" ht="15.75" customHeight="1">
      <c r="A341" s="261"/>
      <c r="B341" s="171"/>
      <c r="C341" s="172"/>
      <c r="D341" s="172"/>
      <c r="E341" s="154"/>
      <c r="F341" s="162"/>
      <c r="G341" s="162"/>
      <c r="H341" s="162"/>
      <c r="I341" s="162"/>
      <c r="J341" s="174"/>
      <c r="K341" s="162"/>
      <c r="L341" s="129"/>
      <c r="M341" s="156"/>
      <c r="N341" s="79"/>
      <c r="O341" s="79"/>
      <c r="P341" s="79"/>
      <c r="Q341" s="79"/>
      <c r="R341" s="79"/>
      <c r="S341" s="82"/>
      <c r="T341" s="82"/>
      <c r="U341" s="82"/>
      <c r="V341" s="82"/>
      <c r="W341" s="82"/>
      <c r="X341" s="82"/>
      <c r="Y341" s="82"/>
      <c r="Z341" s="82"/>
      <c r="AA341" s="82"/>
    </row>
    <row r="342" ht="15.75" customHeight="1">
      <c r="A342" s="261"/>
      <c r="B342" s="171"/>
      <c r="C342" s="172"/>
      <c r="D342" s="172"/>
      <c r="E342" s="154"/>
      <c r="F342" s="162"/>
      <c r="G342" s="162"/>
      <c r="H342" s="162"/>
      <c r="I342" s="162"/>
      <c r="J342" s="174"/>
      <c r="K342" s="162"/>
      <c r="L342" s="129"/>
      <c r="M342" s="156"/>
      <c r="N342" s="79"/>
      <c r="O342" s="79"/>
      <c r="P342" s="79"/>
      <c r="Q342" s="79"/>
      <c r="R342" s="79"/>
      <c r="S342" s="82"/>
      <c r="T342" s="82"/>
      <c r="U342" s="82"/>
      <c r="V342" s="82"/>
      <c r="W342" s="82"/>
      <c r="X342" s="82"/>
      <c r="Y342" s="82"/>
      <c r="Z342" s="82"/>
      <c r="AA342" s="82"/>
    </row>
    <row r="343" ht="15.75" customHeight="1">
      <c r="A343" s="261"/>
      <c r="B343" s="171"/>
      <c r="C343" s="172"/>
      <c r="D343" s="172"/>
      <c r="E343" s="154"/>
      <c r="F343" s="162"/>
      <c r="G343" s="162"/>
      <c r="H343" s="162"/>
      <c r="I343" s="162"/>
      <c r="J343" s="174"/>
      <c r="K343" s="162"/>
      <c r="L343" s="129"/>
      <c r="M343" s="156"/>
      <c r="N343" s="79"/>
      <c r="O343" s="79"/>
      <c r="P343" s="79"/>
      <c r="Q343" s="79"/>
      <c r="R343" s="79"/>
      <c r="S343" s="82"/>
      <c r="T343" s="82"/>
      <c r="U343" s="82"/>
      <c r="V343" s="82"/>
      <c r="W343" s="82"/>
      <c r="X343" s="82"/>
      <c r="Y343" s="82"/>
      <c r="Z343" s="82"/>
      <c r="AA343" s="82"/>
    </row>
    <row r="344" ht="15.75" customHeight="1">
      <c r="A344" s="261"/>
      <c r="B344" s="171"/>
      <c r="C344" s="172"/>
      <c r="D344" s="172"/>
      <c r="E344" s="154"/>
      <c r="F344" s="162"/>
      <c r="G344" s="162"/>
      <c r="H344" s="162"/>
      <c r="I344" s="162"/>
      <c r="J344" s="174"/>
      <c r="K344" s="162"/>
      <c r="L344" s="129"/>
      <c r="M344" s="156"/>
      <c r="N344" s="79"/>
      <c r="O344" s="79"/>
      <c r="P344" s="79"/>
      <c r="Q344" s="79"/>
      <c r="R344" s="79"/>
      <c r="S344" s="82"/>
      <c r="T344" s="82"/>
      <c r="U344" s="82"/>
      <c r="V344" s="82"/>
      <c r="W344" s="82"/>
      <c r="X344" s="82"/>
      <c r="Y344" s="82"/>
      <c r="Z344" s="82"/>
      <c r="AA344" s="82"/>
    </row>
    <row r="345" ht="15.75" customHeight="1">
      <c r="A345" s="261"/>
      <c r="B345" s="171"/>
      <c r="C345" s="172"/>
      <c r="D345" s="172"/>
      <c r="E345" s="154"/>
      <c r="F345" s="162"/>
      <c r="G345" s="162"/>
      <c r="H345" s="162"/>
      <c r="I345" s="162"/>
      <c r="J345" s="174"/>
      <c r="K345" s="162"/>
      <c r="L345" s="129"/>
      <c r="M345" s="156"/>
      <c r="N345" s="79"/>
      <c r="O345" s="79"/>
      <c r="P345" s="79"/>
      <c r="Q345" s="79"/>
      <c r="R345" s="79"/>
      <c r="S345" s="82"/>
      <c r="T345" s="82"/>
      <c r="U345" s="82"/>
      <c r="V345" s="82"/>
      <c r="W345" s="82"/>
      <c r="X345" s="82"/>
      <c r="Y345" s="82"/>
      <c r="Z345" s="82"/>
      <c r="AA345" s="82"/>
    </row>
    <row r="346" ht="15.75" customHeight="1">
      <c r="A346" s="261"/>
      <c r="B346" s="171"/>
      <c r="C346" s="172"/>
      <c r="D346" s="172"/>
      <c r="E346" s="154"/>
      <c r="F346" s="162"/>
      <c r="G346" s="162"/>
      <c r="H346" s="162"/>
      <c r="I346" s="162"/>
      <c r="J346" s="174"/>
      <c r="K346" s="162"/>
      <c r="L346" s="129"/>
      <c r="M346" s="156"/>
      <c r="N346" s="79"/>
      <c r="O346" s="79"/>
      <c r="P346" s="79"/>
      <c r="Q346" s="79"/>
      <c r="R346" s="79"/>
      <c r="S346" s="82"/>
      <c r="T346" s="82"/>
      <c r="U346" s="82"/>
      <c r="V346" s="82"/>
      <c r="W346" s="82"/>
      <c r="X346" s="82"/>
      <c r="Y346" s="82"/>
      <c r="Z346" s="82"/>
      <c r="AA346" s="82"/>
    </row>
    <row r="347" ht="15.75" customHeight="1">
      <c r="A347" s="261"/>
      <c r="B347" s="171"/>
      <c r="C347" s="172"/>
      <c r="D347" s="172"/>
      <c r="E347" s="154"/>
      <c r="F347" s="162"/>
      <c r="G347" s="162"/>
      <c r="H347" s="162"/>
      <c r="I347" s="162"/>
      <c r="J347" s="174"/>
      <c r="K347" s="162"/>
      <c r="L347" s="129"/>
      <c r="M347" s="156"/>
      <c r="N347" s="79"/>
      <c r="O347" s="79"/>
      <c r="P347" s="79"/>
      <c r="Q347" s="79"/>
      <c r="R347" s="79"/>
      <c r="S347" s="82"/>
      <c r="T347" s="82"/>
      <c r="U347" s="82"/>
      <c r="V347" s="82"/>
      <c r="W347" s="82"/>
      <c r="X347" s="82"/>
      <c r="Y347" s="82"/>
      <c r="Z347" s="82"/>
      <c r="AA347" s="82"/>
    </row>
    <row r="348" ht="15.75" customHeight="1">
      <c r="A348" s="261"/>
      <c r="B348" s="171"/>
      <c r="C348" s="172"/>
      <c r="D348" s="172"/>
      <c r="E348" s="154"/>
      <c r="F348" s="162"/>
      <c r="G348" s="162"/>
      <c r="H348" s="162"/>
      <c r="I348" s="162"/>
      <c r="J348" s="174"/>
      <c r="K348" s="162"/>
      <c r="L348" s="129"/>
      <c r="M348" s="156"/>
      <c r="N348" s="79"/>
      <c r="O348" s="79"/>
      <c r="P348" s="79"/>
      <c r="Q348" s="79"/>
      <c r="R348" s="79"/>
      <c r="S348" s="82"/>
      <c r="T348" s="82"/>
      <c r="U348" s="82"/>
      <c r="V348" s="82"/>
      <c r="W348" s="82"/>
      <c r="X348" s="82"/>
      <c r="Y348" s="82"/>
      <c r="Z348" s="82"/>
      <c r="AA348" s="82"/>
    </row>
    <row r="349" ht="15.75" customHeight="1">
      <c r="A349" s="261"/>
      <c r="B349" s="171"/>
      <c r="C349" s="172"/>
      <c r="D349" s="172"/>
      <c r="E349" s="154"/>
      <c r="F349" s="162"/>
      <c r="G349" s="162"/>
      <c r="H349" s="162"/>
      <c r="I349" s="162"/>
      <c r="J349" s="174"/>
      <c r="K349" s="162"/>
      <c r="L349" s="129"/>
      <c r="M349" s="156"/>
      <c r="N349" s="79"/>
      <c r="O349" s="79"/>
      <c r="P349" s="79"/>
      <c r="Q349" s="79"/>
      <c r="R349" s="79"/>
      <c r="S349" s="82"/>
      <c r="T349" s="82"/>
      <c r="U349" s="82"/>
      <c r="V349" s="82"/>
      <c r="W349" s="82"/>
      <c r="X349" s="82"/>
      <c r="Y349" s="82"/>
      <c r="Z349" s="82"/>
      <c r="AA349" s="82"/>
    </row>
    <row r="350" ht="15.75" customHeight="1">
      <c r="A350" s="261"/>
      <c r="B350" s="171"/>
      <c r="C350" s="172"/>
      <c r="D350" s="172"/>
      <c r="E350" s="154"/>
      <c r="F350" s="162"/>
      <c r="G350" s="162"/>
      <c r="H350" s="162"/>
      <c r="I350" s="162"/>
      <c r="J350" s="174"/>
      <c r="K350" s="162"/>
      <c r="L350" s="129"/>
      <c r="M350" s="156"/>
      <c r="N350" s="79"/>
      <c r="O350" s="79"/>
      <c r="P350" s="79"/>
      <c r="Q350" s="79"/>
      <c r="R350" s="79"/>
      <c r="S350" s="82"/>
      <c r="T350" s="82"/>
      <c r="U350" s="82"/>
      <c r="V350" s="82"/>
      <c r="W350" s="82"/>
      <c r="X350" s="82"/>
      <c r="Y350" s="82"/>
      <c r="Z350" s="82"/>
      <c r="AA350" s="82"/>
    </row>
    <row r="351" ht="15.75" customHeight="1">
      <c r="A351" s="261"/>
      <c r="B351" s="171"/>
      <c r="C351" s="172"/>
      <c r="D351" s="172"/>
      <c r="E351" s="154"/>
      <c r="F351" s="162"/>
      <c r="G351" s="162"/>
      <c r="H351" s="162"/>
      <c r="I351" s="162"/>
      <c r="J351" s="174"/>
      <c r="K351" s="162"/>
      <c r="L351" s="129"/>
      <c r="M351" s="156"/>
      <c r="N351" s="79"/>
      <c r="O351" s="79"/>
      <c r="P351" s="79"/>
      <c r="Q351" s="79"/>
      <c r="R351" s="79"/>
      <c r="S351" s="82"/>
      <c r="T351" s="82"/>
      <c r="U351" s="82"/>
      <c r="V351" s="82"/>
      <c r="W351" s="82"/>
      <c r="X351" s="82"/>
      <c r="Y351" s="82"/>
      <c r="Z351" s="82"/>
      <c r="AA351" s="82"/>
    </row>
    <row r="352" ht="15.75" customHeight="1">
      <c r="A352" s="261"/>
      <c r="B352" s="171"/>
      <c r="C352" s="172"/>
      <c r="D352" s="172"/>
      <c r="E352" s="154"/>
      <c r="F352" s="162"/>
      <c r="G352" s="162"/>
      <c r="H352" s="162"/>
      <c r="I352" s="162"/>
      <c r="J352" s="174"/>
      <c r="K352" s="162"/>
      <c r="L352" s="129"/>
      <c r="M352" s="156"/>
      <c r="N352" s="79"/>
      <c r="O352" s="79"/>
      <c r="P352" s="79"/>
      <c r="Q352" s="79"/>
      <c r="R352" s="79"/>
      <c r="S352" s="82"/>
      <c r="T352" s="82"/>
      <c r="U352" s="82"/>
      <c r="V352" s="82"/>
      <c r="W352" s="82"/>
      <c r="X352" s="82"/>
      <c r="Y352" s="82"/>
      <c r="Z352" s="82"/>
      <c r="AA352" s="82"/>
    </row>
    <row r="353" ht="15.75" customHeight="1">
      <c r="A353" s="261"/>
      <c r="B353" s="171"/>
      <c r="C353" s="172"/>
      <c r="D353" s="172"/>
      <c r="E353" s="154"/>
      <c r="F353" s="162"/>
      <c r="G353" s="162"/>
      <c r="H353" s="162"/>
      <c r="I353" s="162"/>
      <c r="J353" s="174"/>
      <c r="K353" s="162"/>
      <c r="L353" s="129"/>
      <c r="M353" s="156"/>
      <c r="N353" s="79"/>
      <c r="O353" s="79"/>
      <c r="P353" s="79"/>
      <c r="Q353" s="79"/>
      <c r="R353" s="79"/>
      <c r="S353" s="82"/>
      <c r="T353" s="82"/>
      <c r="U353" s="82"/>
      <c r="V353" s="82"/>
      <c r="W353" s="82"/>
      <c r="X353" s="82"/>
      <c r="Y353" s="82"/>
      <c r="Z353" s="82"/>
      <c r="AA353" s="82"/>
    </row>
    <row r="354" ht="15.75" customHeight="1">
      <c r="A354" s="261"/>
      <c r="B354" s="171"/>
      <c r="C354" s="172"/>
      <c r="D354" s="172"/>
      <c r="E354" s="154"/>
      <c r="F354" s="162"/>
      <c r="G354" s="162"/>
      <c r="H354" s="162"/>
      <c r="I354" s="162"/>
      <c r="J354" s="174"/>
      <c r="K354" s="162"/>
      <c r="L354" s="129"/>
      <c r="M354" s="156"/>
      <c r="N354" s="79"/>
      <c r="O354" s="79"/>
      <c r="P354" s="79"/>
      <c r="Q354" s="79"/>
      <c r="R354" s="79"/>
      <c r="S354" s="82"/>
      <c r="T354" s="82"/>
      <c r="U354" s="82"/>
      <c r="V354" s="82"/>
      <c r="W354" s="82"/>
      <c r="X354" s="82"/>
      <c r="Y354" s="82"/>
      <c r="Z354" s="82"/>
      <c r="AA354" s="82"/>
    </row>
    <row r="355" ht="15.75" customHeight="1">
      <c r="A355" s="261"/>
      <c r="B355" s="171"/>
      <c r="C355" s="172"/>
      <c r="D355" s="172"/>
      <c r="E355" s="154"/>
      <c r="F355" s="162"/>
      <c r="G355" s="162"/>
      <c r="H355" s="162"/>
      <c r="I355" s="162"/>
      <c r="J355" s="174"/>
      <c r="K355" s="162"/>
      <c r="L355" s="129"/>
      <c r="M355" s="156"/>
      <c r="N355" s="79"/>
      <c r="O355" s="79"/>
      <c r="P355" s="79"/>
      <c r="Q355" s="79"/>
      <c r="R355" s="79"/>
      <c r="S355" s="82"/>
      <c r="T355" s="82"/>
      <c r="U355" s="82"/>
      <c r="V355" s="82"/>
      <c r="W355" s="82"/>
      <c r="X355" s="82"/>
      <c r="Y355" s="82"/>
      <c r="Z355" s="82"/>
      <c r="AA355" s="82"/>
    </row>
    <row r="356" ht="15.75" customHeight="1">
      <c r="A356" s="261"/>
      <c r="B356" s="171"/>
      <c r="C356" s="172"/>
      <c r="D356" s="172"/>
      <c r="E356" s="154"/>
      <c r="F356" s="162"/>
      <c r="G356" s="162"/>
      <c r="H356" s="162"/>
      <c r="I356" s="162"/>
      <c r="J356" s="174"/>
      <c r="K356" s="162"/>
      <c r="L356" s="129"/>
      <c r="M356" s="156"/>
      <c r="N356" s="79"/>
      <c r="O356" s="79"/>
      <c r="P356" s="79"/>
      <c r="Q356" s="79"/>
      <c r="R356" s="79"/>
      <c r="S356" s="82"/>
      <c r="T356" s="82"/>
      <c r="U356" s="82"/>
      <c r="V356" s="82"/>
      <c r="W356" s="82"/>
      <c r="X356" s="82"/>
      <c r="Y356" s="82"/>
      <c r="Z356" s="82"/>
      <c r="AA356" s="82"/>
    </row>
    <row r="357" ht="15.75" customHeight="1">
      <c r="A357" s="261"/>
      <c r="B357" s="171"/>
      <c r="C357" s="172"/>
      <c r="D357" s="172"/>
      <c r="E357" s="154"/>
      <c r="F357" s="162"/>
      <c r="G357" s="162"/>
      <c r="H357" s="162"/>
      <c r="I357" s="162"/>
      <c r="J357" s="174"/>
      <c r="K357" s="162"/>
      <c r="L357" s="129"/>
      <c r="M357" s="156"/>
      <c r="N357" s="79"/>
      <c r="O357" s="79"/>
      <c r="P357" s="79"/>
      <c r="Q357" s="79"/>
      <c r="R357" s="79"/>
      <c r="S357" s="82"/>
      <c r="T357" s="82"/>
      <c r="U357" s="82"/>
      <c r="V357" s="82"/>
      <c r="W357" s="82"/>
      <c r="X357" s="82"/>
      <c r="Y357" s="82"/>
      <c r="Z357" s="82"/>
      <c r="AA357" s="82"/>
    </row>
    <row r="358" ht="15.75" customHeight="1">
      <c r="A358" s="261"/>
      <c r="B358" s="171"/>
      <c r="C358" s="172"/>
      <c r="D358" s="172"/>
      <c r="E358" s="154"/>
      <c r="F358" s="162"/>
      <c r="G358" s="162"/>
      <c r="H358" s="162"/>
      <c r="I358" s="162"/>
      <c r="J358" s="174"/>
      <c r="K358" s="162"/>
      <c r="L358" s="129"/>
      <c r="M358" s="156"/>
      <c r="N358" s="79"/>
      <c r="O358" s="79"/>
      <c r="P358" s="79"/>
      <c r="Q358" s="79"/>
      <c r="R358" s="79"/>
      <c r="S358" s="82"/>
      <c r="T358" s="82"/>
      <c r="U358" s="82"/>
      <c r="V358" s="82"/>
      <c r="W358" s="82"/>
      <c r="X358" s="82"/>
      <c r="Y358" s="82"/>
      <c r="Z358" s="82"/>
      <c r="AA358" s="82"/>
    </row>
    <row r="359" ht="15.75" customHeight="1">
      <c r="A359" s="261"/>
      <c r="B359" s="171"/>
      <c r="C359" s="172"/>
      <c r="D359" s="172"/>
      <c r="E359" s="154"/>
      <c r="F359" s="162"/>
      <c r="G359" s="162"/>
      <c r="H359" s="162"/>
      <c r="I359" s="162"/>
      <c r="J359" s="174"/>
      <c r="K359" s="162"/>
      <c r="L359" s="129"/>
      <c r="M359" s="156"/>
      <c r="N359" s="79"/>
      <c r="O359" s="79"/>
      <c r="P359" s="79"/>
      <c r="Q359" s="79"/>
      <c r="R359" s="79"/>
      <c r="S359" s="82"/>
      <c r="T359" s="82"/>
      <c r="U359" s="82"/>
      <c r="V359" s="82"/>
      <c r="W359" s="82"/>
      <c r="X359" s="82"/>
      <c r="Y359" s="82"/>
      <c r="Z359" s="82"/>
      <c r="AA359" s="82"/>
    </row>
    <row r="360" ht="15.75" customHeight="1">
      <c r="A360" s="261"/>
      <c r="B360" s="171"/>
      <c r="C360" s="172"/>
      <c r="D360" s="172"/>
      <c r="E360" s="154"/>
      <c r="F360" s="162"/>
      <c r="G360" s="162"/>
      <c r="H360" s="162"/>
      <c r="I360" s="162"/>
      <c r="J360" s="174"/>
      <c r="K360" s="162"/>
      <c r="L360" s="129"/>
      <c r="M360" s="156"/>
      <c r="N360" s="79"/>
      <c r="O360" s="79"/>
      <c r="P360" s="79"/>
      <c r="Q360" s="79"/>
      <c r="R360" s="79"/>
      <c r="S360" s="82"/>
      <c r="T360" s="82"/>
      <c r="U360" s="82"/>
      <c r="V360" s="82"/>
      <c r="W360" s="82"/>
      <c r="X360" s="82"/>
      <c r="Y360" s="82"/>
      <c r="Z360" s="82"/>
      <c r="AA360" s="82"/>
    </row>
    <row r="361" ht="15.75" customHeight="1">
      <c r="A361" s="261"/>
      <c r="B361" s="171"/>
      <c r="C361" s="172"/>
      <c r="D361" s="172"/>
      <c r="E361" s="154"/>
      <c r="F361" s="162"/>
      <c r="G361" s="162"/>
      <c r="H361" s="162"/>
      <c r="I361" s="162"/>
      <c r="J361" s="174"/>
      <c r="K361" s="162"/>
      <c r="L361" s="129"/>
      <c r="M361" s="156"/>
      <c r="N361" s="79"/>
      <c r="O361" s="79"/>
      <c r="P361" s="79"/>
      <c r="Q361" s="79"/>
      <c r="R361" s="79"/>
      <c r="S361" s="82"/>
      <c r="T361" s="82"/>
      <c r="U361" s="82"/>
      <c r="V361" s="82"/>
      <c r="W361" s="82"/>
      <c r="X361" s="82"/>
      <c r="Y361" s="82"/>
      <c r="Z361" s="82"/>
      <c r="AA361" s="82"/>
    </row>
    <row r="362" ht="15.75" customHeight="1">
      <c r="A362" s="261"/>
      <c r="B362" s="171"/>
      <c r="C362" s="172"/>
      <c r="D362" s="172"/>
      <c r="E362" s="154"/>
      <c r="F362" s="162"/>
      <c r="G362" s="162"/>
      <c r="H362" s="162"/>
      <c r="I362" s="162"/>
      <c r="J362" s="174"/>
      <c r="K362" s="162"/>
      <c r="L362" s="129"/>
      <c r="M362" s="156"/>
      <c r="N362" s="79"/>
      <c r="O362" s="79"/>
      <c r="P362" s="79"/>
      <c r="Q362" s="79"/>
      <c r="R362" s="79"/>
      <c r="S362" s="82"/>
      <c r="T362" s="82"/>
      <c r="U362" s="82"/>
      <c r="V362" s="82"/>
      <c r="W362" s="82"/>
      <c r="X362" s="82"/>
      <c r="Y362" s="82"/>
      <c r="Z362" s="82"/>
      <c r="AA362" s="82"/>
    </row>
    <row r="363" ht="15.75" customHeight="1">
      <c r="A363" s="261"/>
      <c r="B363" s="171"/>
      <c r="C363" s="172"/>
      <c r="D363" s="172"/>
      <c r="E363" s="154"/>
      <c r="F363" s="162"/>
      <c r="G363" s="162"/>
      <c r="H363" s="162"/>
      <c r="I363" s="162"/>
      <c r="J363" s="174"/>
      <c r="K363" s="162"/>
      <c r="L363" s="129"/>
      <c r="M363" s="156"/>
      <c r="N363" s="79"/>
      <c r="O363" s="79"/>
      <c r="P363" s="79"/>
      <c r="Q363" s="79"/>
      <c r="R363" s="79"/>
      <c r="S363" s="82"/>
      <c r="T363" s="82"/>
      <c r="U363" s="82"/>
      <c r="V363" s="82"/>
      <c r="W363" s="82"/>
      <c r="X363" s="82"/>
      <c r="Y363" s="82"/>
      <c r="Z363" s="82"/>
      <c r="AA363" s="82"/>
    </row>
    <row r="364" ht="15.75" customHeight="1">
      <c r="A364" s="261"/>
      <c r="B364" s="171"/>
      <c r="C364" s="172"/>
      <c r="D364" s="172"/>
      <c r="E364" s="154"/>
      <c r="F364" s="162"/>
      <c r="G364" s="162"/>
      <c r="H364" s="162"/>
      <c r="I364" s="162"/>
      <c r="J364" s="174"/>
      <c r="K364" s="162"/>
      <c r="L364" s="129"/>
      <c r="M364" s="156"/>
      <c r="N364" s="79"/>
      <c r="O364" s="79"/>
      <c r="P364" s="79"/>
      <c r="Q364" s="79"/>
      <c r="R364" s="79"/>
      <c r="S364" s="82"/>
      <c r="T364" s="82"/>
      <c r="U364" s="82"/>
      <c r="V364" s="82"/>
      <c r="W364" s="82"/>
      <c r="X364" s="82"/>
      <c r="Y364" s="82"/>
      <c r="Z364" s="82"/>
      <c r="AA364" s="82"/>
    </row>
    <row r="365" ht="15.75" customHeight="1">
      <c r="A365" s="261"/>
      <c r="B365" s="171"/>
      <c r="C365" s="172"/>
      <c r="D365" s="172"/>
      <c r="E365" s="154"/>
      <c r="F365" s="162"/>
      <c r="G365" s="162"/>
      <c r="H365" s="162"/>
      <c r="I365" s="162"/>
      <c r="J365" s="174"/>
      <c r="K365" s="162"/>
      <c r="L365" s="129"/>
      <c r="M365" s="156"/>
      <c r="N365" s="79"/>
      <c r="O365" s="79"/>
      <c r="P365" s="79"/>
      <c r="Q365" s="79"/>
      <c r="R365" s="79"/>
      <c r="S365" s="82"/>
      <c r="T365" s="82"/>
      <c r="U365" s="82"/>
      <c r="V365" s="82"/>
      <c r="W365" s="82"/>
      <c r="X365" s="82"/>
      <c r="Y365" s="82"/>
      <c r="Z365" s="82"/>
      <c r="AA365" s="82"/>
    </row>
    <row r="366" ht="15.75" customHeight="1">
      <c r="A366" s="261"/>
      <c r="B366" s="171"/>
      <c r="C366" s="172"/>
      <c r="D366" s="172"/>
      <c r="E366" s="154"/>
      <c r="F366" s="162"/>
      <c r="G366" s="162"/>
      <c r="H366" s="162"/>
      <c r="I366" s="162"/>
      <c r="J366" s="174"/>
      <c r="K366" s="162"/>
      <c r="L366" s="129"/>
      <c r="M366" s="156"/>
      <c r="N366" s="79"/>
      <c r="O366" s="79"/>
      <c r="P366" s="79"/>
      <c r="Q366" s="79"/>
      <c r="R366" s="79"/>
      <c r="S366" s="82"/>
      <c r="T366" s="82"/>
      <c r="U366" s="82"/>
      <c r="V366" s="82"/>
      <c r="W366" s="82"/>
      <c r="X366" s="82"/>
      <c r="Y366" s="82"/>
      <c r="Z366" s="82"/>
      <c r="AA366" s="82"/>
    </row>
    <row r="367" ht="15.75" customHeight="1">
      <c r="A367" s="261"/>
      <c r="B367" s="171"/>
      <c r="C367" s="172"/>
      <c r="D367" s="172"/>
      <c r="E367" s="154"/>
      <c r="F367" s="162"/>
      <c r="G367" s="162"/>
      <c r="H367" s="162"/>
      <c r="I367" s="162"/>
      <c r="J367" s="174"/>
      <c r="K367" s="162"/>
      <c r="L367" s="129"/>
      <c r="M367" s="156"/>
      <c r="N367" s="79"/>
      <c r="O367" s="79"/>
      <c r="P367" s="79"/>
      <c r="Q367" s="79"/>
      <c r="R367" s="79"/>
      <c r="S367" s="82"/>
      <c r="T367" s="82"/>
      <c r="U367" s="82"/>
      <c r="V367" s="82"/>
      <c r="W367" s="82"/>
      <c r="X367" s="82"/>
      <c r="Y367" s="82"/>
      <c r="Z367" s="82"/>
      <c r="AA367" s="82"/>
    </row>
    <row r="368" ht="15.75" customHeight="1">
      <c r="A368" s="261"/>
      <c r="B368" s="171"/>
      <c r="C368" s="172"/>
      <c r="D368" s="172"/>
      <c r="E368" s="154"/>
      <c r="F368" s="162"/>
      <c r="G368" s="162"/>
      <c r="H368" s="162"/>
      <c r="I368" s="162"/>
      <c r="J368" s="174"/>
      <c r="K368" s="162"/>
      <c r="L368" s="129"/>
      <c r="M368" s="156"/>
      <c r="N368" s="79"/>
      <c r="O368" s="79"/>
      <c r="P368" s="79"/>
      <c r="Q368" s="79"/>
      <c r="R368" s="79"/>
      <c r="S368" s="82"/>
      <c r="T368" s="82"/>
      <c r="U368" s="82"/>
      <c r="V368" s="82"/>
      <c r="W368" s="82"/>
      <c r="X368" s="82"/>
      <c r="Y368" s="82"/>
      <c r="Z368" s="82"/>
      <c r="AA368" s="82"/>
    </row>
    <row r="369" ht="15.75" customHeight="1">
      <c r="A369" s="261"/>
      <c r="B369" s="171"/>
      <c r="C369" s="172"/>
      <c r="D369" s="172"/>
      <c r="E369" s="154"/>
      <c r="F369" s="162"/>
      <c r="G369" s="162"/>
      <c r="H369" s="162"/>
      <c r="I369" s="162"/>
      <c r="J369" s="174"/>
      <c r="K369" s="162"/>
      <c r="L369" s="129"/>
      <c r="M369" s="156"/>
      <c r="N369" s="79"/>
      <c r="O369" s="79"/>
      <c r="P369" s="79"/>
      <c r="Q369" s="79"/>
      <c r="R369" s="79"/>
      <c r="S369" s="82"/>
      <c r="T369" s="82"/>
      <c r="U369" s="82"/>
      <c r="V369" s="82"/>
      <c r="W369" s="82"/>
      <c r="X369" s="82"/>
      <c r="Y369" s="82"/>
      <c r="Z369" s="82"/>
      <c r="AA369" s="82"/>
    </row>
    <row r="370" ht="15.75" customHeight="1">
      <c r="A370" s="261"/>
      <c r="B370" s="171"/>
      <c r="C370" s="172"/>
      <c r="D370" s="172"/>
      <c r="E370" s="154"/>
      <c r="F370" s="162"/>
      <c r="G370" s="162"/>
      <c r="H370" s="162"/>
      <c r="I370" s="162"/>
      <c r="J370" s="174"/>
      <c r="K370" s="162"/>
      <c r="L370" s="129"/>
      <c r="M370" s="156"/>
      <c r="N370" s="79"/>
      <c r="O370" s="79"/>
      <c r="P370" s="79"/>
      <c r="Q370" s="79"/>
      <c r="R370" s="79"/>
      <c r="S370" s="82"/>
      <c r="T370" s="82"/>
      <c r="U370" s="82"/>
      <c r="V370" s="82"/>
      <c r="W370" s="82"/>
      <c r="X370" s="82"/>
      <c r="Y370" s="82"/>
      <c r="Z370" s="82"/>
      <c r="AA370" s="82"/>
    </row>
    <row r="371" ht="15.75" customHeight="1">
      <c r="A371" s="261"/>
      <c r="B371" s="171"/>
      <c r="C371" s="172"/>
      <c r="D371" s="172"/>
      <c r="E371" s="154"/>
      <c r="F371" s="162"/>
      <c r="G371" s="162"/>
      <c r="H371" s="162"/>
      <c r="I371" s="162"/>
      <c r="J371" s="174"/>
      <c r="K371" s="162"/>
      <c r="L371" s="129"/>
      <c r="M371" s="156"/>
      <c r="N371" s="79"/>
      <c r="O371" s="79"/>
      <c r="P371" s="79"/>
      <c r="Q371" s="79"/>
      <c r="R371" s="79"/>
      <c r="S371" s="82"/>
      <c r="T371" s="82"/>
      <c r="U371" s="82"/>
      <c r="V371" s="82"/>
      <c r="W371" s="82"/>
      <c r="X371" s="82"/>
      <c r="Y371" s="82"/>
      <c r="Z371" s="82"/>
      <c r="AA371" s="82"/>
    </row>
    <row r="372" ht="15.75" customHeight="1">
      <c r="A372" s="261"/>
      <c r="B372" s="171"/>
      <c r="C372" s="172"/>
      <c r="D372" s="172"/>
      <c r="E372" s="154"/>
      <c r="F372" s="162"/>
      <c r="G372" s="162"/>
      <c r="H372" s="162"/>
      <c r="I372" s="162"/>
      <c r="J372" s="174"/>
      <c r="K372" s="162"/>
      <c r="L372" s="129"/>
      <c r="M372" s="156"/>
      <c r="N372" s="79"/>
      <c r="O372" s="79"/>
      <c r="P372" s="79"/>
      <c r="Q372" s="79"/>
      <c r="R372" s="79"/>
      <c r="S372" s="82"/>
      <c r="T372" s="82"/>
      <c r="U372" s="82"/>
      <c r="V372" s="82"/>
      <c r="W372" s="82"/>
      <c r="X372" s="82"/>
      <c r="Y372" s="82"/>
      <c r="Z372" s="82"/>
      <c r="AA372" s="82"/>
    </row>
    <row r="373" ht="15.75" customHeight="1">
      <c r="A373" s="261"/>
      <c r="B373" s="171"/>
      <c r="C373" s="172"/>
      <c r="D373" s="172"/>
      <c r="E373" s="154"/>
      <c r="F373" s="162"/>
      <c r="G373" s="162"/>
      <c r="H373" s="162"/>
      <c r="I373" s="162"/>
      <c r="J373" s="174"/>
      <c r="K373" s="162"/>
      <c r="L373" s="129"/>
      <c r="M373" s="156"/>
      <c r="N373" s="79"/>
      <c r="O373" s="79"/>
      <c r="P373" s="79"/>
      <c r="Q373" s="79"/>
      <c r="R373" s="79"/>
      <c r="S373" s="82"/>
      <c r="T373" s="82"/>
      <c r="U373" s="82"/>
      <c r="V373" s="82"/>
      <c r="W373" s="82"/>
      <c r="X373" s="82"/>
      <c r="Y373" s="82"/>
      <c r="Z373" s="82"/>
      <c r="AA373" s="82"/>
    </row>
    <row r="374" ht="15.75" customHeight="1">
      <c r="A374" s="261"/>
      <c r="B374" s="171"/>
      <c r="C374" s="172"/>
      <c r="D374" s="172"/>
      <c r="E374" s="154"/>
      <c r="F374" s="162"/>
      <c r="G374" s="162"/>
      <c r="H374" s="162"/>
      <c r="I374" s="162"/>
      <c r="J374" s="174"/>
      <c r="K374" s="162"/>
      <c r="L374" s="129"/>
      <c r="M374" s="156"/>
      <c r="N374" s="79"/>
      <c r="O374" s="79"/>
      <c r="P374" s="79"/>
      <c r="Q374" s="79"/>
      <c r="R374" s="79"/>
      <c r="S374" s="82"/>
      <c r="T374" s="82"/>
      <c r="U374" s="82"/>
      <c r="V374" s="82"/>
      <c r="W374" s="82"/>
      <c r="X374" s="82"/>
      <c r="Y374" s="82"/>
      <c r="Z374" s="82"/>
      <c r="AA374" s="82"/>
    </row>
    <row r="375" ht="15.75" customHeight="1">
      <c r="A375" s="261"/>
      <c r="B375" s="171"/>
      <c r="C375" s="172"/>
      <c r="D375" s="172"/>
      <c r="E375" s="154"/>
      <c r="F375" s="162"/>
      <c r="G375" s="162"/>
      <c r="H375" s="162"/>
      <c r="I375" s="162"/>
      <c r="J375" s="174"/>
      <c r="K375" s="162"/>
      <c r="L375" s="129"/>
      <c r="M375" s="156"/>
      <c r="N375" s="79"/>
      <c r="O375" s="79"/>
      <c r="P375" s="79"/>
      <c r="Q375" s="79"/>
      <c r="R375" s="79"/>
      <c r="S375" s="82"/>
      <c r="T375" s="82"/>
      <c r="U375" s="82"/>
      <c r="V375" s="82"/>
      <c r="W375" s="82"/>
      <c r="X375" s="82"/>
      <c r="Y375" s="82"/>
      <c r="Z375" s="82"/>
      <c r="AA375" s="82"/>
    </row>
    <row r="376" ht="15.75" customHeight="1">
      <c r="A376" s="261"/>
      <c r="B376" s="171"/>
      <c r="C376" s="172"/>
      <c r="D376" s="172"/>
      <c r="E376" s="154"/>
      <c r="F376" s="162"/>
      <c r="G376" s="162"/>
      <c r="H376" s="162"/>
      <c r="I376" s="162"/>
      <c r="J376" s="174"/>
      <c r="K376" s="162"/>
      <c r="L376" s="129"/>
      <c r="M376" s="156"/>
      <c r="N376" s="79"/>
      <c r="O376" s="79"/>
      <c r="P376" s="79"/>
      <c r="Q376" s="79"/>
      <c r="R376" s="79"/>
      <c r="S376" s="82"/>
      <c r="T376" s="82"/>
      <c r="U376" s="82"/>
      <c r="V376" s="82"/>
      <c r="W376" s="82"/>
      <c r="X376" s="82"/>
      <c r="Y376" s="82"/>
      <c r="Z376" s="82"/>
      <c r="AA376" s="82"/>
    </row>
    <row r="377" ht="15.75" customHeight="1">
      <c r="A377" s="261"/>
      <c r="B377" s="171"/>
      <c r="C377" s="172"/>
      <c r="D377" s="172"/>
      <c r="E377" s="154"/>
      <c r="F377" s="162"/>
      <c r="G377" s="162"/>
      <c r="H377" s="162"/>
      <c r="I377" s="162"/>
      <c r="J377" s="174"/>
      <c r="K377" s="162"/>
      <c r="L377" s="129"/>
      <c r="M377" s="156"/>
      <c r="N377" s="79"/>
      <c r="O377" s="79"/>
      <c r="P377" s="79"/>
      <c r="Q377" s="79"/>
      <c r="R377" s="79"/>
      <c r="S377" s="82"/>
      <c r="T377" s="82"/>
      <c r="U377" s="82"/>
      <c r="V377" s="82"/>
      <c r="W377" s="82"/>
      <c r="X377" s="82"/>
      <c r="Y377" s="82"/>
      <c r="Z377" s="82"/>
      <c r="AA377" s="82"/>
    </row>
    <row r="378" ht="15.75" customHeight="1">
      <c r="A378" s="261"/>
      <c r="B378" s="171"/>
      <c r="C378" s="172"/>
      <c r="D378" s="172"/>
      <c r="E378" s="154"/>
      <c r="F378" s="162"/>
      <c r="G378" s="162"/>
      <c r="H378" s="162"/>
      <c r="I378" s="162"/>
      <c r="J378" s="174"/>
      <c r="K378" s="162"/>
      <c r="L378" s="129"/>
      <c r="M378" s="156"/>
      <c r="N378" s="79"/>
      <c r="O378" s="79"/>
      <c r="P378" s="79"/>
      <c r="Q378" s="79"/>
      <c r="R378" s="79"/>
      <c r="S378" s="82"/>
      <c r="T378" s="82"/>
      <c r="U378" s="82"/>
      <c r="V378" s="82"/>
      <c r="W378" s="82"/>
      <c r="X378" s="82"/>
      <c r="Y378" s="82"/>
      <c r="Z378" s="82"/>
      <c r="AA378" s="82"/>
    </row>
    <row r="379" ht="15.75" customHeight="1">
      <c r="A379" s="261"/>
      <c r="B379" s="171"/>
      <c r="C379" s="172"/>
      <c r="D379" s="172"/>
      <c r="E379" s="154"/>
      <c r="F379" s="162"/>
      <c r="G379" s="162"/>
      <c r="H379" s="162"/>
      <c r="I379" s="162"/>
      <c r="J379" s="174"/>
      <c r="K379" s="162"/>
      <c r="L379" s="129"/>
      <c r="M379" s="156"/>
      <c r="N379" s="79"/>
      <c r="O379" s="79"/>
      <c r="P379" s="79"/>
      <c r="Q379" s="79"/>
      <c r="R379" s="79"/>
      <c r="S379" s="82"/>
      <c r="T379" s="82"/>
      <c r="U379" s="82"/>
      <c r="V379" s="82"/>
      <c r="W379" s="82"/>
      <c r="X379" s="82"/>
      <c r="Y379" s="82"/>
      <c r="Z379" s="82"/>
      <c r="AA379" s="82"/>
    </row>
    <row r="380" ht="15.75" customHeight="1">
      <c r="A380" s="261"/>
      <c r="B380" s="171"/>
      <c r="C380" s="172"/>
      <c r="D380" s="172"/>
      <c r="E380" s="154"/>
      <c r="F380" s="162"/>
      <c r="G380" s="162"/>
      <c r="H380" s="162"/>
      <c r="I380" s="162"/>
      <c r="J380" s="174"/>
      <c r="K380" s="162"/>
      <c r="L380" s="129"/>
      <c r="M380" s="156"/>
      <c r="N380" s="79"/>
      <c r="O380" s="79"/>
      <c r="P380" s="79"/>
      <c r="Q380" s="79"/>
      <c r="R380" s="79"/>
      <c r="S380" s="82"/>
      <c r="T380" s="82"/>
      <c r="U380" s="82"/>
      <c r="V380" s="82"/>
      <c r="W380" s="82"/>
      <c r="X380" s="82"/>
      <c r="Y380" s="82"/>
      <c r="Z380" s="82"/>
      <c r="AA380" s="82"/>
    </row>
    <row r="381" ht="15.75" customHeight="1">
      <c r="A381" s="261"/>
      <c r="B381" s="171"/>
      <c r="C381" s="172"/>
      <c r="D381" s="172"/>
      <c r="E381" s="154"/>
      <c r="F381" s="162"/>
      <c r="G381" s="162"/>
      <c r="H381" s="162"/>
      <c r="I381" s="162"/>
      <c r="J381" s="174"/>
      <c r="K381" s="162"/>
      <c r="L381" s="129"/>
      <c r="M381" s="156"/>
      <c r="N381" s="79"/>
      <c r="O381" s="79"/>
      <c r="P381" s="79"/>
      <c r="Q381" s="79"/>
      <c r="R381" s="79"/>
      <c r="S381" s="82"/>
      <c r="T381" s="82"/>
      <c r="U381" s="82"/>
      <c r="V381" s="82"/>
      <c r="W381" s="82"/>
      <c r="X381" s="82"/>
      <c r="Y381" s="82"/>
      <c r="Z381" s="82"/>
      <c r="AA381" s="82"/>
    </row>
    <row r="382" ht="15.75" customHeight="1">
      <c r="A382" s="261"/>
      <c r="B382" s="171"/>
      <c r="C382" s="172"/>
      <c r="D382" s="172"/>
      <c r="E382" s="154"/>
      <c r="F382" s="162"/>
      <c r="G382" s="162"/>
      <c r="H382" s="162"/>
      <c r="I382" s="162"/>
      <c r="J382" s="174"/>
      <c r="K382" s="162"/>
      <c r="L382" s="129"/>
      <c r="M382" s="156"/>
      <c r="N382" s="79"/>
      <c r="O382" s="79"/>
      <c r="P382" s="79"/>
      <c r="Q382" s="79"/>
      <c r="R382" s="79"/>
      <c r="S382" s="82"/>
      <c r="T382" s="82"/>
      <c r="U382" s="82"/>
      <c r="V382" s="82"/>
      <c r="W382" s="82"/>
      <c r="X382" s="82"/>
      <c r="Y382" s="82"/>
      <c r="Z382" s="82"/>
      <c r="AA382" s="82"/>
    </row>
    <row r="383" ht="15.75" customHeight="1">
      <c r="A383" s="261"/>
      <c r="B383" s="171"/>
      <c r="C383" s="172"/>
      <c r="D383" s="172"/>
      <c r="E383" s="154"/>
      <c r="F383" s="162"/>
      <c r="G383" s="162"/>
      <c r="H383" s="162"/>
      <c r="I383" s="162"/>
      <c r="J383" s="174"/>
      <c r="K383" s="162"/>
      <c r="L383" s="129"/>
      <c r="M383" s="156"/>
      <c r="N383" s="79"/>
      <c r="O383" s="79"/>
      <c r="P383" s="79"/>
      <c r="Q383" s="79"/>
      <c r="R383" s="79"/>
      <c r="S383" s="82"/>
      <c r="T383" s="82"/>
      <c r="U383" s="82"/>
      <c r="V383" s="82"/>
      <c r="W383" s="82"/>
      <c r="X383" s="82"/>
      <c r="Y383" s="82"/>
      <c r="Z383" s="82"/>
      <c r="AA383" s="82"/>
    </row>
    <row r="384" ht="15.75" customHeight="1">
      <c r="A384" s="261"/>
      <c r="B384" s="171"/>
      <c r="C384" s="172"/>
      <c r="D384" s="172"/>
      <c r="E384" s="154"/>
      <c r="F384" s="162"/>
      <c r="G384" s="162"/>
      <c r="H384" s="162"/>
      <c r="I384" s="162"/>
      <c r="J384" s="174"/>
      <c r="K384" s="162"/>
      <c r="L384" s="129"/>
      <c r="M384" s="156"/>
      <c r="N384" s="79"/>
      <c r="O384" s="79"/>
      <c r="P384" s="79"/>
      <c r="Q384" s="79"/>
      <c r="R384" s="79"/>
      <c r="S384" s="82"/>
      <c r="T384" s="82"/>
      <c r="U384" s="82"/>
      <c r="V384" s="82"/>
      <c r="W384" s="82"/>
      <c r="X384" s="82"/>
      <c r="Y384" s="82"/>
      <c r="Z384" s="82"/>
      <c r="AA384" s="82"/>
    </row>
    <row r="385" ht="15.75" customHeight="1">
      <c r="A385" s="261"/>
      <c r="B385" s="171"/>
      <c r="C385" s="172"/>
      <c r="D385" s="172"/>
      <c r="E385" s="154"/>
      <c r="F385" s="162"/>
      <c r="G385" s="162"/>
      <c r="H385" s="162"/>
      <c r="I385" s="162"/>
      <c r="J385" s="174"/>
      <c r="K385" s="162"/>
      <c r="L385" s="129"/>
      <c r="M385" s="156"/>
      <c r="N385" s="79"/>
      <c r="O385" s="79"/>
      <c r="P385" s="79"/>
      <c r="Q385" s="79"/>
      <c r="R385" s="79"/>
      <c r="S385" s="82"/>
      <c r="T385" s="82"/>
      <c r="U385" s="82"/>
      <c r="V385" s="82"/>
      <c r="W385" s="82"/>
      <c r="X385" s="82"/>
      <c r="Y385" s="82"/>
      <c r="Z385" s="82"/>
      <c r="AA385" s="82"/>
    </row>
    <row r="386" ht="15.75" customHeight="1">
      <c r="A386" s="261"/>
      <c r="B386" s="171"/>
      <c r="C386" s="172"/>
      <c r="D386" s="172"/>
      <c r="E386" s="154"/>
      <c r="F386" s="162"/>
      <c r="G386" s="162"/>
      <c r="H386" s="162"/>
      <c r="I386" s="162"/>
      <c r="J386" s="174"/>
      <c r="K386" s="162"/>
      <c r="L386" s="129"/>
      <c r="M386" s="156"/>
      <c r="N386" s="79"/>
      <c r="O386" s="79"/>
      <c r="P386" s="79"/>
      <c r="Q386" s="79"/>
      <c r="R386" s="79"/>
      <c r="S386" s="82"/>
      <c r="T386" s="82"/>
      <c r="U386" s="82"/>
      <c r="V386" s="82"/>
      <c r="W386" s="82"/>
      <c r="X386" s="82"/>
      <c r="Y386" s="82"/>
      <c r="Z386" s="82"/>
      <c r="AA386" s="82"/>
    </row>
    <row r="387" ht="15.75" customHeight="1">
      <c r="A387" s="261"/>
      <c r="B387" s="171"/>
      <c r="C387" s="172"/>
      <c r="D387" s="172"/>
      <c r="E387" s="154"/>
      <c r="F387" s="162"/>
      <c r="G387" s="162"/>
      <c r="H387" s="162"/>
      <c r="I387" s="162"/>
      <c r="J387" s="174"/>
      <c r="K387" s="162"/>
      <c r="L387" s="129"/>
      <c r="M387" s="156"/>
      <c r="N387" s="79"/>
      <c r="O387" s="79"/>
      <c r="P387" s="79"/>
      <c r="Q387" s="79"/>
      <c r="R387" s="79"/>
      <c r="S387" s="82"/>
      <c r="T387" s="82"/>
      <c r="U387" s="82"/>
      <c r="V387" s="82"/>
      <c r="W387" s="82"/>
      <c r="X387" s="82"/>
      <c r="Y387" s="82"/>
      <c r="Z387" s="82"/>
      <c r="AA387" s="82"/>
    </row>
    <row r="388" ht="15.75" customHeight="1">
      <c r="A388" s="261"/>
      <c r="B388" s="171"/>
      <c r="C388" s="172"/>
      <c r="D388" s="172"/>
      <c r="E388" s="154"/>
      <c r="F388" s="162"/>
      <c r="G388" s="162"/>
      <c r="H388" s="162"/>
      <c r="I388" s="162"/>
      <c r="J388" s="174"/>
      <c r="K388" s="162"/>
      <c r="L388" s="129"/>
      <c r="M388" s="156"/>
      <c r="N388" s="79"/>
      <c r="O388" s="79"/>
      <c r="P388" s="79"/>
      <c r="Q388" s="79"/>
      <c r="R388" s="79"/>
      <c r="S388" s="82"/>
      <c r="T388" s="82"/>
      <c r="U388" s="82"/>
      <c r="V388" s="82"/>
      <c r="W388" s="82"/>
      <c r="X388" s="82"/>
      <c r="Y388" s="82"/>
      <c r="Z388" s="82"/>
      <c r="AA388" s="82"/>
    </row>
    <row r="389" ht="15.75" customHeight="1">
      <c r="A389" s="261"/>
      <c r="B389" s="171"/>
      <c r="C389" s="172"/>
      <c r="D389" s="172"/>
      <c r="E389" s="154"/>
      <c r="F389" s="162"/>
      <c r="G389" s="162"/>
      <c r="H389" s="162"/>
      <c r="I389" s="162"/>
      <c r="J389" s="174"/>
      <c r="K389" s="162"/>
      <c r="L389" s="129"/>
      <c r="M389" s="156"/>
      <c r="N389" s="79"/>
      <c r="O389" s="79"/>
      <c r="P389" s="79"/>
      <c r="Q389" s="79"/>
      <c r="R389" s="79"/>
      <c r="S389" s="82"/>
      <c r="T389" s="82"/>
      <c r="U389" s="82"/>
      <c r="V389" s="82"/>
      <c r="W389" s="82"/>
      <c r="X389" s="82"/>
      <c r="Y389" s="82"/>
      <c r="Z389" s="82"/>
      <c r="AA389" s="82"/>
    </row>
    <row r="390" ht="15.75" customHeight="1">
      <c r="A390" s="261"/>
      <c r="B390" s="171"/>
      <c r="C390" s="172"/>
      <c r="D390" s="172"/>
      <c r="E390" s="154"/>
      <c r="F390" s="162"/>
      <c r="G390" s="162"/>
      <c r="H390" s="162"/>
      <c r="I390" s="162"/>
      <c r="J390" s="174"/>
      <c r="K390" s="162"/>
      <c r="L390" s="129"/>
      <c r="M390" s="156"/>
      <c r="N390" s="79"/>
      <c r="O390" s="79"/>
      <c r="P390" s="79"/>
      <c r="Q390" s="79"/>
      <c r="R390" s="79"/>
      <c r="S390" s="82"/>
      <c r="T390" s="82"/>
      <c r="U390" s="82"/>
      <c r="V390" s="82"/>
      <c r="W390" s="82"/>
      <c r="X390" s="82"/>
      <c r="Y390" s="82"/>
      <c r="Z390" s="82"/>
      <c r="AA390" s="82"/>
    </row>
    <row r="391" ht="15.75" customHeight="1">
      <c r="A391" s="261"/>
      <c r="B391" s="171"/>
      <c r="C391" s="172"/>
      <c r="D391" s="172"/>
      <c r="E391" s="154"/>
      <c r="F391" s="162"/>
      <c r="G391" s="162"/>
      <c r="H391" s="162"/>
      <c r="I391" s="162"/>
      <c r="J391" s="174"/>
      <c r="K391" s="162"/>
      <c r="L391" s="129"/>
      <c r="M391" s="156"/>
      <c r="N391" s="79"/>
      <c r="O391" s="79"/>
      <c r="P391" s="79"/>
      <c r="Q391" s="79"/>
      <c r="R391" s="79"/>
      <c r="S391" s="82"/>
      <c r="T391" s="82"/>
      <c r="U391" s="82"/>
      <c r="V391" s="82"/>
      <c r="W391" s="82"/>
      <c r="X391" s="82"/>
      <c r="Y391" s="82"/>
      <c r="Z391" s="82"/>
      <c r="AA391" s="82"/>
    </row>
    <row r="392" ht="15.75" customHeight="1">
      <c r="A392" s="261"/>
      <c r="B392" s="171"/>
      <c r="C392" s="172"/>
      <c r="D392" s="172"/>
      <c r="E392" s="154"/>
      <c r="F392" s="162"/>
      <c r="G392" s="162"/>
      <c r="H392" s="162"/>
      <c r="I392" s="162"/>
      <c r="J392" s="174"/>
      <c r="K392" s="162"/>
      <c r="L392" s="129"/>
      <c r="M392" s="156"/>
      <c r="N392" s="79"/>
      <c r="O392" s="79"/>
      <c r="P392" s="79"/>
      <c r="Q392" s="79"/>
      <c r="R392" s="79"/>
      <c r="S392" s="82"/>
      <c r="T392" s="82"/>
      <c r="U392" s="82"/>
      <c r="V392" s="82"/>
      <c r="W392" s="82"/>
      <c r="X392" s="82"/>
      <c r="Y392" s="82"/>
      <c r="Z392" s="82"/>
      <c r="AA392" s="82"/>
    </row>
    <row r="393" ht="15.75" customHeight="1">
      <c r="A393" s="261"/>
      <c r="B393" s="171"/>
      <c r="C393" s="172"/>
      <c r="D393" s="172"/>
      <c r="E393" s="154"/>
      <c r="F393" s="162"/>
      <c r="G393" s="162"/>
      <c r="H393" s="162"/>
      <c r="I393" s="162"/>
      <c r="J393" s="174"/>
      <c r="K393" s="162"/>
      <c r="L393" s="129"/>
      <c r="M393" s="156"/>
      <c r="N393" s="79"/>
      <c r="O393" s="79"/>
      <c r="P393" s="79"/>
      <c r="Q393" s="79"/>
      <c r="R393" s="79"/>
      <c r="S393" s="82"/>
      <c r="T393" s="82"/>
      <c r="U393" s="82"/>
      <c r="V393" s="82"/>
      <c r="W393" s="82"/>
      <c r="X393" s="82"/>
      <c r="Y393" s="82"/>
      <c r="Z393" s="82"/>
      <c r="AA393" s="82"/>
    </row>
    <row r="394" ht="15.75" customHeight="1">
      <c r="A394" s="261"/>
      <c r="B394" s="171"/>
      <c r="C394" s="172"/>
      <c r="D394" s="172"/>
      <c r="E394" s="154"/>
      <c r="F394" s="162"/>
      <c r="G394" s="162"/>
      <c r="H394" s="162"/>
      <c r="I394" s="162"/>
      <c r="J394" s="174"/>
      <c r="K394" s="162"/>
      <c r="L394" s="129"/>
      <c r="M394" s="156"/>
      <c r="N394" s="79"/>
      <c r="O394" s="79"/>
      <c r="P394" s="79"/>
      <c r="Q394" s="79"/>
      <c r="R394" s="79"/>
      <c r="S394" s="82"/>
      <c r="T394" s="82"/>
      <c r="U394" s="82"/>
      <c r="V394" s="82"/>
      <c r="W394" s="82"/>
      <c r="X394" s="82"/>
      <c r="Y394" s="82"/>
      <c r="Z394" s="82"/>
      <c r="AA394" s="82"/>
    </row>
    <row r="395" ht="15.75" customHeight="1">
      <c r="A395" s="261"/>
      <c r="B395" s="171"/>
      <c r="C395" s="172"/>
      <c r="D395" s="172"/>
      <c r="E395" s="154"/>
      <c r="F395" s="162"/>
      <c r="G395" s="162"/>
      <c r="H395" s="162"/>
      <c r="I395" s="162"/>
      <c r="J395" s="174"/>
      <c r="K395" s="162"/>
      <c r="L395" s="129"/>
      <c r="M395" s="156"/>
      <c r="N395" s="79"/>
      <c r="O395" s="79"/>
      <c r="P395" s="79"/>
      <c r="Q395" s="79"/>
      <c r="R395" s="79"/>
      <c r="S395" s="82"/>
      <c r="T395" s="82"/>
      <c r="U395" s="82"/>
      <c r="V395" s="82"/>
      <c r="W395" s="82"/>
      <c r="X395" s="82"/>
      <c r="Y395" s="82"/>
      <c r="Z395" s="82"/>
      <c r="AA395" s="82"/>
    </row>
    <row r="396" ht="15.75" customHeight="1">
      <c r="A396" s="261"/>
      <c r="B396" s="171"/>
      <c r="C396" s="172"/>
      <c r="D396" s="172"/>
      <c r="E396" s="154"/>
      <c r="F396" s="162"/>
      <c r="G396" s="162"/>
      <c r="H396" s="162"/>
      <c r="I396" s="162"/>
      <c r="J396" s="174"/>
      <c r="K396" s="162"/>
      <c r="L396" s="129"/>
      <c r="M396" s="156"/>
      <c r="N396" s="79"/>
      <c r="O396" s="79"/>
      <c r="P396" s="79"/>
      <c r="Q396" s="79"/>
      <c r="R396" s="79"/>
      <c r="S396" s="82"/>
      <c r="T396" s="82"/>
      <c r="U396" s="82"/>
      <c r="V396" s="82"/>
      <c r="W396" s="82"/>
      <c r="X396" s="82"/>
      <c r="Y396" s="82"/>
      <c r="Z396" s="82"/>
      <c r="AA396" s="82"/>
    </row>
    <row r="397" ht="15.75" customHeight="1">
      <c r="A397" s="261"/>
      <c r="B397" s="171"/>
      <c r="C397" s="172"/>
      <c r="D397" s="172"/>
      <c r="E397" s="154"/>
      <c r="F397" s="162"/>
      <c r="G397" s="162"/>
      <c r="H397" s="162"/>
      <c r="I397" s="162"/>
      <c r="J397" s="174"/>
      <c r="K397" s="162"/>
      <c r="L397" s="129"/>
      <c r="M397" s="156"/>
      <c r="N397" s="79"/>
      <c r="O397" s="79"/>
      <c r="P397" s="79"/>
      <c r="Q397" s="79"/>
      <c r="R397" s="79"/>
      <c r="S397" s="82"/>
      <c r="T397" s="82"/>
      <c r="U397" s="82"/>
      <c r="V397" s="82"/>
      <c r="W397" s="82"/>
      <c r="X397" s="82"/>
      <c r="Y397" s="82"/>
      <c r="Z397" s="82"/>
      <c r="AA397" s="82"/>
    </row>
    <row r="398" ht="15.75" customHeight="1">
      <c r="A398" s="261"/>
      <c r="B398" s="171"/>
      <c r="C398" s="172"/>
      <c r="D398" s="172"/>
      <c r="E398" s="154"/>
      <c r="F398" s="162"/>
      <c r="G398" s="162"/>
      <c r="H398" s="162"/>
      <c r="I398" s="162"/>
      <c r="J398" s="174"/>
      <c r="K398" s="162"/>
      <c r="L398" s="129"/>
      <c r="M398" s="156"/>
      <c r="N398" s="79"/>
      <c r="O398" s="79"/>
      <c r="P398" s="79"/>
      <c r="Q398" s="79"/>
      <c r="R398" s="79"/>
      <c r="S398" s="82"/>
      <c r="T398" s="82"/>
      <c r="U398" s="82"/>
      <c r="V398" s="82"/>
      <c r="W398" s="82"/>
      <c r="X398" s="82"/>
      <c r="Y398" s="82"/>
      <c r="Z398" s="82"/>
      <c r="AA398" s="82"/>
    </row>
    <row r="399" ht="15.75" customHeight="1">
      <c r="A399" s="261"/>
      <c r="B399" s="171"/>
      <c r="C399" s="172"/>
      <c r="D399" s="172"/>
      <c r="E399" s="154"/>
      <c r="F399" s="162"/>
      <c r="G399" s="162"/>
      <c r="H399" s="162"/>
      <c r="I399" s="162"/>
      <c r="J399" s="174"/>
      <c r="K399" s="162"/>
      <c r="L399" s="129"/>
      <c r="M399" s="156"/>
      <c r="N399" s="79"/>
      <c r="O399" s="79"/>
      <c r="P399" s="79"/>
      <c r="Q399" s="79"/>
      <c r="R399" s="79"/>
      <c r="S399" s="82"/>
      <c r="T399" s="82"/>
      <c r="U399" s="82"/>
      <c r="V399" s="82"/>
      <c r="W399" s="82"/>
      <c r="X399" s="82"/>
      <c r="Y399" s="82"/>
      <c r="Z399" s="82"/>
      <c r="AA399" s="82"/>
    </row>
    <row r="400" ht="15.75" customHeight="1">
      <c r="A400" s="261"/>
      <c r="B400" s="171"/>
      <c r="C400" s="172"/>
      <c r="D400" s="172"/>
      <c r="E400" s="154"/>
      <c r="F400" s="162"/>
      <c r="G400" s="162"/>
      <c r="H400" s="162"/>
      <c r="I400" s="162"/>
      <c r="J400" s="174"/>
      <c r="K400" s="162"/>
      <c r="L400" s="129"/>
      <c r="M400" s="156"/>
      <c r="N400" s="79"/>
      <c r="O400" s="79"/>
      <c r="P400" s="79"/>
      <c r="Q400" s="79"/>
      <c r="R400" s="79"/>
      <c r="S400" s="82"/>
      <c r="T400" s="82"/>
      <c r="U400" s="82"/>
      <c r="V400" s="82"/>
      <c r="W400" s="82"/>
      <c r="X400" s="82"/>
      <c r="Y400" s="82"/>
      <c r="Z400" s="82"/>
      <c r="AA400" s="82"/>
    </row>
    <row r="401" ht="15.75" customHeight="1">
      <c r="A401" s="261"/>
      <c r="B401" s="171"/>
      <c r="C401" s="172"/>
      <c r="D401" s="172"/>
      <c r="E401" s="154"/>
      <c r="F401" s="162"/>
      <c r="G401" s="162"/>
      <c r="H401" s="162"/>
      <c r="I401" s="162"/>
      <c r="J401" s="174"/>
      <c r="K401" s="162"/>
      <c r="L401" s="129"/>
      <c r="M401" s="156"/>
      <c r="N401" s="79"/>
      <c r="O401" s="79"/>
      <c r="P401" s="79"/>
      <c r="Q401" s="79"/>
      <c r="R401" s="79"/>
      <c r="S401" s="82"/>
      <c r="T401" s="82"/>
      <c r="U401" s="82"/>
      <c r="V401" s="82"/>
      <c r="W401" s="82"/>
      <c r="X401" s="82"/>
      <c r="Y401" s="82"/>
      <c r="Z401" s="82"/>
      <c r="AA401" s="82"/>
    </row>
    <row r="402" ht="15.75" customHeight="1">
      <c r="A402" s="261"/>
      <c r="B402" s="171"/>
      <c r="C402" s="172"/>
      <c r="D402" s="172"/>
      <c r="E402" s="154"/>
      <c r="F402" s="162"/>
      <c r="G402" s="162"/>
      <c r="H402" s="162"/>
      <c r="I402" s="162"/>
      <c r="J402" s="174"/>
      <c r="K402" s="162"/>
      <c r="L402" s="129"/>
      <c r="M402" s="156"/>
      <c r="N402" s="79"/>
      <c r="O402" s="79"/>
      <c r="P402" s="79"/>
      <c r="Q402" s="79"/>
      <c r="R402" s="79"/>
      <c r="S402" s="82"/>
      <c r="T402" s="82"/>
      <c r="U402" s="82"/>
      <c r="V402" s="82"/>
      <c r="W402" s="82"/>
      <c r="X402" s="82"/>
      <c r="Y402" s="82"/>
      <c r="Z402" s="82"/>
      <c r="AA402" s="82"/>
    </row>
    <row r="403" ht="15.75" customHeight="1">
      <c r="A403" s="261"/>
      <c r="B403" s="171"/>
      <c r="C403" s="172"/>
      <c r="D403" s="172"/>
      <c r="E403" s="154"/>
      <c r="F403" s="162"/>
      <c r="G403" s="162"/>
      <c r="H403" s="162"/>
      <c r="I403" s="162"/>
      <c r="J403" s="174"/>
      <c r="K403" s="162"/>
      <c r="L403" s="129"/>
      <c r="M403" s="156"/>
      <c r="N403" s="79"/>
      <c r="O403" s="79"/>
      <c r="P403" s="79"/>
      <c r="Q403" s="79"/>
      <c r="R403" s="79"/>
      <c r="S403" s="82"/>
      <c r="T403" s="82"/>
      <c r="U403" s="82"/>
      <c r="V403" s="82"/>
      <c r="W403" s="82"/>
      <c r="X403" s="82"/>
      <c r="Y403" s="82"/>
      <c r="Z403" s="82"/>
      <c r="AA403" s="82"/>
    </row>
    <row r="404" ht="15.75" customHeight="1">
      <c r="A404" s="261"/>
      <c r="B404" s="171"/>
      <c r="C404" s="172"/>
      <c r="D404" s="172"/>
      <c r="E404" s="154"/>
      <c r="F404" s="162"/>
      <c r="G404" s="162"/>
      <c r="H404" s="162"/>
      <c r="I404" s="162"/>
      <c r="J404" s="174"/>
      <c r="K404" s="162"/>
      <c r="L404" s="129"/>
      <c r="M404" s="156"/>
      <c r="N404" s="79"/>
      <c r="O404" s="79"/>
      <c r="P404" s="79"/>
      <c r="Q404" s="79"/>
      <c r="R404" s="79"/>
      <c r="S404" s="82"/>
      <c r="T404" s="82"/>
      <c r="U404" s="82"/>
      <c r="V404" s="82"/>
      <c r="W404" s="82"/>
      <c r="X404" s="82"/>
      <c r="Y404" s="82"/>
      <c r="Z404" s="82"/>
      <c r="AA404" s="82"/>
    </row>
    <row r="405" ht="15.75" customHeight="1">
      <c r="A405" s="261"/>
      <c r="B405" s="171"/>
      <c r="C405" s="172"/>
      <c r="D405" s="172"/>
      <c r="E405" s="154"/>
      <c r="F405" s="162"/>
      <c r="G405" s="162"/>
      <c r="H405" s="162"/>
      <c r="I405" s="162"/>
      <c r="J405" s="174"/>
      <c r="K405" s="162"/>
      <c r="L405" s="129"/>
      <c r="M405" s="156"/>
      <c r="N405" s="79"/>
      <c r="O405" s="79"/>
      <c r="P405" s="79"/>
      <c r="Q405" s="79"/>
      <c r="R405" s="79"/>
      <c r="S405" s="82"/>
      <c r="T405" s="82"/>
      <c r="U405" s="82"/>
      <c r="V405" s="82"/>
      <c r="W405" s="82"/>
      <c r="X405" s="82"/>
      <c r="Y405" s="82"/>
      <c r="Z405" s="82"/>
      <c r="AA405" s="82"/>
    </row>
    <row r="406" ht="15.75" customHeight="1">
      <c r="A406" s="261"/>
      <c r="B406" s="171"/>
      <c r="C406" s="172"/>
      <c r="D406" s="172"/>
      <c r="E406" s="154"/>
      <c r="F406" s="162"/>
      <c r="G406" s="162"/>
      <c r="H406" s="162"/>
      <c r="I406" s="162"/>
      <c r="J406" s="174"/>
      <c r="K406" s="162"/>
      <c r="L406" s="129"/>
      <c r="M406" s="156"/>
      <c r="N406" s="79"/>
      <c r="O406" s="79"/>
      <c r="P406" s="79"/>
      <c r="Q406" s="79"/>
      <c r="R406" s="79"/>
      <c r="S406" s="82"/>
      <c r="T406" s="82"/>
      <c r="U406" s="82"/>
      <c r="V406" s="82"/>
      <c r="W406" s="82"/>
      <c r="X406" s="82"/>
      <c r="Y406" s="82"/>
      <c r="Z406" s="82"/>
      <c r="AA406" s="82"/>
    </row>
    <row r="407" ht="15.75" customHeight="1">
      <c r="A407" s="261"/>
      <c r="B407" s="171"/>
      <c r="C407" s="172"/>
      <c r="D407" s="172"/>
      <c r="E407" s="154"/>
      <c r="F407" s="162"/>
      <c r="G407" s="162"/>
      <c r="H407" s="162"/>
      <c r="I407" s="162"/>
      <c r="J407" s="174"/>
      <c r="K407" s="162"/>
      <c r="L407" s="129"/>
      <c r="M407" s="156"/>
      <c r="N407" s="79"/>
      <c r="O407" s="79"/>
      <c r="P407" s="79"/>
      <c r="Q407" s="79"/>
      <c r="R407" s="79"/>
      <c r="S407" s="82"/>
      <c r="T407" s="82"/>
      <c r="U407" s="82"/>
      <c r="V407" s="82"/>
      <c r="W407" s="82"/>
      <c r="X407" s="82"/>
      <c r="Y407" s="82"/>
      <c r="Z407" s="82"/>
      <c r="AA407" s="82"/>
    </row>
    <row r="408" ht="15.75" customHeight="1">
      <c r="A408" s="261"/>
      <c r="B408" s="171"/>
      <c r="C408" s="172"/>
      <c r="D408" s="172"/>
      <c r="E408" s="154"/>
      <c r="F408" s="162"/>
      <c r="G408" s="162"/>
      <c r="H408" s="162"/>
      <c r="I408" s="162"/>
      <c r="J408" s="174"/>
      <c r="K408" s="162"/>
      <c r="L408" s="129"/>
      <c r="M408" s="156"/>
      <c r="N408" s="79"/>
      <c r="O408" s="79"/>
      <c r="P408" s="79"/>
      <c r="Q408" s="79"/>
      <c r="R408" s="79"/>
      <c r="S408" s="82"/>
      <c r="T408" s="82"/>
      <c r="U408" s="82"/>
      <c r="V408" s="82"/>
      <c r="W408" s="82"/>
      <c r="X408" s="82"/>
      <c r="Y408" s="82"/>
      <c r="Z408" s="82"/>
      <c r="AA408" s="82"/>
    </row>
    <row r="409" ht="15.75" customHeight="1">
      <c r="A409" s="261"/>
      <c r="B409" s="171"/>
      <c r="C409" s="172"/>
      <c r="D409" s="172"/>
      <c r="E409" s="154"/>
      <c r="F409" s="162"/>
      <c r="G409" s="162"/>
      <c r="H409" s="162"/>
      <c r="I409" s="162"/>
      <c r="J409" s="174"/>
      <c r="K409" s="162"/>
      <c r="L409" s="129"/>
      <c r="M409" s="156"/>
      <c r="N409" s="79"/>
      <c r="O409" s="79"/>
      <c r="P409" s="79"/>
      <c r="Q409" s="79"/>
      <c r="R409" s="79"/>
      <c r="S409" s="82"/>
      <c r="T409" s="82"/>
      <c r="U409" s="82"/>
      <c r="V409" s="82"/>
      <c r="W409" s="82"/>
      <c r="X409" s="82"/>
      <c r="Y409" s="82"/>
      <c r="Z409" s="82"/>
      <c r="AA409" s="82"/>
    </row>
    <row r="410" ht="15.75" customHeight="1">
      <c r="A410" s="261"/>
      <c r="B410" s="171"/>
      <c r="C410" s="172"/>
      <c r="D410" s="172"/>
      <c r="E410" s="154"/>
      <c r="F410" s="162"/>
      <c r="G410" s="162"/>
      <c r="H410" s="162"/>
      <c r="I410" s="162"/>
      <c r="J410" s="174"/>
      <c r="K410" s="162"/>
      <c r="L410" s="129"/>
      <c r="M410" s="156"/>
      <c r="N410" s="79"/>
      <c r="O410" s="79"/>
      <c r="P410" s="79"/>
      <c r="Q410" s="79"/>
      <c r="R410" s="79"/>
      <c r="S410" s="82"/>
      <c r="T410" s="82"/>
      <c r="U410" s="82"/>
      <c r="V410" s="82"/>
      <c r="W410" s="82"/>
      <c r="X410" s="82"/>
      <c r="Y410" s="82"/>
      <c r="Z410" s="82"/>
      <c r="AA410" s="82"/>
    </row>
    <row r="411" ht="15.75" customHeight="1">
      <c r="A411" s="261"/>
      <c r="B411" s="171"/>
      <c r="C411" s="172"/>
      <c r="D411" s="172"/>
      <c r="E411" s="154"/>
      <c r="F411" s="162"/>
      <c r="G411" s="162"/>
      <c r="H411" s="162"/>
      <c r="I411" s="162"/>
      <c r="J411" s="174"/>
      <c r="K411" s="162"/>
      <c r="L411" s="129"/>
      <c r="M411" s="156"/>
      <c r="N411" s="79"/>
      <c r="O411" s="79"/>
      <c r="P411" s="79"/>
      <c r="Q411" s="79"/>
      <c r="R411" s="79"/>
      <c r="S411" s="82"/>
      <c r="T411" s="82"/>
      <c r="U411" s="82"/>
      <c r="V411" s="82"/>
      <c r="W411" s="82"/>
      <c r="X411" s="82"/>
      <c r="Y411" s="82"/>
      <c r="Z411" s="82"/>
      <c r="AA411" s="82"/>
    </row>
    <row r="412" ht="15.75" customHeight="1">
      <c r="A412" s="261"/>
      <c r="B412" s="171"/>
      <c r="C412" s="172"/>
      <c r="D412" s="172"/>
      <c r="E412" s="154"/>
      <c r="F412" s="162"/>
      <c r="G412" s="162"/>
      <c r="H412" s="162"/>
      <c r="I412" s="162"/>
      <c r="J412" s="174"/>
      <c r="K412" s="162"/>
      <c r="L412" s="129"/>
      <c r="M412" s="156"/>
      <c r="N412" s="79"/>
      <c r="O412" s="79"/>
      <c r="P412" s="79"/>
      <c r="Q412" s="79"/>
      <c r="R412" s="79"/>
      <c r="S412" s="82"/>
      <c r="T412" s="82"/>
      <c r="U412" s="82"/>
      <c r="V412" s="82"/>
      <c r="W412" s="82"/>
      <c r="X412" s="82"/>
      <c r="Y412" s="82"/>
      <c r="Z412" s="82"/>
      <c r="AA412" s="82"/>
    </row>
    <row r="413" ht="15.75" customHeight="1">
      <c r="A413" s="261"/>
      <c r="B413" s="171"/>
      <c r="C413" s="172"/>
      <c r="D413" s="172"/>
      <c r="E413" s="154"/>
      <c r="F413" s="162"/>
      <c r="G413" s="162"/>
      <c r="H413" s="162"/>
      <c r="I413" s="162"/>
      <c r="J413" s="174"/>
      <c r="K413" s="162"/>
      <c r="L413" s="129"/>
      <c r="M413" s="156"/>
      <c r="N413" s="79"/>
      <c r="O413" s="79"/>
      <c r="P413" s="79"/>
      <c r="Q413" s="79"/>
      <c r="R413" s="79"/>
      <c r="S413" s="82"/>
      <c r="T413" s="82"/>
      <c r="U413" s="82"/>
      <c r="V413" s="82"/>
      <c r="W413" s="82"/>
      <c r="X413" s="82"/>
      <c r="Y413" s="82"/>
      <c r="Z413" s="82"/>
      <c r="AA413" s="82"/>
    </row>
    <row r="414" ht="15.75" customHeight="1">
      <c r="A414" s="261"/>
      <c r="B414" s="171"/>
      <c r="C414" s="172"/>
      <c r="D414" s="172"/>
      <c r="E414" s="154"/>
      <c r="F414" s="162"/>
      <c r="G414" s="162"/>
      <c r="H414" s="162"/>
      <c r="I414" s="162"/>
      <c r="J414" s="174"/>
      <c r="K414" s="162"/>
      <c r="L414" s="129"/>
      <c r="M414" s="156"/>
      <c r="N414" s="79"/>
      <c r="O414" s="79"/>
      <c r="P414" s="79"/>
      <c r="Q414" s="79"/>
      <c r="R414" s="79"/>
      <c r="S414" s="82"/>
      <c r="T414" s="82"/>
      <c r="U414" s="82"/>
      <c r="V414" s="82"/>
      <c r="W414" s="82"/>
      <c r="X414" s="82"/>
      <c r="Y414" s="82"/>
      <c r="Z414" s="82"/>
      <c r="AA414" s="82"/>
    </row>
    <row r="415" ht="15.75" customHeight="1">
      <c r="A415" s="261"/>
      <c r="B415" s="171"/>
      <c r="C415" s="172"/>
      <c r="D415" s="172"/>
      <c r="E415" s="154"/>
      <c r="F415" s="162"/>
      <c r="G415" s="162"/>
      <c r="H415" s="162"/>
      <c r="I415" s="162"/>
      <c r="J415" s="174"/>
      <c r="K415" s="162"/>
      <c r="L415" s="129"/>
      <c r="M415" s="156"/>
      <c r="N415" s="79"/>
      <c r="O415" s="79"/>
      <c r="P415" s="79"/>
      <c r="Q415" s="79"/>
      <c r="R415" s="79"/>
      <c r="S415" s="82"/>
      <c r="T415" s="82"/>
      <c r="U415" s="82"/>
      <c r="V415" s="82"/>
      <c r="W415" s="82"/>
      <c r="X415" s="82"/>
      <c r="Y415" s="82"/>
      <c r="Z415" s="82"/>
      <c r="AA415" s="82"/>
    </row>
    <row r="416" ht="15.75" customHeight="1">
      <c r="A416" s="261"/>
      <c r="B416" s="171"/>
      <c r="C416" s="172"/>
      <c r="D416" s="172"/>
      <c r="E416" s="154"/>
      <c r="F416" s="162"/>
      <c r="G416" s="162"/>
      <c r="H416" s="162"/>
      <c r="I416" s="162"/>
      <c r="J416" s="174"/>
      <c r="K416" s="162"/>
      <c r="L416" s="129"/>
      <c r="M416" s="156"/>
      <c r="N416" s="79"/>
      <c r="O416" s="79"/>
      <c r="P416" s="79"/>
      <c r="Q416" s="79"/>
      <c r="R416" s="79"/>
      <c r="S416" s="82"/>
      <c r="T416" s="82"/>
      <c r="U416" s="82"/>
      <c r="V416" s="82"/>
      <c r="W416" s="82"/>
      <c r="X416" s="82"/>
      <c r="Y416" s="82"/>
      <c r="Z416" s="82"/>
      <c r="AA416" s="82"/>
    </row>
    <row r="417" ht="15.75" customHeight="1">
      <c r="A417" s="261"/>
      <c r="B417" s="171"/>
      <c r="C417" s="172"/>
      <c r="D417" s="172"/>
      <c r="E417" s="154"/>
      <c r="F417" s="162"/>
      <c r="G417" s="162"/>
      <c r="H417" s="162"/>
      <c r="I417" s="162"/>
      <c r="J417" s="174"/>
      <c r="K417" s="162"/>
      <c r="L417" s="129"/>
      <c r="M417" s="156"/>
      <c r="N417" s="79"/>
      <c r="O417" s="79"/>
      <c r="P417" s="79"/>
      <c r="Q417" s="79"/>
      <c r="R417" s="79"/>
      <c r="S417" s="82"/>
      <c r="T417" s="82"/>
      <c r="U417" s="82"/>
      <c r="V417" s="82"/>
      <c r="W417" s="82"/>
      <c r="X417" s="82"/>
      <c r="Y417" s="82"/>
      <c r="Z417" s="82"/>
      <c r="AA417" s="82"/>
    </row>
    <row r="418" ht="15.75" customHeight="1">
      <c r="A418" s="261"/>
      <c r="B418" s="171"/>
      <c r="C418" s="172"/>
      <c r="D418" s="172"/>
      <c r="E418" s="154"/>
      <c r="F418" s="162"/>
      <c r="G418" s="162"/>
      <c r="H418" s="162"/>
      <c r="I418" s="162"/>
      <c r="J418" s="174"/>
      <c r="K418" s="162"/>
      <c r="L418" s="129"/>
      <c r="M418" s="156"/>
      <c r="N418" s="79"/>
      <c r="O418" s="79"/>
      <c r="P418" s="79"/>
      <c r="Q418" s="79"/>
      <c r="R418" s="79"/>
      <c r="S418" s="82"/>
      <c r="T418" s="82"/>
      <c r="U418" s="82"/>
      <c r="V418" s="82"/>
      <c r="W418" s="82"/>
      <c r="X418" s="82"/>
      <c r="Y418" s="82"/>
      <c r="Z418" s="82"/>
      <c r="AA418" s="82"/>
    </row>
    <row r="419" ht="15.75" customHeight="1">
      <c r="A419" s="261"/>
      <c r="B419" s="171"/>
      <c r="C419" s="172"/>
      <c r="D419" s="172"/>
      <c r="E419" s="154"/>
      <c r="F419" s="162"/>
      <c r="G419" s="162"/>
      <c r="H419" s="162"/>
      <c r="I419" s="162"/>
      <c r="J419" s="174"/>
      <c r="K419" s="162"/>
      <c r="L419" s="129"/>
      <c r="M419" s="156"/>
      <c r="N419" s="79"/>
      <c r="O419" s="79"/>
      <c r="P419" s="79"/>
      <c r="Q419" s="79"/>
      <c r="R419" s="79"/>
      <c r="S419" s="82"/>
      <c r="T419" s="82"/>
      <c r="U419" s="82"/>
      <c r="V419" s="82"/>
      <c r="W419" s="82"/>
      <c r="X419" s="82"/>
      <c r="Y419" s="82"/>
      <c r="Z419" s="82"/>
      <c r="AA419" s="82"/>
    </row>
    <row r="420" ht="15.75" customHeight="1">
      <c r="A420" s="261"/>
      <c r="B420" s="171"/>
      <c r="C420" s="172"/>
      <c r="D420" s="172"/>
      <c r="E420" s="154"/>
      <c r="F420" s="162"/>
      <c r="G420" s="162"/>
      <c r="H420" s="162"/>
      <c r="I420" s="162"/>
      <c r="J420" s="174"/>
      <c r="K420" s="162"/>
      <c r="L420" s="129"/>
      <c r="M420" s="156"/>
      <c r="N420" s="79"/>
      <c r="O420" s="79"/>
      <c r="P420" s="79"/>
      <c r="Q420" s="79"/>
      <c r="R420" s="79"/>
      <c r="S420" s="82"/>
      <c r="T420" s="82"/>
      <c r="U420" s="82"/>
      <c r="V420" s="82"/>
      <c r="W420" s="82"/>
      <c r="X420" s="82"/>
      <c r="Y420" s="82"/>
      <c r="Z420" s="82"/>
      <c r="AA420" s="82"/>
    </row>
    <row r="421" ht="15.75" customHeight="1">
      <c r="A421" s="261"/>
      <c r="B421" s="171"/>
      <c r="C421" s="172"/>
      <c r="D421" s="172"/>
      <c r="E421" s="154"/>
      <c r="F421" s="162"/>
      <c r="G421" s="162"/>
      <c r="H421" s="162"/>
      <c r="I421" s="162"/>
      <c r="J421" s="174"/>
      <c r="K421" s="162"/>
      <c r="L421" s="129"/>
      <c r="M421" s="156"/>
      <c r="N421" s="79"/>
      <c r="O421" s="79"/>
      <c r="P421" s="79"/>
      <c r="Q421" s="79"/>
      <c r="R421" s="79"/>
      <c r="S421" s="82"/>
      <c r="T421" s="82"/>
      <c r="U421" s="82"/>
      <c r="V421" s="82"/>
      <c r="W421" s="82"/>
      <c r="X421" s="82"/>
      <c r="Y421" s="82"/>
      <c r="Z421" s="82"/>
      <c r="AA421" s="82"/>
    </row>
    <row r="422" ht="15.75" customHeight="1">
      <c r="A422" s="261"/>
      <c r="B422" s="171"/>
      <c r="C422" s="172"/>
      <c r="D422" s="172"/>
      <c r="E422" s="154"/>
      <c r="F422" s="162"/>
      <c r="G422" s="162"/>
      <c r="H422" s="162"/>
      <c r="I422" s="162"/>
      <c r="J422" s="174"/>
      <c r="K422" s="162"/>
      <c r="L422" s="129"/>
      <c r="M422" s="156"/>
      <c r="N422" s="79"/>
      <c r="O422" s="79"/>
      <c r="P422" s="79"/>
      <c r="Q422" s="79"/>
      <c r="R422" s="79"/>
      <c r="S422" s="82"/>
      <c r="T422" s="82"/>
      <c r="U422" s="82"/>
      <c r="V422" s="82"/>
      <c r="W422" s="82"/>
      <c r="X422" s="82"/>
      <c r="Y422" s="82"/>
      <c r="Z422" s="82"/>
      <c r="AA422" s="82"/>
    </row>
    <row r="423" ht="15.75" customHeight="1">
      <c r="A423" s="261"/>
      <c r="B423" s="171"/>
      <c r="C423" s="172"/>
      <c r="D423" s="172"/>
      <c r="E423" s="154"/>
      <c r="F423" s="162"/>
      <c r="G423" s="162"/>
      <c r="H423" s="162"/>
      <c r="I423" s="162"/>
      <c r="J423" s="174"/>
      <c r="K423" s="162"/>
      <c r="L423" s="129"/>
      <c r="M423" s="156"/>
      <c r="N423" s="79"/>
      <c r="O423" s="79"/>
      <c r="P423" s="79"/>
      <c r="Q423" s="79"/>
      <c r="R423" s="79"/>
      <c r="S423" s="82"/>
      <c r="T423" s="82"/>
      <c r="U423" s="82"/>
      <c r="V423" s="82"/>
      <c r="W423" s="82"/>
      <c r="X423" s="82"/>
      <c r="Y423" s="82"/>
      <c r="Z423" s="82"/>
      <c r="AA423" s="82"/>
    </row>
    <row r="424" ht="15.75" customHeight="1">
      <c r="A424" s="261"/>
      <c r="B424" s="171"/>
      <c r="C424" s="172"/>
      <c r="D424" s="172"/>
      <c r="E424" s="154"/>
      <c r="F424" s="162"/>
      <c r="G424" s="162"/>
      <c r="H424" s="162"/>
      <c r="I424" s="162"/>
      <c r="J424" s="174"/>
      <c r="K424" s="162"/>
      <c r="L424" s="129"/>
      <c r="M424" s="156"/>
      <c r="N424" s="79"/>
      <c r="O424" s="79"/>
      <c r="P424" s="79"/>
      <c r="Q424" s="79"/>
      <c r="R424" s="79"/>
      <c r="S424" s="82"/>
      <c r="T424" s="82"/>
      <c r="U424" s="82"/>
      <c r="V424" s="82"/>
      <c r="W424" s="82"/>
      <c r="X424" s="82"/>
      <c r="Y424" s="82"/>
      <c r="Z424" s="82"/>
      <c r="AA424" s="82"/>
    </row>
    <row r="425" ht="15.75" customHeight="1">
      <c r="A425" s="261"/>
      <c r="B425" s="171"/>
      <c r="C425" s="172"/>
      <c r="D425" s="172"/>
      <c r="E425" s="154"/>
      <c r="F425" s="162"/>
      <c r="G425" s="162"/>
      <c r="H425" s="162"/>
      <c r="I425" s="162"/>
      <c r="J425" s="174"/>
      <c r="K425" s="162"/>
      <c r="L425" s="129"/>
      <c r="M425" s="156"/>
      <c r="N425" s="79"/>
      <c r="O425" s="79"/>
      <c r="P425" s="79"/>
      <c r="Q425" s="79"/>
      <c r="R425" s="79"/>
      <c r="S425" s="82"/>
      <c r="T425" s="82"/>
      <c r="U425" s="82"/>
      <c r="V425" s="82"/>
      <c r="W425" s="82"/>
      <c r="X425" s="82"/>
      <c r="Y425" s="82"/>
      <c r="Z425" s="82"/>
      <c r="AA425" s="82"/>
    </row>
    <row r="426" ht="15.75" customHeight="1">
      <c r="A426" s="261"/>
      <c r="B426" s="171"/>
      <c r="C426" s="172"/>
      <c r="D426" s="172"/>
      <c r="E426" s="154"/>
      <c r="F426" s="162"/>
      <c r="G426" s="162"/>
      <c r="H426" s="162"/>
      <c r="I426" s="162"/>
      <c r="J426" s="174"/>
      <c r="K426" s="162"/>
      <c r="L426" s="129"/>
      <c r="M426" s="156"/>
      <c r="N426" s="79"/>
      <c r="O426" s="79"/>
      <c r="P426" s="79"/>
      <c r="Q426" s="79"/>
      <c r="R426" s="79"/>
      <c r="S426" s="82"/>
      <c r="T426" s="82"/>
      <c r="U426" s="82"/>
      <c r="V426" s="82"/>
      <c r="W426" s="82"/>
      <c r="X426" s="82"/>
      <c r="Y426" s="82"/>
      <c r="Z426" s="82"/>
      <c r="AA426" s="82"/>
    </row>
    <row r="427" ht="15.75" customHeight="1">
      <c r="A427" s="261"/>
      <c r="B427" s="171"/>
      <c r="C427" s="172"/>
      <c r="D427" s="172"/>
      <c r="E427" s="154"/>
      <c r="F427" s="162"/>
      <c r="G427" s="162"/>
      <c r="H427" s="162"/>
      <c r="I427" s="162"/>
      <c r="J427" s="174"/>
      <c r="K427" s="162"/>
      <c r="L427" s="129"/>
      <c r="M427" s="156"/>
      <c r="N427" s="79"/>
      <c r="O427" s="79"/>
      <c r="P427" s="79"/>
      <c r="Q427" s="79"/>
      <c r="R427" s="79"/>
      <c r="S427" s="82"/>
      <c r="T427" s="82"/>
      <c r="U427" s="82"/>
      <c r="V427" s="82"/>
      <c r="W427" s="82"/>
      <c r="X427" s="82"/>
      <c r="Y427" s="82"/>
      <c r="Z427" s="82"/>
      <c r="AA427" s="82"/>
    </row>
    <row r="428" ht="15.75" customHeight="1">
      <c r="A428" s="261"/>
      <c r="B428" s="171"/>
      <c r="C428" s="172"/>
      <c r="D428" s="172"/>
      <c r="E428" s="154"/>
      <c r="F428" s="162"/>
      <c r="G428" s="162"/>
      <c r="H428" s="162"/>
      <c r="I428" s="162"/>
      <c r="J428" s="174"/>
      <c r="K428" s="162"/>
      <c r="L428" s="129"/>
      <c r="M428" s="156"/>
      <c r="N428" s="79"/>
      <c r="O428" s="79"/>
      <c r="P428" s="79"/>
      <c r="Q428" s="79"/>
      <c r="R428" s="79"/>
      <c r="S428" s="82"/>
      <c r="T428" s="82"/>
      <c r="U428" s="82"/>
      <c r="V428" s="82"/>
      <c r="W428" s="82"/>
      <c r="X428" s="82"/>
      <c r="Y428" s="82"/>
      <c r="Z428" s="82"/>
      <c r="AA428" s="82"/>
    </row>
    <row r="429" ht="15.75" customHeight="1">
      <c r="A429" s="261"/>
      <c r="B429" s="171"/>
      <c r="C429" s="172"/>
      <c r="D429" s="172"/>
      <c r="E429" s="154"/>
      <c r="F429" s="162"/>
      <c r="G429" s="162"/>
      <c r="H429" s="162"/>
      <c r="I429" s="162"/>
      <c r="J429" s="174"/>
      <c r="K429" s="162"/>
      <c r="L429" s="129"/>
      <c r="M429" s="156"/>
      <c r="N429" s="79"/>
      <c r="O429" s="79"/>
      <c r="P429" s="79"/>
      <c r="Q429" s="79"/>
      <c r="R429" s="79"/>
      <c r="S429" s="82"/>
      <c r="T429" s="82"/>
      <c r="U429" s="82"/>
      <c r="V429" s="82"/>
      <c r="W429" s="82"/>
      <c r="X429" s="82"/>
      <c r="Y429" s="82"/>
      <c r="Z429" s="82"/>
      <c r="AA429" s="82"/>
    </row>
    <row r="430" ht="15.75" customHeight="1">
      <c r="A430" s="261"/>
      <c r="B430" s="171"/>
      <c r="C430" s="172"/>
      <c r="D430" s="172"/>
      <c r="E430" s="154"/>
      <c r="F430" s="162"/>
      <c r="G430" s="162"/>
      <c r="H430" s="162"/>
      <c r="I430" s="162"/>
      <c r="J430" s="174"/>
      <c r="K430" s="162"/>
      <c r="L430" s="129"/>
      <c r="M430" s="156"/>
      <c r="N430" s="79"/>
      <c r="O430" s="79"/>
      <c r="P430" s="79"/>
      <c r="Q430" s="79"/>
      <c r="R430" s="79"/>
      <c r="S430" s="82"/>
      <c r="T430" s="82"/>
      <c r="U430" s="82"/>
      <c r="V430" s="82"/>
      <c r="W430" s="82"/>
      <c r="X430" s="82"/>
      <c r="Y430" s="82"/>
      <c r="Z430" s="82"/>
      <c r="AA430" s="82"/>
    </row>
    <row r="431" ht="15.75" customHeight="1">
      <c r="A431" s="261"/>
      <c r="B431" s="171"/>
      <c r="C431" s="172"/>
      <c r="D431" s="172"/>
      <c r="E431" s="154"/>
      <c r="F431" s="162"/>
      <c r="G431" s="162"/>
      <c r="H431" s="162"/>
      <c r="I431" s="162"/>
      <c r="J431" s="174"/>
      <c r="K431" s="162"/>
      <c r="L431" s="129"/>
      <c r="M431" s="156"/>
      <c r="N431" s="79"/>
      <c r="O431" s="79"/>
      <c r="P431" s="79"/>
      <c r="Q431" s="79"/>
      <c r="R431" s="79"/>
      <c r="S431" s="82"/>
      <c r="T431" s="82"/>
      <c r="U431" s="82"/>
      <c r="V431" s="82"/>
      <c r="W431" s="82"/>
      <c r="X431" s="82"/>
      <c r="Y431" s="82"/>
      <c r="Z431" s="82"/>
      <c r="AA431" s="82"/>
    </row>
    <row r="432" ht="15.75" customHeight="1">
      <c r="A432" s="261"/>
      <c r="B432" s="171"/>
      <c r="C432" s="172"/>
      <c r="D432" s="172"/>
      <c r="E432" s="154"/>
      <c r="F432" s="162"/>
      <c r="G432" s="162"/>
      <c r="H432" s="162"/>
      <c r="I432" s="162"/>
      <c r="J432" s="174"/>
      <c r="K432" s="162"/>
      <c r="L432" s="129"/>
      <c r="M432" s="156"/>
      <c r="N432" s="79"/>
      <c r="O432" s="79"/>
      <c r="P432" s="79"/>
      <c r="Q432" s="79"/>
      <c r="R432" s="79"/>
      <c r="S432" s="82"/>
      <c r="T432" s="82"/>
      <c r="U432" s="82"/>
      <c r="V432" s="82"/>
      <c r="W432" s="82"/>
      <c r="X432" s="82"/>
      <c r="Y432" s="82"/>
      <c r="Z432" s="82"/>
      <c r="AA432" s="82"/>
    </row>
    <row r="433" ht="15.75" customHeight="1">
      <c r="A433" s="261"/>
      <c r="B433" s="171"/>
      <c r="C433" s="172"/>
      <c r="D433" s="172"/>
      <c r="E433" s="154"/>
      <c r="F433" s="162"/>
      <c r="G433" s="162"/>
      <c r="H433" s="162"/>
      <c r="I433" s="162"/>
      <c r="J433" s="174"/>
      <c r="K433" s="162"/>
      <c r="L433" s="129"/>
      <c r="M433" s="156"/>
      <c r="N433" s="79"/>
      <c r="O433" s="79"/>
      <c r="P433" s="79"/>
      <c r="Q433" s="79"/>
      <c r="R433" s="79"/>
      <c r="S433" s="82"/>
      <c r="T433" s="82"/>
      <c r="U433" s="82"/>
      <c r="V433" s="82"/>
      <c r="W433" s="82"/>
      <c r="X433" s="82"/>
      <c r="Y433" s="82"/>
      <c r="Z433" s="82"/>
      <c r="AA433" s="82"/>
    </row>
    <row r="434" ht="15.75" customHeight="1">
      <c r="A434" s="261"/>
      <c r="B434" s="171"/>
      <c r="C434" s="172"/>
      <c r="D434" s="172"/>
      <c r="E434" s="154"/>
      <c r="F434" s="162"/>
      <c r="G434" s="162"/>
      <c r="H434" s="162"/>
      <c r="I434" s="162"/>
      <c r="J434" s="174"/>
      <c r="K434" s="162"/>
      <c r="L434" s="129"/>
      <c r="M434" s="156"/>
      <c r="N434" s="79"/>
      <c r="O434" s="79"/>
      <c r="P434" s="79"/>
      <c r="Q434" s="79"/>
      <c r="R434" s="79"/>
      <c r="S434" s="82"/>
      <c r="T434" s="82"/>
      <c r="U434" s="82"/>
      <c r="V434" s="82"/>
      <c r="W434" s="82"/>
      <c r="X434" s="82"/>
      <c r="Y434" s="82"/>
      <c r="Z434" s="82"/>
      <c r="AA434" s="82"/>
    </row>
    <row r="435" ht="15.75" customHeight="1">
      <c r="A435" s="261"/>
      <c r="B435" s="171"/>
      <c r="C435" s="172"/>
      <c r="D435" s="172"/>
      <c r="E435" s="154"/>
      <c r="F435" s="162"/>
      <c r="G435" s="162"/>
      <c r="H435" s="162"/>
      <c r="I435" s="162"/>
      <c r="J435" s="174"/>
      <c r="K435" s="162"/>
      <c r="L435" s="129"/>
      <c r="M435" s="156"/>
      <c r="N435" s="79"/>
      <c r="O435" s="79"/>
      <c r="P435" s="79"/>
      <c r="Q435" s="79"/>
      <c r="R435" s="79"/>
      <c r="S435" s="82"/>
      <c r="T435" s="82"/>
      <c r="U435" s="82"/>
      <c r="V435" s="82"/>
      <c r="W435" s="82"/>
      <c r="X435" s="82"/>
      <c r="Y435" s="82"/>
      <c r="Z435" s="82"/>
      <c r="AA435" s="82"/>
    </row>
    <row r="436" ht="15.75" customHeight="1">
      <c r="A436" s="261"/>
      <c r="B436" s="171"/>
      <c r="C436" s="172"/>
      <c r="D436" s="172"/>
      <c r="E436" s="154"/>
      <c r="F436" s="162"/>
      <c r="G436" s="162"/>
      <c r="H436" s="162"/>
      <c r="I436" s="162"/>
      <c r="J436" s="174"/>
      <c r="K436" s="162"/>
      <c r="L436" s="129"/>
      <c r="M436" s="156"/>
      <c r="N436" s="79"/>
      <c r="O436" s="79"/>
      <c r="P436" s="79"/>
      <c r="Q436" s="79"/>
      <c r="R436" s="79"/>
      <c r="S436" s="82"/>
      <c r="T436" s="82"/>
      <c r="U436" s="82"/>
      <c r="V436" s="82"/>
      <c r="W436" s="82"/>
      <c r="X436" s="82"/>
      <c r="Y436" s="82"/>
      <c r="Z436" s="82"/>
      <c r="AA436" s="82"/>
    </row>
    <row r="437" ht="15.75" customHeight="1">
      <c r="A437" s="261"/>
      <c r="B437" s="171"/>
      <c r="C437" s="172"/>
      <c r="D437" s="172"/>
      <c r="E437" s="154"/>
      <c r="F437" s="162"/>
      <c r="G437" s="162"/>
      <c r="H437" s="162"/>
      <c r="I437" s="162"/>
      <c r="J437" s="174"/>
      <c r="K437" s="162"/>
      <c r="L437" s="129"/>
      <c r="M437" s="156"/>
      <c r="N437" s="79"/>
      <c r="O437" s="79"/>
      <c r="P437" s="79"/>
      <c r="Q437" s="79"/>
      <c r="R437" s="79"/>
      <c r="S437" s="82"/>
      <c r="T437" s="82"/>
      <c r="U437" s="82"/>
      <c r="V437" s="82"/>
      <c r="W437" s="82"/>
      <c r="X437" s="82"/>
      <c r="Y437" s="82"/>
      <c r="Z437" s="82"/>
      <c r="AA437" s="82"/>
    </row>
    <row r="438" ht="15.75" customHeight="1">
      <c r="A438" s="261"/>
      <c r="B438" s="171"/>
      <c r="C438" s="172"/>
      <c r="D438" s="172"/>
      <c r="E438" s="154"/>
      <c r="F438" s="162"/>
      <c r="G438" s="162"/>
      <c r="H438" s="162"/>
      <c r="I438" s="162"/>
      <c r="J438" s="174"/>
      <c r="K438" s="162"/>
      <c r="L438" s="129"/>
      <c r="M438" s="156"/>
      <c r="N438" s="79"/>
      <c r="O438" s="79"/>
      <c r="P438" s="79"/>
      <c r="Q438" s="79"/>
      <c r="R438" s="79"/>
      <c r="S438" s="82"/>
      <c r="T438" s="82"/>
      <c r="U438" s="82"/>
      <c r="V438" s="82"/>
      <c r="W438" s="82"/>
      <c r="X438" s="82"/>
      <c r="Y438" s="82"/>
      <c r="Z438" s="82"/>
      <c r="AA438" s="82"/>
    </row>
    <row r="439" ht="15.75" customHeight="1">
      <c r="A439" s="261"/>
      <c r="B439" s="171"/>
      <c r="C439" s="172"/>
      <c r="D439" s="172"/>
      <c r="E439" s="154"/>
      <c r="F439" s="162"/>
      <c r="G439" s="162"/>
      <c r="H439" s="162"/>
      <c r="I439" s="162"/>
      <c r="J439" s="174"/>
      <c r="K439" s="162"/>
      <c r="L439" s="129"/>
      <c r="M439" s="156"/>
      <c r="N439" s="79"/>
      <c r="O439" s="79"/>
      <c r="P439" s="79"/>
      <c r="Q439" s="79"/>
      <c r="R439" s="79"/>
      <c r="S439" s="82"/>
      <c r="T439" s="82"/>
      <c r="U439" s="82"/>
      <c r="V439" s="82"/>
      <c r="W439" s="82"/>
      <c r="X439" s="82"/>
      <c r="Y439" s="82"/>
      <c r="Z439" s="82"/>
      <c r="AA439" s="82"/>
    </row>
    <row r="440" ht="15.75" customHeight="1">
      <c r="A440" s="261"/>
      <c r="B440" s="171"/>
      <c r="C440" s="172"/>
      <c r="D440" s="172"/>
      <c r="E440" s="154"/>
      <c r="F440" s="162"/>
      <c r="G440" s="162"/>
      <c r="H440" s="162"/>
      <c r="I440" s="162"/>
      <c r="J440" s="174"/>
      <c r="K440" s="162"/>
      <c r="L440" s="129"/>
      <c r="M440" s="156"/>
      <c r="N440" s="79"/>
      <c r="O440" s="79"/>
      <c r="P440" s="79"/>
      <c r="Q440" s="79"/>
      <c r="R440" s="79"/>
      <c r="S440" s="82"/>
      <c r="T440" s="82"/>
      <c r="U440" s="82"/>
      <c r="V440" s="82"/>
      <c r="W440" s="82"/>
      <c r="X440" s="82"/>
      <c r="Y440" s="82"/>
      <c r="Z440" s="82"/>
      <c r="AA440" s="82"/>
    </row>
    <row r="441" ht="15.75" customHeight="1">
      <c r="A441" s="261"/>
      <c r="B441" s="171"/>
      <c r="C441" s="172"/>
      <c r="D441" s="172"/>
      <c r="E441" s="154"/>
      <c r="F441" s="162"/>
      <c r="G441" s="162"/>
      <c r="H441" s="162"/>
      <c r="I441" s="162"/>
      <c r="J441" s="174"/>
      <c r="K441" s="162"/>
      <c r="L441" s="129"/>
      <c r="M441" s="156"/>
      <c r="N441" s="79"/>
      <c r="O441" s="79"/>
      <c r="P441" s="79"/>
      <c r="Q441" s="79"/>
      <c r="R441" s="79"/>
      <c r="S441" s="82"/>
      <c r="T441" s="82"/>
      <c r="U441" s="82"/>
      <c r="V441" s="82"/>
      <c r="W441" s="82"/>
      <c r="X441" s="82"/>
      <c r="Y441" s="82"/>
      <c r="Z441" s="82"/>
      <c r="AA441" s="82"/>
    </row>
    <row r="442" ht="15.75" customHeight="1">
      <c r="A442" s="261"/>
      <c r="B442" s="171"/>
      <c r="C442" s="172"/>
      <c r="D442" s="172"/>
      <c r="E442" s="154"/>
      <c r="F442" s="162"/>
      <c r="G442" s="162"/>
      <c r="H442" s="162"/>
      <c r="I442" s="162"/>
      <c r="J442" s="174"/>
      <c r="K442" s="162"/>
      <c r="L442" s="129"/>
      <c r="M442" s="156"/>
      <c r="N442" s="79"/>
      <c r="O442" s="79"/>
      <c r="P442" s="79"/>
      <c r="Q442" s="79"/>
      <c r="R442" s="79"/>
      <c r="S442" s="82"/>
      <c r="T442" s="82"/>
      <c r="U442" s="82"/>
      <c r="V442" s="82"/>
      <c r="W442" s="82"/>
      <c r="X442" s="82"/>
      <c r="Y442" s="82"/>
      <c r="Z442" s="82"/>
      <c r="AA442" s="82"/>
    </row>
    <row r="443" ht="15.75" customHeight="1">
      <c r="A443" s="261"/>
      <c r="B443" s="171"/>
      <c r="C443" s="172"/>
      <c r="D443" s="172"/>
      <c r="E443" s="154"/>
      <c r="F443" s="162"/>
      <c r="G443" s="162"/>
      <c r="H443" s="162"/>
      <c r="I443" s="162"/>
      <c r="J443" s="174"/>
      <c r="K443" s="162"/>
      <c r="L443" s="129"/>
      <c r="M443" s="156"/>
      <c r="N443" s="79"/>
      <c r="O443" s="79"/>
      <c r="P443" s="79"/>
      <c r="Q443" s="79"/>
      <c r="R443" s="79"/>
      <c r="S443" s="82"/>
      <c r="T443" s="82"/>
      <c r="U443" s="82"/>
      <c r="V443" s="82"/>
      <c r="W443" s="82"/>
      <c r="X443" s="82"/>
      <c r="Y443" s="82"/>
      <c r="Z443" s="82"/>
      <c r="AA443" s="82"/>
    </row>
    <row r="444" ht="15.75" customHeight="1">
      <c r="A444" s="261"/>
      <c r="B444" s="171"/>
      <c r="C444" s="172"/>
      <c r="D444" s="172"/>
      <c r="E444" s="154"/>
      <c r="F444" s="162"/>
      <c r="G444" s="162"/>
      <c r="H444" s="162"/>
      <c r="I444" s="162"/>
      <c r="J444" s="174"/>
      <c r="K444" s="162"/>
      <c r="L444" s="129"/>
      <c r="M444" s="156"/>
      <c r="N444" s="79"/>
      <c r="O444" s="79"/>
      <c r="P444" s="79"/>
      <c r="Q444" s="79"/>
      <c r="R444" s="79"/>
      <c r="S444" s="82"/>
      <c r="T444" s="82"/>
      <c r="U444" s="82"/>
      <c r="V444" s="82"/>
      <c r="W444" s="82"/>
      <c r="X444" s="82"/>
      <c r="Y444" s="82"/>
      <c r="Z444" s="82"/>
      <c r="AA444" s="82"/>
    </row>
    <row r="445" ht="15.75" customHeight="1">
      <c r="A445" s="261"/>
      <c r="B445" s="171"/>
      <c r="C445" s="172"/>
      <c r="D445" s="172"/>
      <c r="E445" s="154"/>
      <c r="F445" s="162"/>
      <c r="G445" s="162"/>
      <c r="H445" s="162"/>
      <c r="I445" s="162"/>
      <c r="J445" s="174"/>
      <c r="K445" s="162"/>
      <c r="L445" s="129"/>
      <c r="M445" s="156"/>
      <c r="N445" s="79"/>
      <c r="O445" s="79"/>
      <c r="P445" s="79"/>
      <c r="Q445" s="79"/>
      <c r="R445" s="79"/>
      <c r="S445" s="82"/>
      <c r="T445" s="82"/>
      <c r="U445" s="82"/>
      <c r="V445" s="82"/>
      <c r="W445" s="82"/>
      <c r="X445" s="82"/>
      <c r="Y445" s="82"/>
      <c r="Z445" s="82"/>
      <c r="AA445" s="82"/>
    </row>
    <row r="446" ht="15.75" customHeight="1">
      <c r="A446" s="261"/>
      <c r="B446" s="171"/>
      <c r="C446" s="172"/>
      <c r="D446" s="172"/>
      <c r="E446" s="154"/>
      <c r="F446" s="162"/>
      <c r="G446" s="162"/>
      <c r="H446" s="162"/>
      <c r="I446" s="162"/>
      <c r="J446" s="174"/>
      <c r="K446" s="162"/>
      <c r="L446" s="129"/>
      <c r="M446" s="156"/>
      <c r="N446" s="79"/>
      <c r="O446" s="79"/>
      <c r="P446" s="79"/>
      <c r="Q446" s="79"/>
      <c r="R446" s="79"/>
      <c r="S446" s="82"/>
      <c r="T446" s="82"/>
      <c r="U446" s="82"/>
      <c r="V446" s="82"/>
      <c r="W446" s="82"/>
      <c r="X446" s="82"/>
      <c r="Y446" s="82"/>
      <c r="Z446" s="82"/>
      <c r="AA446" s="82"/>
    </row>
    <row r="447" ht="15.75" customHeight="1">
      <c r="A447" s="261"/>
      <c r="B447" s="171"/>
      <c r="C447" s="172"/>
      <c r="D447" s="172"/>
      <c r="E447" s="154"/>
      <c r="F447" s="162"/>
      <c r="G447" s="162"/>
      <c r="H447" s="162"/>
      <c r="I447" s="162"/>
      <c r="J447" s="174"/>
      <c r="K447" s="162"/>
      <c r="L447" s="129"/>
      <c r="M447" s="156"/>
      <c r="N447" s="79"/>
      <c r="O447" s="79"/>
      <c r="P447" s="79"/>
      <c r="Q447" s="79"/>
      <c r="R447" s="79"/>
      <c r="S447" s="82"/>
      <c r="T447" s="82"/>
      <c r="U447" s="82"/>
      <c r="V447" s="82"/>
      <c r="W447" s="82"/>
      <c r="X447" s="82"/>
      <c r="Y447" s="82"/>
      <c r="Z447" s="82"/>
      <c r="AA447" s="82"/>
    </row>
    <row r="448" ht="15.75" customHeight="1">
      <c r="A448" s="261"/>
      <c r="B448" s="171"/>
      <c r="C448" s="172"/>
      <c r="D448" s="172"/>
      <c r="E448" s="154"/>
      <c r="F448" s="162"/>
      <c r="G448" s="162"/>
      <c r="H448" s="162"/>
      <c r="I448" s="162"/>
      <c r="J448" s="174"/>
      <c r="K448" s="162"/>
      <c r="L448" s="129"/>
      <c r="M448" s="156"/>
      <c r="N448" s="79"/>
      <c r="O448" s="79"/>
      <c r="P448" s="79"/>
      <c r="Q448" s="79"/>
      <c r="R448" s="79"/>
      <c r="S448" s="82"/>
      <c r="T448" s="82"/>
      <c r="U448" s="82"/>
      <c r="V448" s="82"/>
      <c r="W448" s="82"/>
      <c r="X448" s="82"/>
      <c r="Y448" s="82"/>
      <c r="Z448" s="82"/>
      <c r="AA448" s="82"/>
    </row>
    <row r="449" ht="15.75" customHeight="1">
      <c r="A449" s="261"/>
      <c r="B449" s="171"/>
      <c r="C449" s="172"/>
      <c r="D449" s="172"/>
      <c r="E449" s="154"/>
      <c r="F449" s="162"/>
      <c r="G449" s="162"/>
      <c r="H449" s="162"/>
      <c r="I449" s="162"/>
      <c r="J449" s="174"/>
      <c r="K449" s="162"/>
      <c r="L449" s="129"/>
      <c r="M449" s="156"/>
      <c r="N449" s="79"/>
      <c r="O449" s="79"/>
      <c r="P449" s="79"/>
      <c r="Q449" s="79"/>
      <c r="R449" s="79"/>
      <c r="S449" s="82"/>
      <c r="T449" s="82"/>
      <c r="U449" s="82"/>
      <c r="V449" s="82"/>
      <c r="W449" s="82"/>
      <c r="X449" s="82"/>
      <c r="Y449" s="82"/>
      <c r="Z449" s="82"/>
      <c r="AA449" s="82"/>
    </row>
    <row r="450" ht="15.75" customHeight="1">
      <c r="A450" s="261"/>
      <c r="B450" s="171"/>
      <c r="C450" s="172"/>
      <c r="D450" s="172"/>
      <c r="E450" s="154"/>
      <c r="F450" s="162"/>
      <c r="G450" s="162"/>
      <c r="H450" s="162"/>
      <c r="I450" s="162"/>
      <c r="J450" s="174"/>
      <c r="K450" s="162"/>
      <c r="L450" s="129"/>
      <c r="M450" s="156"/>
      <c r="N450" s="79"/>
      <c r="O450" s="79"/>
      <c r="P450" s="79"/>
      <c r="Q450" s="79"/>
      <c r="R450" s="79"/>
      <c r="S450" s="82"/>
      <c r="T450" s="82"/>
      <c r="U450" s="82"/>
      <c r="V450" s="82"/>
      <c r="W450" s="82"/>
      <c r="X450" s="82"/>
      <c r="Y450" s="82"/>
      <c r="Z450" s="82"/>
      <c r="AA450" s="82"/>
    </row>
    <row r="451" ht="15.75" customHeight="1">
      <c r="A451" s="261"/>
      <c r="B451" s="171"/>
      <c r="C451" s="172"/>
      <c r="D451" s="172"/>
      <c r="E451" s="154"/>
      <c r="F451" s="162"/>
      <c r="G451" s="162"/>
      <c r="H451" s="162"/>
      <c r="I451" s="162"/>
      <c r="J451" s="174"/>
      <c r="K451" s="162"/>
      <c r="L451" s="129"/>
      <c r="M451" s="156"/>
      <c r="N451" s="79"/>
      <c r="O451" s="79"/>
      <c r="P451" s="79"/>
      <c r="Q451" s="79"/>
      <c r="R451" s="79"/>
      <c r="S451" s="82"/>
      <c r="T451" s="82"/>
      <c r="U451" s="82"/>
      <c r="V451" s="82"/>
      <c r="W451" s="82"/>
      <c r="X451" s="82"/>
      <c r="Y451" s="82"/>
      <c r="Z451" s="82"/>
      <c r="AA451" s="82"/>
    </row>
    <row r="452" ht="15.75" customHeight="1">
      <c r="A452" s="261"/>
      <c r="B452" s="171"/>
      <c r="C452" s="172"/>
      <c r="D452" s="172"/>
      <c r="E452" s="154"/>
      <c r="F452" s="162"/>
      <c r="G452" s="162"/>
      <c r="H452" s="162"/>
      <c r="I452" s="162"/>
      <c r="J452" s="174"/>
      <c r="K452" s="162"/>
      <c r="L452" s="129"/>
      <c r="M452" s="156"/>
      <c r="N452" s="79"/>
      <c r="O452" s="79"/>
      <c r="P452" s="79"/>
      <c r="Q452" s="79"/>
      <c r="R452" s="79"/>
      <c r="S452" s="82"/>
      <c r="T452" s="82"/>
      <c r="U452" s="82"/>
      <c r="V452" s="82"/>
      <c r="W452" s="82"/>
      <c r="X452" s="82"/>
      <c r="Y452" s="82"/>
      <c r="Z452" s="82"/>
      <c r="AA452" s="82"/>
    </row>
    <row r="453" ht="15.75" customHeight="1">
      <c r="A453" s="261"/>
      <c r="B453" s="171"/>
      <c r="C453" s="172"/>
      <c r="D453" s="172"/>
      <c r="E453" s="154"/>
      <c r="F453" s="162"/>
      <c r="G453" s="162"/>
      <c r="H453" s="162"/>
      <c r="I453" s="162"/>
      <c r="J453" s="174"/>
      <c r="K453" s="162"/>
      <c r="L453" s="129"/>
      <c r="M453" s="156"/>
      <c r="N453" s="79"/>
      <c r="O453" s="79"/>
      <c r="P453" s="79"/>
      <c r="Q453" s="79"/>
      <c r="R453" s="79"/>
      <c r="S453" s="82"/>
      <c r="T453" s="82"/>
      <c r="U453" s="82"/>
      <c r="V453" s="82"/>
      <c r="W453" s="82"/>
      <c r="X453" s="82"/>
      <c r="Y453" s="82"/>
      <c r="Z453" s="82"/>
      <c r="AA453" s="82"/>
    </row>
    <row r="454" ht="15.75" customHeight="1">
      <c r="A454" s="261"/>
      <c r="B454" s="171"/>
      <c r="C454" s="172"/>
      <c r="D454" s="172"/>
      <c r="E454" s="154"/>
      <c r="F454" s="162"/>
      <c r="G454" s="162"/>
      <c r="H454" s="162"/>
      <c r="I454" s="162"/>
      <c r="J454" s="174"/>
      <c r="K454" s="162"/>
      <c r="L454" s="129"/>
      <c r="M454" s="156"/>
      <c r="N454" s="79"/>
      <c r="O454" s="79"/>
      <c r="P454" s="79"/>
      <c r="Q454" s="79"/>
      <c r="R454" s="79"/>
      <c r="S454" s="82"/>
      <c r="T454" s="82"/>
      <c r="U454" s="82"/>
      <c r="V454" s="82"/>
      <c r="W454" s="82"/>
      <c r="X454" s="82"/>
      <c r="Y454" s="82"/>
      <c r="Z454" s="82"/>
      <c r="AA454" s="82"/>
    </row>
    <row r="455" ht="15.75" customHeight="1">
      <c r="A455" s="261"/>
      <c r="B455" s="171"/>
      <c r="C455" s="172"/>
      <c r="D455" s="172"/>
      <c r="E455" s="154"/>
      <c r="F455" s="162"/>
      <c r="G455" s="162"/>
      <c r="H455" s="162"/>
      <c r="I455" s="162"/>
      <c r="J455" s="174"/>
      <c r="K455" s="162"/>
      <c r="L455" s="129"/>
      <c r="M455" s="156"/>
      <c r="N455" s="79"/>
      <c r="O455" s="79"/>
      <c r="P455" s="79"/>
      <c r="Q455" s="79"/>
      <c r="R455" s="79"/>
      <c r="S455" s="82"/>
      <c r="T455" s="82"/>
      <c r="U455" s="82"/>
      <c r="V455" s="82"/>
      <c r="W455" s="82"/>
      <c r="X455" s="82"/>
      <c r="Y455" s="82"/>
      <c r="Z455" s="82"/>
      <c r="AA455" s="82"/>
    </row>
    <row r="456" ht="15.75" customHeight="1">
      <c r="A456" s="261"/>
      <c r="B456" s="171"/>
      <c r="C456" s="172"/>
      <c r="D456" s="172"/>
      <c r="E456" s="154"/>
      <c r="F456" s="162"/>
      <c r="G456" s="162"/>
      <c r="H456" s="162"/>
      <c r="I456" s="162"/>
      <c r="J456" s="174"/>
      <c r="K456" s="162"/>
      <c r="L456" s="129"/>
      <c r="M456" s="156"/>
      <c r="N456" s="79"/>
      <c r="O456" s="79"/>
      <c r="P456" s="79"/>
      <c r="Q456" s="79"/>
      <c r="R456" s="79"/>
      <c r="S456" s="82"/>
      <c r="T456" s="82"/>
      <c r="U456" s="82"/>
      <c r="V456" s="82"/>
      <c r="W456" s="82"/>
      <c r="X456" s="82"/>
      <c r="Y456" s="82"/>
      <c r="Z456" s="82"/>
      <c r="AA456" s="82"/>
    </row>
    <row r="457" ht="15.75" customHeight="1">
      <c r="A457" s="261"/>
      <c r="B457" s="171"/>
      <c r="C457" s="172"/>
      <c r="D457" s="172"/>
      <c r="E457" s="154"/>
      <c r="F457" s="162"/>
      <c r="G457" s="162"/>
      <c r="H457" s="162"/>
      <c r="I457" s="162"/>
      <c r="J457" s="174"/>
      <c r="K457" s="162"/>
      <c r="L457" s="129"/>
      <c r="M457" s="156"/>
      <c r="N457" s="79"/>
      <c r="O457" s="79"/>
      <c r="P457" s="79"/>
      <c r="Q457" s="79"/>
      <c r="R457" s="79"/>
      <c r="S457" s="82"/>
      <c r="T457" s="82"/>
      <c r="U457" s="82"/>
      <c r="V457" s="82"/>
      <c r="W457" s="82"/>
      <c r="X457" s="82"/>
      <c r="Y457" s="82"/>
      <c r="Z457" s="82"/>
      <c r="AA457" s="82"/>
    </row>
    <row r="458" ht="15.75" customHeight="1">
      <c r="A458" s="261"/>
      <c r="B458" s="171"/>
      <c r="C458" s="172"/>
      <c r="D458" s="172"/>
      <c r="E458" s="154"/>
      <c r="F458" s="162"/>
      <c r="G458" s="162"/>
      <c r="H458" s="162"/>
      <c r="I458" s="162"/>
      <c r="J458" s="174"/>
      <c r="K458" s="162"/>
      <c r="L458" s="129"/>
      <c r="M458" s="156"/>
      <c r="N458" s="79"/>
      <c r="O458" s="79"/>
      <c r="P458" s="79"/>
      <c r="Q458" s="79"/>
      <c r="R458" s="79"/>
      <c r="S458" s="82"/>
      <c r="T458" s="82"/>
      <c r="U458" s="82"/>
      <c r="V458" s="82"/>
      <c r="W458" s="82"/>
      <c r="X458" s="82"/>
      <c r="Y458" s="82"/>
      <c r="Z458" s="82"/>
      <c r="AA458" s="82"/>
    </row>
    <row r="459" ht="15.75" customHeight="1">
      <c r="A459" s="261"/>
      <c r="B459" s="171"/>
      <c r="C459" s="172"/>
      <c r="D459" s="172"/>
      <c r="E459" s="154"/>
      <c r="F459" s="162"/>
      <c r="G459" s="162"/>
      <c r="H459" s="162"/>
      <c r="I459" s="162"/>
      <c r="J459" s="174"/>
      <c r="K459" s="162"/>
      <c r="L459" s="129"/>
      <c r="M459" s="156"/>
      <c r="N459" s="79"/>
      <c r="O459" s="79"/>
      <c r="P459" s="79"/>
      <c r="Q459" s="79"/>
      <c r="R459" s="79"/>
      <c r="S459" s="82"/>
      <c r="T459" s="82"/>
      <c r="U459" s="82"/>
      <c r="V459" s="82"/>
      <c r="W459" s="82"/>
      <c r="X459" s="82"/>
      <c r="Y459" s="82"/>
      <c r="Z459" s="82"/>
      <c r="AA459" s="82"/>
    </row>
    <row r="460" ht="15.75" customHeight="1">
      <c r="A460" s="261"/>
      <c r="B460" s="171"/>
      <c r="C460" s="172"/>
      <c r="D460" s="172"/>
      <c r="E460" s="154"/>
      <c r="F460" s="162"/>
      <c r="G460" s="162"/>
      <c r="H460" s="162"/>
      <c r="I460" s="162"/>
      <c r="J460" s="174"/>
      <c r="K460" s="162"/>
      <c r="L460" s="129"/>
      <c r="M460" s="156"/>
      <c r="N460" s="79"/>
      <c r="O460" s="79"/>
      <c r="P460" s="79"/>
      <c r="Q460" s="79"/>
      <c r="R460" s="79"/>
      <c r="S460" s="82"/>
      <c r="T460" s="82"/>
      <c r="U460" s="82"/>
      <c r="V460" s="82"/>
      <c r="W460" s="82"/>
      <c r="X460" s="82"/>
      <c r="Y460" s="82"/>
      <c r="Z460" s="82"/>
      <c r="AA460" s="82"/>
    </row>
    <row r="461" ht="15.75" customHeight="1">
      <c r="A461" s="261"/>
      <c r="B461" s="171"/>
      <c r="C461" s="172"/>
      <c r="D461" s="172"/>
      <c r="E461" s="154"/>
      <c r="F461" s="162"/>
      <c r="G461" s="162"/>
      <c r="H461" s="162"/>
      <c r="I461" s="162"/>
      <c r="J461" s="174"/>
      <c r="K461" s="162"/>
      <c r="L461" s="129"/>
      <c r="M461" s="156"/>
      <c r="N461" s="79"/>
      <c r="O461" s="79"/>
      <c r="P461" s="79"/>
      <c r="Q461" s="79"/>
      <c r="R461" s="79"/>
      <c r="S461" s="82"/>
      <c r="T461" s="82"/>
      <c r="U461" s="82"/>
      <c r="V461" s="82"/>
      <c r="W461" s="82"/>
      <c r="X461" s="82"/>
      <c r="Y461" s="82"/>
      <c r="Z461" s="82"/>
      <c r="AA461" s="82"/>
    </row>
    <row r="462" ht="15.75" customHeight="1">
      <c r="A462" s="261"/>
      <c r="B462" s="171"/>
      <c r="C462" s="172"/>
      <c r="D462" s="172"/>
      <c r="E462" s="154"/>
      <c r="F462" s="162"/>
      <c r="G462" s="162"/>
      <c r="H462" s="162"/>
      <c r="I462" s="162"/>
      <c r="J462" s="174"/>
      <c r="K462" s="162"/>
      <c r="L462" s="129"/>
      <c r="M462" s="156"/>
      <c r="N462" s="79"/>
      <c r="O462" s="79"/>
      <c r="P462" s="79"/>
      <c r="Q462" s="79"/>
      <c r="R462" s="79"/>
      <c r="S462" s="82"/>
      <c r="T462" s="82"/>
      <c r="U462" s="82"/>
      <c r="V462" s="82"/>
      <c r="W462" s="82"/>
      <c r="X462" s="82"/>
      <c r="Y462" s="82"/>
      <c r="Z462" s="82"/>
      <c r="AA462" s="82"/>
    </row>
    <row r="463" ht="15.75" customHeight="1">
      <c r="A463" s="261"/>
      <c r="B463" s="171"/>
      <c r="C463" s="172"/>
      <c r="D463" s="172"/>
      <c r="E463" s="154"/>
      <c r="F463" s="162"/>
      <c r="G463" s="162"/>
      <c r="H463" s="162"/>
      <c r="I463" s="162"/>
      <c r="J463" s="174"/>
      <c r="K463" s="162"/>
      <c r="L463" s="129"/>
      <c r="M463" s="156"/>
      <c r="N463" s="79"/>
      <c r="O463" s="79"/>
      <c r="P463" s="79"/>
      <c r="Q463" s="79"/>
      <c r="R463" s="79"/>
      <c r="S463" s="82"/>
      <c r="T463" s="82"/>
      <c r="U463" s="82"/>
      <c r="V463" s="82"/>
      <c r="W463" s="82"/>
      <c r="X463" s="82"/>
      <c r="Y463" s="82"/>
      <c r="Z463" s="82"/>
      <c r="AA463" s="82"/>
    </row>
    <row r="464" ht="15.75" customHeight="1">
      <c r="A464" s="261"/>
      <c r="B464" s="171"/>
      <c r="C464" s="172"/>
      <c r="D464" s="172"/>
      <c r="E464" s="154"/>
      <c r="F464" s="162"/>
      <c r="G464" s="162"/>
      <c r="H464" s="162"/>
      <c r="I464" s="162"/>
      <c r="J464" s="174"/>
      <c r="K464" s="162"/>
      <c r="L464" s="129"/>
      <c r="M464" s="156"/>
      <c r="N464" s="79"/>
      <c r="O464" s="79"/>
      <c r="P464" s="79"/>
      <c r="Q464" s="79"/>
      <c r="R464" s="79"/>
      <c r="S464" s="82"/>
      <c r="T464" s="82"/>
      <c r="U464" s="82"/>
      <c r="V464" s="82"/>
      <c r="W464" s="82"/>
      <c r="X464" s="82"/>
      <c r="Y464" s="82"/>
      <c r="Z464" s="82"/>
      <c r="AA464" s="82"/>
    </row>
    <row r="465" ht="15.75" customHeight="1">
      <c r="A465" s="261"/>
      <c r="B465" s="171"/>
      <c r="C465" s="172"/>
      <c r="D465" s="172"/>
      <c r="E465" s="154"/>
      <c r="F465" s="162"/>
      <c r="G465" s="162"/>
      <c r="H465" s="162"/>
      <c r="I465" s="162"/>
      <c r="J465" s="174"/>
      <c r="K465" s="162"/>
      <c r="L465" s="129"/>
      <c r="M465" s="156"/>
      <c r="N465" s="79"/>
      <c r="O465" s="79"/>
      <c r="P465" s="79"/>
      <c r="Q465" s="79"/>
      <c r="R465" s="79"/>
      <c r="S465" s="82"/>
      <c r="T465" s="82"/>
      <c r="U465" s="82"/>
      <c r="V465" s="82"/>
      <c r="W465" s="82"/>
      <c r="X465" s="82"/>
      <c r="Y465" s="82"/>
      <c r="Z465" s="82"/>
      <c r="AA465" s="82"/>
    </row>
    <row r="466" ht="15.75" customHeight="1">
      <c r="A466" s="261"/>
      <c r="B466" s="171"/>
      <c r="C466" s="172"/>
      <c r="D466" s="172"/>
      <c r="E466" s="154"/>
      <c r="F466" s="162"/>
      <c r="G466" s="162"/>
      <c r="H466" s="162"/>
      <c r="I466" s="162"/>
      <c r="J466" s="174"/>
      <c r="K466" s="162"/>
      <c r="L466" s="129"/>
      <c r="M466" s="156"/>
      <c r="N466" s="79"/>
      <c r="O466" s="79"/>
      <c r="P466" s="79"/>
      <c r="Q466" s="79"/>
      <c r="R466" s="79"/>
      <c r="S466" s="82"/>
      <c r="T466" s="82"/>
      <c r="U466" s="82"/>
      <c r="V466" s="82"/>
      <c r="W466" s="82"/>
      <c r="X466" s="82"/>
      <c r="Y466" s="82"/>
      <c r="Z466" s="82"/>
      <c r="AA466" s="82"/>
    </row>
    <row r="467" ht="15.75" customHeight="1">
      <c r="A467" s="261"/>
      <c r="B467" s="171"/>
      <c r="C467" s="172"/>
      <c r="D467" s="172"/>
      <c r="E467" s="154"/>
      <c r="F467" s="162"/>
      <c r="G467" s="162"/>
      <c r="H467" s="162"/>
      <c r="I467" s="162"/>
      <c r="J467" s="174"/>
      <c r="K467" s="162"/>
      <c r="L467" s="129"/>
      <c r="M467" s="156"/>
      <c r="N467" s="79"/>
      <c r="O467" s="79"/>
      <c r="P467" s="79"/>
      <c r="Q467" s="79"/>
      <c r="R467" s="79"/>
      <c r="S467" s="82"/>
      <c r="T467" s="82"/>
      <c r="U467" s="82"/>
      <c r="V467" s="82"/>
      <c r="W467" s="82"/>
      <c r="X467" s="82"/>
      <c r="Y467" s="82"/>
      <c r="Z467" s="82"/>
      <c r="AA467" s="82"/>
    </row>
    <row r="468" ht="15.75" customHeight="1">
      <c r="A468" s="261"/>
      <c r="B468" s="171"/>
      <c r="C468" s="172"/>
      <c r="D468" s="172"/>
      <c r="E468" s="154"/>
      <c r="F468" s="162"/>
      <c r="G468" s="162"/>
      <c r="H468" s="162"/>
      <c r="I468" s="162"/>
      <c r="J468" s="174"/>
      <c r="K468" s="162"/>
      <c r="L468" s="129"/>
      <c r="M468" s="156"/>
      <c r="N468" s="79"/>
      <c r="O468" s="79"/>
      <c r="P468" s="79"/>
      <c r="Q468" s="79"/>
      <c r="R468" s="79"/>
      <c r="S468" s="82"/>
      <c r="T468" s="82"/>
      <c r="U468" s="82"/>
      <c r="V468" s="82"/>
      <c r="W468" s="82"/>
      <c r="X468" s="82"/>
      <c r="Y468" s="82"/>
      <c r="Z468" s="82"/>
      <c r="AA468" s="82"/>
    </row>
    <row r="469" ht="15.75" customHeight="1">
      <c r="A469" s="261"/>
      <c r="B469" s="171"/>
      <c r="C469" s="172"/>
      <c r="D469" s="172"/>
      <c r="E469" s="154"/>
      <c r="F469" s="162"/>
      <c r="G469" s="162"/>
      <c r="H469" s="162"/>
      <c r="I469" s="162"/>
      <c r="J469" s="174"/>
      <c r="K469" s="162"/>
      <c r="L469" s="129"/>
      <c r="M469" s="156"/>
      <c r="N469" s="79"/>
      <c r="O469" s="79"/>
      <c r="P469" s="79"/>
      <c r="Q469" s="79"/>
      <c r="R469" s="79"/>
      <c r="S469" s="82"/>
      <c r="T469" s="82"/>
      <c r="U469" s="82"/>
      <c r="V469" s="82"/>
      <c r="W469" s="82"/>
      <c r="X469" s="82"/>
      <c r="Y469" s="82"/>
      <c r="Z469" s="82"/>
      <c r="AA469" s="82"/>
    </row>
    <row r="470" ht="15.75" customHeight="1">
      <c r="A470" s="261"/>
      <c r="B470" s="171"/>
      <c r="C470" s="172"/>
      <c r="D470" s="172"/>
      <c r="E470" s="154"/>
      <c r="F470" s="162"/>
      <c r="G470" s="162"/>
      <c r="H470" s="162"/>
      <c r="I470" s="162"/>
      <c r="J470" s="174"/>
      <c r="K470" s="162"/>
      <c r="L470" s="129"/>
      <c r="M470" s="156"/>
      <c r="N470" s="79"/>
      <c r="O470" s="79"/>
      <c r="P470" s="79"/>
      <c r="Q470" s="79"/>
      <c r="R470" s="79"/>
      <c r="S470" s="82"/>
      <c r="T470" s="82"/>
      <c r="U470" s="82"/>
      <c r="V470" s="82"/>
      <c r="W470" s="82"/>
      <c r="X470" s="82"/>
      <c r="Y470" s="82"/>
      <c r="Z470" s="82"/>
      <c r="AA470" s="82"/>
    </row>
    <row r="471" ht="15.75" customHeight="1">
      <c r="A471" s="261"/>
      <c r="B471" s="171"/>
      <c r="C471" s="172"/>
      <c r="D471" s="172"/>
      <c r="E471" s="154"/>
      <c r="F471" s="162"/>
      <c r="G471" s="162"/>
      <c r="H471" s="162"/>
      <c r="I471" s="162"/>
      <c r="J471" s="174"/>
      <c r="K471" s="162"/>
      <c r="L471" s="129"/>
      <c r="M471" s="156"/>
      <c r="N471" s="79"/>
      <c r="O471" s="79"/>
      <c r="P471" s="79"/>
      <c r="Q471" s="79"/>
      <c r="R471" s="79"/>
      <c r="S471" s="82"/>
      <c r="T471" s="82"/>
      <c r="U471" s="82"/>
      <c r="V471" s="82"/>
      <c r="W471" s="82"/>
      <c r="X471" s="82"/>
      <c r="Y471" s="82"/>
      <c r="Z471" s="82"/>
      <c r="AA471" s="82"/>
    </row>
    <row r="472" ht="15.75" customHeight="1">
      <c r="A472" s="261"/>
      <c r="B472" s="171"/>
      <c r="C472" s="172"/>
      <c r="D472" s="172"/>
      <c r="E472" s="154"/>
      <c r="F472" s="162"/>
      <c r="G472" s="162"/>
      <c r="H472" s="162"/>
      <c r="I472" s="162"/>
      <c r="J472" s="174"/>
      <c r="K472" s="162"/>
      <c r="L472" s="129"/>
      <c r="M472" s="156"/>
      <c r="N472" s="79"/>
      <c r="O472" s="79"/>
      <c r="P472" s="79"/>
      <c r="Q472" s="79"/>
      <c r="R472" s="79"/>
      <c r="S472" s="82"/>
      <c r="T472" s="82"/>
      <c r="U472" s="82"/>
      <c r="V472" s="82"/>
      <c r="W472" s="82"/>
      <c r="X472" s="82"/>
      <c r="Y472" s="82"/>
      <c r="Z472" s="82"/>
      <c r="AA472" s="82"/>
    </row>
    <row r="473" ht="15.75" customHeight="1">
      <c r="A473" s="261"/>
      <c r="B473" s="171"/>
      <c r="C473" s="172"/>
      <c r="D473" s="172"/>
      <c r="E473" s="154"/>
      <c r="F473" s="162"/>
      <c r="G473" s="162"/>
      <c r="H473" s="162"/>
      <c r="I473" s="162"/>
      <c r="J473" s="174"/>
      <c r="K473" s="162"/>
      <c r="L473" s="129"/>
      <c r="M473" s="156"/>
      <c r="N473" s="79"/>
      <c r="O473" s="79"/>
      <c r="P473" s="79"/>
      <c r="Q473" s="79"/>
      <c r="R473" s="79"/>
      <c r="S473" s="82"/>
      <c r="T473" s="82"/>
      <c r="U473" s="82"/>
      <c r="V473" s="82"/>
      <c r="W473" s="82"/>
      <c r="X473" s="82"/>
      <c r="Y473" s="82"/>
      <c r="Z473" s="82"/>
      <c r="AA473" s="82"/>
    </row>
    <row r="474" ht="15.75" customHeight="1">
      <c r="A474" s="261"/>
      <c r="B474" s="171"/>
      <c r="C474" s="172"/>
      <c r="D474" s="172"/>
      <c r="E474" s="154"/>
      <c r="F474" s="162"/>
      <c r="G474" s="162"/>
      <c r="H474" s="162"/>
      <c r="I474" s="162"/>
      <c r="J474" s="174"/>
      <c r="K474" s="162"/>
      <c r="L474" s="129"/>
      <c r="M474" s="156"/>
      <c r="N474" s="79"/>
      <c r="O474" s="79"/>
      <c r="P474" s="79"/>
      <c r="Q474" s="79"/>
      <c r="R474" s="79"/>
      <c r="S474" s="82"/>
      <c r="T474" s="82"/>
      <c r="U474" s="82"/>
      <c r="V474" s="82"/>
      <c r="W474" s="82"/>
      <c r="X474" s="82"/>
      <c r="Y474" s="82"/>
      <c r="Z474" s="82"/>
      <c r="AA474" s="82"/>
    </row>
    <row r="475" ht="15.75" customHeight="1">
      <c r="A475" s="261"/>
      <c r="B475" s="171"/>
      <c r="C475" s="172"/>
      <c r="D475" s="172"/>
      <c r="E475" s="154"/>
      <c r="F475" s="162"/>
      <c r="G475" s="162"/>
      <c r="H475" s="162"/>
      <c r="I475" s="162"/>
      <c r="J475" s="174"/>
      <c r="K475" s="162"/>
      <c r="L475" s="129"/>
      <c r="M475" s="156"/>
      <c r="N475" s="79"/>
      <c r="O475" s="79"/>
      <c r="P475" s="79"/>
      <c r="Q475" s="79"/>
      <c r="R475" s="79"/>
      <c r="S475" s="82"/>
      <c r="T475" s="82"/>
      <c r="U475" s="82"/>
      <c r="V475" s="82"/>
      <c r="W475" s="82"/>
      <c r="X475" s="82"/>
      <c r="Y475" s="82"/>
      <c r="Z475" s="82"/>
      <c r="AA475" s="82"/>
    </row>
    <row r="476" ht="15.75" customHeight="1">
      <c r="A476" s="261"/>
      <c r="B476" s="171"/>
      <c r="C476" s="172"/>
      <c r="D476" s="172"/>
      <c r="E476" s="154"/>
      <c r="F476" s="162"/>
      <c r="G476" s="162"/>
      <c r="H476" s="162"/>
      <c r="I476" s="162"/>
      <c r="J476" s="174"/>
      <c r="K476" s="162"/>
      <c r="L476" s="129"/>
      <c r="M476" s="156"/>
      <c r="N476" s="79"/>
      <c r="O476" s="79"/>
      <c r="P476" s="79"/>
      <c r="Q476" s="79"/>
      <c r="R476" s="79"/>
      <c r="S476" s="82"/>
      <c r="T476" s="82"/>
      <c r="U476" s="82"/>
      <c r="V476" s="82"/>
      <c r="W476" s="82"/>
      <c r="X476" s="82"/>
      <c r="Y476" s="82"/>
      <c r="Z476" s="82"/>
      <c r="AA476" s="82"/>
    </row>
    <row r="477" ht="15.75" customHeight="1">
      <c r="A477" s="261"/>
      <c r="B477" s="171"/>
      <c r="C477" s="172"/>
      <c r="D477" s="172"/>
      <c r="E477" s="154"/>
      <c r="F477" s="162"/>
      <c r="G477" s="162"/>
      <c r="H477" s="162"/>
      <c r="I477" s="162"/>
      <c r="J477" s="174"/>
      <c r="K477" s="162"/>
      <c r="L477" s="129"/>
      <c r="M477" s="156"/>
      <c r="N477" s="79"/>
      <c r="O477" s="79"/>
      <c r="P477" s="79"/>
      <c r="Q477" s="79"/>
      <c r="R477" s="79"/>
      <c r="S477" s="82"/>
      <c r="T477" s="82"/>
      <c r="U477" s="82"/>
      <c r="V477" s="82"/>
      <c r="W477" s="82"/>
      <c r="X477" s="82"/>
      <c r="Y477" s="82"/>
      <c r="Z477" s="82"/>
      <c r="AA477" s="82"/>
    </row>
    <row r="478" ht="15.75" customHeight="1">
      <c r="A478" s="261"/>
      <c r="B478" s="171"/>
      <c r="C478" s="172"/>
      <c r="D478" s="172"/>
      <c r="E478" s="154"/>
      <c r="F478" s="162"/>
      <c r="G478" s="162"/>
      <c r="H478" s="162"/>
      <c r="I478" s="162"/>
      <c r="J478" s="174"/>
      <c r="K478" s="162"/>
      <c r="L478" s="129"/>
      <c r="M478" s="156"/>
      <c r="N478" s="79"/>
      <c r="O478" s="79"/>
      <c r="P478" s="79"/>
      <c r="Q478" s="79"/>
      <c r="R478" s="79"/>
      <c r="S478" s="82"/>
      <c r="T478" s="82"/>
      <c r="U478" s="82"/>
      <c r="V478" s="82"/>
      <c r="W478" s="82"/>
      <c r="X478" s="82"/>
      <c r="Y478" s="82"/>
      <c r="Z478" s="82"/>
      <c r="AA478" s="82"/>
    </row>
    <row r="479" ht="15.75" customHeight="1">
      <c r="A479" s="261"/>
      <c r="B479" s="171"/>
      <c r="C479" s="172"/>
      <c r="D479" s="172"/>
      <c r="E479" s="154"/>
      <c r="F479" s="162"/>
      <c r="G479" s="162"/>
      <c r="H479" s="162"/>
      <c r="I479" s="162"/>
      <c r="J479" s="174"/>
      <c r="K479" s="162"/>
      <c r="L479" s="129"/>
      <c r="M479" s="156"/>
      <c r="N479" s="79"/>
      <c r="O479" s="79"/>
      <c r="P479" s="79"/>
      <c r="Q479" s="79"/>
      <c r="R479" s="79"/>
      <c r="S479" s="82"/>
      <c r="T479" s="82"/>
      <c r="U479" s="82"/>
      <c r="V479" s="82"/>
      <c r="W479" s="82"/>
      <c r="X479" s="82"/>
      <c r="Y479" s="82"/>
      <c r="Z479" s="82"/>
      <c r="AA479" s="82"/>
    </row>
    <row r="480" ht="15.75" customHeight="1">
      <c r="A480" s="261"/>
      <c r="B480" s="171"/>
      <c r="C480" s="172"/>
      <c r="D480" s="172"/>
      <c r="E480" s="154"/>
      <c r="F480" s="162"/>
      <c r="G480" s="162"/>
      <c r="H480" s="162"/>
      <c r="I480" s="162"/>
      <c r="J480" s="174"/>
      <c r="K480" s="162"/>
      <c r="L480" s="129"/>
      <c r="M480" s="156"/>
      <c r="N480" s="79"/>
      <c r="O480" s="79"/>
      <c r="P480" s="79"/>
      <c r="Q480" s="79"/>
      <c r="R480" s="79"/>
      <c r="S480" s="82"/>
      <c r="T480" s="82"/>
      <c r="U480" s="82"/>
      <c r="V480" s="82"/>
      <c r="W480" s="82"/>
      <c r="X480" s="82"/>
      <c r="Y480" s="82"/>
      <c r="Z480" s="82"/>
      <c r="AA480" s="82"/>
    </row>
    <row r="481" ht="15.75" customHeight="1">
      <c r="A481" s="261"/>
      <c r="B481" s="171"/>
      <c r="C481" s="172"/>
      <c r="D481" s="172"/>
      <c r="E481" s="154"/>
      <c r="F481" s="162"/>
      <c r="G481" s="162"/>
      <c r="H481" s="162"/>
      <c r="I481" s="162"/>
      <c r="J481" s="174"/>
      <c r="K481" s="162"/>
      <c r="L481" s="129"/>
      <c r="M481" s="156"/>
      <c r="N481" s="79"/>
      <c r="O481" s="79"/>
      <c r="P481" s="79"/>
      <c r="Q481" s="79"/>
      <c r="R481" s="79"/>
      <c r="S481" s="82"/>
      <c r="T481" s="82"/>
      <c r="U481" s="82"/>
      <c r="V481" s="82"/>
      <c r="W481" s="82"/>
      <c r="X481" s="82"/>
      <c r="Y481" s="82"/>
      <c r="Z481" s="82"/>
      <c r="AA481" s="82"/>
    </row>
    <row r="482" ht="15.75" customHeight="1">
      <c r="A482" s="261"/>
      <c r="B482" s="171"/>
      <c r="C482" s="172"/>
      <c r="D482" s="172"/>
      <c r="E482" s="154"/>
      <c r="F482" s="162"/>
      <c r="G482" s="162"/>
      <c r="H482" s="162"/>
      <c r="I482" s="162"/>
      <c r="J482" s="174"/>
      <c r="K482" s="162"/>
      <c r="L482" s="129"/>
      <c r="M482" s="156"/>
      <c r="N482" s="79"/>
      <c r="O482" s="79"/>
      <c r="P482" s="79"/>
      <c r="Q482" s="79"/>
      <c r="R482" s="79"/>
      <c r="S482" s="82"/>
      <c r="T482" s="82"/>
      <c r="U482" s="82"/>
      <c r="V482" s="82"/>
      <c r="W482" s="82"/>
      <c r="X482" s="82"/>
      <c r="Y482" s="82"/>
      <c r="Z482" s="82"/>
      <c r="AA482" s="82"/>
    </row>
    <row r="483" ht="15.75" customHeight="1">
      <c r="A483" s="261"/>
      <c r="B483" s="171"/>
      <c r="C483" s="172"/>
      <c r="D483" s="172"/>
      <c r="E483" s="154"/>
      <c r="F483" s="162"/>
      <c r="G483" s="162"/>
      <c r="H483" s="162"/>
      <c r="I483" s="162"/>
      <c r="J483" s="174"/>
      <c r="K483" s="162"/>
      <c r="L483" s="129"/>
      <c r="M483" s="156"/>
      <c r="N483" s="79"/>
      <c r="O483" s="79"/>
      <c r="P483" s="79"/>
      <c r="Q483" s="79"/>
      <c r="R483" s="79"/>
      <c r="S483" s="82"/>
      <c r="T483" s="82"/>
      <c r="U483" s="82"/>
      <c r="V483" s="82"/>
      <c r="W483" s="82"/>
      <c r="X483" s="82"/>
      <c r="Y483" s="82"/>
      <c r="Z483" s="82"/>
      <c r="AA483" s="82"/>
    </row>
    <row r="484" ht="15.75" customHeight="1">
      <c r="A484" s="261"/>
      <c r="B484" s="171"/>
      <c r="C484" s="172"/>
      <c r="D484" s="172"/>
      <c r="E484" s="154"/>
      <c r="F484" s="162"/>
      <c r="G484" s="162"/>
      <c r="H484" s="162"/>
      <c r="I484" s="162"/>
      <c r="J484" s="174"/>
      <c r="K484" s="162"/>
      <c r="L484" s="129"/>
      <c r="M484" s="156"/>
      <c r="N484" s="79"/>
      <c r="O484" s="79"/>
      <c r="P484" s="79"/>
      <c r="Q484" s="79"/>
      <c r="R484" s="79"/>
      <c r="S484" s="82"/>
      <c r="T484" s="82"/>
      <c r="U484" s="82"/>
      <c r="V484" s="82"/>
      <c r="W484" s="82"/>
      <c r="X484" s="82"/>
      <c r="Y484" s="82"/>
      <c r="Z484" s="82"/>
      <c r="AA484" s="82"/>
    </row>
    <row r="485" ht="15.75" customHeight="1">
      <c r="A485" s="261"/>
      <c r="B485" s="171"/>
      <c r="C485" s="172"/>
      <c r="D485" s="172"/>
      <c r="E485" s="154"/>
      <c r="F485" s="162"/>
      <c r="G485" s="162"/>
      <c r="H485" s="162"/>
      <c r="I485" s="162"/>
      <c r="J485" s="174"/>
      <c r="K485" s="162"/>
      <c r="L485" s="129"/>
      <c r="M485" s="156"/>
      <c r="N485" s="79"/>
      <c r="O485" s="79"/>
      <c r="P485" s="79"/>
      <c r="Q485" s="79"/>
      <c r="R485" s="79"/>
      <c r="S485" s="82"/>
      <c r="T485" s="82"/>
      <c r="U485" s="82"/>
      <c r="V485" s="82"/>
      <c r="W485" s="82"/>
      <c r="X485" s="82"/>
      <c r="Y485" s="82"/>
      <c r="Z485" s="82"/>
      <c r="AA485" s="82"/>
    </row>
    <row r="486" ht="15.75" customHeight="1">
      <c r="A486" s="261"/>
      <c r="B486" s="171"/>
      <c r="C486" s="172"/>
      <c r="D486" s="172"/>
      <c r="E486" s="154"/>
      <c r="F486" s="162"/>
      <c r="G486" s="162"/>
      <c r="H486" s="162"/>
      <c r="I486" s="162"/>
      <c r="J486" s="174"/>
      <c r="K486" s="162"/>
      <c r="L486" s="129"/>
      <c r="M486" s="156"/>
      <c r="N486" s="79"/>
      <c r="O486" s="79"/>
      <c r="P486" s="79"/>
      <c r="Q486" s="79"/>
      <c r="R486" s="79"/>
      <c r="S486" s="82"/>
      <c r="T486" s="82"/>
      <c r="U486" s="82"/>
      <c r="V486" s="82"/>
      <c r="W486" s="82"/>
      <c r="X486" s="82"/>
      <c r="Y486" s="82"/>
      <c r="Z486" s="82"/>
      <c r="AA486" s="82"/>
    </row>
    <row r="487" ht="15.75" customHeight="1">
      <c r="A487" s="261"/>
      <c r="B487" s="171"/>
      <c r="C487" s="172"/>
      <c r="D487" s="172"/>
      <c r="E487" s="154"/>
      <c r="F487" s="162"/>
      <c r="G487" s="162"/>
      <c r="H487" s="162"/>
      <c r="I487" s="162"/>
      <c r="J487" s="174"/>
      <c r="K487" s="162"/>
      <c r="L487" s="129"/>
      <c r="M487" s="156"/>
      <c r="N487" s="79"/>
      <c r="O487" s="79"/>
      <c r="P487" s="79"/>
      <c r="Q487" s="79"/>
      <c r="R487" s="79"/>
      <c r="S487" s="82"/>
      <c r="T487" s="82"/>
      <c r="U487" s="82"/>
      <c r="V487" s="82"/>
      <c r="W487" s="82"/>
      <c r="X487" s="82"/>
      <c r="Y487" s="82"/>
      <c r="Z487" s="82"/>
      <c r="AA487" s="82"/>
    </row>
    <row r="488" ht="15.75" customHeight="1">
      <c r="A488" s="261"/>
      <c r="B488" s="171"/>
      <c r="C488" s="172"/>
      <c r="D488" s="172"/>
      <c r="E488" s="154"/>
      <c r="F488" s="162"/>
      <c r="G488" s="162"/>
      <c r="H488" s="162"/>
      <c r="I488" s="162"/>
      <c r="J488" s="174"/>
      <c r="K488" s="162"/>
      <c r="L488" s="129"/>
      <c r="M488" s="156"/>
      <c r="N488" s="79"/>
      <c r="O488" s="79"/>
      <c r="P488" s="79"/>
      <c r="Q488" s="79"/>
      <c r="R488" s="79"/>
      <c r="S488" s="82"/>
      <c r="T488" s="82"/>
      <c r="U488" s="82"/>
      <c r="V488" s="82"/>
      <c r="W488" s="82"/>
      <c r="X488" s="82"/>
      <c r="Y488" s="82"/>
      <c r="Z488" s="82"/>
      <c r="AA488" s="82"/>
    </row>
    <row r="489" ht="15.75" customHeight="1">
      <c r="A489" s="261"/>
      <c r="B489" s="171"/>
      <c r="C489" s="172"/>
      <c r="D489" s="172"/>
      <c r="E489" s="154"/>
      <c r="F489" s="162"/>
      <c r="G489" s="162"/>
      <c r="H489" s="162"/>
      <c r="I489" s="162"/>
      <c r="J489" s="174"/>
      <c r="K489" s="162"/>
      <c r="L489" s="129"/>
      <c r="M489" s="156"/>
      <c r="N489" s="79"/>
      <c r="O489" s="79"/>
      <c r="P489" s="79"/>
      <c r="Q489" s="79"/>
      <c r="R489" s="79"/>
      <c r="S489" s="82"/>
      <c r="T489" s="82"/>
      <c r="U489" s="82"/>
      <c r="V489" s="82"/>
      <c r="W489" s="82"/>
      <c r="X489" s="82"/>
      <c r="Y489" s="82"/>
      <c r="Z489" s="82"/>
      <c r="AA489" s="82"/>
    </row>
    <row r="490" ht="15.75" customHeight="1">
      <c r="A490" s="261"/>
      <c r="B490" s="171"/>
      <c r="C490" s="172"/>
      <c r="D490" s="172"/>
      <c r="E490" s="154"/>
      <c r="F490" s="162"/>
      <c r="G490" s="162"/>
      <c r="H490" s="162"/>
      <c r="I490" s="162"/>
      <c r="J490" s="174"/>
      <c r="K490" s="162"/>
      <c r="L490" s="129"/>
      <c r="M490" s="156"/>
      <c r="N490" s="79"/>
      <c r="O490" s="79"/>
      <c r="P490" s="79"/>
      <c r="Q490" s="79"/>
      <c r="R490" s="79"/>
      <c r="S490" s="82"/>
      <c r="T490" s="82"/>
      <c r="U490" s="82"/>
      <c r="V490" s="82"/>
      <c r="W490" s="82"/>
      <c r="X490" s="82"/>
      <c r="Y490" s="82"/>
      <c r="Z490" s="82"/>
      <c r="AA490" s="82"/>
    </row>
    <row r="491" ht="15.75" customHeight="1">
      <c r="A491" s="261"/>
      <c r="B491" s="171"/>
      <c r="C491" s="172"/>
      <c r="D491" s="172"/>
      <c r="E491" s="154"/>
      <c r="F491" s="162"/>
      <c r="G491" s="162"/>
      <c r="H491" s="162"/>
      <c r="I491" s="162"/>
      <c r="J491" s="174"/>
      <c r="K491" s="162"/>
      <c r="L491" s="129"/>
      <c r="M491" s="156"/>
      <c r="N491" s="79"/>
      <c r="O491" s="79"/>
      <c r="P491" s="79"/>
      <c r="Q491" s="79"/>
      <c r="R491" s="79"/>
      <c r="S491" s="82"/>
      <c r="T491" s="82"/>
      <c r="U491" s="82"/>
      <c r="V491" s="82"/>
      <c r="W491" s="82"/>
      <c r="X491" s="82"/>
      <c r="Y491" s="82"/>
      <c r="Z491" s="82"/>
      <c r="AA491" s="82"/>
    </row>
    <row r="492" ht="15.75" customHeight="1">
      <c r="A492" s="261"/>
      <c r="B492" s="171"/>
      <c r="C492" s="172"/>
      <c r="D492" s="172"/>
      <c r="E492" s="154"/>
      <c r="F492" s="162"/>
      <c r="G492" s="162"/>
      <c r="H492" s="162"/>
      <c r="I492" s="162"/>
      <c r="J492" s="174"/>
      <c r="K492" s="162"/>
      <c r="L492" s="129"/>
      <c r="M492" s="156"/>
      <c r="N492" s="79"/>
      <c r="O492" s="79"/>
      <c r="P492" s="79"/>
      <c r="Q492" s="79"/>
      <c r="R492" s="79"/>
      <c r="S492" s="82"/>
      <c r="T492" s="82"/>
      <c r="U492" s="82"/>
      <c r="V492" s="82"/>
      <c r="W492" s="82"/>
      <c r="X492" s="82"/>
      <c r="Y492" s="82"/>
      <c r="Z492" s="82"/>
      <c r="AA492" s="82"/>
    </row>
    <row r="493" ht="15.75" customHeight="1">
      <c r="A493" s="261"/>
      <c r="B493" s="171"/>
      <c r="C493" s="172"/>
      <c r="D493" s="172"/>
      <c r="E493" s="154"/>
      <c r="F493" s="162"/>
      <c r="G493" s="162"/>
      <c r="H493" s="162"/>
      <c r="I493" s="162"/>
      <c r="J493" s="174"/>
      <c r="K493" s="162"/>
      <c r="L493" s="129"/>
      <c r="M493" s="156"/>
      <c r="N493" s="79"/>
      <c r="O493" s="79"/>
      <c r="P493" s="79"/>
      <c r="Q493" s="79"/>
      <c r="R493" s="79"/>
      <c r="S493" s="82"/>
      <c r="T493" s="82"/>
      <c r="U493" s="82"/>
      <c r="V493" s="82"/>
      <c r="W493" s="82"/>
      <c r="X493" s="82"/>
      <c r="Y493" s="82"/>
      <c r="Z493" s="82"/>
      <c r="AA493" s="82"/>
    </row>
    <row r="494" ht="15.75" customHeight="1">
      <c r="A494" s="261"/>
      <c r="B494" s="171"/>
      <c r="C494" s="172"/>
      <c r="D494" s="172"/>
      <c r="E494" s="154"/>
      <c r="F494" s="162"/>
      <c r="G494" s="162"/>
      <c r="H494" s="162"/>
      <c r="I494" s="162"/>
      <c r="J494" s="174"/>
      <c r="K494" s="162"/>
      <c r="L494" s="129"/>
      <c r="M494" s="156"/>
      <c r="N494" s="79"/>
      <c r="O494" s="79"/>
      <c r="P494" s="79"/>
      <c r="Q494" s="79"/>
      <c r="R494" s="79"/>
      <c r="S494" s="82"/>
      <c r="T494" s="82"/>
      <c r="U494" s="82"/>
      <c r="V494" s="82"/>
      <c r="W494" s="82"/>
      <c r="X494" s="82"/>
      <c r="Y494" s="82"/>
      <c r="Z494" s="82"/>
      <c r="AA494" s="82"/>
    </row>
    <row r="495" ht="15.75" customHeight="1">
      <c r="A495" s="261"/>
      <c r="B495" s="171"/>
      <c r="C495" s="172"/>
      <c r="D495" s="172"/>
      <c r="E495" s="154"/>
      <c r="F495" s="162"/>
      <c r="G495" s="162"/>
      <c r="H495" s="162"/>
      <c r="I495" s="162"/>
      <c r="J495" s="174"/>
      <c r="K495" s="162"/>
      <c r="L495" s="129"/>
      <c r="M495" s="156"/>
      <c r="N495" s="79"/>
      <c r="O495" s="79"/>
      <c r="P495" s="79"/>
      <c r="Q495" s="79"/>
      <c r="R495" s="79"/>
      <c r="S495" s="82"/>
      <c r="T495" s="82"/>
      <c r="U495" s="82"/>
      <c r="V495" s="82"/>
      <c r="W495" s="82"/>
      <c r="X495" s="82"/>
      <c r="Y495" s="82"/>
      <c r="Z495" s="82"/>
      <c r="AA495" s="82"/>
    </row>
    <row r="496" ht="15.75" customHeight="1">
      <c r="A496" s="261"/>
      <c r="B496" s="171"/>
      <c r="C496" s="172"/>
      <c r="D496" s="172"/>
      <c r="E496" s="154"/>
      <c r="F496" s="162"/>
      <c r="G496" s="162"/>
      <c r="H496" s="162"/>
      <c r="I496" s="162"/>
      <c r="J496" s="174"/>
      <c r="K496" s="162"/>
      <c r="L496" s="129"/>
      <c r="M496" s="156"/>
      <c r="N496" s="79"/>
      <c r="O496" s="79"/>
      <c r="P496" s="79"/>
      <c r="Q496" s="79"/>
      <c r="R496" s="79"/>
      <c r="S496" s="82"/>
      <c r="T496" s="82"/>
      <c r="U496" s="82"/>
      <c r="V496" s="82"/>
      <c r="W496" s="82"/>
      <c r="X496" s="82"/>
      <c r="Y496" s="82"/>
      <c r="Z496" s="82"/>
      <c r="AA496" s="82"/>
    </row>
    <row r="497" ht="15.75" customHeight="1">
      <c r="A497" s="261"/>
      <c r="B497" s="171"/>
      <c r="C497" s="172"/>
      <c r="D497" s="172"/>
      <c r="E497" s="154"/>
      <c r="F497" s="162"/>
      <c r="G497" s="162"/>
      <c r="H497" s="162"/>
      <c r="I497" s="162"/>
      <c r="J497" s="174"/>
      <c r="K497" s="162"/>
      <c r="L497" s="129"/>
      <c r="M497" s="156"/>
      <c r="N497" s="79"/>
      <c r="O497" s="79"/>
      <c r="P497" s="79"/>
      <c r="Q497" s="79"/>
      <c r="R497" s="79"/>
      <c r="S497" s="82"/>
      <c r="T497" s="82"/>
      <c r="U497" s="82"/>
      <c r="V497" s="82"/>
      <c r="W497" s="82"/>
      <c r="X497" s="82"/>
      <c r="Y497" s="82"/>
      <c r="Z497" s="82"/>
      <c r="AA497" s="82"/>
    </row>
    <row r="498" ht="15.75" customHeight="1">
      <c r="A498" s="261"/>
      <c r="B498" s="171"/>
      <c r="C498" s="172"/>
      <c r="D498" s="172"/>
      <c r="E498" s="154"/>
      <c r="F498" s="162"/>
      <c r="G498" s="162"/>
      <c r="H498" s="162"/>
      <c r="I498" s="162"/>
      <c r="J498" s="174"/>
      <c r="K498" s="162"/>
      <c r="L498" s="129"/>
      <c r="M498" s="156"/>
      <c r="N498" s="79"/>
      <c r="O498" s="79"/>
      <c r="P498" s="79"/>
      <c r="Q498" s="79"/>
      <c r="R498" s="79"/>
      <c r="S498" s="82"/>
      <c r="T498" s="82"/>
      <c r="U498" s="82"/>
      <c r="V498" s="82"/>
      <c r="W498" s="82"/>
      <c r="X498" s="82"/>
      <c r="Y498" s="82"/>
      <c r="Z498" s="82"/>
      <c r="AA498" s="82"/>
    </row>
    <row r="499" ht="15.75" customHeight="1">
      <c r="A499" s="261"/>
      <c r="B499" s="171"/>
      <c r="C499" s="172"/>
      <c r="D499" s="172"/>
      <c r="E499" s="154"/>
      <c r="F499" s="162"/>
      <c r="G499" s="162"/>
      <c r="H499" s="162"/>
      <c r="I499" s="162"/>
      <c r="J499" s="174"/>
      <c r="K499" s="162"/>
      <c r="L499" s="129"/>
      <c r="M499" s="156"/>
      <c r="N499" s="79"/>
      <c r="O499" s="79"/>
      <c r="P499" s="79"/>
      <c r="Q499" s="79"/>
      <c r="R499" s="79"/>
      <c r="S499" s="82"/>
      <c r="T499" s="82"/>
      <c r="U499" s="82"/>
      <c r="V499" s="82"/>
      <c r="W499" s="82"/>
      <c r="X499" s="82"/>
      <c r="Y499" s="82"/>
      <c r="Z499" s="82"/>
      <c r="AA499" s="82"/>
    </row>
    <row r="500" ht="15.75" customHeight="1">
      <c r="A500" s="261"/>
      <c r="B500" s="171"/>
      <c r="C500" s="172"/>
      <c r="D500" s="172"/>
      <c r="E500" s="154"/>
      <c r="F500" s="162"/>
      <c r="G500" s="162"/>
      <c r="H500" s="162"/>
      <c r="I500" s="162"/>
      <c r="J500" s="174"/>
      <c r="K500" s="162"/>
      <c r="L500" s="129"/>
      <c r="M500" s="156"/>
      <c r="N500" s="79"/>
      <c r="O500" s="79"/>
      <c r="P500" s="79"/>
      <c r="Q500" s="79"/>
      <c r="R500" s="79"/>
      <c r="S500" s="82"/>
      <c r="T500" s="82"/>
      <c r="U500" s="82"/>
      <c r="V500" s="82"/>
      <c r="W500" s="82"/>
      <c r="X500" s="82"/>
      <c r="Y500" s="82"/>
      <c r="Z500" s="82"/>
      <c r="AA500" s="82"/>
    </row>
    <row r="501" ht="15.75" customHeight="1">
      <c r="A501" s="261"/>
      <c r="B501" s="171"/>
      <c r="C501" s="172"/>
      <c r="D501" s="172"/>
      <c r="E501" s="154"/>
      <c r="F501" s="162"/>
      <c r="G501" s="162"/>
      <c r="H501" s="162"/>
      <c r="I501" s="162"/>
      <c r="J501" s="174"/>
      <c r="K501" s="162"/>
      <c r="L501" s="129"/>
      <c r="M501" s="156"/>
      <c r="N501" s="79"/>
      <c r="O501" s="79"/>
      <c r="P501" s="79"/>
      <c r="Q501" s="79"/>
      <c r="R501" s="79"/>
      <c r="S501" s="82"/>
      <c r="T501" s="82"/>
      <c r="U501" s="82"/>
      <c r="V501" s="82"/>
      <c r="W501" s="82"/>
      <c r="X501" s="82"/>
      <c r="Y501" s="82"/>
      <c r="Z501" s="82"/>
      <c r="AA501" s="82"/>
    </row>
    <row r="502" ht="15.75" customHeight="1">
      <c r="A502" s="261"/>
      <c r="B502" s="171"/>
      <c r="C502" s="172"/>
      <c r="D502" s="172"/>
      <c r="E502" s="154"/>
      <c r="F502" s="162"/>
      <c r="G502" s="162"/>
      <c r="H502" s="162"/>
      <c r="I502" s="162"/>
      <c r="J502" s="174"/>
      <c r="K502" s="162"/>
      <c r="L502" s="129"/>
      <c r="M502" s="156"/>
      <c r="N502" s="79"/>
      <c r="O502" s="79"/>
      <c r="P502" s="79"/>
      <c r="Q502" s="79"/>
      <c r="R502" s="79"/>
      <c r="S502" s="82"/>
      <c r="T502" s="82"/>
      <c r="U502" s="82"/>
      <c r="V502" s="82"/>
      <c r="W502" s="82"/>
      <c r="X502" s="82"/>
      <c r="Y502" s="82"/>
      <c r="Z502" s="82"/>
      <c r="AA502" s="82"/>
    </row>
    <row r="503" ht="15.75" customHeight="1">
      <c r="A503" s="261"/>
      <c r="B503" s="171"/>
      <c r="C503" s="172"/>
      <c r="D503" s="172"/>
      <c r="E503" s="154"/>
      <c r="F503" s="162"/>
      <c r="G503" s="162"/>
      <c r="H503" s="162"/>
      <c r="I503" s="162"/>
      <c r="J503" s="174"/>
      <c r="K503" s="162"/>
      <c r="L503" s="129"/>
      <c r="M503" s="156"/>
      <c r="N503" s="79"/>
      <c r="O503" s="79"/>
      <c r="P503" s="79"/>
      <c r="Q503" s="79"/>
      <c r="R503" s="79"/>
      <c r="S503" s="82"/>
      <c r="T503" s="82"/>
      <c r="U503" s="82"/>
      <c r="V503" s="82"/>
      <c r="W503" s="82"/>
      <c r="X503" s="82"/>
      <c r="Y503" s="82"/>
      <c r="Z503" s="82"/>
      <c r="AA503" s="82"/>
    </row>
    <row r="504" ht="15.75" customHeight="1">
      <c r="A504" s="261"/>
      <c r="B504" s="171"/>
      <c r="C504" s="172"/>
      <c r="D504" s="172"/>
      <c r="E504" s="154"/>
      <c r="F504" s="162"/>
      <c r="G504" s="162"/>
      <c r="H504" s="162"/>
      <c r="I504" s="162"/>
      <c r="J504" s="174"/>
      <c r="K504" s="162"/>
      <c r="L504" s="129"/>
      <c r="M504" s="156"/>
      <c r="N504" s="79"/>
      <c r="O504" s="79"/>
      <c r="P504" s="79"/>
      <c r="Q504" s="79"/>
      <c r="R504" s="79"/>
      <c r="S504" s="82"/>
      <c r="T504" s="82"/>
      <c r="U504" s="82"/>
      <c r="V504" s="82"/>
      <c r="W504" s="82"/>
      <c r="X504" s="82"/>
      <c r="Y504" s="82"/>
      <c r="Z504" s="82"/>
      <c r="AA504" s="82"/>
    </row>
    <row r="505" ht="15.75" customHeight="1">
      <c r="A505" s="261"/>
      <c r="B505" s="171"/>
      <c r="C505" s="172"/>
      <c r="D505" s="172"/>
      <c r="E505" s="154"/>
      <c r="F505" s="162"/>
      <c r="G505" s="162"/>
      <c r="H505" s="162"/>
      <c r="I505" s="162"/>
      <c r="J505" s="174"/>
      <c r="K505" s="162"/>
      <c r="L505" s="129"/>
      <c r="M505" s="156"/>
      <c r="N505" s="79"/>
      <c r="O505" s="79"/>
      <c r="P505" s="79"/>
      <c r="Q505" s="79"/>
      <c r="R505" s="79"/>
      <c r="S505" s="82"/>
      <c r="T505" s="82"/>
      <c r="U505" s="82"/>
      <c r="V505" s="82"/>
      <c r="W505" s="82"/>
      <c r="X505" s="82"/>
      <c r="Y505" s="82"/>
      <c r="Z505" s="82"/>
      <c r="AA505" s="82"/>
    </row>
    <row r="506" ht="15.75" customHeight="1">
      <c r="A506" s="261"/>
      <c r="B506" s="171"/>
      <c r="C506" s="172"/>
      <c r="D506" s="172"/>
      <c r="E506" s="154"/>
      <c r="F506" s="162"/>
      <c r="G506" s="162"/>
      <c r="H506" s="162"/>
      <c r="I506" s="162"/>
      <c r="J506" s="174"/>
      <c r="K506" s="162"/>
      <c r="L506" s="129"/>
      <c r="M506" s="156"/>
      <c r="N506" s="79"/>
      <c r="O506" s="79"/>
      <c r="P506" s="79"/>
      <c r="Q506" s="79"/>
      <c r="R506" s="79"/>
      <c r="S506" s="82"/>
      <c r="T506" s="82"/>
      <c r="U506" s="82"/>
      <c r="V506" s="82"/>
      <c r="W506" s="82"/>
      <c r="X506" s="82"/>
      <c r="Y506" s="82"/>
      <c r="Z506" s="82"/>
      <c r="AA506" s="82"/>
    </row>
    <row r="507" ht="15.75" customHeight="1">
      <c r="A507" s="261"/>
      <c r="B507" s="171"/>
      <c r="C507" s="172"/>
      <c r="D507" s="172"/>
      <c r="E507" s="154"/>
      <c r="F507" s="162"/>
      <c r="G507" s="162"/>
      <c r="H507" s="162"/>
      <c r="I507" s="162"/>
      <c r="J507" s="174"/>
      <c r="K507" s="162"/>
      <c r="L507" s="129"/>
      <c r="M507" s="156"/>
      <c r="N507" s="79"/>
      <c r="O507" s="79"/>
      <c r="P507" s="79"/>
      <c r="Q507" s="79"/>
      <c r="R507" s="79"/>
      <c r="S507" s="82"/>
      <c r="T507" s="82"/>
      <c r="U507" s="82"/>
      <c r="V507" s="82"/>
      <c r="W507" s="82"/>
      <c r="X507" s="82"/>
      <c r="Y507" s="82"/>
      <c r="Z507" s="82"/>
      <c r="AA507" s="82"/>
    </row>
    <row r="508" ht="15.75" customHeight="1">
      <c r="A508" s="261"/>
      <c r="B508" s="171"/>
      <c r="C508" s="172"/>
      <c r="D508" s="172"/>
      <c r="E508" s="154"/>
      <c r="F508" s="162"/>
      <c r="G508" s="162"/>
      <c r="H508" s="162"/>
      <c r="I508" s="162"/>
      <c r="J508" s="174"/>
      <c r="K508" s="162"/>
      <c r="L508" s="129"/>
      <c r="M508" s="156"/>
      <c r="N508" s="79"/>
      <c r="O508" s="79"/>
      <c r="P508" s="79"/>
      <c r="Q508" s="79"/>
      <c r="R508" s="79"/>
      <c r="S508" s="82"/>
      <c r="T508" s="82"/>
      <c r="U508" s="82"/>
      <c r="V508" s="82"/>
      <c r="W508" s="82"/>
      <c r="X508" s="82"/>
      <c r="Y508" s="82"/>
      <c r="Z508" s="82"/>
      <c r="AA508" s="82"/>
    </row>
    <row r="509" ht="15.75" customHeight="1">
      <c r="A509" s="261"/>
      <c r="B509" s="171"/>
      <c r="C509" s="172"/>
      <c r="D509" s="172"/>
      <c r="E509" s="154"/>
      <c r="F509" s="162"/>
      <c r="G509" s="162"/>
      <c r="H509" s="162"/>
      <c r="I509" s="162"/>
      <c r="J509" s="174"/>
      <c r="K509" s="162"/>
      <c r="L509" s="129"/>
      <c r="M509" s="156"/>
      <c r="N509" s="79"/>
      <c r="O509" s="79"/>
      <c r="P509" s="79"/>
      <c r="Q509" s="79"/>
      <c r="R509" s="79"/>
      <c r="S509" s="82"/>
      <c r="T509" s="82"/>
      <c r="U509" s="82"/>
      <c r="V509" s="82"/>
      <c r="W509" s="82"/>
      <c r="X509" s="82"/>
      <c r="Y509" s="82"/>
      <c r="Z509" s="82"/>
      <c r="AA509" s="82"/>
    </row>
    <row r="510" ht="15.75" customHeight="1">
      <c r="A510" s="261"/>
      <c r="B510" s="171"/>
      <c r="C510" s="172"/>
      <c r="D510" s="172"/>
      <c r="E510" s="154"/>
      <c r="F510" s="162"/>
      <c r="G510" s="162"/>
      <c r="H510" s="162"/>
      <c r="I510" s="162"/>
      <c r="J510" s="174"/>
      <c r="K510" s="162"/>
      <c r="L510" s="129"/>
      <c r="M510" s="156"/>
      <c r="N510" s="79"/>
      <c r="O510" s="79"/>
      <c r="P510" s="79"/>
      <c r="Q510" s="79"/>
      <c r="R510" s="79"/>
      <c r="S510" s="82"/>
      <c r="T510" s="82"/>
      <c r="U510" s="82"/>
      <c r="V510" s="82"/>
      <c r="W510" s="82"/>
      <c r="X510" s="82"/>
      <c r="Y510" s="82"/>
      <c r="Z510" s="82"/>
      <c r="AA510" s="82"/>
    </row>
    <row r="511" ht="15.75" customHeight="1">
      <c r="A511" s="261"/>
      <c r="B511" s="171"/>
      <c r="C511" s="172"/>
      <c r="D511" s="172"/>
      <c r="E511" s="154"/>
      <c r="F511" s="162"/>
      <c r="G511" s="162"/>
      <c r="H511" s="162"/>
      <c r="I511" s="162"/>
      <c r="J511" s="174"/>
      <c r="K511" s="162"/>
      <c r="L511" s="129"/>
      <c r="M511" s="156"/>
      <c r="N511" s="79"/>
      <c r="O511" s="79"/>
      <c r="P511" s="79"/>
      <c r="Q511" s="79"/>
      <c r="R511" s="79"/>
      <c r="S511" s="82"/>
      <c r="T511" s="82"/>
      <c r="U511" s="82"/>
      <c r="V511" s="82"/>
      <c r="W511" s="82"/>
      <c r="X511" s="82"/>
      <c r="Y511" s="82"/>
      <c r="Z511" s="82"/>
      <c r="AA511" s="82"/>
    </row>
    <row r="512" ht="15.75" customHeight="1">
      <c r="A512" s="261"/>
      <c r="B512" s="171"/>
      <c r="C512" s="172"/>
      <c r="D512" s="172"/>
      <c r="E512" s="154"/>
      <c r="F512" s="162"/>
      <c r="G512" s="162"/>
      <c r="H512" s="162"/>
      <c r="I512" s="162"/>
      <c r="J512" s="174"/>
      <c r="K512" s="162"/>
      <c r="L512" s="129"/>
      <c r="M512" s="156"/>
      <c r="N512" s="79"/>
      <c r="O512" s="79"/>
      <c r="P512" s="79"/>
      <c r="Q512" s="79"/>
      <c r="R512" s="79"/>
      <c r="S512" s="82"/>
      <c r="T512" s="82"/>
      <c r="U512" s="82"/>
      <c r="V512" s="82"/>
      <c r="W512" s="82"/>
      <c r="X512" s="82"/>
      <c r="Y512" s="82"/>
      <c r="Z512" s="82"/>
      <c r="AA512" s="82"/>
    </row>
    <row r="513" ht="15.75" customHeight="1">
      <c r="A513" s="261"/>
      <c r="B513" s="171"/>
      <c r="C513" s="172"/>
      <c r="D513" s="172"/>
      <c r="E513" s="154"/>
      <c r="F513" s="162"/>
      <c r="G513" s="162"/>
      <c r="H513" s="162"/>
      <c r="I513" s="162"/>
      <c r="J513" s="174"/>
      <c r="K513" s="162"/>
      <c r="L513" s="129"/>
      <c r="M513" s="156"/>
      <c r="N513" s="79"/>
      <c r="O513" s="79"/>
      <c r="P513" s="79"/>
      <c r="Q513" s="79"/>
      <c r="R513" s="79"/>
      <c r="S513" s="82"/>
      <c r="T513" s="82"/>
      <c r="U513" s="82"/>
      <c r="V513" s="82"/>
      <c r="W513" s="82"/>
      <c r="X513" s="82"/>
      <c r="Y513" s="82"/>
      <c r="Z513" s="82"/>
      <c r="AA513" s="82"/>
    </row>
    <row r="514" ht="15.75" customHeight="1">
      <c r="A514" s="261"/>
      <c r="B514" s="171"/>
      <c r="C514" s="172"/>
      <c r="D514" s="172"/>
      <c r="E514" s="154"/>
      <c r="F514" s="162"/>
      <c r="G514" s="162"/>
      <c r="H514" s="162"/>
      <c r="I514" s="162"/>
      <c r="J514" s="174"/>
      <c r="K514" s="162"/>
      <c r="L514" s="129"/>
      <c r="M514" s="156"/>
      <c r="N514" s="79"/>
      <c r="O514" s="79"/>
      <c r="P514" s="79"/>
      <c r="Q514" s="79"/>
      <c r="R514" s="79"/>
      <c r="S514" s="82"/>
      <c r="T514" s="82"/>
      <c r="U514" s="82"/>
      <c r="V514" s="82"/>
      <c r="W514" s="82"/>
      <c r="X514" s="82"/>
      <c r="Y514" s="82"/>
      <c r="Z514" s="82"/>
      <c r="AA514" s="82"/>
    </row>
    <row r="515" ht="15.75" customHeight="1">
      <c r="A515" s="261"/>
      <c r="B515" s="171"/>
      <c r="C515" s="172"/>
      <c r="D515" s="172"/>
      <c r="E515" s="154"/>
      <c r="F515" s="162"/>
      <c r="G515" s="162"/>
      <c r="H515" s="162"/>
      <c r="I515" s="162"/>
      <c r="J515" s="174"/>
      <c r="K515" s="162"/>
      <c r="L515" s="129"/>
      <c r="M515" s="156"/>
      <c r="N515" s="79"/>
      <c r="O515" s="79"/>
      <c r="P515" s="79"/>
      <c r="Q515" s="79"/>
      <c r="R515" s="79"/>
      <c r="S515" s="82"/>
      <c r="T515" s="82"/>
      <c r="U515" s="82"/>
      <c r="V515" s="82"/>
      <c r="W515" s="82"/>
      <c r="X515" s="82"/>
      <c r="Y515" s="82"/>
      <c r="Z515" s="82"/>
      <c r="AA515" s="82"/>
    </row>
    <row r="516" ht="15.75" customHeight="1">
      <c r="A516" s="261"/>
      <c r="B516" s="171"/>
      <c r="C516" s="172"/>
      <c r="D516" s="172"/>
      <c r="E516" s="154"/>
      <c r="F516" s="162"/>
      <c r="G516" s="162"/>
      <c r="H516" s="162"/>
      <c r="I516" s="162"/>
      <c r="J516" s="174"/>
      <c r="K516" s="162"/>
      <c r="L516" s="129"/>
      <c r="M516" s="156"/>
      <c r="N516" s="79"/>
      <c r="O516" s="79"/>
      <c r="P516" s="79"/>
      <c r="Q516" s="79"/>
      <c r="R516" s="79"/>
      <c r="S516" s="82"/>
      <c r="T516" s="82"/>
      <c r="U516" s="82"/>
      <c r="V516" s="82"/>
      <c r="W516" s="82"/>
      <c r="X516" s="82"/>
      <c r="Y516" s="82"/>
      <c r="Z516" s="82"/>
      <c r="AA516" s="82"/>
    </row>
    <row r="517" ht="15.75" customHeight="1">
      <c r="A517" s="261"/>
      <c r="B517" s="171"/>
      <c r="C517" s="172"/>
      <c r="D517" s="172"/>
      <c r="E517" s="154"/>
      <c r="F517" s="162"/>
      <c r="G517" s="162"/>
      <c r="H517" s="162"/>
      <c r="I517" s="162"/>
      <c r="J517" s="174"/>
      <c r="K517" s="162"/>
      <c r="L517" s="129"/>
      <c r="M517" s="156"/>
      <c r="N517" s="79"/>
      <c r="O517" s="79"/>
      <c r="P517" s="79"/>
      <c r="Q517" s="79"/>
      <c r="R517" s="79"/>
      <c r="S517" s="82"/>
      <c r="T517" s="82"/>
      <c r="U517" s="82"/>
      <c r="V517" s="82"/>
      <c r="W517" s="82"/>
      <c r="X517" s="82"/>
      <c r="Y517" s="82"/>
      <c r="Z517" s="82"/>
      <c r="AA517" s="82"/>
    </row>
    <row r="518" ht="15.75" customHeight="1">
      <c r="A518" s="261"/>
      <c r="B518" s="171"/>
      <c r="C518" s="172"/>
      <c r="D518" s="172"/>
      <c r="E518" s="154"/>
      <c r="F518" s="162"/>
      <c r="G518" s="162"/>
      <c r="H518" s="162"/>
      <c r="I518" s="162"/>
      <c r="J518" s="174"/>
      <c r="K518" s="162"/>
      <c r="L518" s="129"/>
      <c r="M518" s="156"/>
      <c r="N518" s="79"/>
      <c r="O518" s="79"/>
      <c r="P518" s="79"/>
      <c r="Q518" s="79"/>
      <c r="R518" s="79"/>
      <c r="S518" s="82"/>
      <c r="T518" s="82"/>
      <c r="U518" s="82"/>
      <c r="V518" s="82"/>
      <c r="W518" s="82"/>
      <c r="X518" s="82"/>
      <c r="Y518" s="82"/>
      <c r="Z518" s="82"/>
      <c r="AA518" s="82"/>
    </row>
    <row r="519" ht="15.75" customHeight="1">
      <c r="A519" s="261"/>
      <c r="B519" s="171"/>
      <c r="C519" s="172"/>
      <c r="D519" s="172"/>
      <c r="E519" s="154"/>
      <c r="F519" s="162"/>
      <c r="G519" s="162"/>
      <c r="H519" s="162"/>
      <c r="I519" s="162"/>
      <c r="J519" s="174"/>
      <c r="K519" s="162"/>
      <c r="L519" s="129"/>
      <c r="M519" s="156"/>
      <c r="N519" s="79"/>
      <c r="O519" s="79"/>
      <c r="P519" s="79"/>
      <c r="Q519" s="79"/>
      <c r="R519" s="79"/>
      <c r="S519" s="82"/>
      <c r="T519" s="82"/>
      <c r="U519" s="82"/>
      <c r="V519" s="82"/>
      <c r="W519" s="82"/>
      <c r="X519" s="82"/>
      <c r="Y519" s="82"/>
      <c r="Z519" s="82"/>
      <c r="AA519" s="82"/>
    </row>
    <row r="520" ht="15.75" customHeight="1">
      <c r="A520" s="261"/>
      <c r="B520" s="171"/>
      <c r="C520" s="172"/>
      <c r="D520" s="172"/>
      <c r="E520" s="154"/>
      <c r="F520" s="162"/>
      <c r="G520" s="162"/>
      <c r="H520" s="162"/>
      <c r="I520" s="162"/>
      <c r="J520" s="174"/>
      <c r="K520" s="162"/>
      <c r="L520" s="129"/>
      <c r="M520" s="156"/>
      <c r="N520" s="79"/>
      <c r="O520" s="79"/>
      <c r="P520" s="79"/>
      <c r="Q520" s="79"/>
      <c r="R520" s="79"/>
      <c r="S520" s="82"/>
      <c r="T520" s="82"/>
      <c r="U520" s="82"/>
      <c r="V520" s="82"/>
      <c r="W520" s="82"/>
      <c r="X520" s="82"/>
      <c r="Y520" s="82"/>
      <c r="Z520" s="82"/>
      <c r="AA520" s="82"/>
    </row>
    <row r="521" ht="15.75" customHeight="1">
      <c r="A521" s="261"/>
      <c r="B521" s="171"/>
      <c r="C521" s="172"/>
      <c r="D521" s="172"/>
      <c r="E521" s="154"/>
      <c r="F521" s="162"/>
      <c r="G521" s="162"/>
      <c r="H521" s="162"/>
      <c r="I521" s="162"/>
      <c r="J521" s="174"/>
      <c r="K521" s="162"/>
      <c r="L521" s="129"/>
      <c r="M521" s="156"/>
      <c r="N521" s="79"/>
      <c r="O521" s="79"/>
      <c r="P521" s="79"/>
      <c r="Q521" s="79"/>
      <c r="R521" s="79"/>
      <c r="S521" s="82"/>
      <c r="T521" s="82"/>
      <c r="U521" s="82"/>
      <c r="V521" s="82"/>
      <c r="W521" s="82"/>
      <c r="X521" s="82"/>
      <c r="Y521" s="82"/>
      <c r="Z521" s="82"/>
      <c r="AA521" s="82"/>
    </row>
    <row r="522" ht="15.75" customHeight="1">
      <c r="A522" s="261"/>
      <c r="B522" s="171"/>
      <c r="C522" s="172"/>
      <c r="D522" s="172"/>
      <c r="E522" s="154"/>
      <c r="F522" s="162"/>
      <c r="G522" s="162"/>
      <c r="H522" s="162"/>
      <c r="I522" s="162"/>
      <c r="J522" s="174"/>
      <c r="K522" s="162"/>
      <c r="L522" s="129"/>
      <c r="M522" s="156"/>
      <c r="N522" s="79"/>
      <c r="O522" s="79"/>
      <c r="P522" s="79"/>
      <c r="Q522" s="79"/>
      <c r="R522" s="79"/>
      <c r="S522" s="82"/>
      <c r="T522" s="82"/>
      <c r="U522" s="82"/>
      <c r="V522" s="82"/>
      <c r="W522" s="82"/>
      <c r="X522" s="82"/>
      <c r="Y522" s="82"/>
      <c r="Z522" s="82"/>
      <c r="AA522" s="82"/>
    </row>
    <row r="523" ht="15.75" customHeight="1">
      <c r="A523" s="261"/>
      <c r="B523" s="171"/>
      <c r="C523" s="172"/>
      <c r="D523" s="172"/>
      <c r="E523" s="154"/>
      <c r="F523" s="162"/>
      <c r="G523" s="162"/>
      <c r="H523" s="162"/>
      <c r="I523" s="162"/>
      <c r="J523" s="174"/>
      <c r="K523" s="162"/>
      <c r="L523" s="129"/>
      <c r="M523" s="156"/>
      <c r="N523" s="79"/>
      <c r="O523" s="79"/>
      <c r="P523" s="79"/>
      <c r="Q523" s="79"/>
      <c r="R523" s="79"/>
      <c r="S523" s="82"/>
      <c r="T523" s="82"/>
      <c r="U523" s="82"/>
      <c r="V523" s="82"/>
      <c r="W523" s="82"/>
      <c r="X523" s="82"/>
      <c r="Y523" s="82"/>
      <c r="Z523" s="82"/>
      <c r="AA523" s="82"/>
    </row>
    <row r="524" ht="15.75" customHeight="1">
      <c r="A524" s="261"/>
      <c r="B524" s="171"/>
      <c r="C524" s="172"/>
      <c r="D524" s="172"/>
      <c r="E524" s="154"/>
      <c r="F524" s="162"/>
      <c r="G524" s="162"/>
      <c r="H524" s="162"/>
      <c r="I524" s="162"/>
      <c r="J524" s="174"/>
      <c r="K524" s="162"/>
      <c r="L524" s="129"/>
      <c r="M524" s="156"/>
      <c r="N524" s="79"/>
      <c r="O524" s="79"/>
      <c r="P524" s="79"/>
      <c r="Q524" s="79"/>
      <c r="R524" s="79"/>
      <c r="S524" s="82"/>
      <c r="T524" s="82"/>
      <c r="U524" s="82"/>
      <c r="V524" s="82"/>
      <c r="W524" s="82"/>
      <c r="X524" s="82"/>
      <c r="Y524" s="82"/>
      <c r="Z524" s="82"/>
      <c r="AA524" s="82"/>
    </row>
    <row r="525" ht="15.75" customHeight="1">
      <c r="A525" s="261"/>
      <c r="B525" s="171"/>
      <c r="C525" s="172"/>
      <c r="D525" s="172"/>
      <c r="E525" s="154"/>
      <c r="F525" s="162"/>
      <c r="G525" s="162"/>
      <c r="H525" s="162"/>
      <c r="I525" s="162"/>
      <c r="J525" s="174"/>
      <c r="K525" s="162"/>
      <c r="L525" s="129"/>
      <c r="M525" s="156"/>
      <c r="N525" s="79"/>
      <c r="O525" s="79"/>
      <c r="P525" s="79"/>
      <c r="Q525" s="79"/>
      <c r="R525" s="79"/>
      <c r="S525" s="82"/>
      <c r="T525" s="82"/>
      <c r="U525" s="82"/>
      <c r="V525" s="82"/>
      <c r="W525" s="82"/>
      <c r="X525" s="82"/>
      <c r="Y525" s="82"/>
      <c r="Z525" s="82"/>
      <c r="AA525" s="82"/>
    </row>
    <row r="526" ht="15.75" customHeight="1">
      <c r="A526" s="261"/>
      <c r="B526" s="171"/>
      <c r="C526" s="172"/>
      <c r="D526" s="172"/>
      <c r="E526" s="154"/>
      <c r="F526" s="162"/>
      <c r="G526" s="162"/>
      <c r="H526" s="162"/>
      <c r="I526" s="162"/>
      <c r="J526" s="174"/>
      <c r="K526" s="162"/>
      <c r="L526" s="129"/>
      <c r="M526" s="156"/>
      <c r="N526" s="79"/>
      <c r="O526" s="79"/>
      <c r="P526" s="79"/>
      <c r="Q526" s="79"/>
      <c r="R526" s="79"/>
      <c r="S526" s="82"/>
      <c r="T526" s="82"/>
      <c r="U526" s="82"/>
      <c r="V526" s="82"/>
      <c r="W526" s="82"/>
      <c r="X526" s="82"/>
      <c r="Y526" s="82"/>
      <c r="Z526" s="82"/>
      <c r="AA526" s="82"/>
    </row>
    <row r="527" ht="15.75" customHeight="1">
      <c r="A527" s="261"/>
      <c r="B527" s="171"/>
      <c r="C527" s="172"/>
      <c r="D527" s="172"/>
      <c r="E527" s="154"/>
      <c r="F527" s="162"/>
      <c r="G527" s="162"/>
      <c r="H527" s="162"/>
      <c r="I527" s="162"/>
      <c r="J527" s="174"/>
      <c r="K527" s="162"/>
      <c r="L527" s="129"/>
      <c r="M527" s="156"/>
      <c r="N527" s="79"/>
      <c r="O527" s="79"/>
      <c r="P527" s="79"/>
      <c r="Q527" s="79"/>
      <c r="R527" s="79"/>
      <c r="S527" s="82"/>
      <c r="T527" s="82"/>
      <c r="U527" s="82"/>
      <c r="V527" s="82"/>
      <c r="W527" s="82"/>
      <c r="X527" s="82"/>
      <c r="Y527" s="82"/>
      <c r="Z527" s="82"/>
      <c r="AA527" s="82"/>
    </row>
    <row r="528" ht="15.75" customHeight="1">
      <c r="A528" s="261"/>
      <c r="B528" s="171"/>
      <c r="C528" s="172"/>
      <c r="D528" s="172"/>
      <c r="E528" s="154"/>
      <c r="F528" s="162"/>
      <c r="G528" s="162"/>
      <c r="H528" s="162"/>
      <c r="I528" s="162"/>
      <c r="J528" s="174"/>
      <c r="K528" s="162"/>
      <c r="L528" s="129"/>
      <c r="M528" s="156"/>
      <c r="N528" s="79"/>
      <c r="O528" s="79"/>
      <c r="P528" s="79"/>
      <c r="Q528" s="79"/>
      <c r="R528" s="79"/>
      <c r="S528" s="82"/>
      <c r="T528" s="82"/>
      <c r="U528" s="82"/>
      <c r="V528" s="82"/>
      <c r="W528" s="82"/>
      <c r="X528" s="82"/>
      <c r="Y528" s="82"/>
      <c r="Z528" s="82"/>
      <c r="AA528" s="82"/>
    </row>
    <row r="529" ht="15.75" customHeight="1">
      <c r="A529" s="261"/>
      <c r="B529" s="171"/>
      <c r="C529" s="172"/>
      <c r="D529" s="172"/>
      <c r="E529" s="154"/>
      <c r="F529" s="162"/>
      <c r="G529" s="162"/>
      <c r="H529" s="162"/>
      <c r="I529" s="162"/>
      <c r="J529" s="174"/>
      <c r="K529" s="162"/>
      <c r="L529" s="129"/>
      <c r="M529" s="156"/>
      <c r="N529" s="79"/>
      <c r="O529" s="79"/>
      <c r="P529" s="79"/>
      <c r="Q529" s="79"/>
      <c r="R529" s="79"/>
      <c r="S529" s="82"/>
      <c r="T529" s="82"/>
      <c r="U529" s="82"/>
      <c r="V529" s="82"/>
      <c r="W529" s="82"/>
      <c r="X529" s="82"/>
      <c r="Y529" s="82"/>
      <c r="Z529" s="82"/>
      <c r="AA529" s="82"/>
    </row>
    <row r="530" ht="15.75" customHeight="1">
      <c r="A530" s="261"/>
      <c r="B530" s="171"/>
      <c r="C530" s="172"/>
      <c r="D530" s="172"/>
      <c r="E530" s="154"/>
      <c r="F530" s="162"/>
      <c r="G530" s="162"/>
      <c r="H530" s="162"/>
      <c r="I530" s="162"/>
      <c r="J530" s="174"/>
      <c r="K530" s="162"/>
      <c r="L530" s="129"/>
      <c r="M530" s="156"/>
      <c r="N530" s="79"/>
      <c r="O530" s="79"/>
      <c r="P530" s="79"/>
      <c r="Q530" s="79"/>
      <c r="R530" s="79"/>
      <c r="S530" s="82"/>
      <c r="T530" s="82"/>
      <c r="U530" s="82"/>
      <c r="V530" s="82"/>
      <c r="W530" s="82"/>
      <c r="X530" s="82"/>
      <c r="Y530" s="82"/>
      <c r="Z530" s="82"/>
      <c r="AA530" s="82"/>
    </row>
    <row r="531" ht="15.75" customHeight="1">
      <c r="A531" s="261"/>
      <c r="B531" s="171"/>
      <c r="C531" s="172"/>
      <c r="D531" s="172"/>
      <c r="E531" s="154"/>
      <c r="F531" s="162"/>
      <c r="G531" s="162"/>
      <c r="H531" s="162"/>
      <c r="I531" s="162"/>
      <c r="J531" s="174"/>
      <c r="K531" s="162"/>
      <c r="L531" s="129"/>
      <c r="M531" s="156"/>
      <c r="N531" s="79"/>
      <c r="O531" s="79"/>
      <c r="P531" s="79"/>
      <c r="Q531" s="79"/>
      <c r="R531" s="79"/>
      <c r="S531" s="82"/>
      <c r="T531" s="82"/>
      <c r="U531" s="82"/>
      <c r="V531" s="82"/>
      <c r="W531" s="82"/>
      <c r="X531" s="82"/>
      <c r="Y531" s="82"/>
      <c r="Z531" s="82"/>
      <c r="AA531" s="82"/>
    </row>
    <row r="532" ht="15.75" customHeight="1">
      <c r="A532" s="261"/>
      <c r="B532" s="171"/>
      <c r="C532" s="172"/>
      <c r="D532" s="172"/>
      <c r="E532" s="154"/>
      <c r="F532" s="162"/>
      <c r="G532" s="162"/>
      <c r="H532" s="162"/>
      <c r="I532" s="162"/>
      <c r="J532" s="174"/>
      <c r="K532" s="162"/>
      <c r="L532" s="129"/>
      <c r="M532" s="156"/>
      <c r="N532" s="79"/>
      <c r="O532" s="79"/>
      <c r="P532" s="79"/>
      <c r="Q532" s="79"/>
      <c r="R532" s="79"/>
      <c r="S532" s="82"/>
      <c r="T532" s="82"/>
      <c r="U532" s="82"/>
      <c r="V532" s="82"/>
      <c r="W532" s="82"/>
      <c r="X532" s="82"/>
      <c r="Y532" s="82"/>
      <c r="Z532" s="82"/>
      <c r="AA532" s="82"/>
    </row>
    <row r="533" ht="15.75" customHeight="1">
      <c r="A533" s="261"/>
      <c r="B533" s="171"/>
      <c r="C533" s="172"/>
      <c r="D533" s="172"/>
      <c r="E533" s="154"/>
      <c r="F533" s="162"/>
      <c r="G533" s="162"/>
      <c r="H533" s="162"/>
      <c r="I533" s="162"/>
      <c r="J533" s="174"/>
      <c r="K533" s="162"/>
      <c r="L533" s="129"/>
      <c r="M533" s="156"/>
      <c r="N533" s="79"/>
      <c r="O533" s="79"/>
      <c r="P533" s="79"/>
      <c r="Q533" s="79"/>
      <c r="R533" s="79"/>
      <c r="S533" s="82"/>
      <c r="T533" s="82"/>
      <c r="U533" s="82"/>
      <c r="V533" s="82"/>
      <c r="W533" s="82"/>
      <c r="X533" s="82"/>
      <c r="Y533" s="82"/>
      <c r="Z533" s="82"/>
      <c r="AA533" s="82"/>
    </row>
    <row r="534" ht="15.75" customHeight="1">
      <c r="A534" s="261"/>
      <c r="B534" s="171"/>
      <c r="C534" s="172"/>
      <c r="D534" s="172"/>
      <c r="E534" s="154"/>
      <c r="F534" s="162"/>
      <c r="G534" s="162"/>
      <c r="H534" s="162"/>
      <c r="I534" s="162"/>
      <c r="J534" s="174"/>
      <c r="K534" s="162"/>
      <c r="L534" s="129"/>
      <c r="M534" s="156"/>
      <c r="N534" s="79"/>
      <c r="O534" s="79"/>
      <c r="P534" s="79"/>
      <c r="Q534" s="79"/>
      <c r="R534" s="79"/>
      <c r="S534" s="82"/>
      <c r="T534" s="82"/>
      <c r="U534" s="82"/>
      <c r="V534" s="82"/>
      <c r="W534" s="82"/>
      <c r="X534" s="82"/>
      <c r="Y534" s="82"/>
      <c r="Z534" s="82"/>
      <c r="AA534" s="82"/>
    </row>
    <row r="535" ht="15.75" customHeight="1">
      <c r="A535" s="261"/>
      <c r="B535" s="171"/>
      <c r="C535" s="172"/>
      <c r="D535" s="172"/>
      <c r="E535" s="154"/>
      <c r="F535" s="162"/>
      <c r="G535" s="162"/>
      <c r="H535" s="162"/>
      <c r="I535" s="162"/>
      <c r="J535" s="174"/>
      <c r="K535" s="162"/>
      <c r="L535" s="129"/>
      <c r="M535" s="156"/>
      <c r="N535" s="79"/>
      <c r="O535" s="79"/>
      <c r="P535" s="79"/>
      <c r="Q535" s="79"/>
      <c r="R535" s="79"/>
      <c r="S535" s="82"/>
      <c r="T535" s="82"/>
      <c r="U535" s="82"/>
      <c r="V535" s="82"/>
      <c r="W535" s="82"/>
      <c r="X535" s="82"/>
      <c r="Y535" s="82"/>
      <c r="Z535" s="82"/>
      <c r="AA535" s="82"/>
    </row>
    <row r="536" ht="15.75" customHeight="1">
      <c r="A536" s="261"/>
      <c r="B536" s="171"/>
      <c r="C536" s="172"/>
      <c r="D536" s="172"/>
      <c r="E536" s="154"/>
      <c r="F536" s="162"/>
      <c r="G536" s="162"/>
      <c r="H536" s="162"/>
      <c r="I536" s="162"/>
      <c r="J536" s="174"/>
      <c r="K536" s="162"/>
      <c r="L536" s="129"/>
      <c r="M536" s="156"/>
      <c r="N536" s="79"/>
      <c r="O536" s="79"/>
      <c r="P536" s="79"/>
      <c r="Q536" s="79"/>
      <c r="R536" s="79"/>
      <c r="S536" s="82"/>
      <c r="T536" s="82"/>
      <c r="U536" s="82"/>
      <c r="V536" s="82"/>
      <c r="W536" s="82"/>
      <c r="X536" s="82"/>
      <c r="Y536" s="82"/>
      <c r="Z536" s="82"/>
      <c r="AA536" s="82"/>
    </row>
    <row r="537" ht="15.75" customHeight="1">
      <c r="A537" s="261"/>
      <c r="B537" s="171"/>
      <c r="C537" s="172"/>
      <c r="D537" s="172"/>
      <c r="E537" s="154"/>
      <c r="F537" s="162"/>
      <c r="G537" s="162"/>
      <c r="H537" s="162"/>
      <c r="I537" s="162"/>
      <c r="J537" s="174"/>
      <c r="K537" s="162"/>
      <c r="L537" s="129"/>
      <c r="M537" s="156"/>
      <c r="N537" s="79"/>
      <c r="O537" s="79"/>
      <c r="P537" s="79"/>
      <c r="Q537" s="79"/>
      <c r="R537" s="79"/>
      <c r="S537" s="82"/>
      <c r="T537" s="82"/>
      <c r="U537" s="82"/>
      <c r="V537" s="82"/>
      <c r="W537" s="82"/>
      <c r="X537" s="82"/>
      <c r="Y537" s="82"/>
      <c r="Z537" s="82"/>
      <c r="AA537" s="82"/>
    </row>
    <row r="538" ht="15.75" customHeight="1">
      <c r="A538" s="261"/>
      <c r="B538" s="171"/>
      <c r="C538" s="172"/>
      <c r="D538" s="172"/>
      <c r="E538" s="154"/>
      <c r="F538" s="162"/>
      <c r="G538" s="162"/>
      <c r="H538" s="162"/>
      <c r="I538" s="162"/>
      <c r="J538" s="174"/>
      <c r="K538" s="162"/>
      <c r="L538" s="129"/>
      <c r="M538" s="156"/>
      <c r="N538" s="79"/>
      <c r="O538" s="79"/>
      <c r="P538" s="79"/>
      <c r="Q538" s="79"/>
      <c r="R538" s="79"/>
      <c r="S538" s="82"/>
      <c r="T538" s="82"/>
      <c r="U538" s="82"/>
      <c r="V538" s="82"/>
      <c r="W538" s="82"/>
      <c r="X538" s="82"/>
      <c r="Y538" s="82"/>
      <c r="Z538" s="82"/>
      <c r="AA538" s="82"/>
    </row>
    <row r="539" ht="15.75" customHeight="1">
      <c r="A539" s="261"/>
      <c r="B539" s="171"/>
      <c r="C539" s="172"/>
      <c r="D539" s="172"/>
      <c r="E539" s="154"/>
      <c r="F539" s="162"/>
      <c r="G539" s="162"/>
      <c r="H539" s="162"/>
      <c r="I539" s="162"/>
      <c r="J539" s="174"/>
      <c r="K539" s="162"/>
      <c r="L539" s="129"/>
      <c r="M539" s="156"/>
      <c r="N539" s="79"/>
      <c r="O539" s="79"/>
      <c r="P539" s="79"/>
      <c r="Q539" s="79"/>
      <c r="R539" s="79"/>
      <c r="S539" s="82"/>
      <c r="T539" s="82"/>
      <c r="U539" s="82"/>
      <c r="V539" s="82"/>
      <c r="W539" s="82"/>
      <c r="X539" s="82"/>
      <c r="Y539" s="82"/>
      <c r="Z539" s="82"/>
      <c r="AA539" s="82"/>
    </row>
    <row r="540" ht="15.75" customHeight="1">
      <c r="A540" s="261"/>
      <c r="B540" s="171"/>
      <c r="C540" s="172"/>
      <c r="D540" s="172"/>
      <c r="E540" s="154"/>
      <c r="F540" s="162"/>
      <c r="G540" s="162"/>
      <c r="H540" s="162"/>
      <c r="I540" s="162"/>
      <c r="J540" s="174"/>
      <c r="K540" s="162"/>
      <c r="L540" s="129"/>
      <c r="M540" s="156"/>
      <c r="N540" s="79"/>
      <c r="O540" s="79"/>
      <c r="P540" s="79"/>
      <c r="Q540" s="79"/>
      <c r="R540" s="79"/>
      <c r="S540" s="82"/>
      <c r="T540" s="82"/>
      <c r="U540" s="82"/>
      <c r="V540" s="82"/>
      <c r="W540" s="82"/>
      <c r="X540" s="82"/>
      <c r="Y540" s="82"/>
      <c r="Z540" s="82"/>
      <c r="AA540" s="82"/>
    </row>
    <row r="541" ht="15.75" customHeight="1">
      <c r="A541" s="261"/>
      <c r="B541" s="171"/>
      <c r="C541" s="172"/>
      <c r="D541" s="172"/>
      <c r="E541" s="154"/>
      <c r="F541" s="162"/>
      <c r="G541" s="162"/>
      <c r="H541" s="162"/>
      <c r="I541" s="162"/>
      <c r="J541" s="174"/>
      <c r="K541" s="162"/>
      <c r="L541" s="129"/>
      <c r="M541" s="156"/>
      <c r="N541" s="79"/>
      <c r="O541" s="79"/>
      <c r="P541" s="79"/>
      <c r="Q541" s="79"/>
      <c r="R541" s="79"/>
      <c r="S541" s="82"/>
      <c r="T541" s="82"/>
      <c r="U541" s="82"/>
      <c r="V541" s="82"/>
      <c r="W541" s="82"/>
      <c r="X541" s="82"/>
      <c r="Y541" s="82"/>
      <c r="Z541" s="82"/>
      <c r="AA541" s="82"/>
    </row>
    <row r="542" ht="15.75" customHeight="1">
      <c r="A542" s="261"/>
      <c r="B542" s="171"/>
      <c r="C542" s="172"/>
      <c r="D542" s="172"/>
      <c r="E542" s="154"/>
      <c r="F542" s="162"/>
      <c r="G542" s="162"/>
      <c r="H542" s="162"/>
      <c r="I542" s="162"/>
      <c r="J542" s="174"/>
      <c r="K542" s="162"/>
      <c r="L542" s="129"/>
      <c r="M542" s="156"/>
      <c r="N542" s="79"/>
      <c r="O542" s="79"/>
      <c r="P542" s="79"/>
      <c r="Q542" s="79"/>
      <c r="R542" s="79"/>
      <c r="S542" s="82"/>
      <c r="T542" s="82"/>
      <c r="U542" s="82"/>
      <c r="V542" s="82"/>
      <c r="W542" s="82"/>
      <c r="X542" s="82"/>
      <c r="Y542" s="82"/>
      <c r="Z542" s="82"/>
      <c r="AA542" s="82"/>
    </row>
    <row r="543" ht="15.75" customHeight="1">
      <c r="A543" s="261"/>
      <c r="B543" s="171"/>
      <c r="C543" s="172"/>
      <c r="D543" s="172"/>
      <c r="E543" s="154"/>
      <c r="F543" s="162"/>
      <c r="G543" s="162"/>
      <c r="H543" s="162"/>
      <c r="I543" s="162"/>
      <c r="J543" s="174"/>
      <c r="K543" s="162"/>
      <c r="L543" s="129"/>
      <c r="M543" s="156"/>
      <c r="N543" s="79"/>
      <c r="O543" s="79"/>
      <c r="P543" s="79"/>
      <c r="Q543" s="79"/>
      <c r="R543" s="79"/>
      <c r="S543" s="82"/>
      <c r="T543" s="82"/>
      <c r="U543" s="82"/>
      <c r="V543" s="82"/>
      <c r="W543" s="82"/>
      <c r="X543" s="82"/>
      <c r="Y543" s="82"/>
      <c r="Z543" s="82"/>
      <c r="AA543" s="82"/>
    </row>
    <row r="544" ht="15.75" customHeight="1">
      <c r="A544" s="261"/>
      <c r="B544" s="171"/>
      <c r="C544" s="172"/>
      <c r="D544" s="172"/>
      <c r="E544" s="154"/>
      <c r="F544" s="162"/>
      <c r="G544" s="162"/>
      <c r="H544" s="162"/>
      <c r="I544" s="162"/>
      <c r="J544" s="174"/>
      <c r="K544" s="162"/>
      <c r="L544" s="129"/>
      <c r="M544" s="156"/>
      <c r="N544" s="79"/>
      <c r="O544" s="79"/>
      <c r="P544" s="79"/>
      <c r="Q544" s="79"/>
      <c r="R544" s="79"/>
      <c r="S544" s="82"/>
      <c r="T544" s="82"/>
      <c r="U544" s="82"/>
      <c r="V544" s="82"/>
      <c r="W544" s="82"/>
      <c r="X544" s="82"/>
      <c r="Y544" s="82"/>
      <c r="Z544" s="82"/>
      <c r="AA544" s="82"/>
    </row>
    <row r="545" ht="15.75" customHeight="1">
      <c r="A545" s="261"/>
      <c r="B545" s="171"/>
      <c r="C545" s="172"/>
      <c r="D545" s="172"/>
      <c r="E545" s="154"/>
      <c r="F545" s="162"/>
      <c r="G545" s="162"/>
      <c r="H545" s="162"/>
      <c r="I545" s="162"/>
      <c r="J545" s="174"/>
      <c r="K545" s="162"/>
      <c r="L545" s="129"/>
      <c r="M545" s="156"/>
      <c r="N545" s="79"/>
      <c r="O545" s="79"/>
      <c r="P545" s="79"/>
      <c r="Q545" s="79"/>
      <c r="R545" s="79"/>
      <c r="S545" s="82"/>
      <c r="T545" s="82"/>
      <c r="U545" s="82"/>
      <c r="V545" s="82"/>
      <c r="W545" s="82"/>
      <c r="X545" s="82"/>
      <c r="Y545" s="82"/>
      <c r="Z545" s="82"/>
      <c r="AA545" s="82"/>
    </row>
    <row r="546" ht="15.75" customHeight="1">
      <c r="A546" s="261"/>
      <c r="B546" s="171"/>
      <c r="C546" s="172"/>
      <c r="D546" s="172"/>
      <c r="E546" s="154"/>
      <c r="F546" s="162"/>
      <c r="G546" s="162"/>
      <c r="H546" s="162"/>
      <c r="I546" s="162"/>
      <c r="J546" s="174"/>
      <c r="K546" s="162"/>
      <c r="L546" s="129"/>
      <c r="M546" s="156"/>
      <c r="N546" s="79"/>
      <c r="O546" s="79"/>
      <c r="P546" s="79"/>
      <c r="Q546" s="79"/>
      <c r="R546" s="79"/>
      <c r="S546" s="82"/>
      <c r="T546" s="82"/>
      <c r="U546" s="82"/>
      <c r="V546" s="82"/>
      <c r="W546" s="82"/>
      <c r="X546" s="82"/>
      <c r="Y546" s="82"/>
      <c r="Z546" s="82"/>
      <c r="AA546" s="82"/>
    </row>
    <row r="547" ht="15.75" customHeight="1">
      <c r="A547" s="261"/>
      <c r="B547" s="171"/>
      <c r="C547" s="172"/>
      <c r="D547" s="172"/>
      <c r="E547" s="154"/>
      <c r="F547" s="162"/>
      <c r="G547" s="162"/>
      <c r="H547" s="162"/>
      <c r="I547" s="162"/>
      <c r="J547" s="174"/>
      <c r="K547" s="162"/>
      <c r="L547" s="129"/>
      <c r="M547" s="156"/>
      <c r="N547" s="79"/>
      <c r="O547" s="79"/>
      <c r="P547" s="79"/>
      <c r="Q547" s="79"/>
      <c r="R547" s="79"/>
      <c r="S547" s="82"/>
      <c r="T547" s="82"/>
      <c r="U547" s="82"/>
      <c r="V547" s="82"/>
      <c r="W547" s="82"/>
      <c r="X547" s="82"/>
      <c r="Y547" s="82"/>
      <c r="Z547" s="82"/>
      <c r="AA547" s="82"/>
    </row>
    <row r="548" ht="15.75" customHeight="1">
      <c r="A548" s="261"/>
      <c r="B548" s="171"/>
      <c r="C548" s="172"/>
      <c r="D548" s="172"/>
      <c r="E548" s="154"/>
      <c r="F548" s="162"/>
      <c r="G548" s="162"/>
      <c r="H548" s="162"/>
      <c r="I548" s="162"/>
      <c r="J548" s="174"/>
      <c r="K548" s="162"/>
      <c r="L548" s="129"/>
      <c r="M548" s="156"/>
      <c r="N548" s="79"/>
      <c r="O548" s="79"/>
      <c r="P548" s="79"/>
      <c r="Q548" s="79"/>
      <c r="R548" s="79"/>
      <c r="S548" s="82"/>
      <c r="T548" s="82"/>
      <c r="U548" s="82"/>
      <c r="V548" s="82"/>
      <c r="W548" s="82"/>
      <c r="X548" s="82"/>
      <c r="Y548" s="82"/>
      <c r="Z548" s="82"/>
      <c r="AA548" s="82"/>
    </row>
    <row r="549" ht="15.75" customHeight="1">
      <c r="A549" s="261"/>
      <c r="B549" s="171"/>
      <c r="C549" s="172"/>
      <c r="D549" s="172"/>
      <c r="E549" s="154"/>
      <c r="F549" s="162"/>
      <c r="G549" s="162"/>
      <c r="H549" s="162"/>
      <c r="I549" s="162"/>
      <c r="J549" s="174"/>
      <c r="K549" s="162"/>
      <c r="L549" s="129"/>
      <c r="M549" s="156"/>
      <c r="N549" s="79"/>
      <c r="O549" s="79"/>
      <c r="P549" s="79"/>
      <c r="Q549" s="79"/>
      <c r="R549" s="79"/>
      <c r="S549" s="82"/>
      <c r="T549" s="82"/>
      <c r="U549" s="82"/>
      <c r="V549" s="82"/>
      <c r="W549" s="82"/>
      <c r="X549" s="82"/>
      <c r="Y549" s="82"/>
      <c r="Z549" s="82"/>
      <c r="AA549" s="82"/>
    </row>
    <row r="550" ht="15.75" customHeight="1">
      <c r="A550" s="261"/>
      <c r="B550" s="171"/>
      <c r="C550" s="172"/>
      <c r="D550" s="172"/>
      <c r="E550" s="154"/>
      <c r="F550" s="162"/>
      <c r="G550" s="162"/>
      <c r="H550" s="162"/>
      <c r="I550" s="162"/>
      <c r="J550" s="174"/>
      <c r="K550" s="162"/>
      <c r="L550" s="129"/>
      <c r="M550" s="156"/>
      <c r="N550" s="79"/>
      <c r="O550" s="79"/>
      <c r="P550" s="79"/>
      <c r="Q550" s="79"/>
      <c r="R550" s="79"/>
      <c r="S550" s="82"/>
      <c r="T550" s="82"/>
      <c r="U550" s="82"/>
      <c r="V550" s="82"/>
      <c r="W550" s="82"/>
      <c r="X550" s="82"/>
      <c r="Y550" s="82"/>
      <c r="Z550" s="82"/>
      <c r="AA550" s="82"/>
    </row>
    <row r="551" ht="15.75" customHeight="1">
      <c r="A551" s="261"/>
      <c r="B551" s="171"/>
      <c r="C551" s="172"/>
      <c r="D551" s="172"/>
      <c r="E551" s="154"/>
      <c r="F551" s="162"/>
      <c r="G551" s="162"/>
      <c r="H551" s="162"/>
      <c r="I551" s="162"/>
      <c r="J551" s="174"/>
      <c r="K551" s="162"/>
      <c r="L551" s="129"/>
      <c r="M551" s="156"/>
      <c r="N551" s="79"/>
      <c r="O551" s="79"/>
      <c r="P551" s="79"/>
      <c r="Q551" s="79"/>
      <c r="R551" s="79"/>
      <c r="S551" s="82"/>
      <c r="T551" s="82"/>
      <c r="U551" s="82"/>
      <c r="V551" s="82"/>
      <c r="W551" s="82"/>
      <c r="X551" s="82"/>
      <c r="Y551" s="82"/>
      <c r="Z551" s="82"/>
      <c r="AA551" s="82"/>
    </row>
    <row r="552" ht="15.75" customHeight="1">
      <c r="A552" s="261"/>
      <c r="B552" s="171"/>
      <c r="C552" s="172"/>
      <c r="D552" s="172"/>
      <c r="E552" s="154"/>
      <c r="F552" s="162"/>
      <c r="G552" s="162"/>
      <c r="H552" s="162"/>
      <c r="I552" s="162"/>
      <c r="J552" s="174"/>
      <c r="K552" s="162"/>
      <c r="L552" s="129"/>
      <c r="M552" s="156"/>
      <c r="N552" s="79"/>
      <c r="O552" s="79"/>
      <c r="P552" s="79"/>
      <c r="Q552" s="79"/>
      <c r="R552" s="79"/>
      <c r="S552" s="82"/>
      <c r="T552" s="82"/>
      <c r="U552" s="82"/>
      <c r="V552" s="82"/>
      <c r="W552" s="82"/>
      <c r="X552" s="82"/>
      <c r="Y552" s="82"/>
      <c r="Z552" s="82"/>
      <c r="AA552" s="82"/>
    </row>
    <row r="553" ht="15.75" customHeight="1">
      <c r="A553" s="261"/>
      <c r="B553" s="171"/>
      <c r="C553" s="172"/>
      <c r="D553" s="172"/>
      <c r="E553" s="154"/>
      <c r="F553" s="162"/>
      <c r="G553" s="162"/>
      <c r="H553" s="162"/>
      <c r="I553" s="162"/>
      <c r="J553" s="174"/>
      <c r="K553" s="162"/>
      <c r="L553" s="129"/>
      <c r="M553" s="156"/>
      <c r="N553" s="79"/>
      <c r="O553" s="79"/>
      <c r="P553" s="79"/>
      <c r="Q553" s="79"/>
      <c r="R553" s="79"/>
      <c r="S553" s="82"/>
      <c r="T553" s="82"/>
      <c r="U553" s="82"/>
      <c r="V553" s="82"/>
      <c r="W553" s="82"/>
      <c r="X553" s="82"/>
      <c r="Y553" s="82"/>
      <c r="Z553" s="82"/>
      <c r="AA553" s="82"/>
    </row>
    <row r="554" ht="15.75" customHeight="1">
      <c r="A554" s="261"/>
      <c r="B554" s="171"/>
      <c r="C554" s="172"/>
      <c r="D554" s="172"/>
      <c r="E554" s="154"/>
      <c r="F554" s="162"/>
      <c r="G554" s="162"/>
      <c r="H554" s="162"/>
      <c r="I554" s="162"/>
      <c r="J554" s="174"/>
      <c r="K554" s="162"/>
      <c r="L554" s="129"/>
      <c r="M554" s="156"/>
      <c r="N554" s="79"/>
      <c r="O554" s="79"/>
      <c r="P554" s="79"/>
      <c r="Q554" s="79"/>
      <c r="R554" s="79"/>
      <c r="S554" s="82"/>
      <c r="T554" s="82"/>
      <c r="U554" s="82"/>
      <c r="V554" s="82"/>
      <c r="W554" s="82"/>
      <c r="X554" s="82"/>
      <c r="Y554" s="82"/>
      <c r="Z554" s="82"/>
      <c r="AA554" s="82"/>
    </row>
    <row r="555" ht="15.75" customHeight="1">
      <c r="A555" s="261"/>
      <c r="B555" s="171"/>
      <c r="C555" s="172"/>
      <c r="D555" s="172"/>
      <c r="E555" s="154"/>
      <c r="F555" s="162"/>
      <c r="G555" s="162"/>
      <c r="H555" s="162"/>
      <c r="I555" s="162"/>
      <c r="J555" s="174"/>
      <c r="K555" s="162"/>
      <c r="L555" s="129"/>
      <c r="M555" s="156"/>
      <c r="N555" s="79"/>
      <c r="O555" s="79"/>
      <c r="P555" s="79"/>
      <c r="Q555" s="79"/>
      <c r="R555" s="79"/>
      <c r="S555" s="82"/>
      <c r="T555" s="82"/>
      <c r="U555" s="82"/>
      <c r="V555" s="82"/>
      <c r="W555" s="82"/>
      <c r="X555" s="82"/>
      <c r="Y555" s="82"/>
      <c r="Z555" s="82"/>
      <c r="AA555" s="82"/>
    </row>
    <row r="556" ht="15.75" customHeight="1">
      <c r="A556" s="261"/>
      <c r="B556" s="171"/>
      <c r="C556" s="172"/>
      <c r="D556" s="172"/>
      <c r="E556" s="154"/>
      <c r="F556" s="162"/>
      <c r="G556" s="162"/>
      <c r="H556" s="162"/>
      <c r="I556" s="162"/>
      <c r="J556" s="174"/>
      <c r="K556" s="162"/>
      <c r="L556" s="129"/>
      <c r="M556" s="156"/>
      <c r="N556" s="79"/>
      <c r="O556" s="79"/>
      <c r="P556" s="79"/>
      <c r="Q556" s="79"/>
      <c r="R556" s="79"/>
      <c r="S556" s="82"/>
      <c r="T556" s="82"/>
      <c r="U556" s="82"/>
      <c r="V556" s="82"/>
      <c r="W556" s="82"/>
      <c r="X556" s="82"/>
      <c r="Y556" s="82"/>
      <c r="Z556" s="82"/>
      <c r="AA556" s="82"/>
    </row>
    <row r="557" ht="15.75" customHeight="1">
      <c r="A557" s="261"/>
      <c r="B557" s="171"/>
      <c r="C557" s="172"/>
      <c r="D557" s="172"/>
      <c r="E557" s="154"/>
      <c r="F557" s="162"/>
      <c r="G557" s="162"/>
      <c r="H557" s="162"/>
      <c r="I557" s="162"/>
      <c r="J557" s="174"/>
      <c r="K557" s="162"/>
      <c r="L557" s="129"/>
      <c r="M557" s="156"/>
      <c r="N557" s="79"/>
      <c r="O557" s="79"/>
      <c r="P557" s="79"/>
      <c r="Q557" s="79"/>
      <c r="R557" s="79"/>
      <c r="S557" s="82"/>
      <c r="T557" s="82"/>
      <c r="U557" s="82"/>
      <c r="V557" s="82"/>
      <c r="W557" s="82"/>
      <c r="X557" s="82"/>
      <c r="Y557" s="82"/>
      <c r="Z557" s="82"/>
      <c r="AA557" s="82"/>
    </row>
    <row r="558" ht="15.75" customHeight="1">
      <c r="A558" s="261"/>
      <c r="B558" s="171"/>
      <c r="C558" s="172"/>
      <c r="D558" s="172"/>
      <c r="E558" s="154"/>
      <c r="F558" s="162"/>
      <c r="G558" s="162"/>
      <c r="H558" s="162"/>
      <c r="I558" s="162"/>
      <c r="J558" s="174"/>
      <c r="K558" s="162"/>
      <c r="L558" s="129"/>
      <c r="M558" s="156"/>
      <c r="N558" s="79"/>
      <c r="O558" s="79"/>
      <c r="P558" s="79"/>
      <c r="Q558" s="79"/>
      <c r="R558" s="79"/>
      <c r="S558" s="82"/>
      <c r="T558" s="82"/>
      <c r="U558" s="82"/>
      <c r="V558" s="82"/>
      <c r="W558" s="82"/>
      <c r="X558" s="82"/>
      <c r="Y558" s="82"/>
      <c r="Z558" s="82"/>
      <c r="AA558" s="82"/>
    </row>
    <row r="559" ht="15.75" customHeight="1">
      <c r="A559" s="261"/>
      <c r="B559" s="171"/>
      <c r="C559" s="172"/>
      <c r="D559" s="172"/>
      <c r="E559" s="154"/>
      <c r="F559" s="162"/>
      <c r="G559" s="162"/>
      <c r="H559" s="162"/>
      <c r="I559" s="162"/>
      <c r="J559" s="174"/>
      <c r="K559" s="162"/>
      <c r="L559" s="129"/>
      <c r="M559" s="156"/>
      <c r="N559" s="79"/>
      <c r="O559" s="79"/>
      <c r="P559" s="79"/>
      <c r="Q559" s="79"/>
      <c r="R559" s="79"/>
      <c r="S559" s="82"/>
      <c r="T559" s="82"/>
      <c r="U559" s="82"/>
      <c r="V559" s="82"/>
      <c r="W559" s="82"/>
      <c r="X559" s="82"/>
      <c r="Y559" s="82"/>
      <c r="Z559" s="82"/>
      <c r="AA559" s="82"/>
    </row>
    <row r="560" ht="15.75" customHeight="1">
      <c r="A560" s="261"/>
      <c r="B560" s="171"/>
      <c r="C560" s="172"/>
      <c r="D560" s="172"/>
      <c r="E560" s="154"/>
      <c r="F560" s="162"/>
      <c r="G560" s="162"/>
      <c r="H560" s="162"/>
      <c r="I560" s="162"/>
      <c r="J560" s="174"/>
      <c r="K560" s="162"/>
      <c r="L560" s="129"/>
      <c r="M560" s="156"/>
      <c r="N560" s="79"/>
      <c r="O560" s="79"/>
      <c r="P560" s="79"/>
      <c r="Q560" s="79"/>
      <c r="R560" s="79"/>
      <c r="S560" s="82"/>
      <c r="T560" s="82"/>
      <c r="U560" s="82"/>
      <c r="V560" s="82"/>
      <c r="W560" s="82"/>
      <c r="X560" s="82"/>
      <c r="Y560" s="82"/>
      <c r="Z560" s="82"/>
      <c r="AA560" s="82"/>
    </row>
    <row r="561" ht="15.75" customHeight="1">
      <c r="A561" s="261"/>
      <c r="B561" s="171"/>
      <c r="C561" s="172"/>
      <c r="D561" s="172"/>
      <c r="E561" s="154"/>
      <c r="F561" s="162"/>
      <c r="G561" s="162"/>
      <c r="H561" s="162"/>
      <c r="I561" s="162"/>
      <c r="J561" s="174"/>
      <c r="K561" s="162"/>
      <c r="L561" s="129"/>
      <c r="M561" s="156"/>
      <c r="N561" s="79"/>
      <c r="O561" s="79"/>
      <c r="P561" s="79"/>
      <c r="Q561" s="79"/>
      <c r="R561" s="79"/>
      <c r="S561" s="82"/>
      <c r="T561" s="82"/>
      <c r="U561" s="82"/>
      <c r="V561" s="82"/>
      <c r="W561" s="82"/>
      <c r="X561" s="82"/>
      <c r="Y561" s="82"/>
      <c r="Z561" s="82"/>
      <c r="AA561" s="82"/>
    </row>
    <row r="562" ht="15.75" customHeight="1">
      <c r="A562" s="261"/>
      <c r="B562" s="171"/>
      <c r="C562" s="172"/>
      <c r="D562" s="172"/>
      <c r="E562" s="154"/>
      <c r="F562" s="162"/>
      <c r="G562" s="162"/>
      <c r="H562" s="162"/>
      <c r="I562" s="162"/>
      <c r="J562" s="174"/>
      <c r="K562" s="162"/>
      <c r="L562" s="129"/>
      <c r="M562" s="156"/>
      <c r="N562" s="79"/>
      <c r="O562" s="79"/>
      <c r="P562" s="79"/>
      <c r="Q562" s="79"/>
      <c r="R562" s="79"/>
      <c r="S562" s="82"/>
      <c r="T562" s="82"/>
      <c r="U562" s="82"/>
      <c r="V562" s="82"/>
      <c r="W562" s="82"/>
      <c r="X562" s="82"/>
      <c r="Y562" s="82"/>
      <c r="Z562" s="82"/>
      <c r="AA562" s="82"/>
    </row>
    <row r="563" ht="15.75" customHeight="1">
      <c r="A563" s="261"/>
      <c r="B563" s="171"/>
      <c r="C563" s="172"/>
      <c r="D563" s="172"/>
      <c r="E563" s="154"/>
      <c r="F563" s="162"/>
      <c r="G563" s="162"/>
      <c r="H563" s="162"/>
      <c r="I563" s="162"/>
      <c r="J563" s="174"/>
      <c r="K563" s="162"/>
      <c r="L563" s="129"/>
      <c r="M563" s="156"/>
      <c r="N563" s="79"/>
      <c r="O563" s="79"/>
      <c r="P563" s="79"/>
      <c r="Q563" s="79"/>
      <c r="R563" s="79"/>
      <c r="S563" s="82"/>
      <c r="T563" s="82"/>
      <c r="U563" s="82"/>
      <c r="V563" s="82"/>
      <c r="W563" s="82"/>
      <c r="X563" s="82"/>
      <c r="Y563" s="82"/>
      <c r="Z563" s="82"/>
      <c r="AA563" s="82"/>
    </row>
    <row r="564" ht="15.75" customHeight="1">
      <c r="A564" s="261"/>
      <c r="B564" s="171"/>
      <c r="C564" s="172"/>
      <c r="D564" s="172"/>
      <c r="E564" s="154"/>
      <c r="F564" s="162"/>
      <c r="G564" s="162"/>
      <c r="H564" s="162"/>
      <c r="I564" s="162"/>
      <c r="J564" s="174"/>
      <c r="K564" s="162"/>
      <c r="L564" s="129"/>
      <c r="M564" s="156"/>
      <c r="N564" s="79"/>
      <c r="O564" s="79"/>
      <c r="P564" s="79"/>
      <c r="Q564" s="79"/>
      <c r="R564" s="79"/>
      <c r="S564" s="82"/>
      <c r="T564" s="82"/>
      <c r="U564" s="82"/>
      <c r="V564" s="82"/>
      <c r="W564" s="82"/>
      <c r="X564" s="82"/>
      <c r="Y564" s="82"/>
      <c r="Z564" s="82"/>
      <c r="AA564" s="82"/>
    </row>
    <row r="565" ht="15.75" customHeight="1">
      <c r="A565" s="261"/>
      <c r="B565" s="171"/>
      <c r="C565" s="172"/>
      <c r="D565" s="172"/>
      <c r="E565" s="154"/>
      <c r="F565" s="162"/>
      <c r="G565" s="162"/>
      <c r="H565" s="162"/>
      <c r="I565" s="162"/>
      <c r="J565" s="174"/>
      <c r="K565" s="162"/>
      <c r="L565" s="129"/>
      <c r="M565" s="156"/>
      <c r="N565" s="79"/>
      <c r="O565" s="79"/>
      <c r="P565" s="79"/>
      <c r="Q565" s="79"/>
      <c r="R565" s="79"/>
      <c r="S565" s="82"/>
      <c r="T565" s="82"/>
      <c r="U565" s="82"/>
      <c r="V565" s="82"/>
      <c r="W565" s="82"/>
      <c r="X565" s="82"/>
      <c r="Y565" s="82"/>
      <c r="Z565" s="82"/>
      <c r="AA565" s="82"/>
    </row>
    <row r="566" ht="15.75" customHeight="1">
      <c r="A566" s="261"/>
      <c r="B566" s="171"/>
      <c r="C566" s="172"/>
      <c r="D566" s="172"/>
      <c r="E566" s="154"/>
      <c r="F566" s="162"/>
      <c r="G566" s="162"/>
      <c r="H566" s="162"/>
      <c r="I566" s="162"/>
      <c r="J566" s="174"/>
      <c r="K566" s="162"/>
      <c r="L566" s="129"/>
      <c r="M566" s="156"/>
      <c r="N566" s="79"/>
      <c r="O566" s="79"/>
      <c r="P566" s="79"/>
      <c r="Q566" s="79"/>
      <c r="R566" s="79"/>
      <c r="S566" s="82"/>
      <c r="T566" s="82"/>
      <c r="U566" s="82"/>
      <c r="V566" s="82"/>
      <c r="W566" s="82"/>
      <c r="X566" s="82"/>
      <c r="Y566" s="82"/>
      <c r="Z566" s="82"/>
      <c r="AA566" s="82"/>
    </row>
    <row r="567" ht="15.75" customHeight="1">
      <c r="A567" s="261"/>
      <c r="B567" s="171"/>
      <c r="C567" s="172"/>
      <c r="D567" s="172"/>
      <c r="E567" s="154"/>
      <c r="F567" s="162"/>
      <c r="G567" s="162"/>
      <c r="H567" s="162"/>
      <c r="I567" s="162"/>
      <c r="J567" s="174"/>
      <c r="K567" s="162"/>
      <c r="L567" s="129"/>
      <c r="M567" s="156"/>
      <c r="N567" s="79"/>
      <c r="O567" s="79"/>
      <c r="P567" s="79"/>
      <c r="Q567" s="79"/>
      <c r="R567" s="79"/>
      <c r="S567" s="82"/>
      <c r="T567" s="82"/>
      <c r="U567" s="82"/>
      <c r="V567" s="82"/>
      <c r="W567" s="82"/>
      <c r="X567" s="82"/>
      <c r="Y567" s="82"/>
      <c r="Z567" s="82"/>
      <c r="AA567" s="82"/>
    </row>
    <row r="568" ht="15.75" customHeight="1">
      <c r="A568" s="261"/>
      <c r="B568" s="171"/>
      <c r="C568" s="172"/>
      <c r="D568" s="172"/>
      <c r="E568" s="154"/>
      <c r="F568" s="162"/>
      <c r="G568" s="162"/>
      <c r="H568" s="162"/>
      <c r="I568" s="162"/>
      <c r="J568" s="174"/>
      <c r="K568" s="162"/>
      <c r="L568" s="129"/>
      <c r="M568" s="156"/>
      <c r="N568" s="79"/>
      <c r="O568" s="79"/>
      <c r="P568" s="79"/>
      <c r="Q568" s="79"/>
      <c r="R568" s="79"/>
      <c r="S568" s="82"/>
      <c r="T568" s="82"/>
      <c r="U568" s="82"/>
      <c r="V568" s="82"/>
      <c r="W568" s="82"/>
      <c r="X568" s="82"/>
      <c r="Y568" s="82"/>
      <c r="Z568" s="82"/>
      <c r="AA568" s="82"/>
    </row>
    <row r="569" ht="15.75" customHeight="1">
      <c r="A569" s="261"/>
      <c r="B569" s="171"/>
      <c r="C569" s="172"/>
      <c r="D569" s="172"/>
      <c r="E569" s="154"/>
      <c r="F569" s="162"/>
      <c r="G569" s="162"/>
      <c r="H569" s="162"/>
      <c r="I569" s="162"/>
      <c r="J569" s="174"/>
      <c r="K569" s="162"/>
      <c r="L569" s="129"/>
      <c r="M569" s="156"/>
      <c r="N569" s="79"/>
      <c r="O569" s="79"/>
      <c r="P569" s="79"/>
      <c r="Q569" s="79"/>
      <c r="R569" s="79"/>
      <c r="S569" s="82"/>
      <c r="T569" s="82"/>
      <c r="U569" s="82"/>
      <c r="V569" s="82"/>
      <c r="W569" s="82"/>
      <c r="X569" s="82"/>
      <c r="Y569" s="82"/>
      <c r="Z569" s="82"/>
      <c r="AA569" s="82"/>
    </row>
    <row r="570" ht="15.75" customHeight="1">
      <c r="A570" s="261"/>
      <c r="B570" s="171"/>
      <c r="C570" s="172"/>
      <c r="D570" s="172"/>
      <c r="E570" s="154"/>
      <c r="F570" s="162"/>
      <c r="G570" s="162"/>
      <c r="H570" s="162"/>
      <c r="I570" s="162"/>
      <c r="J570" s="174"/>
      <c r="K570" s="162"/>
      <c r="L570" s="129"/>
      <c r="M570" s="156"/>
      <c r="N570" s="79"/>
      <c r="O570" s="79"/>
      <c r="P570" s="79"/>
      <c r="Q570" s="79"/>
      <c r="R570" s="79"/>
      <c r="S570" s="82"/>
      <c r="T570" s="82"/>
      <c r="U570" s="82"/>
      <c r="V570" s="82"/>
      <c r="W570" s="82"/>
      <c r="X570" s="82"/>
      <c r="Y570" s="82"/>
      <c r="Z570" s="82"/>
      <c r="AA570" s="82"/>
    </row>
    <row r="571" ht="15.75" customHeight="1">
      <c r="A571" s="261"/>
      <c r="B571" s="171"/>
      <c r="C571" s="172"/>
      <c r="D571" s="172"/>
      <c r="E571" s="154"/>
      <c r="F571" s="162"/>
      <c r="G571" s="162"/>
      <c r="H571" s="162"/>
      <c r="I571" s="162"/>
      <c r="J571" s="174"/>
      <c r="K571" s="162"/>
      <c r="L571" s="129"/>
      <c r="M571" s="156"/>
      <c r="N571" s="79"/>
      <c r="O571" s="79"/>
      <c r="P571" s="79"/>
      <c r="Q571" s="79"/>
      <c r="R571" s="79"/>
      <c r="S571" s="82"/>
      <c r="T571" s="82"/>
      <c r="U571" s="82"/>
      <c r="V571" s="82"/>
      <c r="W571" s="82"/>
      <c r="X571" s="82"/>
      <c r="Y571" s="82"/>
      <c r="Z571" s="82"/>
      <c r="AA571" s="82"/>
    </row>
    <row r="572" ht="15.75" customHeight="1">
      <c r="A572" s="261"/>
      <c r="B572" s="171"/>
      <c r="C572" s="172"/>
      <c r="D572" s="172"/>
      <c r="E572" s="154"/>
      <c r="F572" s="162"/>
      <c r="G572" s="162"/>
      <c r="H572" s="162"/>
      <c r="I572" s="162"/>
      <c r="J572" s="174"/>
      <c r="K572" s="162"/>
      <c r="L572" s="129"/>
      <c r="M572" s="156"/>
      <c r="N572" s="79"/>
      <c r="O572" s="79"/>
      <c r="P572" s="79"/>
      <c r="Q572" s="79"/>
      <c r="R572" s="79"/>
      <c r="S572" s="82"/>
      <c r="T572" s="82"/>
      <c r="U572" s="82"/>
      <c r="V572" s="82"/>
      <c r="W572" s="82"/>
      <c r="X572" s="82"/>
      <c r="Y572" s="82"/>
      <c r="Z572" s="82"/>
      <c r="AA572" s="82"/>
    </row>
    <row r="573" ht="15.75" customHeight="1">
      <c r="A573" s="261"/>
      <c r="B573" s="171"/>
      <c r="C573" s="172"/>
      <c r="D573" s="172"/>
      <c r="E573" s="154"/>
      <c r="F573" s="162"/>
      <c r="G573" s="162"/>
      <c r="H573" s="162"/>
      <c r="I573" s="162"/>
      <c r="J573" s="174"/>
      <c r="K573" s="162"/>
      <c r="L573" s="129"/>
      <c r="M573" s="156"/>
      <c r="N573" s="79"/>
      <c r="O573" s="79"/>
      <c r="P573" s="79"/>
      <c r="Q573" s="79"/>
      <c r="R573" s="79"/>
      <c r="S573" s="82"/>
      <c r="T573" s="82"/>
      <c r="U573" s="82"/>
      <c r="V573" s="82"/>
      <c r="W573" s="82"/>
      <c r="X573" s="82"/>
      <c r="Y573" s="82"/>
      <c r="Z573" s="82"/>
      <c r="AA573" s="82"/>
    </row>
    <row r="574" ht="15.75" customHeight="1">
      <c r="A574" s="261"/>
      <c r="B574" s="171"/>
      <c r="C574" s="172"/>
      <c r="D574" s="172"/>
      <c r="E574" s="154"/>
      <c r="F574" s="162"/>
      <c r="G574" s="162"/>
      <c r="H574" s="162"/>
      <c r="I574" s="162"/>
      <c r="J574" s="174"/>
      <c r="K574" s="162"/>
      <c r="L574" s="129"/>
      <c r="M574" s="156"/>
      <c r="N574" s="79"/>
      <c r="O574" s="79"/>
      <c r="P574" s="79"/>
      <c r="Q574" s="79"/>
      <c r="R574" s="79"/>
      <c r="S574" s="82"/>
      <c r="T574" s="82"/>
      <c r="U574" s="82"/>
      <c r="V574" s="82"/>
      <c r="W574" s="82"/>
      <c r="X574" s="82"/>
      <c r="Y574" s="82"/>
      <c r="Z574" s="82"/>
      <c r="AA574" s="82"/>
    </row>
    <row r="575" ht="15.75" customHeight="1">
      <c r="A575" s="261"/>
      <c r="B575" s="171"/>
      <c r="C575" s="172"/>
      <c r="D575" s="172"/>
      <c r="E575" s="154"/>
      <c r="F575" s="162"/>
      <c r="G575" s="162"/>
      <c r="H575" s="162"/>
      <c r="I575" s="162"/>
      <c r="J575" s="174"/>
      <c r="K575" s="162"/>
      <c r="L575" s="129"/>
      <c r="M575" s="156"/>
      <c r="N575" s="79"/>
      <c r="O575" s="79"/>
      <c r="P575" s="79"/>
      <c r="Q575" s="79"/>
      <c r="R575" s="79"/>
      <c r="S575" s="82"/>
      <c r="T575" s="82"/>
      <c r="U575" s="82"/>
      <c r="V575" s="82"/>
      <c r="W575" s="82"/>
      <c r="X575" s="82"/>
      <c r="Y575" s="82"/>
      <c r="Z575" s="82"/>
      <c r="AA575" s="82"/>
    </row>
    <row r="576" ht="15.75" customHeight="1">
      <c r="A576" s="261"/>
      <c r="B576" s="171"/>
      <c r="C576" s="172"/>
      <c r="D576" s="172"/>
      <c r="E576" s="154"/>
      <c r="F576" s="162"/>
      <c r="G576" s="162"/>
      <c r="H576" s="162"/>
      <c r="I576" s="162"/>
      <c r="J576" s="174"/>
      <c r="K576" s="162"/>
      <c r="L576" s="129"/>
      <c r="M576" s="156"/>
      <c r="N576" s="79"/>
      <c r="O576" s="79"/>
      <c r="P576" s="79"/>
      <c r="Q576" s="79"/>
      <c r="R576" s="79"/>
      <c r="S576" s="82"/>
      <c r="T576" s="82"/>
      <c r="U576" s="82"/>
      <c r="V576" s="82"/>
      <c r="W576" s="82"/>
      <c r="X576" s="82"/>
      <c r="Y576" s="82"/>
      <c r="Z576" s="82"/>
      <c r="AA576" s="82"/>
    </row>
    <row r="577" ht="15.75" customHeight="1">
      <c r="A577" s="261"/>
      <c r="B577" s="171"/>
      <c r="C577" s="172"/>
      <c r="D577" s="172"/>
      <c r="E577" s="154"/>
      <c r="F577" s="162"/>
      <c r="G577" s="162"/>
      <c r="H577" s="162"/>
      <c r="I577" s="162"/>
      <c r="J577" s="174"/>
      <c r="K577" s="162"/>
      <c r="L577" s="129"/>
      <c r="M577" s="156"/>
      <c r="N577" s="79"/>
      <c r="O577" s="79"/>
      <c r="P577" s="79"/>
      <c r="Q577" s="79"/>
      <c r="R577" s="79"/>
      <c r="S577" s="82"/>
      <c r="T577" s="82"/>
      <c r="U577" s="82"/>
      <c r="V577" s="82"/>
      <c r="W577" s="82"/>
      <c r="X577" s="82"/>
      <c r="Y577" s="82"/>
      <c r="Z577" s="82"/>
      <c r="AA577" s="82"/>
    </row>
    <row r="578" ht="15.75" customHeight="1">
      <c r="A578" s="261"/>
      <c r="B578" s="171"/>
      <c r="C578" s="172"/>
      <c r="D578" s="172"/>
      <c r="E578" s="154"/>
      <c r="F578" s="162"/>
      <c r="G578" s="162"/>
      <c r="H578" s="162"/>
      <c r="I578" s="162"/>
      <c r="J578" s="174"/>
      <c r="K578" s="162"/>
      <c r="L578" s="129"/>
      <c r="M578" s="156"/>
      <c r="N578" s="79"/>
      <c r="O578" s="79"/>
      <c r="P578" s="79"/>
      <c r="Q578" s="79"/>
      <c r="R578" s="79"/>
      <c r="S578" s="82"/>
      <c r="T578" s="82"/>
      <c r="U578" s="82"/>
      <c r="V578" s="82"/>
      <c r="W578" s="82"/>
      <c r="X578" s="82"/>
      <c r="Y578" s="82"/>
      <c r="Z578" s="82"/>
      <c r="AA578" s="82"/>
    </row>
    <row r="579" ht="15.75" customHeight="1">
      <c r="A579" s="261"/>
      <c r="B579" s="171"/>
      <c r="C579" s="172"/>
      <c r="D579" s="172"/>
      <c r="E579" s="154"/>
      <c r="F579" s="162"/>
      <c r="G579" s="162"/>
      <c r="H579" s="162"/>
      <c r="I579" s="162"/>
      <c r="J579" s="174"/>
      <c r="K579" s="162"/>
      <c r="L579" s="129"/>
      <c r="M579" s="156"/>
      <c r="N579" s="79"/>
      <c r="O579" s="79"/>
      <c r="P579" s="79"/>
      <c r="Q579" s="79"/>
      <c r="R579" s="79"/>
      <c r="S579" s="82"/>
      <c r="T579" s="82"/>
      <c r="U579" s="82"/>
      <c r="V579" s="82"/>
      <c r="W579" s="82"/>
      <c r="X579" s="82"/>
      <c r="Y579" s="82"/>
      <c r="Z579" s="82"/>
      <c r="AA579" s="82"/>
    </row>
    <row r="580" ht="15.75" customHeight="1">
      <c r="A580" s="261"/>
      <c r="B580" s="171"/>
      <c r="C580" s="172"/>
      <c r="D580" s="172"/>
      <c r="E580" s="154"/>
      <c r="F580" s="162"/>
      <c r="G580" s="162"/>
      <c r="H580" s="162"/>
      <c r="I580" s="162"/>
      <c r="J580" s="174"/>
      <c r="K580" s="162"/>
      <c r="L580" s="129"/>
      <c r="M580" s="156"/>
      <c r="N580" s="79"/>
      <c r="O580" s="79"/>
      <c r="P580" s="79"/>
      <c r="Q580" s="79"/>
      <c r="R580" s="79"/>
      <c r="S580" s="82"/>
      <c r="T580" s="82"/>
      <c r="U580" s="82"/>
      <c r="V580" s="82"/>
      <c r="W580" s="82"/>
      <c r="X580" s="82"/>
      <c r="Y580" s="82"/>
      <c r="Z580" s="82"/>
      <c r="AA580" s="82"/>
    </row>
    <row r="581" ht="15.75" customHeight="1">
      <c r="A581" s="261"/>
      <c r="B581" s="171"/>
      <c r="C581" s="172"/>
      <c r="D581" s="172"/>
      <c r="E581" s="154"/>
      <c r="F581" s="162"/>
      <c r="G581" s="162"/>
      <c r="H581" s="162"/>
      <c r="I581" s="162"/>
      <c r="J581" s="174"/>
      <c r="K581" s="162"/>
      <c r="L581" s="129"/>
      <c r="M581" s="156"/>
      <c r="N581" s="79"/>
      <c r="O581" s="79"/>
      <c r="P581" s="79"/>
      <c r="Q581" s="79"/>
      <c r="R581" s="79"/>
      <c r="S581" s="82"/>
      <c r="T581" s="82"/>
      <c r="U581" s="82"/>
      <c r="V581" s="82"/>
      <c r="W581" s="82"/>
      <c r="X581" s="82"/>
      <c r="Y581" s="82"/>
      <c r="Z581" s="82"/>
      <c r="AA581" s="82"/>
    </row>
    <row r="582" ht="15.75" customHeight="1">
      <c r="A582" s="261"/>
      <c r="B582" s="171"/>
      <c r="C582" s="172"/>
      <c r="D582" s="172"/>
      <c r="E582" s="154"/>
      <c r="F582" s="162"/>
      <c r="G582" s="162"/>
      <c r="H582" s="162"/>
      <c r="I582" s="162"/>
      <c r="J582" s="174"/>
      <c r="K582" s="162"/>
      <c r="L582" s="129"/>
      <c r="M582" s="156"/>
      <c r="N582" s="79"/>
      <c r="O582" s="79"/>
      <c r="P582" s="79"/>
      <c r="Q582" s="79"/>
      <c r="R582" s="79"/>
      <c r="S582" s="82"/>
      <c r="T582" s="82"/>
      <c r="U582" s="82"/>
      <c r="V582" s="82"/>
      <c r="W582" s="82"/>
      <c r="X582" s="82"/>
      <c r="Y582" s="82"/>
      <c r="Z582" s="82"/>
      <c r="AA582" s="82"/>
    </row>
    <row r="583" ht="15.75" customHeight="1">
      <c r="A583" s="261"/>
      <c r="B583" s="171"/>
      <c r="C583" s="172"/>
      <c r="D583" s="172"/>
      <c r="E583" s="154"/>
      <c r="F583" s="162"/>
      <c r="G583" s="162"/>
      <c r="H583" s="162"/>
      <c r="I583" s="162"/>
      <c r="J583" s="174"/>
      <c r="K583" s="162"/>
      <c r="L583" s="129"/>
      <c r="M583" s="156"/>
      <c r="N583" s="79"/>
      <c r="O583" s="79"/>
      <c r="P583" s="79"/>
      <c r="Q583" s="79"/>
      <c r="R583" s="79"/>
      <c r="S583" s="82"/>
      <c r="T583" s="82"/>
      <c r="U583" s="82"/>
      <c r="V583" s="82"/>
      <c r="W583" s="82"/>
      <c r="X583" s="82"/>
      <c r="Y583" s="82"/>
      <c r="Z583" s="82"/>
      <c r="AA583" s="82"/>
    </row>
    <row r="584" ht="15.75" customHeight="1">
      <c r="A584" s="261"/>
      <c r="B584" s="171"/>
      <c r="C584" s="172"/>
      <c r="D584" s="172"/>
      <c r="E584" s="154"/>
      <c r="F584" s="162"/>
      <c r="G584" s="162"/>
      <c r="H584" s="162"/>
      <c r="I584" s="162"/>
      <c r="J584" s="174"/>
      <c r="K584" s="162"/>
      <c r="L584" s="129"/>
      <c r="M584" s="156"/>
      <c r="N584" s="79"/>
      <c r="O584" s="79"/>
      <c r="P584" s="79"/>
      <c r="Q584" s="79"/>
      <c r="R584" s="79"/>
      <c r="S584" s="82"/>
      <c r="T584" s="82"/>
      <c r="U584" s="82"/>
      <c r="V584" s="82"/>
      <c r="W584" s="82"/>
      <c r="X584" s="82"/>
      <c r="Y584" s="82"/>
      <c r="Z584" s="82"/>
      <c r="AA584" s="82"/>
    </row>
    <row r="585" ht="15.75" customHeight="1">
      <c r="A585" s="261"/>
      <c r="B585" s="171"/>
      <c r="C585" s="172"/>
      <c r="D585" s="172"/>
      <c r="E585" s="154"/>
      <c r="F585" s="162"/>
      <c r="G585" s="162"/>
      <c r="H585" s="162"/>
      <c r="I585" s="162"/>
      <c r="J585" s="174"/>
      <c r="K585" s="162"/>
      <c r="L585" s="129"/>
      <c r="M585" s="156"/>
      <c r="N585" s="79"/>
      <c r="O585" s="79"/>
      <c r="P585" s="79"/>
      <c r="Q585" s="79"/>
      <c r="R585" s="79"/>
      <c r="S585" s="82"/>
      <c r="T585" s="82"/>
      <c r="U585" s="82"/>
      <c r="V585" s="82"/>
      <c r="W585" s="82"/>
      <c r="X585" s="82"/>
      <c r="Y585" s="82"/>
      <c r="Z585" s="82"/>
      <c r="AA585" s="82"/>
    </row>
    <row r="586" ht="15.75" customHeight="1">
      <c r="A586" s="261"/>
      <c r="B586" s="171"/>
      <c r="C586" s="172"/>
      <c r="D586" s="172"/>
      <c r="E586" s="154"/>
      <c r="F586" s="162"/>
      <c r="G586" s="162"/>
      <c r="H586" s="162"/>
      <c r="I586" s="162"/>
      <c r="J586" s="174"/>
      <c r="K586" s="162"/>
      <c r="L586" s="129"/>
      <c r="M586" s="156"/>
      <c r="N586" s="79"/>
      <c r="O586" s="79"/>
      <c r="P586" s="79"/>
      <c r="Q586" s="79"/>
      <c r="R586" s="79"/>
      <c r="S586" s="82"/>
      <c r="T586" s="82"/>
      <c r="U586" s="82"/>
      <c r="V586" s="82"/>
      <c r="W586" s="82"/>
      <c r="X586" s="82"/>
      <c r="Y586" s="82"/>
      <c r="Z586" s="82"/>
      <c r="AA586" s="82"/>
    </row>
    <row r="587" ht="15.75" customHeight="1">
      <c r="A587" s="261"/>
      <c r="B587" s="171"/>
      <c r="C587" s="172"/>
      <c r="D587" s="172"/>
      <c r="E587" s="154"/>
      <c r="F587" s="162"/>
      <c r="G587" s="162"/>
      <c r="H587" s="162"/>
      <c r="I587" s="162"/>
      <c r="J587" s="174"/>
      <c r="K587" s="162"/>
      <c r="L587" s="129"/>
      <c r="M587" s="156"/>
      <c r="N587" s="79"/>
      <c r="O587" s="79"/>
      <c r="P587" s="79"/>
      <c r="Q587" s="79"/>
      <c r="R587" s="79"/>
      <c r="S587" s="82"/>
      <c r="T587" s="82"/>
      <c r="U587" s="82"/>
      <c r="V587" s="82"/>
      <c r="W587" s="82"/>
      <c r="X587" s="82"/>
      <c r="Y587" s="82"/>
      <c r="Z587" s="82"/>
      <c r="AA587" s="82"/>
    </row>
    <row r="588" ht="15.75" customHeight="1">
      <c r="A588" s="261"/>
      <c r="B588" s="171"/>
      <c r="C588" s="172"/>
      <c r="D588" s="172"/>
      <c r="E588" s="154"/>
      <c r="F588" s="162"/>
      <c r="G588" s="162"/>
      <c r="H588" s="162"/>
      <c r="I588" s="162"/>
      <c r="J588" s="174"/>
      <c r="K588" s="162"/>
      <c r="L588" s="129"/>
      <c r="M588" s="156"/>
      <c r="N588" s="79"/>
      <c r="O588" s="79"/>
      <c r="P588" s="79"/>
      <c r="Q588" s="79"/>
      <c r="R588" s="79"/>
      <c r="S588" s="82"/>
      <c r="T588" s="82"/>
      <c r="U588" s="82"/>
      <c r="V588" s="82"/>
      <c r="W588" s="82"/>
      <c r="X588" s="82"/>
      <c r="Y588" s="82"/>
      <c r="Z588" s="82"/>
      <c r="AA588" s="82"/>
    </row>
    <row r="589" ht="15.75" customHeight="1">
      <c r="A589" s="261"/>
      <c r="B589" s="171"/>
      <c r="C589" s="172"/>
      <c r="D589" s="172"/>
      <c r="E589" s="154"/>
      <c r="F589" s="162"/>
      <c r="G589" s="162"/>
      <c r="H589" s="162"/>
      <c r="I589" s="162"/>
      <c r="J589" s="174"/>
      <c r="K589" s="162"/>
      <c r="L589" s="129"/>
      <c r="M589" s="156"/>
      <c r="N589" s="79"/>
      <c r="O589" s="79"/>
      <c r="P589" s="79"/>
      <c r="Q589" s="79"/>
      <c r="R589" s="79"/>
      <c r="S589" s="82"/>
      <c r="T589" s="82"/>
      <c r="U589" s="82"/>
      <c r="V589" s="82"/>
      <c r="W589" s="82"/>
      <c r="X589" s="82"/>
      <c r="Y589" s="82"/>
      <c r="Z589" s="82"/>
      <c r="AA589" s="82"/>
    </row>
    <row r="590" ht="15.75" customHeight="1">
      <c r="A590" s="261"/>
      <c r="B590" s="171"/>
      <c r="C590" s="172"/>
      <c r="D590" s="172"/>
      <c r="E590" s="154"/>
      <c r="F590" s="162"/>
      <c r="G590" s="162"/>
      <c r="H590" s="162"/>
      <c r="I590" s="162"/>
      <c r="J590" s="174"/>
      <c r="K590" s="162"/>
      <c r="L590" s="129"/>
      <c r="M590" s="156"/>
      <c r="N590" s="79"/>
      <c r="O590" s="79"/>
      <c r="P590" s="79"/>
      <c r="Q590" s="79"/>
      <c r="R590" s="79"/>
      <c r="S590" s="82"/>
      <c r="T590" s="82"/>
      <c r="U590" s="82"/>
      <c r="V590" s="82"/>
      <c r="W590" s="82"/>
      <c r="X590" s="82"/>
      <c r="Y590" s="82"/>
      <c r="Z590" s="82"/>
      <c r="AA590" s="82"/>
    </row>
    <row r="591" ht="15.75" customHeight="1">
      <c r="A591" s="261"/>
      <c r="B591" s="171"/>
      <c r="C591" s="172"/>
      <c r="D591" s="172"/>
      <c r="E591" s="154"/>
      <c r="F591" s="162"/>
      <c r="G591" s="162"/>
      <c r="H591" s="162"/>
      <c r="I591" s="162"/>
      <c r="J591" s="174"/>
      <c r="K591" s="162"/>
      <c r="L591" s="129"/>
      <c r="M591" s="156"/>
      <c r="N591" s="79"/>
      <c r="O591" s="79"/>
      <c r="P591" s="79"/>
      <c r="Q591" s="79"/>
      <c r="R591" s="79"/>
      <c r="S591" s="82"/>
      <c r="T591" s="82"/>
      <c r="U591" s="82"/>
      <c r="V591" s="82"/>
      <c r="W591" s="82"/>
      <c r="X591" s="82"/>
      <c r="Y591" s="82"/>
      <c r="Z591" s="82"/>
      <c r="AA591" s="82"/>
    </row>
    <row r="592" ht="15.75" customHeight="1">
      <c r="A592" s="261"/>
      <c r="B592" s="171"/>
      <c r="C592" s="172"/>
      <c r="D592" s="172"/>
      <c r="E592" s="154"/>
      <c r="F592" s="162"/>
      <c r="G592" s="162"/>
      <c r="H592" s="162"/>
      <c r="I592" s="162"/>
      <c r="J592" s="174"/>
      <c r="K592" s="162"/>
      <c r="L592" s="129"/>
      <c r="M592" s="156"/>
      <c r="N592" s="79"/>
      <c r="O592" s="79"/>
      <c r="P592" s="79"/>
      <c r="Q592" s="79"/>
      <c r="R592" s="79"/>
      <c r="S592" s="82"/>
      <c r="T592" s="82"/>
      <c r="U592" s="82"/>
      <c r="V592" s="82"/>
      <c r="W592" s="82"/>
      <c r="X592" s="82"/>
      <c r="Y592" s="82"/>
      <c r="Z592" s="82"/>
      <c r="AA592" s="82"/>
    </row>
    <row r="593" ht="15.75" customHeight="1">
      <c r="A593" s="261"/>
      <c r="B593" s="171"/>
      <c r="C593" s="172"/>
      <c r="D593" s="172"/>
      <c r="E593" s="154"/>
      <c r="F593" s="162"/>
      <c r="G593" s="162"/>
      <c r="H593" s="162"/>
      <c r="I593" s="162"/>
      <c r="J593" s="174"/>
      <c r="K593" s="162"/>
      <c r="L593" s="129"/>
      <c r="M593" s="156"/>
      <c r="N593" s="79"/>
      <c r="O593" s="79"/>
      <c r="P593" s="79"/>
      <c r="Q593" s="79"/>
      <c r="R593" s="79"/>
      <c r="S593" s="82"/>
      <c r="T593" s="82"/>
      <c r="U593" s="82"/>
      <c r="V593" s="82"/>
      <c r="W593" s="82"/>
      <c r="X593" s="82"/>
      <c r="Y593" s="82"/>
      <c r="Z593" s="82"/>
      <c r="AA593" s="82"/>
    </row>
    <row r="594" ht="15.75" customHeight="1">
      <c r="A594" s="261"/>
      <c r="B594" s="171"/>
      <c r="C594" s="172"/>
      <c r="D594" s="172"/>
      <c r="E594" s="154"/>
      <c r="F594" s="162"/>
      <c r="G594" s="162"/>
      <c r="H594" s="162"/>
      <c r="I594" s="162"/>
      <c r="J594" s="174"/>
      <c r="K594" s="162"/>
      <c r="L594" s="129"/>
      <c r="M594" s="156"/>
      <c r="N594" s="79"/>
      <c r="O594" s="79"/>
      <c r="P594" s="79"/>
      <c r="Q594" s="79"/>
      <c r="R594" s="79"/>
      <c r="S594" s="82"/>
      <c r="T594" s="82"/>
      <c r="U594" s="82"/>
      <c r="V594" s="82"/>
      <c r="W594" s="82"/>
      <c r="X594" s="82"/>
      <c r="Y594" s="82"/>
      <c r="Z594" s="82"/>
      <c r="AA594" s="82"/>
    </row>
    <row r="595" ht="15.75" customHeight="1">
      <c r="A595" s="261"/>
      <c r="B595" s="171"/>
      <c r="C595" s="172"/>
      <c r="D595" s="172"/>
      <c r="E595" s="154"/>
      <c r="F595" s="162"/>
      <c r="G595" s="162"/>
      <c r="H595" s="162"/>
      <c r="I595" s="162"/>
      <c r="J595" s="174"/>
      <c r="K595" s="162"/>
      <c r="L595" s="129"/>
      <c r="M595" s="156"/>
      <c r="N595" s="79"/>
      <c r="O595" s="79"/>
      <c r="P595" s="79"/>
      <c r="Q595" s="79"/>
      <c r="R595" s="79"/>
      <c r="S595" s="82"/>
      <c r="T595" s="82"/>
      <c r="U595" s="82"/>
      <c r="V595" s="82"/>
      <c r="W595" s="82"/>
      <c r="X595" s="82"/>
      <c r="Y595" s="82"/>
      <c r="Z595" s="82"/>
      <c r="AA595" s="82"/>
    </row>
    <row r="596" ht="15.75" customHeight="1">
      <c r="A596" s="261"/>
      <c r="B596" s="171"/>
      <c r="C596" s="172"/>
      <c r="D596" s="172"/>
      <c r="E596" s="154"/>
      <c r="F596" s="162"/>
      <c r="G596" s="162"/>
      <c r="H596" s="162"/>
      <c r="I596" s="162"/>
      <c r="J596" s="174"/>
      <c r="K596" s="162"/>
      <c r="L596" s="129"/>
      <c r="M596" s="156"/>
      <c r="N596" s="79"/>
      <c r="O596" s="79"/>
      <c r="P596" s="79"/>
      <c r="Q596" s="79"/>
      <c r="R596" s="79"/>
      <c r="S596" s="82"/>
      <c r="T596" s="82"/>
      <c r="U596" s="82"/>
      <c r="V596" s="82"/>
      <c r="W596" s="82"/>
      <c r="X596" s="82"/>
      <c r="Y596" s="82"/>
      <c r="Z596" s="82"/>
      <c r="AA596" s="82"/>
    </row>
    <row r="597" ht="15.75" customHeight="1">
      <c r="A597" s="261"/>
      <c r="B597" s="171"/>
      <c r="C597" s="172"/>
      <c r="D597" s="172"/>
      <c r="E597" s="154"/>
      <c r="F597" s="162"/>
      <c r="G597" s="162"/>
      <c r="H597" s="162"/>
      <c r="I597" s="162"/>
      <c r="J597" s="174"/>
      <c r="K597" s="162"/>
      <c r="L597" s="129"/>
      <c r="M597" s="156"/>
      <c r="N597" s="79"/>
      <c r="O597" s="79"/>
      <c r="P597" s="79"/>
      <c r="Q597" s="79"/>
      <c r="R597" s="79"/>
      <c r="S597" s="82"/>
      <c r="T597" s="82"/>
      <c r="U597" s="82"/>
      <c r="V597" s="82"/>
      <c r="W597" s="82"/>
      <c r="X597" s="82"/>
      <c r="Y597" s="82"/>
      <c r="Z597" s="82"/>
      <c r="AA597" s="82"/>
    </row>
    <row r="598" ht="15.75" customHeight="1">
      <c r="A598" s="261"/>
      <c r="B598" s="171"/>
      <c r="C598" s="172"/>
      <c r="D598" s="172"/>
      <c r="E598" s="154"/>
      <c r="F598" s="162"/>
      <c r="G598" s="162"/>
      <c r="H598" s="162"/>
      <c r="I598" s="162"/>
      <c r="J598" s="174"/>
      <c r="K598" s="162"/>
      <c r="L598" s="129"/>
      <c r="M598" s="156"/>
      <c r="N598" s="79"/>
      <c r="O598" s="79"/>
      <c r="P598" s="79"/>
      <c r="Q598" s="79"/>
      <c r="R598" s="79"/>
      <c r="S598" s="82"/>
      <c r="T598" s="82"/>
      <c r="U598" s="82"/>
      <c r="V598" s="82"/>
      <c r="W598" s="82"/>
      <c r="X598" s="82"/>
      <c r="Y598" s="82"/>
      <c r="Z598" s="82"/>
      <c r="AA598" s="82"/>
    </row>
    <row r="599" ht="15.75" customHeight="1">
      <c r="A599" s="261"/>
      <c r="B599" s="171"/>
      <c r="C599" s="172"/>
      <c r="D599" s="172"/>
      <c r="E599" s="154"/>
      <c r="F599" s="162"/>
      <c r="G599" s="162"/>
      <c r="H599" s="162"/>
      <c r="I599" s="162"/>
      <c r="J599" s="174"/>
      <c r="K599" s="162"/>
      <c r="L599" s="129"/>
      <c r="M599" s="156"/>
      <c r="N599" s="79"/>
      <c r="O599" s="79"/>
      <c r="P599" s="79"/>
      <c r="Q599" s="79"/>
      <c r="R599" s="79"/>
      <c r="S599" s="82"/>
      <c r="T599" s="82"/>
      <c r="U599" s="82"/>
      <c r="V599" s="82"/>
      <c r="W599" s="82"/>
      <c r="X599" s="82"/>
      <c r="Y599" s="82"/>
      <c r="Z599" s="82"/>
      <c r="AA599" s="82"/>
    </row>
    <row r="600" ht="15.75" customHeight="1">
      <c r="A600" s="261"/>
      <c r="B600" s="171"/>
      <c r="C600" s="172"/>
      <c r="D600" s="172"/>
      <c r="E600" s="154"/>
      <c r="F600" s="162"/>
      <c r="G600" s="162"/>
      <c r="H600" s="162"/>
      <c r="I600" s="162"/>
      <c r="J600" s="174"/>
      <c r="K600" s="162"/>
      <c r="L600" s="129"/>
      <c r="M600" s="156"/>
      <c r="N600" s="79"/>
      <c r="O600" s="79"/>
      <c r="P600" s="79"/>
      <c r="Q600" s="79"/>
      <c r="R600" s="79"/>
      <c r="S600" s="82"/>
      <c r="T600" s="82"/>
      <c r="U600" s="82"/>
      <c r="V600" s="82"/>
      <c r="W600" s="82"/>
      <c r="X600" s="82"/>
      <c r="Y600" s="82"/>
      <c r="Z600" s="82"/>
      <c r="AA600" s="82"/>
    </row>
    <row r="601" ht="15.75" customHeight="1">
      <c r="A601" s="261"/>
      <c r="B601" s="171"/>
      <c r="C601" s="172"/>
      <c r="D601" s="172"/>
      <c r="E601" s="154"/>
      <c r="F601" s="162"/>
      <c r="G601" s="162"/>
      <c r="H601" s="162"/>
      <c r="I601" s="162"/>
      <c r="J601" s="174"/>
      <c r="K601" s="162"/>
      <c r="L601" s="129"/>
      <c r="M601" s="156"/>
      <c r="N601" s="79"/>
      <c r="O601" s="79"/>
      <c r="P601" s="79"/>
      <c r="Q601" s="79"/>
      <c r="R601" s="79"/>
      <c r="S601" s="82"/>
      <c r="T601" s="82"/>
      <c r="U601" s="82"/>
      <c r="V601" s="82"/>
      <c r="W601" s="82"/>
      <c r="X601" s="82"/>
      <c r="Y601" s="82"/>
      <c r="Z601" s="82"/>
      <c r="AA601" s="82"/>
    </row>
    <row r="602" ht="15.75" customHeight="1">
      <c r="A602" s="261"/>
      <c r="B602" s="171"/>
      <c r="C602" s="172"/>
      <c r="D602" s="172"/>
      <c r="E602" s="154"/>
      <c r="F602" s="162"/>
      <c r="G602" s="162"/>
      <c r="H602" s="162"/>
      <c r="I602" s="162"/>
      <c r="J602" s="174"/>
      <c r="K602" s="162"/>
      <c r="L602" s="129"/>
      <c r="M602" s="156"/>
      <c r="N602" s="79"/>
      <c r="O602" s="79"/>
      <c r="P602" s="79"/>
      <c r="Q602" s="79"/>
      <c r="R602" s="79"/>
      <c r="S602" s="82"/>
      <c r="T602" s="82"/>
      <c r="U602" s="82"/>
      <c r="V602" s="82"/>
      <c r="W602" s="82"/>
      <c r="X602" s="82"/>
      <c r="Y602" s="82"/>
      <c r="Z602" s="82"/>
      <c r="AA602" s="82"/>
    </row>
    <row r="603" ht="15.75" customHeight="1">
      <c r="A603" s="261"/>
      <c r="B603" s="171"/>
      <c r="C603" s="172"/>
      <c r="D603" s="172"/>
      <c r="E603" s="154"/>
      <c r="F603" s="162"/>
      <c r="G603" s="162"/>
      <c r="H603" s="162"/>
      <c r="I603" s="162"/>
      <c r="J603" s="174"/>
      <c r="K603" s="162"/>
      <c r="L603" s="129"/>
      <c r="M603" s="156"/>
      <c r="N603" s="79"/>
      <c r="O603" s="79"/>
      <c r="P603" s="79"/>
      <c r="Q603" s="79"/>
      <c r="R603" s="79"/>
      <c r="S603" s="82"/>
      <c r="T603" s="82"/>
      <c r="U603" s="82"/>
      <c r="V603" s="82"/>
      <c r="W603" s="82"/>
      <c r="X603" s="82"/>
      <c r="Y603" s="82"/>
      <c r="Z603" s="82"/>
      <c r="AA603" s="82"/>
    </row>
    <row r="604" ht="15.75" customHeight="1">
      <c r="A604" s="261"/>
      <c r="B604" s="171"/>
      <c r="C604" s="172"/>
      <c r="D604" s="172"/>
      <c r="E604" s="154"/>
      <c r="F604" s="162"/>
      <c r="G604" s="162"/>
      <c r="H604" s="162"/>
      <c r="I604" s="162"/>
      <c r="J604" s="174"/>
      <c r="K604" s="162"/>
      <c r="L604" s="129"/>
      <c r="M604" s="156"/>
      <c r="N604" s="79"/>
      <c r="O604" s="79"/>
      <c r="P604" s="79"/>
      <c r="Q604" s="79"/>
      <c r="R604" s="79"/>
      <c r="S604" s="82"/>
      <c r="T604" s="82"/>
      <c r="U604" s="82"/>
      <c r="V604" s="82"/>
      <c r="W604" s="82"/>
      <c r="X604" s="82"/>
      <c r="Y604" s="82"/>
      <c r="Z604" s="82"/>
      <c r="AA604" s="82"/>
    </row>
    <row r="605" ht="15.75" customHeight="1">
      <c r="A605" s="261"/>
      <c r="B605" s="171"/>
      <c r="C605" s="172"/>
      <c r="D605" s="172"/>
      <c r="E605" s="154"/>
      <c r="F605" s="162"/>
      <c r="G605" s="162"/>
      <c r="H605" s="162"/>
      <c r="I605" s="162"/>
      <c r="J605" s="174"/>
      <c r="K605" s="162"/>
      <c r="L605" s="129"/>
      <c r="M605" s="156"/>
      <c r="N605" s="79"/>
      <c r="O605" s="79"/>
      <c r="P605" s="79"/>
      <c r="Q605" s="79"/>
      <c r="R605" s="79"/>
      <c r="S605" s="82"/>
      <c r="T605" s="82"/>
      <c r="U605" s="82"/>
      <c r="V605" s="82"/>
      <c r="W605" s="82"/>
      <c r="X605" s="82"/>
      <c r="Y605" s="82"/>
      <c r="Z605" s="82"/>
      <c r="AA605" s="82"/>
    </row>
    <row r="606" ht="15.75" customHeight="1">
      <c r="A606" s="261"/>
      <c r="B606" s="171"/>
      <c r="C606" s="172"/>
      <c r="D606" s="172"/>
      <c r="E606" s="154"/>
      <c r="F606" s="162"/>
      <c r="G606" s="162"/>
      <c r="H606" s="162"/>
      <c r="I606" s="162"/>
      <c r="J606" s="174"/>
      <c r="K606" s="162"/>
      <c r="L606" s="129"/>
      <c r="M606" s="156"/>
      <c r="N606" s="79"/>
      <c r="O606" s="79"/>
      <c r="P606" s="79"/>
      <c r="Q606" s="79"/>
      <c r="R606" s="79"/>
      <c r="S606" s="82"/>
      <c r="T606" s="82"/>
      <c r="U606" s="82"/>
      <c r="V606" s="82"/>
      <c r="W606" s="82"/>
      <c r="X606" s="82"/>
      <c r="Y606" s="82"/>
      <c r="Z606" s="82"/>
      <c r="AA606" s="82"/>
    </row>
    <row r="607" ht="15.75" customHeight="1">
      <c r="A607" s="261"/>
      <c r="B607" s="171"/>
      <c r="C607" s="172"/>
      <c r="D607" s="172"/>
      <c r="E607" s="154"/>
      <c r="F607" s="162"/>
      <c r="G607" s="162"/>
      <c r="H607" s="162"/>
      <c r="I607" s="162"/>
      <c r="J607" s="174"/>
      <c r="K607" s="162"/>
      <c r="L607" s="129"/>
      <c r="M607" s="156"/>
      <c r="N607" s="79"/>
      <c r="O607" s="79"/>
      <c r="P607" s="79"/>
      <c r="Q607" s="79"/>
      <c r="R607" s="79"/>
      <c r="S607" s="82"/>
      <c r="T607" s="82"/>
      <c r="U607" s="82"/>
      <c r="V607" s="82"/>
      <c r="W607" s="82"/>
      <c r="X607" s="82"/>
      <c r="Y607" s="82"/>
      <c r="Z607" s="82"/>
      <c r="AA607" s="82"/>
    </row>
    <row r="608" ht="15.75" customHeight="1">
      <c r="A608" s="261"/>
      <c r="B608" s="171"/>
      <c r="C608" s="172"/>
      <c r="D608" s="172"/>
      <c r="E608" s="154"/>
      <c r="F608" s="162"/>
      <c r="G608" s="162"/>
      <c r="H608" s="162"/>
      <c r="I608" s="162"/>
      <c r="J608" s="174"/>
      <c r="K608" s="162"/>
      <c r="L608" s="129"/>
      <c r="M608" s="156"/>
      <c r="N608" s="79"/>
      <c r="O608" s="79"/>
      <c r="P608" s="79"/>
      <c r="Q608" s="79"/>
      <c r="R608" s="79"/>
      <c r="S608" s="82"/>
      <c r="T608" s="82"/>
      <c r="U608" s="82"/>
      <c r="V608" s="82"/>
      <c r="W608" s="82"/>
      <c r="X608" s="82"/>
      <c r="Y608" s="82"/>
      <c r="Z608" s="82"/>
      <c r="AA608" s="82"/>
    </row>
    <row r="609" ht="15.75" customHeight="1">
      <c r="A609" s="261"/>
      <c r="B609" s="171"/>
      <c r="C609" s="172"/>
      <c r="D609" s="172"/>
      <c r="E609" s="154"/>
      <c r="F609" s="162"/>
      <c r="G609" s="162"/>
      <c r="H609" s="162"/>
      <c r="I609" s="162"/>
      <c r="J609" s="174"/>
      <c r="K609" s="162"/>
      <c r="L609" s="129"/>
      <c r="M609" s="156"/>
      <c r="N609" s="79"/>
      <c r="O609" s="79"/>
      <c r="P609" s="79"/>
      <c r="Q609" s="79"/>
      <c r="R609" s="79"/>
      <c r="S609" s="82"/>
      <c r="T609" s="82"/>
      <c r="U609" s="82"/>
      <c r="V609" s="82"/>
      <c r="W609" s="82"/>
      <c r="X609" s="82"/>
      <c r="Y609" s="82"/>
      <c r="Z609" s="82"/>
      <c r="AA609" s="82"/>
    </row>
    <row r="610" ht="15.75" customHeight="1">
      <c r="A610" s="261"/>
      <c r="B610" s="171"/>
      <c r="C610" s="172"/>
      <c r="D610" s="172"/>
      <c r="E610" s="154"/>
      <c r="F610" s="162"/>
      <c r="G610" s="162"/>
      <c r="H610" s="162"/>
      <c r="I610" s="162"/>
      <c r="J610" s="174"/>
      <c r="K610" s="162"/>
      <c r="L610" s="129"/>
      <c r="M610" s="156"/>
      <c r="N610" s="79"/>
      <c r="O610" s="79"/>
      <c r="P610" s="79"/>
      <c r="Q610" s="79"/>
      <c r="R610" s="79"/>
      <c r="S610" s="82"/>
      <c r="T610" s="82"/>
      <c r="U610" s="82"/>
      <c r="V610" s="82"/>
      <c r="W610" s="82"/>
      <c r="X610" s="82"/>
      <c r="Y610" s="82"/>
      <c r="Z610" s="82"/>
      <c r="AA610" s="82"/>
    </row>
    <row r="611" ht="15.75" customHeight="1">
      <c r="A611" s="261"/>
      <c r="B611" s="171"/>
      <c r="C611" s="172"/>
      <c r="D611" s="172"/>
      <c r="E611" s="154"/>
      <c r="F611" s="162"/>
      <c r="G611" s="162"/>
      <c r="H611" s="162"/>
      <c r="I611" s="162"/>
      <c r="J611" s="174"/>
      <c r="K611" s="162"/>
      <c r="L611" s="129"/>
      <c r="M611" s="156"/>
      <c r="N611" s="79"/>
      <c r="O611" s="79"/>
      <c r="P611" s="79"/>
      <c r="Q611" s="79"/>
      <c r="R611" s="79"/>
      <c r="S611" s="82"/>
      <c r="T611" s="82"/>
      <c r="U611" s="82"/>
      <c r="V611" s="82"/>
      <c r="W611" s="82"/>
      <c r="X611" s="82"/>
      <c r="Y611" s="82"/>
      <c r="Z611" s="82"/>
      <c r="AA611" s="82"/>
    </row>
    <row r="612" ht="15.75" customHeight="1">
      <c r="A612" s="261"/>
      <c r="B612" s="171"/>
      <c r="C612" s="172"/>
      <c r="D612" s="172"/>
      <c r="E612" s="154"/>
      <c r="F612" s="162"/>
      <c r="G612" s="162"/>
      <c r="H612" s="162"/>
      <c r="I612" s="162"/>
      <c r="J612" s="174"/>
      <c r="K612" s="162"/>
      <c r="L612" s="129"/>
      <c r="M612" s="156"/>
      <c r="N612" s="79"/>
      <c r="O612" s="79"/>
      <c r="P612" s="79"/>
      <c r="Q612" s="79"/>
      <c r="R612" s="79"/>
      <c r="S612" s="82"/>
      <c r="T612" s="82"/>
      <c r="U612" s="82"/>
      <c r="V612" s="82"/>
      <c r="W612" s="82"/>
      <c r="X612" s="82"/>
      <c r="Y612" s="82"/>
      <c r="Z612" s="82"/>
      <c r="AA612" s="82"/>
    </row>
    <row r="613" ht="15.75" customHeight="1">
      <c r="A613" s="261"/>
      <c r="B613" s="171"/>
      <c r="C613" s="172"/>
      <c r="D613" s="172"/>
      <c r="E613" s="154"/>
      <c r="F613" s="162"/>
      <c r="G613" s="162"/>
      <c r="H613" s="162"/>
      <c r="I613" s="162"/>
      <c r="J613" s="174"/>
      <c r="K613" s="162"/>
      <c r="L613" s="129"/>
      <c r="M613" s="156"/>
      <c r="N613" s="79"/>
      <c r="O613" s="79"/>
      <c r="P613" s="79"/>
      <c r="Q613" s="79"/>
      <c r="R613" s="79"/>
      <c r="S613" s="82"/>
      <c r="T613" s="82"/>
      <c r="U613" s="82"/>
      <c r="V613" s="82"/>
      <c r="W613" s="82"/>
      <c r="X613" s="82"/>
      <c r="Y613" s="82"/>
      <c r="Z613" s="82"/>
      <c r="AA613" s="82"/>
    </row>
    <row r="614" ht="15.75" customHeight="1">
      <c r="A614" s="261"/>
      <c r="B614" s="171"/>
      <c r="C614" s="172"/>
      <c r="D614" s="172"/>
      <c r="E614" s="154"/>
      <c r="F614" s="162"/>
      <c r="G614" s="162"/>
      <c r="H614" s="162"/>
      <c r="I614" s="162"/>
      <c r="J614" s="174"/>
      <c r="K614" s="162"/>
      <c r="L614" s="129"/>
      <c r="M614" s="156"/>
      <c r="N614" s="79"/>
      <c r="O614" s="79"/>
      <c r="P614" s="79"/>
      <c r="Q614" s="79"/>
      <c r="R614" s="79"/>
      <c r="S614" s="82"/>
      <c r="T614" s="82"/>
      <c r="U614" s="82"/>
      <c r="V614" s="82"/>
      <c r="W614" s="82"/>
      <c r="X614" s="82"/>
      <c r="Y614" s="82"/>
      <c r="Z614" s="82"/>
      <c r="AA614" s="82"/>
    </row>
    <row r="615" ht="15.75" customHeight="1">
      <c r="A615" s="261"/>
      <c r="B615" s="171"/>
      <c r="C615" s="172"/>
      <c r="D615" s="172"/>
      <c r="E615" s="154"/>
      <c r="F615" s="162"/>
      <c r="G615" s="162"/>
      <c r="H615" s="162"/>
      <c r="I615" s="162"/>
      <c r="J615" s="174"/>
      <c r="K615" s="162"/>
      <c r="L615" s="129"/>
      <c r="M615" s="156"/>
      <c r="N615" s="79"/>
      <c r="O615" s="79"/>
      <c r="P615" s="79"/>
      <c r="Q615" s="79"/>
      <c r="R615" s="79"/>
      <c r="S615" s="82"/>
      <c r="T615" s="82"/>
      <c r="U615" s="82"/>
      <c r="V615" s="82"/>
      <c r="W615" s="82"/>
      <c r="X615" s="82"/>
      <c r="Y615" s="82"/>
      <c r="Z615" s="82"/>
      <c r="AA615" s="82"/>
    </row>
    <row r="616" ht="15.75" customHeight="1">
      <c r="A616" s="261"/>
      <c r="B616" s="171"/>
      <c r="C616" s="172"/>
      <c r="D616" s="172"/>
      <c r="E616" s="154"/>
      <c r="F616" s="162"/>
      <c r="G616" s="162"/>
      <c r="H616" s="162"/>
      <c r="I616" s="162"/>
      <c r="J616" s="174"/>
      <c r="K616" s="162"/>
      <c r="L616" s="129"/>
      <c r="M616" s="156"/>
      <c r="N616" s="79"/>
      <c r="O616" s="79"/>
      <c r="P616" s="79"/>
      <c r="Q616" s="79"/>
      <c r="R616" s="79"/>
      <c r="S616" s="82"/>
      <c r="T616" s="82"/>
      <c r="U616" s="82"/>
      <c r="V616" s="82"/>
      <c r="W616" s="82"/>
      <c r="X616" s="82"/>
      <c r="Y616" s="82"/>
      <c r="Z616" s="82"/>
      <c r="AA616" s="82"/>
    </row>
    <row r="617" ht="15.75" customHeight="1">
      <c r="A617" s="261"/>
      <c r="B617" s="171"/>
      <c r="C617" s="172"/>
      <c r="D617" s="172"/>
      <c r="E617" s="154"/>
      <c r="F617" s="162"/>
      <c r="G617" s="162"/>
      <c r="H617" s="162"/>
      <c r="I617" s="162"/>
      <c r="J617" s="174"/>
      <c r="K617" s="162"/>
      <c r="L617" s="129"/>
      <c r="M617" s="156"/>
      <c r="N617" s="79"/>
      <c r="O617" s="79"/>
      <c r="P617" s="79"/>
      <c r="Q617" s="79"/>
      <c r="R617" s="79"/>
      <c r="S617" s="82"/>
      <c r="T617" s="82"/>
      <c r="U617" s="82"/>
      <c r="V617" s="82"/>
      <c r="W617" s="82"/>
      <c r="X617" s="82"/>
      <c r="Y617" s="82"/>
      <c r="Z617" s="82"/>
      <c r="AA617" s="82"/>
    </row>
    <row r="618" ht="15.75" customHeight="1">
      <c r="A618" s="261"/>
      <c r="B618" s="171"/>
      <c r="C618" s="172"/>
      <c r="D618" s="172"/>
      <c r="E618" s="154"/>
      <c r="F618" s="162"/>
      <c r="G618" s="162"/>
      <c r="H618" s="162"/>
      <c r="I618" s="162"/>
      <c r="J618" s="174"/>
      <c r="K618" s="162"/>
      <c r="L618" s="129"/>
      <c r="M618" s="156"/>
      <c r="N618" s="79"/>
      <c r="O618" s="79"/>
      <c r="P618" s="79"/>
      <c r="Q618" s="79"/>
      <c r="R618" s="79"/>
      <c r="S618" s="82"/>
      <c r="T618" s="82"/>
      <c r="U618" s="82"/>
      <c r="V618" s="82"/>
      <c r="W618" s="82"/>
      <c r="X618" s="82"/>
      <c r="Y618" s="82"/>
      <c r="Z618" s="82"/>
      <c r="AA618" s="82"/>
    </row>
    <row r="619" ht="15.75" customHeight="1">
      <c r="A619" s="261"/>
      <c r="B619" s="171"/>
      <c r="C619" s="172"/>
      <c r="D619" s="172"/>
      <c r="E619" s="154"/>
      <c r="F619" s="162"/>
      <c r="G619" s="162"/>
      <c r="H619" s="162"/>
      <c r="I619" s="162"/>
      <c r="J619" s="174"/>
      <c r="K619" s="162"/>
      <c r="L619" s="129"/>
      <c r="M619" s="156"/>
      <c r="N619" s="79"/>
      <c r="O619" s="79"/>
      <c r="P619" s="79"/>
      <c r="Q619" s="79"/>
      <c r="R619" s="79"/>
      <c r="S619" s="82"/>
      <c r="T619" s="82"/>
      <c r="U619" s="82"/>
      <c r="V619" s="82"/>
      <c r="W619" s="82"/>
      <c r="X619" s="82"/>
      <c r="Y619" s="82"/>
      <c r="Z619" s="82"/>
      <c r="AA619" s="82"/>
    </row>
    <row r="620" ht="15.75" customHeight="1">
      <c r="A620" s="261"/>
      <c r="B620" s="171"/>
      <c r="C620" s="172"/>
      <c r="D620" s="172"/>
      <c r="E620" s="154"/>
      <c r="F620" s="162"/>
      <c r="G620" s="162"/>
      <c r="H620" s="162"/>
      <c r="I620" s="162"/>
      <c r="J620" s="174"/>
      <c r="K620" s="162"/>
      <c r="L620" s="129"/>
      <c r="M620" s="156"/>
      <c r="N620" s="79"/>
      <c r="O620" s="79"/>
      <c r="P620" s="79"/>
      <c r="Q620" s="79"/>
      <c r="R620" s="79"/>
      <c r="S620" s="82"/>
      <c r="T620" s="82"/>
      <c r="U620" s="82"/>
      <c r="V620" s="82"/>
      <c r="W620" s="82"/>
      <c r="X620" s="82"/>
      <c r="Y620" s="82"/>
      <c r="Z620" s="82"/>
      <c r="AA620" s="82"/>
    </row>
    <row r="621" ht="15.75" customHeight="1">
      <c r="A621" s="261"/>
      <c r="B621" s="171"/>
      <c r="C621" s="172"/>
      <c r="D621" s="172"/>
      <c r="E621" s="154"/>
      <c r="F621" s="162"/>
      <c r="G621" s="162"/>
      <c r="H621" s="162"/>
      <c r="I621" s="162"/>
      <c r="J621" s="174"/>
      <c r="K621" s="162"/>
      <c r="L621" s="129"/>
      <c r="M621" s="156"/>
      <c r="N621" s="79"/>
      <c r="O621" s="79"/>
      <c r="P621" s="79"/>
      <c r="Q621" s="79"/>
      <c r="R621" s="79"/>
      <c r="S621" s="82"/>
      <c r="T621" s="82"/>
      <c r="U621" s="82"/>
      <c r="V621" s="82"/>
      <c r="W621" s="82"/>
      <c r="X621" s="82"/>
      <c r="Y621" s="82"/>
      <c r="Z621" s="82"/>
      <c r="AA621" s="82"/>
    </row>
    <row r="622" ht="15.75" customHeight="1">
      <c r="A622" s="261"/>
      <c r="B622" s="171"/>
      <c r="C622" s="172"/>
      <c r="D622" s="172"/>
      <c r="E622" s="154"/>
      <c r="F622" s="162"/>
      <c r="G622" s="162"/>
      <c r="H622" s="162"/>
      <c r="I622" s="162"/>
      <c r="J622" s="174"/>
      <c r="K622" s="162"/>
      <c r="L622" s="129"/>
      <c r="M622" s="156"/>
      <c r="N622" s="79"/>
      <c r="O622" s="79"/>
      <c r="P622" s="79"/>
      <c r="Q622" s="79"/>
      <c r="R622" s="79"/>
      <c r="S622" s="82"/>
      <c r="T622" s="82"/>
      <c r="U622" s="82"/>
      <c r="V622" s="82"/>
      <c r="W622" s="82"/>
      <c r="X622" s="82"/>
      <c r="Y622" s="82"/>
      <c r="Z622" s="82"/>
      <c r="AA622" s="82"/>
    </row>
    <row r="623" ht="15.75" customHeight="1">
      <c r="A623" s="261"/>
      <c r="B623" s="171"/>
      <c r="C623" s="172"/>
      <c r="D623" s="172"/>
      <c r="E623" s="154"/>
      <c r="F623" s="162"/>
      <c r="G623" s="162"/>
      <c r="H623" s="162"/>
      <c r="I623" s="162"/>
      <c r="J623" s="174"/>
      <c r="K623" s="162"/>
      <c r="L623" s="129"/>
      <c r="M623" s="156"/>
      <c r="N623" s="79"/>
      <c r="O623" s="79"/>
      <c r="P623" s="79"/>
      <c r="Q623" s="79"/>
      <c r="R623" s="79"/>
      <c r="S623" s="82"/>
      <c r="T623" s="82"/>
      <c r="U623" s="82"/>
      <c r="V623" s="82"/>
      <c r="W623" s="82"/>
      <c r="X623" s="82"/>
      <c r="Y623" s="82"/>
      <c r="Z623" s="82"/>
      <c r="AA623" s="82"/>
    </row>
    <row r="624" ht="15.75" customHeight="1">
      <c r="A624" s="261"/>
      <c r="B624" s="171"/>
      <c r="C624" s="172"/>
      <c r="D624" s="172"/>
      <c r="E624" s="154"/>
      <c r="F624" s="162"/>
      <c r="G624" s="162"/>
      <c r="H624" s="162"/>
      <c r="I624" s="162"/>
      <c r="J624" s="174"/>
      <c r="K624" s="162"/>
      <c r="L624" s="129"/>
      <c r="M624" s="156"/>
      <c r="N624" s="79"/>
      <c r="O624" s="79"/>
      <c r="P624" s="79"/>
      <c r="Q624" s="79"/>
      <c r="R624" s="79"/>
      <c r="S624" s="82"/>
      <c r="T624" s="82"/>
      <c r="U624" s="82"/>
      <c r="V624" s="82"/>
      <c r="W624" s="82"/>
      <c r="X624" s="82"/>
      <c r="Y624" s="82"/>
      <c r="Z624" s="82"/>
      <c r="AA624" s="82"/>
    </row>
    <row r="625" ht="15.75" customHeight="1">
      <c r="A625" s="261"/>
      <c r="B625" s="171"/>
      <c r="C625" s="172"/>
      <c r="D625" s="172"/>
      <c r="E625" s="154"/>
      <c r="F625" s="162"/>
      <c r="G625" s="162"/>
      <c r="H625" s="162"/>
      <c r="I625" s="162"/>
      <c r="J625" s="174"/>
      <c r="K625" s="162"/>
      <c r="L625" s="129"/>
      <c r="M625" s="156"/>
      <c r="N625" s="79"/>
      <c r="O625" s="79"/>
      <c r="P625" s="79"/>
      <c r="Q625" s="79"/>
      <c r="R625" s="79"/>
      <c r="S625" s="82"/>
      <c r="T625" s="82"/>
      <c r="U625" s="82"/>
      <c r="V625" s="82"/>
      <c r="W625" s="82"/>
      <c r="X625" s="82"/>
      <c r="Y625" s="82"/>
      <c r="Z625" s="82"/>
      <c r="AA625" s="82"/>
    </row>
    <row r="626" ht="15.75" customHeight="1">
      <c r="A626" s="261"/>
      <c r="B626" s="171"/>
      <c r="C626" s="172"/>
      <c r="D626" s="172"/>
      <c r="E626" s="154"/>
      <c r="F626" s="162"/>
      <c r="G626" s="162"/>
      <c r="H626" s="162"/>
      <c r="I626" s="162"/>
      <c r="J626" s="174"/>
      <c r="K626" s="162"/>
      <c r="L626" s="129"/>
      <c r="M626" s="156"/>
      <c r="N626" s="79"/>
      <c r="O626" s="79"/>
      <c r="P626" s="79"/>
      <c r="Q626" s="79"/>
      <c r="R626" s="79"/>
      <c r="S626" s="82"/>
      <c r="T626" s="82"/>
      <c r="U626" s="82"/>
      <c r="V626" s="82"/>
      <c r="W626" s="82"/>
      <c r="X626" s="82"/>
      <c r="Y626" s="82"/>
      <c r="Z626" s="82"/>
      <c r="AA626" s="82"/>
    </row>
    <row r="627" ht="15.75" customHeight="1">
      <c r="A627" s="261"/>
      <c r="B627" s="171"/>
      <c r="C627" s="172"/>
      <c r="D627" s="172"/>
      <c r="E627" s="154"/>
      <c r="F627" s="162"/>
      <c r="G627" s="162"/>
      <c r="H627" s="162"/>
      <c r="I627" s="162"/>
      <c r="J627" s="174"/>
      <c r="K627" s="162"/>
      <c r="L627" s="129"/>
      <c r="M627" s="156"/>
      <c r="N627" s="79"/>
      <c r="O627" s="79"/>
      <c r="P627" s="79"/>
      <c r="Q627" s="79"/>
      <c r="R627" s="79"/>
      <c r="S627" s="82"/>
      <c r="T627" s="82"/>
      <c r="U627" s="82"/>
      <c r="V627" s="82"/>
      <c r="W627" s="82"/>
      <c r="X627" s="82"/>
      <c r="Y627" s="82"/>
      <c r="Z627" s="82"/>
      <c r="AA627" s="82"/>
    </row>
    <row r="628" ht="15.75" customHeight="1">
      <c r="A628" s="261"/>
      <c r="B628" s="171"/>
      <c r="C628" s="172"/>
      <c r="D628" s="172"/>
      <c r="E628" s="154"/>
      <c r="F628" s="162"/>
      <c r="G628" s="162"/>
      <c r="H628" s="162"/>
      <c r="I628" s="162"/>
      <c r="J628" s="174"/>
      <c r="K628" s="162"/>
      <c r="L628" s="129"/>
      <c r="M628" s="156"/>
      <c r="N628" s="79"/>
      <c r="O628" s="79"/>
      <c r="P628" s="79"/>
      <c r="Q628" s="79"/>
      <c r="R628" s="79"/>
      <c r="S628" s="82"/>
      <c r="T628" s="82"/>
      <c r="U628" s="82"/>
      <c r="V628" s="82"/>
      <c r="W628" s="82"/>
      <c r="X628" s="82"/>
      <c r="Y628" s="82"/>
      <c r="Z628" s="82"/>
      <c r="AA628" s="82"/>
    </row>
    <row r="629" ht="15.75" customHeight="1">
      <c r="A629" s="261"/>
      <c r="B629" s="171"/>
      <c r="C629" s="172"/>
      <c r="D629" s="172"/>
      <c r="E629" s="154"/>
      <c r="F629" s="162"/>
      <c r="G629" s="162"/>
      <c r="H629" s="162"/>
      <c r="I629" s="162"/>
      <c r="J629" s="174"/>
      <c r="K629" s="162"/>
      <c r="L629" s="129"/>
      <c r="M629" s="156"/>
      <c r="N629" s="79"/>
      <c r="O629" s="79"/>
      <c r="P629" s="79"/>
      <c r="Q629" s="79"/>
      <c r="R629" s="79"/>
      <c r="S629" s="82"/>
      <c r="T629" s="82"/>
      <c r="U629" s="82"/>
      <c r="V629" s="82"/>
      <c r="W629" s="82"/>
      <c r="X629" s="82"/>
      <c r="Y629" s="82"/>
      <c r="Z629" s="82"/>
      <c r="AA629" s="82"/>
    </row>
    <row r="630" ht="15.75" customHeight="1">
      <c r="A630" s="261"/>
      <c r="B630" s="171"/>
      <c r="C630" s="172"/>
      <c r="D630" s="172"/>
      <c r="E630" s="154"/>
      <c r="F630" s="162"/>
      <c r="G630" s="162"/>
      <c r="H630" s="162"/>
      <c r="I630" s="162"/>
      <c r="J630" s="174"/>
      <c r="K630" s="162"/>
      <c r="L630" s="129"/>
      <c r="M630" s="156"/>
      <c r="N630" s="79"/>
      <c r="O630" s="79"/>
      <c r="P630" s="79"/>
      <c r="Q630" s="79"/>
      <c r="R630" s="79"/>
      <c r="S630" s="82"/>
      <c r="T630" s="82"/>
      <c r="U630" s="82"/>
      <c r="V630" s="82"/>
      <c r="W630" s="82"/>
      <c r="X630" s="82"/>
      <c r="Y630" s="82"/>
      <c r="Z630" s="82"/>
      <c r="AA630" s="82"/>
    </row>
    <row r="631" ht="15.75" customHeight="1">
      <c r="A631" s="261"/>
      <c r="B631" s="171"/>
      <c r="C631" s="172"/>
      <c r="D631" s="172"/>
      <c r="E631" s="154"/>
      <c r="F631" s="162"/>
      <c r="G631" s="162"/>
      <c r="H631" s="162"/>
      <c r="I631" s="162"/>
      <c r="J631" s="174"/>
      <c r="K631" s="162"/>
      <c r="L631" s="129"/>
      <c r="M631" s="156"/>
      <c r="N631" s="79"/>
      <c r="O631" s="79"/>
      <c r="P631" s="79"/>
      <c r="Q631" s="79"/>
      <c r="R631" s="79"/>
      <c r="S631" s="82"/>
      <c r="T631" s="82"/>
      <c r="U631" s="82"/>
      <c r="V631" s="82"/>
      <c r="W631" s="82"/>
      <c r="X631" s="82"/>
      <c r="Y631" s="82"/>
      <c r="Z631" s="82"/>
      <c r="AA631" s="82"/>
    </row>
    <row r="632" ht="15.75" customHeight="1">
      <c r="A632" s="261"/>
      <c r="B632" s="171"/>
      <c r="C632" s="172"/>
      <c r="D632" s="172"/>
      <c r="E632" s="154"/>
      <c r="F632" s="162"/>
      <c r="G632" s="162"/>
      <c r="H632" s="162"/>
      <c r="I632" s="162"/>
      <c r="J632" s="174"/>
      <c r="K632" s="162"/>
      <c r="L632" s="129"/>
      <c r="M632" s="156"/>
      <c r="N632" s="79"/>
      <c r="O632" s="79"/>
      <c r="P632" s="79"/>
      <c r="Q632" s="79"/>
      <c r="R632" s="79"/>
      <c r="S632" s="82"/>
      <c r="T632" s="82"/>
      <c r="U632" s="82"/>
      <c r="V632" s="82"/>
      <c r="W632" s="82"/>
      <c r="X632" s="82"/>
      <c r="Y632" s="82"/>
      <c r="Z632" s="82"/>
      <c r="AA632" s="82"/>
    </row>
    <row r="633" ht="15.75" customHeight="1">
      <c r="A633" s="261"/>
      <c r="B633" s="171"/>
      <c r="C633" s="172"/>
      <c r="D633" s="172"/>
      <c r="E633" s="154"/>
      <c r="F633" s="162"/>
      <c r="G633" s="162"/>
      <c r="H633" s="162"/>
      <c r="I633" s="162"/>
      <c r="J633" s="174"/>
      <c r="K633" s="162"/>
      <c r="L633" s="129"/>
      <c r="M633" s="156"/>
      <c r="N633" s="79"/>
      <c r="O633" s="79"/>
      <c r="P633" s="79"/>
      <c r="Q633" s="79"/>
      <c r="R633" s="79"/>
      <c r="S633" s="82"/>
      <c r="T633" s="82"/>
      <c r="U633" s="82"/>
      <c r="V633" s="82"/>
      <c r="W633" s="82"/>
      <c r="X633" s="82"/>
      <c r="Y633" s="82"/>
      <c r="Z633" s="82"/>
      <c r="AA633" s="82"/>
    </row>
    <row r="634" ht="15.75" customHeight="1">
      <c r="A634" s="261"/>
      <c r="B634" s="171"/>
      <c r="C634" s="172"/>
      <c r="D634" s="172"/>
      <c r="E634" s="154"/>
      <c r="F634" s="162"/>
      <c r="G634" s="162"/>
      <c r="H634" s="162"/>
      <c r="I634" s="162"/>
      <c r="J634" s="174"/>
      <c r="K634" s="162"/>
      <c r="L634" s="129"/>
      <c r="M634" s="156"/>
      <c r="N634" s="79"/>
      <c r="O634" s="79"/>
      <c r="P634" s="79"/>
      <c r="Q634" s="79"/>
      <c r="R634" s="79"/>
      <c r="S634" s="82"/>
      <c r="T634" s="82"/>
      <c r="U634" s="82"/>
      <c r="V634" s="82"/>
      <c r="W634" s="82"/>
      <c r="X634" s="82"/>
      <c r="Y634" s="82"/>
      <c r="Z634" s="82"/>
      <c r="AA634" s="82"/>
    </row>
    <row r="635" ht="15.75" customHeight="1">
      <c r="A635" s="261"/>
      <c r="B635" s="171"/>
      <c r="C635" s="172"/>
      <c r="D635" s="172"/>
      <c r="E635" s="154"/>
      <c r="F635" s="162"/>
      <c r="G635" s="162"/>
      <c r="H635" s="162"/>
      <c r="I635" s="162"/>
      <c r="J635" s="174"/>
      <c r="K635" s="162"/>
      <c r="L635" s="129"/>
      <c r="M635" s="156"/>
      <c r="N635" s="79"/>
      <c r="O635" s="79"/>
      <c r="P635" s="79"/>
      <c r="Q635" s="79"/>
      <c r="R635" s="79"/>
      <c r="S635" s="82"/>
      <c r="T635" s="82"/>
      <c r="U635" s="82"/>
      <c r="V635" s="82"/>
      <c r="W635" s="82"/>
      <c r="X635" s="82"/>
      <c r="Y635" s="82"/>
      <c r="Z635" s="82"/>
      <c r="AA635" s="82"/>
    </row>
    <row r="636" ht="15.75" customHeight="1">
      <c r="A636" s="261"/>
      <c r="B636" s="171"/>
      <c r="C636" s="172"/>
      <c r="D636" s="172"/>
      <c r="E636" s="154"/>
      <c r="F636" s="162"/>
      <c r="G636" s="162"/>
      <c r="H636" s="162"/>
      <c r="I636" s="162"/>
      <c r="J636" s="174"/>
      <c r="K636" s="162"/>
      <c r="L636" s="129"/>
      <c r="M636" s="156"/>
      <c r="N636" s="79"/>
      <c r="O636" s="79"/>
      <c r="P636" s="79"/>
      <c r="Q636" s="79"/>
      <c r="R636" s="79"/>
      <c r="S636" s="82"/>
      <c r="T636" s="82"/>
      <c r="U636" s="82"/>
      <c r="V636" s="82"/>
      <c r="W636" s="82"/>
      <c r="X636" s="82"/>
      <c r="Y636" s="82"/>
      <c r="Z636" s="82"/>
      <c r="AA636" s="82"/>
    </row>
    <row r="637" ht="15.75" customHeight="1">
      <c r="A637" s="261"/>
      <c r="B637" s="171"/>
      <c r="C637" s="172"/>
      <c r="D637" s="172"/>
      <c r="E637" s="154"/>
      <c r="F637" s="162"/>
      <c r="G637" s="162"/>
      <c r="H637" s="162"/>
      <c r="I637" s="162"/>
      <c r="J637" s="174"/>
      <c r="K637" s="162"/>
      <c r="L637" s="129"/>
      <c r="M637" s="156"/>
      <c r="N637" s="79"/>
      <c r="O637" s="79"/>
      <c r="P637" s="79"/>
      <c r="Q637" s="79"/>
      <c r="R637" s="79"/>
      <c r="S637" s="82"/>
      <c r="T637" s="82"/>
      <c r="U637" s="82"/>
      <c r="V637" s="82"/>
      <c r="W637" s="82"/>
      <c r="X637" s="82"/>
      <c r="Y637" s="82"/>
      <c r="Z637" s="82"/>
      <c r="AA637" s="82"/>
    </row>
    <row r="638" ht="15.75" customHeight="1">
      <c r="A638" s="261"/>
      <c r="B638" s="171"/>
      <c r="C638" s="172"/>
      <c r="D638" s="172"/>
      <c r="E638" s="154"/>
      <c r="F638" s="162"/>
      <c r="G638" s="162"/>
      <c r="H638" s="162"/>
      <c r="I638" s="162"/>
      <c r="J638" s="174"/>
      <c r="K638" s="162"/>
      <c r="L638" s="129"/>
      <c r="M638" s="156"/>
      <c r="N638" s="79"/>
      <c r="O638" s="79"/>
      <c r="P638" s="79"/>
      <c r="Q638" s="79"/>
      <c r="R638" s="79"/>
      <c r="S638" s="82"/>
      <c r="T638" s="82"/>
      <c r="U638" s="82"/>
      <c r="V638" s="82"/>
      <c r="W638" s="82"/>
      <c r="X638" s="82"/>
      <c r="Y638" s="82"/>
      <c r="Z638" s="82"/>
      <c r="AA638" s="82"/>
    </row>
    <row r="639" ht="15.75" customHeight="1">
      <c r="A639" s="261"/>
      <c r="B639" s="171"/>
      <c r="C639" s="172"/>
      <c r="D639" s="172"/>
      <c r="E639" s="154"/>
      <c r="F639" s="162"/>
      <c r="G639" s="162"/>
      <c r="H639" s="162"/>
      <c r="I639" s="162"/>
      <c r="J639" s="174"/>
      <c r="K639" s="162"/>
      <c r="L639" s="129"/>
      <c r="M639" s="156"/>
      <c r="N639" s="79"/>
      <c r="O639" s="79"/>
      <c r="P639" s="79"/>
      <c r="Q639" s="79"/>
      <c r="R639" s="79"/>
      <c r="S639" s="82"/>
      <c r="T639" s="82"/>
      <c r="U639" s="82"/>
      <c r="V639" s="82"/>
      <c r="W639" s="82"/>
      <c r="X639" s="82"/>
      <c r="Y639" s="82"/>
      <c r="Z639" s="82"/>
      <c r="AA639" s="82"/>
    </row>
    <row r="640" ht="15.75" customHeight="1">
      <c r="A640" s="261"/>
      <c r="B640" s="171"/>
      <c r="C640" s="172"/>
      <c r="D640" s="172"/>
      <c r="E640" s="154"/>
      <c r="F640" s="162"/>
      <c r="G640" s="162"/>
      <c r="H640" s="162"/>
      <c r="I640" s="162"/>
      <c r="J640" s="174"/>
      <c r="K640" s="162"/>
      <c r="L640" s="129"/>
      <c r="M640" s="156"/>
      <c r="N640" s="79"/>
      <c r="O640" s="79"/>
      <c r="P640" s="79"/>
      <c r="Q640" s="79"/>
      <c r="R640" s="79"/>
      <c r="S640" s="82"/>
      <c r="T640" s="82"/>
      <c r="U640" s="82"/>
      <c r="V640" s="82"/>
      <c r="W640" s="82"/>
      <c r="X640" s="82"/>
      <c r="Y640" s="82"/>
      <c r="Z640" s="82"/>
      <c r="AA640" s="82"/>
    </row>
    <row r="641" ht="15.75" customHeight="1">
      <c r="A641" s="261"/>
      <c r="B641" s="171"/>
      <c r="C641" s="172"/>
      <c r="D641" s="172"/>
      <c r="E641" s="154"/>
      <c r="F641" s="162"/>
      <c r="G641" s="162"/>
      <c r="H641" s="162"/>
      <c r="I641" s="162"/>
      <c r="J641" s="174"/>
      <c r="K641" s="162"/>
      <c r="L641" s="129"/>
      <c r="M641" s="156"/>
      <c r="N641" s="79"/>
      <c r="O641" s="79"/>
      <c r="P641" s="79"/>
      <c r="Q641" s="79"/>
      <c r="R641" s="79"/>
      <c r="S641" s="82"/>
      <c r="T641" s="82"/>
      <c r="U641" s="82"/>
      <c r="V641" s="82"/>
      <c r="W641" s="82"/>
      <c r="X641" s="82"/>
      <c r="Y641" s="82"/>
      <c r="Z641" s="82"/>
      <c r="AA641" s="82"/>
    </row>
    <row r="642" ht="15.75" customHeight="1">
      <c r="A642" s="261"/>
      <c r="B642" s="171"/>
      <c r="C642" s="172"/>
      <c r="D642" s="172"/>
      <c r="E642" s="154"/>
      <c r="F642" s="162"/>
      <c r="G642" s="162"/>
      <c r="H642" s="162"/>
      <c r="I642" s="162"/>
      <c r="J642" s="174"/>
      <c r="K642" s="162"/>
      <c r="L642" s="129"/>
      <c r="M642" s="156"/>
      <c r="N642" s="79"/>
      <c r="O642" s="79"/>
      <c r="P642" s="79"/>
      <c r="Q642" s="79"/>
      <c r="R642" s="79"/>
      <c r="S642" s="82"/>
      <c r="T642" s="82"/>
      <c r="U642" s="82"/>
      <c r="V642" s="82"/>
      <c r="W642" s="82"/>
      <c r="X642" s="82"/>
      <c r="Y642" s="82"/>
      <c r="Z642" s="82"/>
      <c r="AA642" s="82"/>
    </row>
    <row r="643" ht="15.75" customHeight="1">
      <c r="A643" s="261"/>
      <c r="B643" s="171"/>
      <c r="C643" s="172"/>
      <c r="D643" s="172"/>
      <c r="E643" s="154"/>
      <c r="F643" s="162"/>
      <c r="G643" s="162"/>
      <c r="H643" s="162"/>
      <c r="I643" s="162"/>
      <c r="J643" s="174"/>
      <c r="K643" s="162"/>
      <c r="L643" s="129"/>
      <c r="M643" s="156"/>
      <c r="N643" s="79"/>
      <c r="O643" s="79"/>
      <c r="P643" s="79"/>
      <c r="Q643" s="79"/>
      <c r="R643" s="79"/>
      <c r="S643" s="82"/>
      <c r="T643" s="82"/>
      <c r="U643" s="82"/>
      <c r="V643" s="82"/>
      <c r="W643" s="82"/>
      <c r="X643" s="82"/>
      <c r="Y643" s="82"/>
      <c r="Z643" s="82"/>
      <c r="AA643" s="82"/>
    </row>
    <row r="644" ht="15.75" customHeight="1">
      <c r="A644" s="261"/>
      <c r="B644" s="171"/>
      <c r="C644" s="172"/>
      <c r="D644" s="172"/>
      <c r="E644" s="154"/>
      <c r="F644" s="162"/>
      <c r="G644" s="162"/>
      <c r="H644" s="162"/>
      <c r="I644" s="162"/>
      <c r="J644" s="174"/>
      <c r="K644" s="162"/>
      <c r="L644" s="129"/>
      <c r="M644" s="156"/>
      <c r="N644" s="79"/>
      <c r="O644" s="79"/>
      <c r="P644" s="79"/>
      <c r="Q644" s="79"/>
      <c r="R644" s="79"/>
      <c r="S644" s="82"/>
      <c r="T644" s="82"/>
      <c r="U644" s="82"/>
      <c r="V644" s="82"/>
      <c r="W644" s="82"/>
      <c r="X644" s="82"/>
      <c r="Y644" s="82"/>
      <c r="Z644" s="82"/>
      <c r="AA644" s="82"/>
    </row>
    <row r="645" ht="15.75" customHeight="1">
      <c r="A645" s="261"/>
      <c r="B645" s="171"/>
      <c r="C645" s="172"/>
      <c r="D645" s="172"/>
      <c r="E645" s="154"/>
      <c r="F645" s="162"/>
      <c r="G645" s="162"/>
      <c r="H645" s="162"/>
      <c r="I645" s="162"/>
      <c r="J645" s="174"/>
      <c r="K645" s="162"/>
      <c r="L645" s="129"/>
      <c r="M645" s="156"/>
      <c r="N645" s="79"/>
      <c r="O645" s="79"/>
      <c r="P645" s="79"/>
      <c r="Q645" s="79"/>
      <c r="R645" s="79"/>
      <c r="S645" s="82"/>
      <c r="T645" s="82"/>
      <c r="U645" s="82"/>
      <c r="V645" s="82"/>
      <c r="W645" s="82"/>
      <c r="X645" s="82"/>
      <c r="Y645" s="82"/>
      <c r="Z645" s="82"/>
      <c r="AA645" s="82"/>
    </row>
    <row r="646" ht="15.75" customHeight="1">
      <c r="A646" s="261"/>
      <c r="B646" s="171"/>
      <c r="C646" s="172"/>
      <c r="D646" s="172"/>
      <c r="E646" s="154"/>
      <c r="F646" s="162"/>
      <c r="G646" s="162"/>
      <c r="H646" s="162"/>
      <c r="I646" s="162"/>
      <c r="J646" s="174"/>
      <c r="K646" s="162"/>
      <c r="L646" s="129"/>
      <c r="M646" s="156"/>
      <c r="N646" s="79"/>
      <c r="O646" s="79"/>
      <c r="P646" s="79"/>
      <c r="Q646" s="79"/>
      <c r="R646" s="79"/>
      <c r="S646" s="82"/>
      <c r="T646" s="82"/>
      <c r="U646" s="82"/>
      <c r="V646" s="82"/>
      <c r="W646" s="82"/>
      <c r="X646" s="82"/>
      <c r="Y646" s="82"/>
      <c r="Z646" s="82"/>
      <c r="AA646" s="82"/>
    </row>
    <row r="647" ht="15.75" customHeight="1">
      <c r="A647" s="261"/>
      <c r="B647" s="171"/>
      <c r="C647" s="172"/>
      <c r="D647" s="172"/>
      <c r="E647" s="154"/>
      <c r="F647" s="162"/>
      <c r="G647" s="162"/>
      <c r="H647" s="162"/>
      <c r="I647" s="162"/>
      <c r="J647" s="174"/>
      <c r="K647" s="162"/>
      <c r="L647" s="129"/>
      <c r="M647" s="156"/>
      <c r="N647" s="79"/>
      <c r="O647" s="79"/>
      <c r="P647" s="79"/>
      <c r="Q647" s="79"/>
      <c r="R647" s="79"/>
      <c r="S647" s="82"/>
      <c r="T647" s="82"/>
      <c r="U647" s="82"/>
      <c r="V647" s="82"/>
      <c r="W647" s="82"/>
      <c r="X647" s="82"/>
      <c r="Y647" s="82"/>
      <c r="Z647" s="82"/>
      <c r="AA647" s="82"/>
    </row>
    <row r="648" ht="15.75" customHeight="1">
      <c r="A648" s="261"/>
      <c r="B648" s="171"/>
      <c r="C648" s="172"/>
      <c r="D648" s="172"/>
      <c r="E648" s="154"/>
      <c r="F648" s="162"/>
      <c r="G648" s="162"/>
      <c r="H648" s="162"/>
      <c r="I648" s="162"/>
      <c r="J648" s="174"/>
      <c r="K648" s="162"/>
      <c r="L648" s="129"/>
      <c r="M648" s="156"/>
      <c r="N648" s="79"/>
      <c r="O648" s="79"/>
      <c r="P648" s="79"/>
      <c r="Q648" s="79"/>
      <c r="R648" s="79"/>
      <c r="S648" s="82"/>
      <c r="T648" s="82"/>
      <c r="U648" s="82"/>
      <c r="V648" s="82"/>
      <c r="W648" s="82"/>
      <c r="X648" s="82"/>
      <c r="Y648" s="82"/>
      <c r="Z648" s="82"/>
      <c r="AA648" s="82"/>
    </row>
    <row r="649" ht="15.75" customHeight="1">
      <c r="A649" s="261"/>
      <c r="B649" s="171"/>
      <c r="C649" s="172"/>
      <c r="D649" s="172"/>
      <c r="E649" s="154"/>
      <c r="F649" s="162"/>
      <c r="G649" s="162"/>
      <c r="H649" s="162"/>
      <c r="I649" s="162"/>
      <c r="J649" s="174"/>
      <c r="K649" s="162"/>
      <c r="L649" s="129"/>
      <c r="M649" s="156"/>
      <c r="N649" s="79"/>
      <c r="O649" s="79"/>
      <c r="P649" s="79"/>
      <c r="Q649" s="79"/>
      <c r="R649" s="79"/>
      <c r="S649" s="82"/>
      <c r="T649" s="82"/>
      <c r="U649" s="82"/>
      <c r="V649" s="82"/>
      <c r="W649" s="82"/>
      <c r="X649" s="82"/>
      <c r="Y649" s="82"/>
      <c r="Z649" s="82"/>
      <c r="AA649" s="82"/>
    </row>
    <row r="650" ht="15.75" customHeight="1">
      <c r="A650" s="261"/>
      <c r="B650" s="171"/>
      <c r="C650" s="172"/>
      <c r="D650" s="172"/>
      <c r="E650" s="154"/>
      <c r="F650" s="162"/>
      <c r="G650" s="162"/>
      <c r="H650" s="162"/>
      <c r="I650" s="162"/>
      <c r="J650" s="174"/>
      <c r="K650" s="162"/>
      <c r="L650" s="129"/>
      <c r="M650" s="156"/>
      <c r="N650" s="79"/>
      <c r="O650" s="79"/>
      <c r="P650" s="79"/>
      <c r="Q650" s="79"/>
      <c r="R650" s="79"/>
      <c r="S650" s="82"/>
      <c r="T650" s="82"/>
      <c r="U650" s="82"/>
      <c r="V650" s="82"/>
      <c r="W650" s="82"/>
      <c r="X650" s="82"/>
      <c r="Y650" s="82"/>
      <c r="Z650" s="82"/>
      <c r="AA650" s="82"/>
    </row>
    <row r="651" ht="15.75" customHeight="1">
      <c r="A651" s="261"/>
      <c r="B651" s="171"/>
      <c r="C651" s="172"/>
      <c r="D651" s="172"/>
      <c r="E651" s="154"/>
      <c r="F651" s="162"/>
      <c r="G651" s="162"/>
      <c r="H651" s="162"/>
      <c r="I651" s="162"/>
      <c r="J651" s="174"/>
      <c r="K651" s="162"/>
      <c r="L651" s="129"/>
      <c r="M651" s="156"/>
      <c r="N651" s="79"/>
      <c r="O651" s="79"/>
      <c r="P651" s="79"/>
      <c r="Q651" s="79"/>
      <c r="R651" s="79"/>
      <c r="S651" s="82"/>
      <c r="T651" s="82"/>
      <c r="U651" s="82"/>
      <c r="V651" s="82"/>
      <c r="W651" s="82"/>
      <c r="X651" s="82"/>
      <c r="Y651" s="82"/>
      <c r="Z651" s="82"/>
      <c r="AA651" s="82"/>
    </row>
    <row r="652" ht="15.75" customHeight="1">
      <c r="A652" s="261"/>
      <c r="B652" s="171"/>
      <c r="C652" s="172"/>
      <c r="D652" s="172"/>
      <c r="E652" s="154"/>
      <c r="F652" s="162"/>
      <c r="G652" s="162"/>
      <c r="H652" s="162"/>
      <c r="I652" s="162"/>
      <c r="J652" s="174"/>
      <c r="K652" s="162"/>
      <c r="L652" s="129"/>
      <c r="M652" s="156"/>
      <c r="N652" s="79"/>
      <c r="O652" s="79"/>
      <c r="P652" s="79"/>
      <c r="Q652" s="79"/>
      <c r="R652" s="79"/>
      <c r="S652" s="82"/>
      <c r="T652" s="82"/>
      <c r="U652" s="82"/>
      <c r="V652" s="82"/>
      <c r="W652" s="82"/>
      <c r="X652" s="82"/>
      <c r="Y652" s="82"/>
      <c r="Z652" s="82"/>
      <c r="AA652" s="82"/>
    </row>
    <row r="653" ht="15.75" customHeight="1">
      <c r="A653" s="261"/>
      <c r="B653" s="171"/>
      <c r="C653" s="172"/>
      <c r="D653" s="172"/>
      <c r="E653" s="154"/>
      <c r="F653" s="162"/>
      <c r="G653" s="162"/>
      <c r="H653" s="162"/>
      <c r="I653" s="162"/>
      <c r="J653" s="174"/>
      <c r="K653" s="162"/>
      <c r="L653" s="129"/>
      <c r="M653" s="156"/>
      <c r="N653" s="79"/>
      <c r="O653" s="79"/>
      <c r="P653" s="79"/>
      <c r="Q653" s="79"/>
      <c r="R653" s="79"/>
      <c r="S653" s="82"/>
      <c r="T653" s="82"/>
      <c r="U653" s="82"/>
      <c r="V653" s="82"/>
      <c r="W653" s="82"/>
      <c r="X653" s="82"/>
      <c r="Y653" s="82"/>
      <c r="Z653" s="82"/>
      <c r="AA653" s="82"/>
    </row>
    <row r="654" ht="15.75" customHeight="1">
      <c r="A654" s="261"/>
      <c r="B654" s="171"/>
      <c r="C654" s="172"/>
      <c r="D654" s="172"/>
      <c r="E654" s="154"/>
      <c r="F654" s="162"/>
      <c r="G654" s="162"/>
      <c r="H654" s="162"/>
      <c r="I654" s="162"/>
      <c r="J654" s="174"/>
      <c r="K654" s="162"/>
      <c r="L654" s="129"/>
      <c r="M654" s="156"/>
      <c r="N654" s="79"/>
      <c r="O654" s="79"/>
      <c r="P654" s="79"/>
      <c r="Q654" s="79"/>
      <c r="R654" s="79"/>
      <c r="S654" s="82"/>
      <c r="T654" s="82"/>
      <c r="U654" s="82"/>
      <c r="V654" s="82"/>
      <c r="W654" s="82"/>
      <c r="X654" s="82"/>
      <c r="Y654" s="82"/>
      <c r="Z654" s="82"/>
      <c r="AA654" s="82"/>
    </row>
    <row r="655" ht="15.75" customHeight="1">
      <c r="A655" s="261"/>
      <c r="B655" s="171"/>
      <c r="C655" s="172"/>
      <c r="D655" s="172"/>
      <c r="E655" s="154"/>
      <c r="F655" s="162"/>
      <c r="G655" s="162"/>
      <c r="H655" s="162"/>
      <c r="I655" s="162"/>
      <c r="J655" s="174"/>
      <c r="K655" s="162"/>
      <c r="L655" s="129"/>
      <c r="M655" s="156"/>
      <c r="N655" s="79"/>
      <c r="O655" s="79"/>
      <c r="P655" s="79"/>
      <c r="Q655" s="79"/>
      <c r="R655" s="79"/>
      <c r="S655" s="82"/>
      <c r="T655" s="82"/>
      <c r="U655" s="82"/>
      <c r="V655" s="82"/>
      <c r="W655" s="82"/>
      <c r="X655" s="82"/>
      <c r="Y655" s="82"/>
      <c r="Z655" s="82"/>
      <c r="AA655" s="82"/>
    </row>
    <row r="656" ht="15.75" customHeight="1">
      <c r="A656" s="261"/>
      <c r="B656" s="171"/>
      <c r="C656" s="172"/>
      <c r="D656" s="172"/>
      <c r="E656" s="154"/>
      <c r="F656" s="162"/>
      <c r="G656" s="162"/>
      <c r="H656" s="162"/>
      <c r="I656" s="162"/>
      <c r="J656" s="174"/>
      <c r="K656" s="162"/>
      <c r="L656" s="129"/>
      <c r="M656" s="156"/>
      <c r="N656" s="79"/>
      <c r="O656" s="79"/>
      <c r="P656" s="79"/>
      <c r="Q656" s="79"/>
      <c r="R656" s="79"/>
      <c r="S656" s="82"/>
      <c r="T656" s="82"/>
      <c r="U656" s="82"/>
      <c r="V656" s="82"/>
      <c r="W656" s="82"/>
      <c r="X656" s="82"/>
      <c r="Y656" s="82"/>
      <c r="Z656" s="82"/>
      <c r="AA656" s="82"/>
    </row>
    <row r="657" ht="15.75" customHeight="1">
      <c r="A657" s="261"/>
      <c r="B657" s="171"/>
      <c r="C657" s="172"/>
      <c r="D657" s="172"/>
      <c r="E657" s="154"/>
      <c r="F657" s="162"/>
      <c r="G657" s="162"/>
      <c r="H657" s="162"/>
      <c r="I657" s="162"/>
      <c r="J657" s="174"/>
      <c r="K657" s="162"/>
      <c r="L657" s="129"/>
      <c r="M657" s="156"/>
      <c r="N657" s="79"/>
      <c r="O657" s="79"/>
      <c r="P657" s="79"/>
      <c r="Q657" s="79"/>
      <c r="R657" s="79"/>
      <c r="S657" s="82"/>
      <c r="T657" s="82"/>
      <c r="U657" s="82"/>
      <c r="V657" s="82"/>
      <c r="W657" s="82"/>
      <c r="X657" s="82"/>
      <c r="Y657" s="82"/>
      <c r="Z657" s="82"/>
      <c r="AA657" s="82"/>
    </row>
    <row r="658" ht="15.75" customHeight="1">
      <c r="A658" s="261"/>
      <c r="B658" s="171"/>
      <c r="C658" s="172"/>
      <c r="D658" s="172"/>
      <c r="E658" s="154"/>
      <c r="F658" s="162"/>
      <c r="G658" s="162"/>
      <c r="H658" s="162"/>
      <c r="I658" s="162"/>
      <c r="J658" s="174"/>
      <c r="K658" s="162"/>
      <c r="L658" s="129"/>
      <c r="M658" s="156"/>
      <c r="N658" s="79"/>
      <c r="O658" s="79"/>
      <c r="P658" s="79"/>
      <c r="Q658" s="79"/>
      <c r="R658" s="79"/>
      <c r="S658" s="82"/>
      <c r="T658" s="82"/>
      <c r="U658" s="82"/>
      <c r="V658" s="82"/>
      <c r="W658" s="82"/>
      <c r="X658" s="82"/>
      <c r="Y658" s="82"/>
      <c r="Z658" s="82"/>
      <c r="AA658" s="82"/>
    </row>
    <row r="659" ht="15.75" customHeight="1">
      <c r="A659" s="261"/>
      <c r="B659" s="171"/>
      <c r="C659" s="172"/>
      <c r="D659" s="172"/>
      <c r="E659" s="154"/>
      <c r="F659" s="162"/>
      <c r="G659" s="162"/>
      <c r="H659" s="162"/>
      <c r="I659" s="162"/>
      <c r="J659" s="174"/>
      <c r="K659" s="162"/>
      <c r="L659" s="129"/>
      <c r="M659" s="156"/>
      <c r="N659" s="79"/>
      <c r="O659" s="79"/>
      <c r="P659" s="79"/>
      <c r="Q659" s="79"/>
      <c r="R659" s="79"/>
      <c r="S659" s="82"/>
      <c r="T659" s="82"/>
      <c r="U659" s="82"/>
      <c r="V659" s="82"/>
      <c r="W659" s="82"/>
      <c r="X659" s="82"/>
      <c r="Y659" s="82"/>
      <c r="Z659" s="82"/>
      <c r="AA659" s="82"/>
    </row>
    <row r="660" ht="15.75" customHeight="1">
      <c r="A660" s="261"/>
      <c r="B660" s="171"/>
      <c r="C660" s="172"/>
      <c r="D660" s="172"/>
      <c r="E660" s="154"/>
      <c r="F660" s="162"/>
      <c r="G660" s="162"/>
      <c r="H660" s="162"/>
      <c r="I660" s="162"/>
      <c r="J660" s="174"/>
      <c r="K660" s="162"/>
      <c r="L660" s="129"/>
      <c r="M660" s="156"/>
      <c r="N660" s="79"/>
      <c r="O660" s="79"/>
      <c r="P660" s="79"/>
      <c r="Q660" s="79"/>
      <c r="R660" s="79"/>
      <c r="S660" s="82"/>
      <c r="T660" s="82"/>
      <c r="U660" s="82"/>
      <c r="V660" s="82"/>
      <c r="W660" s="82"/>
      <c r="X660" s="82"/>
      <c r="Y660" s="82"/>
      <c r="Z660" s="82"/>
      <c r="AA660" s="82"/>
    </row>
    <row r="661" ht="15.75" customHeight="1">
      <c r="A661" s="261"/>
      <c r="B661" s="171"/>
      <c r="C661" s="172"/>
      <c r="D661" s="172"/>
      <c r="E661" s="154"/>
      <c r="F661" s="162"/>
      <c r="G661" s="162"/>
      <c r="H661" s="162"/>
      <c r="I661" s="162"/>
      <c r="J661" s="174"/>
      <c r="K661" s="162"/>
      <c r="L661" s="129"/>
      <c r="M661" s="156"/>
      <c r="N661" s="79"/>
      <c r="O661" s="79"/>
      <c r="P661" s="79"/>
      <c r="Q661" s="79"/>
      <c r="R661" s="79"/>
      <c r="S661" s="82"/>
      <c r="T661" s="82"/>
      <c r="U661" s="82"/>
      <c r="V661" s="82"/>
      <c r="W661" s="82"/>
      <c r="X661" s="82"/>
      <c r="Y661" s="82"/>
      <c r="Z661" s="82"/>
      <c r="AA661" s="82"/>
    </row>
    <row r="662" ht="15.75" customHeight="1">
      <c r="A662" s="261"/>
      <c r="B662" s="171"/>
      <c r="C662" s="172"/>
      <c r="D662" s="172"/>
      <c r="E662" s="154"/>
      <c r="F662" s="162"/>
      <c r="G662" s="162"/>
      <c r="H662" s="162"/>
      <c r="I662" s="162"/>
      <c r="J662" s="174"/>
      <c r="K662" s="162"/>
      <c r="L662" s="129"/>
      <c r="M662" s="156"/>
      <c r="N662" s="79"/>
      <c r="O662" s="79"/>
      <c r="P662" s="79"/>
      <c r="Q662" s="79"/>
      <c r="R662" s="79"/>
      <c r="S662" s="82"/>
      <c r="T662" s="82"/>
      <c r="U662" s="82"/>
      <c r="V662" s="82"/>
      <c r="W662" s="82"/>
      <c r="X662" s="82"/>
      <c r="Y662" s="82"/>
      <c r="Z662" s="82"/>
      <c r="AA662" s="82"/>
    </row>
    <row r="663" ht="15.75" customHeight="1">
      <c r="A663" s="261"/>
      <c r="B663" s="171"/>
      <c r="C663" s="172"/>
      <c r="D663" s="172"/>
      <c r="E663" s="154"/>
      <c r="F663" s="162"/>
      <c r="G663" s="162"/>
      <c r="H663" s="162"/>
      <c r="I663" s="162"/>
      <c r="J663" s="174"/>
      <c r="K663" s="162"/>
      <c r="L663" s="129"/>
      <c r="M663" s="156"/>
      <c r="N663" s="79"/>
      <c r="O663" s="79"/>
      <c r="P663" s="79"/>
      <c r="Q663" s="79"/>
      <c r="R663" s="79"/>
      <c r="S663" s="82"/>
      <c r="T663" s="82"/>
      <c r="U663" s="82"/>
      <c r="V663" s="82"/>
      <c r="W663" s="82"/>
      <c r="X663" s="82"/>
      <c r="Y663" s="82"/>
      <c r="Z663" s="82"/>
      <c r="AA663" s="82"/>
    </row>
    <row r="664" ht="15.75" customHeight="1">
      <c r="A664" s="261"/>
      <c r="B664" s="171"/>
      <c r="C664" s="172"/>
      <c r="D664" s="172"/>
      <c r="E664" s="154"/>
      <c r="F664" s="162"/>
      <c r="G664" s="162"/>
      <c r="H664" s="162"/>
      <c r="I664" s="162"/>
      <c r="J664" s="174"/>
      <c r="K664" s="162"/>
      <c r="L664" s="129"/>
      <c r="M664" s="156"/>
      <c r="N664" s="79"/>
      <c r="O664" s="79"/>
      <c r="P664" s="79"/>
      <c r="Q664" s="79"/>
      <c r="R664" s="79"/>
      <c r="S664" s="82"/>
      <c r="T664" s="82"/>
      <c r="U664" s="82"/>
      <c r="V664" s="82"/>
      <c r="W664" s="82"/>
      <c r="X664" s="82"/>
      <c r="Y664" s="82"/>
      <c r="Z664" s="82"/>
      <c r="AA664" s="82"/>
    </row>
    <row r="665" ht="15.75" customHeight="1">
      <c r="A665" s="261"/>
      <c r="B665" s="171"/>
      <c r="C665" s="172"/>
      <c r="D665" s="172"/>
      <c r="E665" s="154"/>
      <c r="F665" s="162"/>
      <c r="G665" s="162"/>
      <c r="H665" s="162"/>
      <c r="I665" s="162"/>
      <c r="J665" s="174"/>
      <c r="K665" s="162"/>
      <c r="L665" s="129"/>
      <c r="M665" s="156"/>
      <c r="N665" s="79"/>
      <c r="O665" s="79"/>
      <c r="P665" s="79"/>
      <c r="Q665" s="79"/>
      <c r="R665" s="79"/>
      <c r="S665" s="82"/>
      <c r="T665" s="82"/>
      <c r="U665" s="82"/>
      <c r="V665" s="82"/>
      <c r="W665" s="82"/>
      <c r="X665" s="82"/>
      <c r="Y665" s="82"/>
      <c r="Z665" s="82"/>
      <c r="AA665" s="82"/>
    </row>
    <row r="666" ht="15.75" customHeight="1">
      <c r="A666" s="261"/>
      <c r="B666" s="171"/>
      <c r="C666" s="172"/>
      <c r="D666" s="172"/>
      <c r="E666" s="154"/>
      <c r="F666" s="162"/>
      <c r="G666" s="162"/>
      <c r="H666" s="162"/>
      <c r="I666" s="162"/>
      <c r="J666" s="174"/>
      <c r="K666" s="162"/>
      <c r="L666" s="129"/>
      <c r="M666" s="156"/>
      <c r="N666" s="79"/>
      <c r="O666" s="79"/>
      <c r="P666" s="79"/>
      <c r="Q666" s="79"/>
      <c r="R666" s="79"/>
      <c r="S666" s="82"/>
      <c r="T666" s="82"/>
      <c r="U666" s="82"/>
      <c r="V666" s="82"/>
      <c r="W666" s="82"/>
      <c r="X666" s="82"/>
      <c r="Y666" s="82"/>
      <c r="Z666" s="82"/>
      <c r="AA666" s="82"/>
    </row>
    <row r="667" ht="15.75" customHeight="1">
      <c r="A667" s="261"/>
      <c r="B667" s="171"/>
      <c r="C667" s="172"/>
      <c r="D667" s="172"/>
      <c r="E667" s="154"/>
      <c r="F667" s="162"/>
      <c r="G667" s="162"/>
      <c r="H667" s="162"/>
      <c r="I667" s="162"/>
      <c r="J667" s="174"/>
      <c r="K667" s="162"/>
      <c r="L667" s="129"/>
      <c r="M667" s="156"/>
      <c r="N667" s="79"/>
      <c r="O667" s="79"/>
      <c r="P667" s="79"/>
      <c r="Q667" s="79"/>
      <c r="R667" s="79"/>
      <c r="S667" s="82"/>
      <c r="T667" s="82"/>
      <c r="U667" s="82"/>
      <c r="V667" s="82"/>
      <c r="W667" s="82"/>
      <c r="X667" s="82"/>
      <c r="Y667" s="82"/>
      <c r="Z667" s="82"/>
      <c r="AA667" s="82"/>
    </row>
    <row r="668" ht="15.75" customHeight="1">
      <c r="A668" s="261"/>
      <c r="B668" s="171"/>
      <c r="C668" s="172"/>
      <c r="D668" s="172"/>
      <c r="E668" s="154"/>
      <c r="F668" s="162"/>
      <c r="G668" s="162"/>
      <c r="H668" s="162"/>
      <c r="I668" s="162"/>
      <c r="J668" s="174"/>
      <c r="K668" s="162"/>
      <c r="L668" s="129"/>
      <c r="M668" s="156"/>
      <c r="N668" s="79"/>
      <c r="O668" s="79"/>
      <c r="P668" s="79"/>
      <c r="Q668" s="79"/>
      <c r="R668" s="79"/>
      <c r="S668" s="82"/>
      <c r="T668" s="82"/>
      <c r="U668" s="82"/>
      <c r="V668" s="82"/>
      <c r="W668" s="82"/>
      <c r="X668" s="82"/>
      <c r="Y668" s="82"/>
      <c r="Z668" s="82"/>
      <c r="AA668" s="82"/>
    </row>
    <row r="669" ht="15.75" customHeight="1">
      <c r="A669" s="261"/>
      <c r="B669" s="171"/>
      <c r="C669" s="172"/>
      <c r="D669" s="172"/>
      <c r="E669" s="154"/>
      <c r="F669" s="162"/>
      <c r="G669" s="162"/>
      <c r="H669" s="162"/>
      <c r="I669" s="162"/>
      <c r="J669" s="174"/>
      <c r="K669" s="162"/>
      <c r="L669" s="129"/>
      <c r="M669" s="156"/>
      <c r="N669" s="79"/>
      <c r="O669" s="79"/>
      <c r="P669" s="79"/>
      <c r="Q669" s="79"/>
      <c r="R669" s="79"/>
      <c r="S669" s="82"/>
      <c r="T669" s="82"/>
      <c r="U669" s="82"/>
      <c r="V669" s="82"/>
      <c r="W669" s="82"/>
      <c r="X669" s="82"/>
      <c r="Y669" s="82"/>
      <c r="Z669" s="82"/>
      <c r="AA669" s="82"/>
    </row>
    <row r="670" ht="15.75" customHeight="1">
      <c r="A670" s="261"/>
      <c r="B670" s="171"/>
      <c r="C670" s="172"/>
      <c r="D670" s="172"/>
      <c r="E670" s="154"/>
      <c r="F670" s="162"/>
      <c r="G670" s="162"/>
      <c r="H670" s="162"/>
      <c r="I670" s="162"/>
      <c r="J670" s="174"/>
      <c r="K670" s="162"/>
      <c r="L670" s="129"/>
      <c r="M670" s="156"/>
      <c r="N670" s="79"/>
      <c r="O670" s="79"/>
      <c r="P670" s="79"/>
      <c r="Q670" s="79"/>
      <c r="R670" s="79"/>
      <c r="S670" s="82"/>
      <c r="T670" s="82"/>
      <c r="U670" s="82"/>
      <c r="V670" s="82"/>
      <c r="W670" s="82"/>
      <c r="X670" s="82"/>
      <c r="Y670" s="82"/>
      <c r="Z670" s="82"/>
      <c r="AA670" s="82"/>
    </row>
    <row r="671" ht="15.75" customHeight="1">
      <c r="A671" s="261"/>
      <c r="B671" s="171"/>
      <c r="C671" s="172"/>
      <c r="D671" s="172"/>
      <c r="E671" s="154"/>
      <c r="F671" s="162"/>
      <c r="G671" s="162"/>
      <c r="H671" s="162"/>
      <c r="I671" s="162"/>
      <c r="J671" s="174"/>
      <c r="K671" s="162"/>
      <c r="L671" s="129"/>
      <c r="M671" s="156"/>
      <c r="N671" s="79"/>
      <c r="O671" s="79"/>
      <c r="P671" s="79"/>
      <c r="Q671" s="79"/>
      <c r="R671" s="79"/>
      <c r="S671" s="82"/>
      <c r="T671" s="82"/>
      <c r="U671" s="82"/>
      <c r="V671" s="82"/>
      <c r="W671" s="82"/>
      <c r="X671" s="82"/>
      <c r="Y671" s="82"/>
      <c r="Z671" s="82"/>
      <c r="AA671" s="82"/>
    </row>
    <row r="672" ht="15.75" customHeight="1">
      <c r="A672" s="261"/>
      <c r="B672" s="171"/>
      <c r="C672" s="172"/>
      <c r="D672" s="172"/>
      <c r="E672" s="154"/>
      <c r="F672" s="162"/>
      <c r="G672" s="162"/>
      <c r="H672" s="162"/>
      <c r="I672" s="162"/>
      <c r="J672" s="174"/>
      <c r="K672" s="162"/>
      <c r="L672" s="129"/>
      <c r="M672" s="156"/>
      <c r="N672" s="79"/>
      <c r="O672" s="79"/>
      <c r="P672" s="79"/>
      <c r="Q672" s="79"/>
      <c r="R672" s="79"/>
      <c r="S672" s="82"/>
      <c r="T672" s="82"/>
      <c r="U672" s="82"/>
      <c r="V672" s="82"/>
      <c r="W672" s="82"/>
      <c r="X672" s="82"/>
      <c r="Y672" s="82"/>
      <c r="Z672" s="82"/>
      <c r="AA672" s="82"/>
    </row>
    <row r="673" ht="15.75" customHeight="1">
      <c r="A673" s="261"/>
      <c r="B673" s="171"/>
      <c r="C673" s="172"/>
      <c r="D673" s="172"/>
      <c r="E673" s="154"/>
      <c r="F673" s="162"/>
      <c r="G673" s="162"/>
      <c r="H673" s="162"/>
      <c r="I673" s="162"/>
      <c r="J673" s="174"/>
      <c r="K673" s="162"/>
      <c r="L673" s="129"/>
      <c r="M673" s="156"/>
      <c r="N673" s="79"/>
      <c r="O673" s="79"/>
      <c r="P673" s="79"/>
      <c r="Q673" s="79"/>
      <c r="R673" s="79"/>
      <c r="S673" s="82"/>
      <c r="T673" s="82"/>
      <c r="U673" s="82"/>
      <c r="V673" s="82"/>
      <c r="W673" s="82"/>
      <c r="X673" s="82"/>
      <c r="Y673" s="82"/>
      <c r="Z673" s="82"/>
      <c r="AA673" s="82"/>
    </row>
    <row r="674" ht="15.75" customHeight="1">
      <c r="A674" s="261"/>
      <c r="B674" s="171"/>
      <c r="C674" s="172"/>
      <c r="D674" s="172"/>
      <c r="E674" s="154"/>
      <c r="F674" s="162"/>
      <c r="G674" s="162"/>
      <c r="H674" s="162"/>
      <c r="I674" s="162"/>
      <c r="J674" s="174"/>
      <c r="K674" s="162"/>
      <c r="L674" s="129"/>
      <c r="M674" s="156"/>
      <c r="N674" s="79"/>
      <c r="O674" s="79"/>
      <c r="P674" s="79"/>
      <c r="Q674" s="79"/>
      <c r="R674" s="79"/>
      <c r="S674" s="82"/>
      <c r="T674" s="82"/>
      <c r="U674" s="82"/>
      <c r="V674" s="82"/>
      <c r="W674" s="82"/>
      <c r="X674" s="82"/>
      <c r="Y674" s="82"/>
      <c r="Z674" s="82"/>
      <c r="AA674" s="82"/>
    </row>
    <row r="675" ht="15.75" customHeight="1">
      <c r="A675" s="261"/>
      <c r="B675" s="171"/>
      <c r="C675" s="172"/>
      <c r="D675" s="172"/>
      <c r="E675" s="154"/>
      <c r="F675" s="162"/>
      <c r="G675" s="162"/>
      <c r="H675" s="162"/>
      <c r="I675" s="162"/>
      <c r="J675" s="174"/>
      <c r="K675" s="162"/>
      <c r="L675" s="129"/>
      <c r="M675" s="156"/>
      <c r="N675" s="79"/>
      <c r="O675" s="79"/>
      <c r="P675" s="79"/>
      <c r="Q675" s="79"/>
      <c r="R675" s="79"/>
      <c r="S675" s="82"/>
      <c r="T675" s="82"/>
      <c r="U675" s="82"/>
      <c r="V675" s="82"/>
      <c r="W675" s="82"/>
      <c r="X675" s="82"/>
      <c r="Y675" s="82"/>
      <c r="Z675" s="82"/>
      <c r="AA675" s="82"/>
    </row>
    <row r="676" ht="15.75" customHeight="1">
      <c r="A676" s="261"/>
      <c r="B676" s="171"/>
      <c r="C676" s="172"/>
      <c r="D676" s="172"/>
      <c r="E676" s="154"/>
      <c r="F676" s="162"/>
      <c r="G676" s="162"/>
      <c r="H676" s="162"/>
      <c r="I676" s="162"/>
      <c r="J676" s="174"/>
      <c r="K676" s="162"/>
      <c r="L676" s="129"/>
      <c r="M676" s="156"/>
      <c r="N676" s="79"/>
      <c r="O676" s="79"/>
      <c r="P676" s="79"/>
      <c r="Q676" s="79"/>
      <c r="R676" s="79"/>
      <c r="S676" s="82"/>
      <c r="T676" s="82"/>
      <c r="U676" s="82"/>
      <c r="V676" s="82"/>
      <c r="W676" s="82"/>
      <c r="X676" s="82"/>
      <c r="Y676" s="82"/>
      <c r="Z676" s="82"/>
      <c r="AA676" s="82"/>
    </row>
    <row r="677" ht="15.75" customHeight="1">
      <c r="A677" s="261"/>
      <c r="B677" s="171"/>
      <c r="C677" s="172"/>
      <c r="D677" s="172"/>
      <c r="E677" s="154"/>
      <c r="F677" s="162"/>
      <c r="G677" s="162"/>
      <c r="H677" s="162"/>
      <c r="I677" s="162"/>
      <c r="J677" s="174"/>
      <c r="K677" s="162"/>
      <c r="L677" s="129"/>
      <c r="M677" s="156"/>
      <c r="N677" s="79"/>
      <c r="O677" s="79"/>
      <c r="P677" s="79"/>
      <c r="Q677" s="79"/>
      <c r="R677" s="79"/>
      <c r="S677" s="82"/>
      <c r="T677" s="82"/>
      <c r="U677" s="82"/>
      <c r="V677" s="82"/>
      <c r="W677" s="82"/>
      <c r="X677" s="82"/>
      <c r="Y677" s="82"/>
      <c r="Z677" s="82"/>
      <c r="AA677" s="82"/>
    </row>
    <row r="678" ht="15.75" customHeight="1">
      <c r="A678" s="261"/>
      <c r="B678" s="171"/>
      <c r="C678" s="172"/>
      <c r="D678" s="172"/>
      <c r="E678" s="154"/>
      <c r="F678" s="162"/>
      <c r="G678" s="162"/>
      <c r="H678" s="162"/>
      <c r="I678" s="162"/>
      <c r="J678" s="174"/>
      <c r="K678" s="162"/>
      <c r="L678" s="129"/>
      <c r="M678" s="156"/>
      <c r="N678" s="79"/>
      <c r="O678" s="79"/>
      <c r="P678" s="79"/>
      <c r="Q678" s="79"/>
      <c r="R678" s="79"/>
      <c r="S678" s="82"/>
      <c r="T678" s="82"/>
      <c r="U678" s="82"/>
      <c r="V678" s="82"/>
      <c r="W678" s="82"/>
      <c r="X678" s="82"/>
      <c r="Y678" s="82"/>
      <c r="Z678" s="82"/>
      <c r="AA678" s="82"/>
    </row>
    <row r="679" ht="15.75" customHeight="1">
      <c r="A679" s="261"/>
      <c r="B679" s="171"/>
      <c r="C679" s="172"/>
      <c r="D679" s="172"/>
      <c r="E679" s="154"/>
      <c r="F679" s="162"/>
      <c r="G679" s="162"/>
      <c r="H679" s="162"/>
      <c r="I679" s="162"/>
      <c r="J679" s="174"/>
      <c r="K679" s="162"/>
      <c r="L679" s="129"/>
      <c r="M679" s="156"/>
      <c r="N679" s="79"/>
      <c r="O679" s="79"/>
      <c r="P679" s="79"/>
      <c r="Q679" s="79"/>
      <c r="R679" s="79"/>
      <c r="S679" s="82"/>
      <c r="T679" s="82"/>
      <c r="U679" s="82"/>
      <c r="V679" s="82"/>
      <c r="W679" s="82"/>
      <c r="X679" s="82"/>
      <c r="Y679" s="82"/>
      <c r="Z679" s="82"/>
      <c r="AA679" s="82"/>
    </row>
    <row r="680" ht="15.75" customHeight="1">
      <c r="A680" s="261"/>
      <c r="B680" s="171"/>
      <c r="C680" s="172"/>
      <c r="D680" s="172"/>
      <c r="E680" s="154"/>
      <c r="F680" s="162"/>
      <c r="G680" s="162"/>
      <c r="H680" s="162"/>
      <c r="I680" s="162"/>
      <c r="J680" s="174"/>
      <c r="K680" s="162"/>
      <c r="L680" s="129"/>
      <c r="M680" s="156"/>
      <c r="N680" s="79"/>
      <c r="O680" s="79"/>
      <c r="P680" s="79"/>
      <c r="Q680" s="79"/>
      <c r="R680" s="79"/>
      <c r="S680" s="82"/>
      <c r="T680" s="82"/>
      <c r="U680" s="82"/>
      <c r="V680" s="82"/>
      <c r="W680" s="82"/>
      <c r="X680" s="82"/>
      <c r="Y680" s="82"/>
      <c r="Z680" s="82"/>
      <c r="AA680" s="82"/>
    </row>
    <row r="681" ht="15.75" customHeight="1">
      <c r="A681" s="261"/>
      <c r="B681" s="171"/>
      <c r="C681" s="172"/>
      <c r="D681" s="172"/>
      <c r="E681" s="154"/>
      <c r="F681" s="162"/>
      <c r="G681" s="162"/>
      <c r="H681" s="162"/>
      <c r="I681" s="162"/>
      <c r="J681" s="174"/>
      <c r="K681" s="162"/>
      <c r="L681" s="129"/>
      <c r="M681" s="156"/>
      <c r="N681" s="79"/>
      <c r="O681" s="79"/>
      <c r="P681" s="79"/>
      <c r="Q681" s="79"/>
      <c r="R681" s="79"/>
      <c r="S681" s="82"/>
      <c r="T681" s="82"/>
      <c r="U681" s="82"/>
      <c r="V681" s="82"/>
      <c r="W681" s="82"/>
      <c r="X681" s="82"/>
      <c r="Y681" s="82"/>
      <c r="Z681" s="82"/>
      <c r="AA681" s="82"/>
    </row>
    <row r="682" ht="15.75" customHeight="1">
      <c r="A682" s="261"/>
      <c r="B682" s="171"/>
      <c r="C682" s="172"/>
      <c r="D682" s="172"/>
      <c r="E682" s="154"/>
      <c r="F682" s="162"/>
      <c r="G682" s="162"/>
      <c r="H682" s="162"/>
      <c r="I682" s="162"/>
      <c r="J682" s="174"/>
      <c r="K682" s="162"/>
      <c r="L682" s="129"/>
      <c r="M682" s="156"/>
      <c r="N682" s="79"/>
      <c r="O682" s="79"/>
      <c r="P682" s="79"/>
      <c r="Q682" s="79"/>
      <c r="R682" s="79"/>
      <c r="S682" s="82"/>
      <c r="T682" s="82"/>
      <c r="U682" s="82"/>
      <c r="V682" s="82"/>
      <c r="W682" s="82"/>
      <c r="X682" s="82"/>
      <c r="Y682" s="82"/>
      <c r="Z682" s="82"/>
      <c r="AA682" s="82"/>
    </row>
    <row r="683" ht="15.75" customHeight="1">
      <c r="A683" s="261"/>
      <c r="B683" s="171"/>
      <c r="C683" s="172"/>
      <c r="D683" s="172"/>
      <c r="E683" s="154"/>
      <c r="F683" s="162"/>
      <c r="G683" s="162"/>
      <c r="H683" s="162"/>
      <c r="I683" s="162"/>
      <c r="J683" s="174"/>
      <c r="K683" s="162"/>
      <c r="L683" s="129"/>
      <c r="M683" s="156"/>
      <c r="N683" s="79"/>
      <c r="O683" s="79"/>
      <c r="P683" s="79"/>
      <c r="Q683" s="79"/>
      <c r="R683" s="79"/>
      <c r="S683" s="82"/>
      <c r="T683" s="82"/>
      <c r="U683" s="82"/>
      <c r="V683" s="82"/>
      <c r="W683" s="82"/>
      <c r="X683" s="82"/>
      <c r="Y683" s="82"/>
      <c r="Z683" s="82"/>
      <c r="AA683" s="82"/>
    </row>
    <row r="684" ht="15.75" customHeight="1">
      <c r="A684" s="261"/>
      <c r="B684" s="171"/>
      <c r="C684" s="172"/>
      <c r="D684" s="172"/>
      <c r="E684" s="154"/>
      <c r="F684" s="162"/>
      <c r="G684" s="162"/>
      <c r="H684" s="162"/>
      <c r="I684" s="162"/>
      <c r="J684" s="174"/>
      <c r="K684" s="162"/>
      <c r="L684" s="129"/>
      <c r="M684" s="156"/>
      <c r="N684" s="79"/>
      <c r="O684" s="79"/>
      <c r="P684" s="79"/>
      <c r="Q684" s="79"/>
      <c r="R684" s="79"/>
      <c r="S684" s="82"/>
      <c r="T684" s="82"/>
      <c r="U684" s="82"/>
      <c r="V684" s="82"/>
      <c r="W684" s="82"/>
      <c r="X684" s="82"/>
      <c r="Y684" s="82"/>
      <c r="Z684" s="82"/>
      <c r="AA684" s="82"/>
    </row>
    <row r="685" ht="15.75" customHeight="1">
      <c r="A685" s="261"/>
      <c r="B685" s="171"/>
      <c r="C685" s="172"/>
      <c r="D685" s="172"/>
      <c r="E685" s="154"/>
      <c r="F685" s="162"/>
      <c r="G685" s="162"/>
      <c r="H685" s="162"/>
      <c r="I685" s="162"/>
      <c r="J685" s="174"/>
      <c r="K685" s="162"/>
      <c r="L685" s="129"/>
      <c r="M685" s="156"/>
      <c r="N685" s="79"/>
      <c r="O685" s="79"/>
      <c r="P685" s="79"/>
      <c r="Q685" s="79"/>
      <c r="R685" s="79"/>
      <c r="S685" s="82"/>
      <c r="T685" s="82"/>
      <c r="U685" s="82"/>
      <c r="V685" s="82"/>
      <c r="W685" s="82"/>
      <c r="X685" s="82"/>
      <c r="Y685" s="82"/>
      <c r="Z685" s="82"/>
      <c r="AA685" s="82"/>
    </row>
    <row r="686" ht="15.75" customHeight="1">
      <c r="A686" s="261"/>
      <c r="B686" s="171"/>
      <c r="C686" s="172"/>
      <c r="D686" s="172"/>
      <c r="E686" s="154"/>
      <c r="F686" s="162"/>
      <c r="G686" s="162"/>
      <c r="H686" s="162"/>
      <c r="I686" s="162"/>
      <c r="J686" s="174"/>
      <c r="K686" s="162"/>
      <c r="L686" s="129"/>
      <c r="M686" s="156"/>
      <c r="N686" s="79"/>
      <c r="O686" s="79"/>
      <c r="P686" s="79"/>
      <c r="Q686" s="79"/>
      <c r="R686" s="79"/>
      <c r="S686" s="82"/>
      <c r="T686" s="82"/>
      <c r="U686" s="82"/>
      <c r="V686" s="82"/>
      <c r="W686" s="82"/>
      <c r="X686" s="82"/>
      <c r="Y686" s="82"/>
      <c r="Z686" s="82"/>
      <c r="AA686" s="82"/>
    </row>
    <row r="687" ht="15.75" customHeight="1">
      <c r="A687" s="261"/>
      <c r="B687" s="171"/>
      <c r="C687" s="172"/>
      <c r="D687" s="172"/>
      <c r="E687" s="154"/>
      <c r="F687" s="162"/>
      <c r="G687" s="162"/>
      <c r="H687" s="162"/>
      <c r="I687" s="162"/>
      <c r="J687" s="174"/>
      <c r="K687" s="162"/>
      <c r="L687" s="129"/>
      <c r="M687" s="156"/>
      <c r="N687" s="79"/>
      <c r="O687" s="79"/>
      <c r="P687" s="79"/>
      <c r="Q687" s="79"/>
      <c r="R687" s="79"/>
      <c r="S687" s="82"/>
      <c r="T687" s="82"/>
      <c r="U687" s="82"/>
      <c r="V687" s="82"/>
      <c r="W687" s="82"/>
      <c r="X687" s="82"/>
      <c r="Y687" s="82"/>
      <c r="Z687" s="82"/>
      <c r="AA687" s="82"/>
    </row>
    <row r="688" ht="15.75" customHeight="1">
      <c r="A688" s="261"/>
      <c r="B688" s="171"/>
      <c r="C688" s="172"/>
      <c r="D688" s="172"/>
      <c r="E688" s="154"/>
      <c r="F688" s="162"/>
      <c r="G688" s="162"/>
      <c r="H688" s="162"/>
      <c r="I688" s="162"/>
      <c r="J688" s="174"/>
      <c r="K688" s="162"/>
      <c r="L688" s="129"/>
      <c r="M688" s="156"/>
      <c r="N688" s="79"/>
      <c r="O688" s="79"/>
      <c r="P688" s="79"/>
      <c r="Q688" s="79"/>
      <c r="R688" s="79"/>
      <c r="S688" s="82"/>
      <c r="T688" s="82"/>
      <c r="U688" s="82"/>
      <c r="V688" s="82"/>
      <c r="W688" s="82"/>
      <c r="X688" s="82"/>
      <c r="Y688" s="82"/>
      <c r="Z688" s="82"/>
      <c r="AA688" s="82"/>
    </row>
    <row r="689" ht="15.75" customHeight="1">
      <c r="A689" s="261"/>
      <c r="B689" s="171"/>
      <c r="C689" s="172"/>
      <c r="D689" s="172"/>
      <c r="E689" s="154"/>
      <c r="F689" s="162"/>
      <c r="G689" s="162"/>
      <c r="H689" s="162"/>
      <c r="I689" s="162"/>
      <c r="J689" s="174"/>
      <c r="K689" s="162"/>
      <c r="L689" s="129"/>
      <c r="M689" s="156"/>
      <c r="N689" s="79"/>
      <c r="O689" s="79"/>
      <c r="P689" s="79"/>
      <c r="Q689" s="79"/>
      <c r="R689" s="79"/>
      <c r="S689" s="82"/>
      <c r="T689" s="82"/>
      <c r="U689" s="82"/>
      <c r="V689" s="82"/>
      <c r="W689" s="82"/>
      <c r="X689" s="82"/>
      <c r="Y689" s="82"/>
      <c r="Z689" s="82"/>
      <c r="AA689" s="82"/>
    </row>
    <row r="690" ht="15.75" customHeight="1">
      <c r="A690" s="261"/>
      <c r="B690" s="171"/>
      <c r="C690" s="172"/>
      <c r="D690" s="172"/>
      <c r="E690" s="154"/>
      <c r="F690" s="162"/>
      <c r="G690" s="162"/>
      <c r="H690" s="162"/>
      <c r="I690" s="162"/>
      <c r="J690" s="174"/>
      <c r="K690" s="162"/>
      <c r="L690" s="129"/>
      <c r="M690" s="156"/>
      <c r="N690" s="79"/>
      <c r="O690" s="79"/>
      <c r="P690" s="79"/>
      <c r="Q690" s="79"/>
      <c r="R690" s="79"/>
      <c r="S690" s="82"/>
      <c r="T690" s="82"/>
      <c r="U690" s="82"/>
      <c r="V690" s="82"/>
      <c r="W690" s="82"/>
      <c r="X690" s="82"/>
      <c r="Y690" s="82"/>
      <c r="Z690" s="82"/>
      <c r="AA690" s="82"/>
    </row>
    <row r="691" ht="15.75" customHeight="1">
      <c r="A691" s="261"/>
      <c r="B691" s="171"/>
      <c r="C691" s="172"/>
      <c r="D691" s="172"/>
      <c r="E691" s="154"/>
      <c r="F691" s="162"/>
      <c r="G691" s="162"/>
      <c r="H691" s="162"/>
      <c r="I691" s="162"/>
      <c r="J691" s="174"/>
      <c r="K691" s="162"/>
      <c r="L691" s="129"/>
      <c r="M691" s="156"/>
      <c r="N691" s="79"/>
      <c r="O691" s="79"/>
      <c r="P691" s="79"/>
      <c r="Q691" s="79"/>
      <c r="R691" s="79"/>
      <c r="S691" s="82"/>
      <c r="T691" s="82"/>
      <c r="U691" s="82"/>
      <c r="V691" s="82"/>
      <c r="W691" s="82"/>
      <c r="X691" s="82"/>
      <c r="Y691" s="82"/>
      <c r="Z691" s="82"/>
      <c r="AA691" s="82"/>
    </row>
    <row r="692" ht="15.75" customHeight="1">
      <c r="A692" s="261"/>
      <c r="B692" s="171"/>
      <c r="C692" s="172"/>
      <c r="D692" s="172"/>
      <c r="E692" s="154"/>
      <c r="F692" s="162"/>
      <c r="G692" s="162"/>
      <c r="H692" s="162"/>
      <c r="I692" s="162"/>
      <c r="J692" s="174"/>
      <c r="K692" s="162"/>
      <c r="L692" s="129"/>
      <c r="M692" s="156"/>
      <c r="N692" s="79"/>
      <c r="O692" s="79"/>
      <c r="P692" s="79"/>
      <c r="Q692" s="79"/>
      <c r="R692" s="79"/>
      <c r="S692" s="82"/>
      <c r="T692" s="82"/>
      <c r="U692" s="82"/>
      <c r="V692" s="82"/>
      <c r="W692" s="82"/>
      <c r="X692" s="82"/>
      <c r="Y692" s="82"/>
      <c r="Z692" s="82"/>
      <c r="AA692" s="82"/>
    </row>
    <row r="693" ht="15.75" customHeight="1">
      <c r="A693" s="261"/>
      <c r="B693" s="171"/>
      <c r="C693" s="172"/>
      <c r="D693" s="172"/>
      <c r="E693" s="154"/>
      <c r="F693" s="162"/>
      <c r="G693" s="162"/>
      <c r="H693" s="162"/>
      <c r="I693" s="162"/>
      <c r="J693" s="174"/>
      <c r="K693" s="162"/>
      <c r="L693" s="129"/>
      <c r="M693" s="156"/>
      <c r="N693" s="79"/>
      <c r="O693" s="79"/>
      <c r="P693" s="79"/>
      <c r="Q693" s="79"/>
      <c r="R693" s="79"/>
      <c r="S693" s="82"/>
      <c r="T693" s="82"/>
      <c r="U693" s="82"/>
      <c r="V693" s="82"/>
      <c r="W693" s="82"/>
      <c r="X693" s="82"/>
      <c r="Y693" s="82"/>
      <c r="Z693" s="82"/>
      <c r="AA693" s="82"/>
    </row>
    <row r="694" ht="15.75" customHeight="1">
      <c r="A694" s="261"/>
      <c r="B694" s="171"/>
      <c r="C694" s="172"/>
      <c r="D694" s="172"/>
      <c r="E694" s="154"/>
      <c r="F694" s="162"/>
      <c r="G694" s="162"/>
      <c r="H694" s="162"/>
      <c r="I694" s="162"/>
      <c r="J694" s="174"/>
      <c r="K694" s="162"/>
      <c r="L694" s="129"/>
      <c r="M694" s="156"/>
      <c r="N694" s="79"/>
      <c r="O694" s="79"/>
      <c r="P694" s="79"/>
      <c r="Q694" s="79"/>
      <c r="R694" s="79"/>
      <c r="S694" s="82"/>
      <c r="T694" s="82"/>
      <c r="U694" s="82"/>
      <c r="V694" s="82"/>
      <c r="W694" s="82"/>
      <c r="X694" s="82"/>
      <c r="Y694" s="82"/>
      <c r="Z694" s="82"/>
      <c r="AA694" s="82"/>
    </row>
    <row r="695" ht="15.75" customHeight="1">
      <c r="A695" s="261"/>
      <c r="B695" s="171"/>
      <c r="C695" s="172"/>
      <c r="D695" s="172"/>
      <c r="E695" s="154"/>
      <c r="F695" s="162"/>
      <c r="G695" s="162"/>
      <c r="H695" s="162"/>
      <c r="I695" s="162"/>
      <c r="J695" s="174"/>
      <c r="K695" s="162"/>
      <c r="L695" s="129"/>
      <c r="M695" s="156"/>
      <c r="N695" s="79"/>
      <c r="O695" s="79"/>
      <c r="P695" s="79"/>
      <c r="Q695" s="79"/>
      <c r="R695" s="79"/>
      <c r="S695" s="82"/>
      <c r="T695" s="82"/>
      <c r="U695" s="82"/>
      <c r="V695" s="82"/>
      <c r="W695" s="82"/>
      <c r="X695" s="82"/>
      <c r="Y695" s="82"/>
      <c r="Z695" s="82"/>
      <c r="AA695" s="82"/>
    </row>
    <row r="696" ht="15.75" customHeight="1">
      <c r="A696" s="261"/>
      <c r="B696" s="171"/>
      <c r="C696" s="172"/>
      <c r="D696" s="172"/>
      <c r="E696" s="154"/>
      <c r="F696" s="162"/>
      <c r="G696" s="162"/>
      <c r="H696" s="162"/>
      <c r="I696" s="162"/>
      <c r="J696" s="174"/>
      <c r="K696" s="162"/>
      <c r="L696" s="129"/>
      <c r="M696" s="156"/>
      <c r="N696" s="79"/>
      <c r="O696" s="79"/>
      <c r="P696" s="79"/>
      <c r="Q696" s="79"/>
      <c r="R696" s="79"/>
      <c r="S696" s="82"/>
      <c r="T696" s="82"/>
      <c r="U696" s="82"/>
      <c r="V696" s="82"/>
      <c r="W696" s="82"/>
      <c r="X696" s="82"/>
      <c r="Y696" s="82"/>
      <c r="Z696" s="82"/>
      <c r="AA696" s="82"/>
    </row>
    <row r="697" ht="15.75" customHeight="1">
      <c r="A697" s="261"/>
      <c r="B697" s="171"/>
      <c r="C697" s="172"/>
      <c r="D697" s="172"/>
      <c r="E697" s="154"/>
      <c r="F697" s="162"/>
      <c r="G697" s="162"/>
      <c r="H697" s="162"/>
      <c r="I697" s="162"/>
      <c r="J697" s="174"/>
      <c r="K697" s="162"/>
      <c r="L697" s="129"/>
      <c r="M697" s="156"/>
      <c r="N697" s="79"/>
      <c r="O697" s="79"/>
      <c r="P697" s="79"/>
      <c r="Q697" s="79"/>
      <c r="R697" s="79"/>
      <c r="S697" s="82"/>
      <c r="T697" s="82"/>
      <c r="U697" s="82"/>
      <c r="V697" s="82"/>
      <c r="W697" s="82"/>
      <c r="X697" s="82"/>
      <c r="Y697" s="82"/>
      <c r="Z697" s="82"/>
      <c r="AA697" s="82"/>
    </row>
    <row r="698" ht="15.75" customHeight="1">
      <c r="A698" s="261"/>
      <c r="B698" s="171"/>
      <c r="C698" s="172"/>
      <c r="D698" s="172"/>
      <c r="E698" s="154"/>
      <c r="F698" s="162"/>
      <c r="G698" s="162"/>
      <c r="H698" s="162"/>
      <c r="I698" s="162"/>
      <c r="J698" s="174"/>
      <c r="K698" s="162"/>
      <c r="L698" s="129"/>
      <c r="M698" s="156"/>
      <c r="N698" s="79"/>
      <c r="O698" s="79"/>
      <c r="P698" s="79"/>
      <c r="Q698" s="79"/>
      <c r="R698" s="79"/>
      <c r="S698" s="82"/>
      <c r="T698" s="82"/>
      <c r="U698" s="82"/>
      <c r="V698" s="82"/>
      <c r="W698" s="82"/>
      <c r="X698" s="82"/>
      <c r="Y698" s="82"/>
      <c r="Z698" s="82"/>
      <c r="AA698" s="82"/>
    </row>
    <row r="699" ht="15.75" customHeight="1">
      <c r="A699" s="261"/>
      <c r="B699" s="171"/>
      <c r="C699" s="172"/>
      <c r="D699" s="172"/>
      <c r="E699" s="154"/>
      <c r="F699" s="162"/>
      <c r="G699" s="162"/>
      <c r="H699" s="162"/>
      <c r="I699" s="162"/>
      <c r="J699" s="174"/>
      <c r="K699" s="162"/>
      <c r="L699" s="129"/>
      <c r="M699" s="156"/>
      <c r="N699" s="79"/>
      <c r="O699" s="79"/>
      <c r="P699" s="79"/>
      <c r="Q699" s="79"/>
      <c r="R699" s="79"/>
      <c r="S699" s="82"/>
      <c r="T699" s="82"/>
      <c r="U699" s="82"/>
      <c r="V699" s="82"/>
      <c r="W699" s="82"/>
      <c r="X699" s="82"/>
      <c r="Y699" s="82"/>
      <c r="Z699" s="82"/>
      <c r="AA699" s="82"/>
    </row>
    <row r="700" ht="15.75" customHeight="1">
      <c r="A700" s="261"/>
      <c r="B700" s="171"/>
      <c r="C700" s="172"/>
      <c r="D700" s="172"/>
      <c r="E700" s="154"/>
      <c r="F700" s="162"/>
      <c r="G700" s="162"/>
      <c r="H700" s="162"/>
      <c r="I700" s="162"/>
      <c r="J700" s="174"/>
      <c r="K700" s="162"/>
      <c r="L700" s="129"/>
      <c r="M700" s="156"/>
      <c r="N700" s="79"/>
      <c r="O700" s="79"/>
      <c r="P700" s="79"/>
      <c r="Q700" s="79"/>
      <c r="R700" s="79"/>
      <c r="S700" s="82"/>
      <c r="T700" s="82"/>
      <c r="U700" s="82"/>
      <c r="V700" s="82"/>
      <c r="W700" s="82"/>
      <c r="X700" s="82"/>
      <c r="Y700" s="82"/>
      <c r="Z700" s="82"/>
      <c r="AA700" s="82"/>
    </row>
    <row r="701" ht="15.75" customHeight="1">
      <c r="A701" s="261"/>
      <c r="B701" s="171"/>
      <c r="C701" s="172"/>
      <c r="D701" s="172"/>
      <c r="E701" s="154"/>
      <c r="F701" s="162"/>
      <c r="G701" s="162"/>
      <c r="H701" s="162"/>
      <c r="I701" s="162"/>
      <c r="J701" s="174"/>
      <c r="K701" s="162"/>
      <c r="L701" s="129"/>
      <c r="M701" s="156"/>
      <c r="N701" s="79"/>
      <c r="O701" s="79"/>
      <c r="P701" s="79"/>
      <c r="Q701" s="79"/>
      <c r="R701" s="79"/>
      <c r="S701" s="82"/>
      <c r="T701" s="82"/>
      <c r="U701" s="82"/>
      <c r="V701" s="82"/>
      <c r="W701" s="82"/>
      <c r="X701" s="82"/>
      <c r="Y701" s="82"/>
      <c r="Z701" s="82"/>
      <c r="AA701" s="82"/>
    </row>
    <row r="702" ht="15.75" customHeight="1">
      <c r="A702" s="261"/>
      <c r="B702" s="171"/>
      <c r="C702" s="172"/>
      <c r="D702" s="172"/>
      <c r="E702" s="154"/>
      <c r="F702" s="162"/>
      <c r="G702" s="162"/>
      <c r="H702" s="162"/>
      <c r="I702" s="162"/>
      <c r="J702" s="174"/>
      <c r="K702" s="162"/>
      <c r="L702" s="129"/>
      <c r="M702" s="156"/>
      <c r="N702" s="79"/>
      <c r="O702" s="79"/>
      <c r="P702" s="79"/>
      <c r="Q702" s="79"/>
      <c r="R702" s="79"/>
      <c r="S702" s="82"/>
      <c r="T702" s="82"/>
      <c r="U702" s="82"/>
      <c r="V702" s="82"/>
      <c r="W702" s="82"/>
      <c r="X702" s="82"/>
      <c r="Y702" s="82"/>
      <c r="Z702" s="82"/>
      <c r="AA702" s="82"/>
    </row>
    <row r="703" ht="15.75" customHeight="1">
      <c r="A703" s="261"/>
      <c r="B703" s="171"/>
      <c r="C703" s="172"/>
      <c r="D703" s="172"/>
      <c r="E703" s="154"/>
      <c r="F703" s="162"/>
      <c r="G703" s="162"/>
      <c r="H703" s="162"/>
      <c r="I703" s="162"/>
      <c r="J703" s="174"/>
      <c r="K703" s="162"/>
      <c r="L703" s="129"/>
      <c r="M703" s="156"/>
      <c r="N703" s="79"/>
      <c r="O703" s="79"/>
      <c r="P703" s="79"/>
      <c r="Q703" s="79"/>
      <c r="R703" s="79"/>
      <c r="S703" s="82"/>
      <c r="T703" s="82"/>
      <c r="U703" s="82"/>
      <c r="V703" s="82"/>
      <c r="W703" s="82"/>
      <c r="X703" s="82"/>
      <c r="Y703" s="82"/>
      <c r="Z703" s="82"/>
      <c r="AA703" s="82"/>
    </row>
    <row r="704" ht="15.75" customHeight="1">
      <c r="A704" s="261"/>
      <c r="B704" s="171"/>
      <c r="C704" s="172"/>
      <c r="D704" s="172"/>
      <c r="E704" s="154"/>
      <c r="F704" s="162"/>
      <c r="G704" s="162"/>
      <c r="H704" s="162"/>
      <c r="I704" s="162"/>
      <c r="J704" s="174"/>
      <c r="K704" s="162"/>
      <c r="L704" s="129"/>
      <c r="M704" s="156"/>
      <c r="N704" s="79"/>
      <c r="O704" s="79"/>
      <c r="P704" s="79"/>
      <c r="Q704" s="79"/>
      <c r="R704" s="79"/>
      <c r="S704" s="82"/>
      <c r="T704" s="82"/>
      <c r="U704" s="82"/>
      <c r="V704" s="82"/>
      <c r="W704" s="82"/>
      <c r="X704" s="82"/>
      <c r="Y704" s="82"/>
      <c r="Z704" s="82"/>
      <c r="AA704" s="82"/>
    </row>
    <row r="705" ht="15.75" customHeight="1">
      <c r="A705" s="261"/>
      <c r="B705" s="171"/>
      <c r="C705" s="172"/>
      <c r="D705" s="172"/>
      <c r="E705" s="154"/>
      <c r="F705" s="162"/>
      <c r="G705" s="162"/>
      <c r="H705" s="162"/>
      <c r="I705" s="162"/>
      <c r="J705" s="174"/>
      <c r="K705" s="162"/>
      <c r="L705" s="129"/>
      <c r="M705" s="156"/>
      <c r="N705" s="79"/>
      <c r="O705" s="79"/>
      <c r="P705" s="79"/>
      <c r="Q705" s="79"/>
      <c r="R705" s="79"/>
      <c r="S705" s="82"/>
      <c r="T705" s="82"/>
      <c r="U705" s="82"/>
      <c r="V705" s="82"/>
      <c r="W705" s="82"/>
      <c r="X705" s="82"/>
      <c r="Y705" s="82"/>
      <c r="Z705" s="82"/>
      <c r="AA705" s="82"/>
    </row>
    <row r="706" ht="15.75" customHeight="1">
      <c r="A706" s="261"/>
      <c r="B706" s="171"/>
      <c r="C706" s="172"/>
      <c r="D706" s="172"/>
      <c r="E706" s="154"/>
      <c r="F706" s="162"/>
      <c r="G706" s="162"/>
      <c r="H706" s="162"/>
      <c r="I706" s="162"/>
      <c r="J706" s="174"/>
      <c r="K706" s="162"/>
      <c r="L706" s="129"/>
      <c r="M706" s="156"/>
      <c r="N706" s="79"/>
      <c r="O706" s="79"/>
      <c r="P706" s="79"/>
      <c r="Q706" s="79"/>
      <c r="R706" s="79"/>
      <c r="S706" s="82"/>
      <c r="T706" s="82"/>
      <c r="U706" s="82"/>
      <c r="V706" s="82"/>
      <c r="W706" s="82"/>
      <c r="X706" s="82"/>
      <c r="Y706" s="82"/>
      <c r="Z706" s="82"/>
      <c r="AA706" s="82"/>
    </row>
    <row r="707" ht="15.75" customHeight="1">
      <c r="A707" s="261"/>
      <c r="B707" s="171"/>
      <c r="C707" s="172"/>
      <c r="D707" s="172"/>
      <c r="E707" s="154"/>
      <c r="F707" s="162"/>
      <c r="G707" s="162"/>
      <c r="H707" s="162"/>
      <c r="I707" s="162"/>
      <c r="J707" s="174"/>
      <c r="K707" s="162"/>
      <c r="L707" s="129"/>
      <c r="M707" s="156"/>
      <c r="N707" s="79"/>
      <c r="O707" s="79"/>
      <c r="P707" s="79"/>
      <c r="Q707" s="79"/>
      <c r="R707" s="79"/>
      <c r="S707" s="82"/>
      <c r="T707" s="82"/>
      <c r="U707" s="82"/>
      <c r="V707" s="82"/>
      <c r="W707" s="82"/>
      <c r="X707" s="82"/>
      <c r="Y707" s="82"/>
      <c r="Z707" s="82"/>
      <c r="AA707" s="82"/>
    </row>
    <row r="708" ht="15.75" customHeight="1">
      <c r="A708" s="261"/>
      <c r="B708" s="171"/>
      <c r="C708" s="172"/>
      <c r="D708" s="172"/>
      <c r="E708" s="154"/>
      <c r="F708" s="162"/>
      <c r="G708" s="162"/>
      <c r="H708" s="162"/>
      <c r="I708" s="162"/>
      <c r="J708" s="174"/>
      <c r="K708" s="162"/>
      <c r="L708" s="129"/>
      <c r="M708" s="156"/>
      <c r="N708" s="79"/>
      <c r="O708" s="79"/>
      <c r="P708" s="79"/>
      <c r="Q708" s="79"/>
      <c r="R708" s="79"/>
      <c r="S708" s="82"/>
      <c r="T708" s="82"/>
      <c r="U708" s="82"/>
      <c r="V708" s="82"/>
      <c r="W708" s="82"/>
      <c r="X708" s="82"/>
      <c r="Y708" s="82"/>
      <c r="Z708" s="82"/>
      <c r="AA708" s="82"/>
    </row>
    <row r="709" ht="15.75" customHeight="1">
      <c r="A709" s="261"/>
      <c r="B709" s="171"/>
      <c r="C709" s="172"/>
      <c r="D709" s="172"/>
      <c r="E709" s="154"/>
      <c r="F709" s="162"/>
      <c r="G709" s="162"/>
      <c r="H709" s="162"/>
      <c r="I709" s="162"/>
      <c r="J709" s="174"/>
      <c r="K709" s="162"/>
      <c r="L709" s="129"/>
      <c r="M709" s="156"/>
      <c r="N709" s="79"/>
      <c r="O709" s="79"/>
      <c r="P709" s="79"/>
      <c r="Q709" s="79"/>
      <c r="R709" s="79"/>
      <c r="S709" s="82"/>
      <c r="T709" s="82"/>
      <c r="U709" s="82"/>
      <c r="V709" s="82"/>
      <c r="W709" s="82"/>
      <c r="X709" s="82"/>
      <c r="Y709" s="82"/>
      <c r="Z709" s="82"/>
      <c r="AA709" s="82"/>
    </row>
    <row r="710" ht="15.75" customHeight="1">
      <c r="A710" s="261"/>
      <c r="B710" s="171"/>
      <c r="C710" s="172"/>
      <c r="D710" s="172"/>
      <c r="E710" s="154"/>
      <c r="F710" s="162"/>
      <c r="G710" s="162"/>
      <c r="H710" s="162"/>
      <c r="I710" s="162"/>
      <c r="J710" s="174"/>
      <c r="K710" s="162"/>
      <c r="L710" s="129"/>
      <c r="M710" s="156"/>
      <c r="N710" s="79"/>
      <c r="O710" s="79"/>
      <c r="P710" s="79"/>
      <c r="Q710" s="79"/>
      <c r="R710" s="79"/>
      <c r="S710" s="82"/>
      <c r="T710" s="82"/>
      <c r="U710" s="82"/>
      <c r="V710" s="82"/>
      <c r="W710" s="82"/>
      <c r="X710" s="82"/>
      <c r="Y710" s="82"/>
      <c r="Z710" s="82"/>
      <c r="AA710" s="82"/>
    </row>
    <row r="711" ht="15.75" customHeight="1">
      <c r="A711" s="261"/>
      <c r="B711" s="171"/>
      <c r="C711" s="172"/>
      <c r="D711" s="172"/>
      <c r="E711" s="154"/>
      <c r="F711" s="162"/>
      <c r="G711" s="162"/>
      <c r="H711" s="162"/>
      <c r="I711" s="162"/>
      <c r="J711" s="174"/>
      <c r="K711" s="162"/>
      <c r="L711" s="129"/>
      <c r="M711" s="156"/>
      <c r="N711" s="79"/>
      <c r="O711" s="79"/>
      <c r="P711" s="79"/>
      <c r="Q711" s="79"/>
      <c r="R711" s="79"/>
      <c r="S711" s="82"/>
      <c r="T711" s="82"/>
      <c r="U711" s="82"/>
      <c r="V711" s="82"/>
      <c r="W711" s="82"/>
      <c r="X711" s="82"/>
      <c r="Y711" s="82"/>
      <c r="Z711" s="82"/>
      <c r="AA711" s="82"/>
    </row>
    <row r="712" ht="15.75" customHeight="1">
      <c r="A712" s="261"/>
      <c r="B712" s="171"/>
      <c r="C712" s="172"/>
      <c r="D712" s="172"/>
      <c r="E712" s="154"/>
      <c r="F712" s="162"/>
      <c r="G712" s="162"/>
      <c r="H712" s="162"/>
      <c r="I712" s="162"/>
      <c r="J712" s="174"/>
      <c r="K712" s="162"/>
      <c r="L712" s="129"/>
      <c r="M712" s="156"/>
      <c r="N712" s="79"/>
      <c r="O712" s="79"/>
      <c r="P712" s="79"/>
      <c r="Q712" s="79"/>
      <c r="R712" s="79"/>
      <c r="S712" s="82"/>
      <c r="T712" s="82"/>
      <c r="U712" s="82"/>
      <c r="V712" s="82"/>
      <c r="W712" s="82"/>
      <c r="X712" s="82"/>
      <c r="Y712" s="82"/>
      <c r="Z712" s="82"/>
      <c r="AA712" s="82"/>
    </row>
    <row r="713" ht="15.75" customHeight="1">
      <c r="A713" s="261"/>
      <c r="B713" s="171"/>
      <c r="C713" s="172"/>
      <c r="D713" s="172"/>
      <c r="E713" s="154"/>
      <c r="F713" s="162"/>
      <c r="G713" s="162"/>
      <c r="H713" s="162"/>
      <c r="I713" s="162"/>
      <c r="J713" s="174"/>
      <c r="K713" s="162"/>
      <c r="L713" s="129"/>
      <c r="M713" s="156"/>
      <c r="N713" s="79"/>
      <c r="O713" s="79"/>
      <c r="P713" s="79"/>
      <c r="Q713" s="79"/>
      <c r="R713" s="79"/>
      <c r="S713" s="82"/>
      <c r="T713" s="82"/>
      <c r="U713" s="82"/>
      <c r="V713" s="82"/>
      <c r="W713" s="82"/>
      <c r="X713" s="82"/>
      <c r="Y713" s="82"/>
      <c r="Z713" s="82"/>
      <c r="AA713" s="82"/>
    </row>
    <row r="714" ht="15.75" customHeight="1">
      <c r="A714" s="261"/>
      <c r="B714" s="171"/>
      <c r="C714" s="172"/>
      <c r="D714" s="172"/>
      <c r="E714" s="154"/>
      <c r="F714" s="162"/>
      <c r="G714" s="162"/>
      <c r="H714" s="162"/>
      <c r="I714" s="162"/>
      <c r="J714" s="174"/>
      <c r="K714" s="162"/>
      <c r="L714" s="129"/>
      <c r="M714" s="156"/>
      <c r="N714" s="79"/>
      <c r="O714" s="79"/>
      <c r="P714" s="79"/>
      <c r="Q714" s="79"/>
      <c r="R714" s="79"/>
      <c r="S714" s="82"/>
      <c r="T714" s="82"/>
      <c r="U714" s="82"/>
      <c r="V714" s="82"/>
      <c r="W714" s="82"/>
      <c r="X714" s="82"/>
      <c r="Y714" s="82"/>
      <c r="Z714" s="82"/>
      <c r="AA714" s="82"/>
    </row>
    <row r="715" ht="15.75" customHeight="1">
      <c r="A715" s="261"/>
      <c r="B715" s="171"/>
      <c r="C715" s="172"/>
      <c r="D715" s="172"/>
      <c r="E715" s="154"/>
      <c r="F715" s="162"/>
      <c r="G715" s="162"/>
      <c r="H715" s="162"/>
      <c r="I715" s="162"/>
      <c r="J715" s="174"/>
      <c r="K715" s="162"/>
      <c r="L715" s="129"/>
      <c r="M715" s="156"/>
      <c r="N715" s="79"/>
      <c r="O715" s="79"/>
      <c r="P715" s="79"/>
      <c r="Q715" s="79"/>
      <c r="R715" s="79"/>
      <c r="S715" s="82"/>
      <c r="T715" s="82"/>
      <c r="U715" s="82"/>
      <c r="V715" s="82"/>
      <c r="W715" s="82"/>
      <c r="X715" s="82"/>
      <c r="Y715" s="82"/>
      <c r="Z715" s="82"/>
      <c r="AA715" s="82"/>
    </row>
    <row r="716" ht="15.75" customHeight="1">
      <c r="A716" s="261"/>
      <c r="B716" s="171"/>
      <c r="C716" s="172"/>
      <c r="D716" s="172"/>
      <c r="E716" s="154"/>
      <c r="F716" s="162"/>
      <c r="G716" s="162"/>
      <c r="H716" s="162"/>
      <c r="I716" s="162"/>
      <c r="J716" s="174"/>
      <c r="K716" s="162"/>
      <c r="L716" s="129"/>
      <c r="M716" s="156"/>
      <c r="N716" s="79"/>
      <c r="O716" s="79"/>
      <c r="P716" s="79"/>
      <c r="Q716" s="79"/>
      <c r="R716" s="79"/>
      <c r="S716" s="82"/>
      <c r="T716" s="82"/>
      <c r="U716" s="82"/>
      <c r="V716" s="82"/>
      <c r="W716" s="82"/>
      <c r="X716" s="82"/>
      <c r="Y716" s="82"/>
      <c r="Z716" s="82"/>
      <c r="AA716" s="82"/>
    </row>
    <row r="717" ht="15.75" customHeight="1">
      <c r="A717" s="261"/>
      <c r="B717" s="171"/>
      <c r="C717" s="172"/>
      <c r="D717" s="172"/>
      <c r="E717" s="154"/>
      <c r="F717" s="162"/>
      <c r="G717" s="162"/>
      <c r="H717" s="162"/>
      <c r="I717" s="162"/>
      <c r="J717" s="174"/>
      <c r="K717" s="162"/>
      <c r="L717" s="129"/>
      <c r="M717" s="156"/>
      <c r="N717" s="79"/>
      <c r="O717" s="79"/>
      <c r="P717" s="79"/>
      <c r="Q717" s="79"/>
      <c r="R717" s="79"/>
      <c r="S717" s="82"/>
      <c r="T717" s="82"/>
      <c r="U717" s="82"/>
      <c r="V717" s="82"/>
      <c r="W717" s="82"/>
      <c r="X717" s="82"/>
      <c r="Y717" s="82"/>
      <c r="Z717" s="82"/>
      <c r="AA717" s="82"/>
    </row>
    <row r="718" ht="15.75" customHeight="1">
      <c r="A718" s="261"/>
      <c r="B718" s="171"/>
      <c r="C718" s="172"/>
      <c r="D718" s="172"/>
      <c r="E718" s="154"/>
      <c r="F718" s="162"/>
      <c r="G718" s="162"/>
      <c r="H718" s="162"/>
      <c r="I718" s="162"/>
      <c r="J718" s="174"/>
      <c r="K718" s="162"/>
      <c r="L718" s="129"/>
      <c r="M718" s="156"/>
      <c r="N718" s="79"/>
      <c r="O718" s="79"/>
      <c r="P718" s="79"/>
      <c r="Q718" s="79"/>
      <c r="R718" s="79"/>
      <c r="S718" s="82"/>
      <c r="T718" s="82"/>
      <c r="U718" s="82"/>
      <c r="V718" s="82"/>
      <c r="W718" s="82"/>
      <c r="X718" s="82"/>
      <c r="Y718" s="82"/>
      <c r="Z718" s="82"/>
      <c r="AA718" s="82"/>
    </row>
    <row r="719" ht="15.75" customHeight="1">
      <c r="A719" s="261"/>
      <c r="B719" s="171"/>
      <c r="C719" s="172"/>
      <c r="D719" s="172"/>
      <c r="E719" s="154"/>
      <c r="F719" s="162"/>
      <c r="G719" s="162"/>
      <c r="H719" s="162"/>
      <c r="I719" s="162"/>
      <c r="J719" s="174"/>
      <c r="K719" s="162"/>
      <c r="L719" s="129"/>
      <c r="M719" s="156"/>
      <c r="N719" s="79"/>
      <c r="O719" s="79"/>
      <c r="P719" s="79"/>
      <c r="Q719" s="79"/>
      <c r="R719" s="79"/>
      <c r="S719" s="82"/>
      <c r="T719" s="82"/>
      <c r="U719" s="82"/>
      <c r="V719" s="82"/>
      <c r="W719" s="82"/>
      <c r="X719" s="82"/>
      <c r="Y719" s="82"/>
      <c r="Z719" s="82"/>
      <c r="AA719" s="82"/>
    </row>
    <row r="720" ht="15.75" customHeight="1">
      <c r="A720" s="261"/>
      <c r="B720" s="171"/>
      <c r="C720" s="172"/>
      <c r="D720" s="172"/>
      <c r="E720" s="154"/>
      <c r="F720" s="162"/>
      <c r="G720" s="162"/>
      <c r="H720" s="162"/>
      <c r="I720" s="162"/>
      <c r="J720" s="174"/>
      <c r="K720" s="162"/>
      <c r="L720" s="129"/>
      <c r="M720" s="156"/>
      <c r="N720" s="79"/>
      <c r="O720" s="79"/>
      <c r="P720" s="79"/>
      <c r="Q720" s="79"/>
      <c r="R720" s="79"/>
      <c r="S720" s="82"/>
      <c r="T720" s="82"/>
      <c r="U720" s="82"/>
      <c r="V720" s="82"/>
      <c r="W720" s="82"/>
      <c r="X720" s="82"/>
      <c r="Y720" s="82"/>
      <c r="Z720" s="82"/>
      <c r="AA720" s="82"/>
    </row>
    <row r="721" ht="15.75" customHeight="1">
      <c r="A721" s="261"/>
      <c r="B721" s="171"/>
      <c r="C721" s="172"/>
      <c r="D721" s="172"/>
      <c r="E721" s="154"/>
      <c r="F721" s="162"/>
      <c r="G721" s="162"/>
      <c r="H721" s="162"/>
      <c r="I721" s="162"/>
      <c r="J721" s="174"/>
      <c r="K721" s="162"/>
      <c r="L721" s="129"/>
      <c r="M721" s="156"/>
      <c r="N721" s="79"/>
      <c r="O721" s="79"/>
      <c r="P721" s="79"/>
      <c r="Q721" s="79"/>
      <c r="R721" s="79"/>
      <c r="S721" s="82"/>
      <c r="T721" s="82"/>
      <c r="U721" s="82"/>
      <c r="V721" s="82"/>
      <c r="W721" s="82"/>
      <c r="X721" s="82"/>
      <c r="Y721" s="82"/>
      <c r="Z721" s="82"/>
      <c r="AA721" s="82"/>
    </row>
    <row r="722" ht="15.75" customHeight="1">
      <c r="A722" s="261"/>
      <c r="B722" s="171"/>
      <c r="C722" s="172"/>
      <c r="D722" s="172"/>
      <c r="E722" s="154"/>
      <c r="F722" s="162"/>
      <c r="G722" s="162"/>
      <c r="H722" s="162"/>
      <c r="I722" s="162"/>
      <c r="J722" s="174"/>
      <c r="K722" s="162"/>
      <c r="L722" s="129"/>
      <c r="M722" s="156"/>
      <c r="N722" s="79"/>
      <c r="O722" s="79"/>
      <c r="P722" s="79"/>
      <c r="Q722" s="79"/>
      <c r="R722" s="79"/>
      <c r="S722" s="82"/>
      <c r="T722" s="82"/>
      <c r="U722" s="82"/>
      <c r="V722" s="82"/>
      <c r="W722" s="82"/>
      <c r="X722" s="82"/>
      <c r="Y722" s="82"/>
      <c r="Z722" s="82"/>
      <c r="AA722" s="82"/>
    </row>
    <row r="723" ht="15.75" customHeight="1">
      <c r="A723" s="261"/>
      <c r="B723" s="171"/>
      <c r="C723" s="172"/>
      <c r="D723" s="172"/>
      <c r="E723" s="154"/>
      <c r="F723" s="162"/>
      <c r="G723" s="162"/>
      <c r="H723" s="162"/>
      <c r="I723" s="162"/>
      <c r="J723" s="174"/>
      <c r="K723" s="162"/>
      <c r="L723" s="129"/>
      <c r="M723" s="156"/>
      <c r="N723" s="79"/>
      <c r="O723" s="79"/>
      <c r="P723" s="79"/>
      <c r="Q723" s="79"/>
      <c r="R723" s="79"/>
      <c r="S723" s="82"/>
      <c r="T723" s="82"/>
      <c r="U723" s="82"/>
      <c r="V723" s="82"/>
      <c r="W723" s="82"/>
      <c r="X723" s="82"/>
      <c r="Y723" s="82"/>
      <c r="Z723" s="82"/>
      <c r="AA723" s="82"/>
    </row>
    <row r="724" ht="15.75" customHeight="1">
      <c r="A724" s="261"/>
      <c r="B724" s="171"/>
      <c r="C724" s="172"/>
      <c r="D724" s="172"/>
      <c r="E724" s="154"/>
      <c r="F724" s="162"/>
      <c r="G724" s="162"/>
      <c r="H724" s="162"/>
      <c r="I724" s="162"/>
      <c r="J724" s="174"/>
      <c r="K724" s="162"/>
      <c r="L724" s="129"/>
      <c r="M724" s="156"/>
      <c r="N724" s="79"/>
      <c r="O724" s="79"/>
      <c r="P724" s="79"/>
      <c r="Q724" s="79"/>
      <c r="R724" s="79"/>
      <c r="S724" s="82"/>
      <c r="T724" s="82"/>
      <c r="U724" s="82"/>
      <c r="V724" s="82"/>
      <c r="W724" s="82"/>
      <c r="X724" s="82"/>
      <c r="Y724" s="82"/>
      <c r="Z724" s="82"/>
      <c r="AA724" s="82"/>
    </row>
    <row r="725" ht="15.75" customHeight="1">
      <c r="A725" s="261"/>
      <c r="B725" s="171"/>
      <c r="C725" s="172"/>
      <c r="D725" s="172"/>
      <c r="E725" s="154"/>
      <c r="F725" s="162"/>
      <c r="G725" s="162"/>
      <c r="H725" s="162"/>
      <c r="I725" s="162"/>
      <c r="J725" s="174"/>
      <c r="K725" s="162"/>
      <c r="L725" s="129"/>
      <c r="M725" s="156"/>
      <c r="N725" s="79"/>
      <c r="O725" s="79"/>
      <c r="P725" s="79"/>
      <c r="Q725" s="79"/>
      <c r="R725" s="79"/>
      <c r="S725" s="82"/>
      <c r="T725" s="82"/>
      <c r="U725" s="82"/>
      <c r="V725" s="82"/>
      <c r="W725" s="82"/>
      <c r="X725" s="82"/>
      <c r="Y725" s="82"/>
      <c r="Z725" s="82"/>
      <c r="AA725" s="82"/>
    </row>
    <row r="726" ht="15.75" customHeight="1">
      <c r="A726" s="261"/>
      <c r="B726" s="171"/>
      <c r="C726" s="172"/>
      <c r="D726" s="172"/>
      <c r="E726" s="154"/>
      <c r="F726" s="162"/>
      <c r="G726" s="162"/>
      <c r="H726" s="162"/>
      <c r="I726" s="162"/>
      <c r="J726" s="174"/>
      <c r="K726" s="162"/>
      <c r="L726" s="129"/>
      <c r="M726" s="156"/>
      <c r="N726" s="79"/>
      <c r="O726" s="79"/>
      <c r="P726" s="79"/>
      <c r="Q726" s="79"/>
      <c r="R726" s="79"/>
      <c r="S726" s="82"/>
      <c r="T726" s="82"/>
      <c r="U726" s="82"/>
      <c r="V726" s="82"/>
      <c r="W726" s="82"/>
      <c r="X726" s="82"/>
      <c r="Y726" s="82"/>
      <c r="Z726" s="82"/>
      <c r="AA726" s="82"/>
    </row>
    <row r="727" ht="15.75" customHeight="1">
      <c r="A727" s="261"/>
      <c r="B727" s="171"/>
      <c r="C727" s="172"/>
      <c r="D727" s="172"/>
      <c r="E727" s="154"/>
      <c r="F727" s="162"/>
      <c r="G727" s="162"/>
      <c r="H727" s="162"/>
      <c r="I727" s="162"/>
      <c r="J727" s="174"/>
      <c r="K727" s="162"/>
      <c r="L727" s="129"/>
      <c r="M727" s="156"/>
      <c r="N727" s="79"/>
      <c r="O727" s="79"/>
      <c r="P727" s="79"/>
      <c r="Q727" s="79"/>
      <c r="R727" s="79"/>
      <c r="S727" s="82"/>
      <c r="T727" s="82"/>
      <c r="U727" s="82"/>
      <c r="V727" s="82"/>
      <c r="W727" s="82"/>
      <c r="X727" s="82"/>
      <c r="Y727" s="82"/>
      <c r="Z727" s="82"/>
      <c r="AA727" s="82"/>
    </row>
    <row r="728" ht="15.75" customHeight="1">
      <c r="A728" s="261"/>
      <c r="B728" s="171"/>
      <c r="C728" s="172"/>
      <c r="D728" s="172"/>
      <c r="E728" s="154"/>
      <c r="F728" s="162"/>
      <c r="G728" s="162"/>
      <c r="H728" s="162"/>
      <c r="I728" s="162"/>
      <c r="J728" s="174"/>
      <c r="K728" s="162"/>
      <c r="L728" s="129"/>
      <c r="M728" s="156"/>
      <c r="N728" s="79"/>
      <c r="O728" s="79"/>
      <c r="P728" s="79"/>
      <c r="Q728" s="79"/>
      <c r="R728" s="79"/>
      <c r="S728" s="82"/>
      <c r="T728" s="82"/>
      <c r="U728" s="82"/>
      <c r="V728" s="82"/>
      <c r="W728" s="82"/>
      <c r="X728" s="82"/>
      <c r="Y728" s="82"/>
      <c r="Z728" s="82"/>
      <c r="AA728" s="82"/>
    </row>
    <row r="729" ht="15.75" customHeight="1">
      <c r="A729" s="261"/>
      <c r="B729" s="171"/>
      <c r="C729" s="172"/>
      <c r="D729" s="172"/>
      <c r="E729" s="154"/>
      <c r="F729" s="162"/>
      <c r="G729" s="162"/>
      <c r="H729" s="162"/>
      <c r="I729" s="162"/>
      <c r="J729" s="174"/>
      <c r="K729" s="162"/>
      <c r="L729" s="129"/>
      <c r="M729" s="156"/>
      <c r="N729" s="79"/>
      <c r="O729" s="79"/>
      <c r="P729" s="79"/>
      <c r="Q729" s="79"/>
      <c r="R729" s="79"/>
      <c r="S729" s="82"/>
      <c r="T729" s="82"/>
      <c r="U729" s="82"/>
      <c r="V729" s="82"/>
      <c r="W729" s="82"/>
      <c r="X729" s="82"/>
      <c r="Y729" s="82"/>
      <c r="Z729" s="82"/>
      <c r="AA729" s="82"/>
    </row>
    <row r="730" ht="15.75" customHeight="1">
      <c r="A730" s="261"/>
      <c r="B730" s="171"/>
      <c r="C730" s="172"/>
      <c r="D730" s="172"/>
      <c r="E730" s="154"/>
      <c r="F730" s="162"/>
      <c r="G730" s="162"/>
      <c r="H730" s="162"/>
      <c r="I730" s="162"/>
      <c r="J730" s="174"/>
      <c r="K730" s="162"/>
      <c r="L730" s="129"/>
      <c r="M730" s="156"/>
      <c r="N730" s="79"/>
      <c r="O730" s="79"/>
      <c r="P730" s="79"/>
      <c r="Q730" s="79"/>
      <c r="R730" s="79"/>
      <c r="S730" s="82"/>
      <c r="T730" s="82"/>
      <c r="U730" s="82"/>
      <c r="V730" s="82"/>
      <c r="W730" s="82"/>
      <c r="X730" s="82"/>
      <c r="Y730" s="82"/>
      <c r="Z730" s="82"/>
      <c r="AA730" s="82"/>
    </row>
    <row r="731" ht="15.75" customHeight="1">
      <c r="A731" s="261"/>
      <c r="B731" s="171"/>
      <c r="C731" s="172"/>
      <c r="D731" s="172"/>
      <c r="E731" s="154"/>
      <c r="F731" s="162"/>
      <c r="G731" s="162"/>
      <c r="H731" s="162"/>
      <c r="I731" s="162"/>
      <c r="J731" s="174"/>
      <c r="K731" s="162"/>
      <c r="L731" s="129"/>
      <c r="M731" s="156"/>
      <c r="N731" s="79"/>
      <c r="O731" s="79"/>
      <c r="P731" s="79"/>
      <c r="Q731" s="79"/>
      <c r="R731" s="79"/>
      <c r="S731" s="82"/>
      <c r="T731" s="82"/>
      <c r="U731" s="82"/>
      <c r="V731" s="82"/>
      <c r="W731" s="82"/>
      <c r="X731" s="82"/>
      <c r="Y731" s="82"/>
      <c r="Z731" s="82"/>
      <c r="AA731" s="82"/>
    </row>
    <row r="732" ht="15.75" customHeight="1">
      <c r="A732" s="261"/>
      <c r="B732" s="171"/>
      <c r="C732" s="172"/>
      <c r="D732" s="172"/>
      <c r="E732" s="154"/>
      <c r="F732" s="162"/>
      <c r="G732" s="162"/>
      <c r="H732" s="162"/>
      <c r="I732" s="162"/>
      <c r="J732" s="174"/>
      <c r="K732" s="162"/>
      <c r="L732" s="129"/>
      <c r="M732" s="156"/>
      <c r="N732" s="79"/>
      <c r="O732" s="79"/>
      <c r="P732" s="79"/>
      <c r="Q732" s="79"/>
      <c r="R732" s="79"/>
      <c r="S732" s="82"/>
      <c r="T732" s="82"/>
      <c r="U732" s="82"/>
      <c r="V732" s="82"/>
      <c r="W732" s="82"/>
      <c r="X732" s="82"/>
      <c r="Y732" s="82"/>
      <c r="Z732" s="82"/>
      <c r="AA732" s="82"/>
    </row>
    <row r="733" ht="15.75" customHeight="1">
      <c r="A733" s="261"/>
      <c r="B733" s="171"/>
      <c r="C733" s="172"/>
      <c r="D733" s="172"/>
      <c r="E733" s="154"/>
      <c r="F733" s="162"/>
      <c r="G733" s="162"/>
      <c r="H733" s="162"/>
      <c r="I733" s="162"/>
      <c r="J733" s="174"/>
      <c r="K733" s="162"/>
      <c r="L733" s="129"/>
      <c r="M733" s="156"/>
      <c r="N733" s="79"/>
      <c r="O733" s="79"/>
      <c r="P733" s="79"/>
      <c r="Q733" s="79"/>
      <c r="R733" s="79"/>
      <c r="S733" s="82"/>
      <c r="T733" s="82"/>
      <c r="U733" s="82"/>
      <c r="V733" s="82"/>
      <c r="W733" s="82"/>
      <c r="X733" s="82"/>
      <c r="Y733" s="82"/>
      <c r="Z733" s="82"/>
      <c r="AA733" s="82"/>
    </row>
    <row r="734" ht="15.75" customHeight="1">
      <c r="A734" s="261"/>
      <c r="B734" s="171"/>
      <c r="C734" s="172"/>
      <c r="D734" s="172"/>
      <c r="E734" s="154"/>
      <c r="F734" s="162"/>
      <c r="G734" s="162"/>
      <c r="H734" s="162"/>
      <c r="I734" s="162"/>
      <c r="J734" s="174"/>
      <c r="K734" s="162"/>
      <c r="L734" s="129"/>
      <c r="M734" s="156"/>
      <c r="N734" s="79"/>
      <c r="O734" s="79"/>
      <c r="P734" s="79"/>
      <c r="Q734" s="79"/>
      <c r="R734" s="79"/>
      <c r="S734" s="82"/>
      <c r="T734" s="82"/>
      <c r="U734" s="82"/>
      <c r="V734" s="82"/>
      <c r="W734" s="82"/>
      <c r="X734" s="82"/>
      <c r="Y734" s="82"/>
      <c r="Z734" s="82"/>
      <c r="AA734" s="82"/>
    </row>
    <row r="735" ht="15.75" customHeight="1">
      <c r="A735" s="261"/>
      <c r="B735" s="171"/>
      <c r="C735" s="172"/>
      <c r="D735" s="172"/>
      <c r="E735" s="154"/>
      <c r="F735" s="162"/>
      <c r="G735" s="162"/>
      <c r="H735" s="162"/>
      <c r="I735" s="162"/>
      <c r="J735" s="174"/>
      <c r="K735" s="162"/>
      <c r="L735" s="129"/>
      <c r="M735" s="156"/>
      <c r="N735" s="79"/>
      <c r="O735" s="79"/>
      <c r="P735" s="79"/>
      <c r="Q735" s="79"/>
      <c r="R735" s="79"/>
      <c r="S735" s="82"/>
      <c r="T735" s="82"/>
      <c r="U735" s="82"/>
      <c r="V735" s="82"/>
      <c r="W735" s="82"/>
      <c r="X735" s="82"/>
      <c r="Y735" s="82"/>
      <c r="Z735" s="82"/>
      <c r="AA735" s="82"/>
    </row>
    <row r="736" ht="15.75" customHeight="1">
      <c r="A736" s="261"/>
      <c r="B736" s="171"/>
      <c r="C736" s="172"/>
      <c r="D736" s="172"/>
      <c r="E736" s="154"/>
      <c r="F736" s="162"/>
      <c r="G736" s="162"/>
      <c r="H736" s="162"/>
      <c r="I736" s="162"/>
      <c r="J736" s="174"/>
      <c r="K736" s="162"/>
      <c r="L736" s="129"/>
      <c r="M736" s="156"/>
      <c r="N736" s="79"/>
      <c r="O736" s="79"/>
      <c r="P736" s="79"/>
      <c r="Q736" s="79"/>
      <c r="R736" s="79"/>
      <c r="S736" s="82"/>
      <c r="T736" s="82"/>
      <c r="U736" s="82"/>
      <c r="V736" s="82"/>
      <c r="W736" s="82"/>
      <c r="X736" s="82"/>
      <c r="Y736" s="82"/>
      <c r="Z736" s="82"/>
      <c r="AA736" s="82"/>
    </row>
    <row r="737" ht="15.75" customHeight="1">
      <c r="A737" s="261"/>
      <c r="B737" s="171"/>
      <c r="C737" s="172"/>
      <c r="D737" s="172"/>
      <c r="E737" s="154"/>
      <c r="F737" s="162"/>
      <c r="G737" s="162"/>
      <c r="H737" s="162"/>
      <c r="I737" s="162"/>
      <c r="J737" s="174"/>
      <c r="K737" s="162"/>
      <c r="L737" s="129"/>
      <c r="M737" s="156"/>
      <c r="N737" s="79"/>
      <c r="O737" s="79"/>
      <c r="P737" s="79"/>
      <c r="Q737" s="79"/>
      <c r="R737" s="79"/>
      <c r="S737" s="82"/>
      <c r="T737" s="82"/>
      <c r="U737" s="82"/>
      <c r="V737" s="82"/>
      <c r="W737" s="82"/>
      <c r="X737" s="82"/>
      <c r="Y737" s="82"/>
      <c r="Z737" s="82"/>
      <c r="AA737" s="82"/>
    </row>
    <row r="738" ht="15.75" customHeight="1">
      <c r="A738" s="261"/>
      <c r="B738" s="171"/>
      <c r="C738" s="172"/>
      <c r="D738" s="172"/>
      <c r="E738" s="154"/>
      <c r="F738" s="162"/>
      <c r="G738" s="162"/>
      <c r="H738" s="162"/>
      <c r="I738" s="162"/>
      <c r="J738" s="174"/>
      <c r="K738" s="162"/>
      <c r="L738" s="129"/>
      <c r="M738" s="156"/>
      <c r="N738" s="79"/>
      <c r="O738" s="79"/>
      <c r="P738" s="79"/>
      <c r="Q738" s="79"/>
      <c r="R738" s="79"/>
      <c r="S738" s="82"/>
      <c r="T738" s="82"/>
      <c r="U738" s="82"/>
      <c r="V738" s="82"/>
      <c r="W738" s="82"/>
      <c r="X738" s="82"/>
      <c r="Y738" s="82"/>
      <c r="Z738" s="82"/>
      <c r="AA738" s="82"/>
    </row>
    <row r="739" ht="15.75" customHeight="1">
      <c r="A739" s="261"/>
      <c r="B739" s="171"/>
      <c r="C739" s="172"/>
      <c r="D739" s="172"/>
      <c r="E739" s="154"/>
      <c r="F739" s="162"/>
      <c r="G739" s="162"/>
      <c r="H739" s="162"/>
      <c r="I739" s="162"/>
      <c r="J739" s="174"/>
      <c r="K739" s="162"/>
      <c r="L739" s="129"/>
      <c r="M739" s="156"/>
      <c r="N739" s="79"/>
      <c r="O739" s="79"/>
      <c r="P739" s="79"/>
      <c r="Q739" s="79"/>
      <c r="R739" s="79"/>
      <c r="S739" s="82"/>
      <c r="T739" s="82"/>
      <c r="U739" s="82"/>
      <c r="V739" s="82"/>
      <c r="W739" s="82"/>
      <c r="X739" s="82"/>
      <c r="Y739" s="82"/>
      <c r="Z739" s="82"/>
      <c r="AA739" s="82"/>
    </row>
    <row r="740" ht="15.75" customHeight="1">
      <c r="A740" s="261"/>
      <c r="B740" s="171"/>
      <c r="C740" s="172"/>
      <c r="D740" s="172"/>
      <c r="E740" s="154"/>
      <c r="F740" s="162"/>
      <c r="G740" s="162"/>
      <c r="H740" s="162"/>
      <c r="I740" s="162"/>
      <c r="J740" s="174"/>
      <c r="K740" s="162"/>
      <c r="L740" s="129"/>
      <c r="M740" s="156"/>
      <c r="N740" s="79"/>
      <c r="O740" s="79"/>
      <c r="P740" s="79"/>
      <c r="Q740" s="79"/>
      <c r="R740" s="79"/>
      <c r="S740" s="82"/>
      <c r="T740" s="82"/>
      <c r="U740" s="82"/>
      <c r="V740" s="82"/>
      <c r="W740" s="82"/>
      <c r="X740" s="82"/>
      <c r="Y740" s="82"/>
      <c r="Z740" s="82"/>
      <c r="AA740" s="82"/>
    </row>
    <row r="741" ht="15.75" customHeight="1">
      <c r="A741" s="261"/>
      <c r="B741" s="171"/>
      <c r="C741" s="172"/>
      <c r="D741" s="172"/>
      <c r="E741" s="154"/>
      <c r="F741" s="162"/>
      <c r="G741" s="162"/>
      <c r="H741" s="162"/>
      <c r="I741" s="162"/>
      <c r="J741" s="174"/>
      <c r="K741" s="162"/>
      <c r="L741" s="129"/>
      <c r="M741" s="156"/>
      <c r="N741" s="79"/>
      <c r="O741" s="79"/>
      <c r="P741" s="79"/>
      <c r="Q741" s="79"/>
      <c r="R741" s="79"/>
      <c r="S741" s="82"/>
      <c r="T741" s="82"/>
      <c r="U741" s="82"/>
      <c r="V741" s="82"/>
      <c r="W741" s="82"/>
      <c r="X741" s="82"/>
      <c r="Y741" s="82"/>
      <c r="Z741" s="82"/>
      <c r="AA741" s="82"/>
    </row>
    <row r="742" ht="15.75" customHeight="1">
      <c r="A742" s="261"/>
      <c r="B742" s="171"/>
      <c r="C742" s="172"/>
      <c r="D742" s="172"/>
      <c r="E742" s="154"/>
      <c r="F742" s="162"/>
      <c r="G742" s="162"/>
      <c r="H742" s="162"/>
      <c r="I742" s="162"/>
      <c r="J742" s="174"/>
      <c r="K742" s="162"/>
      <c r="L742" s="129"/>
      <c r="M742" s="156"/>
      <c r="N742" s="79"/>
      <c r="O742" s="79"/>
      <c r="P742" s="79"/>
      <c r="Q742" s="79"/>
      <c r="R742" s="79"/>
      <c r="S742" s="82"/>
      <c r="T742" s="82"/>
      <c r="U742" s="82"/>
      <c r="V742" s="82"/>
      <c r="W742" s="82"/>
      <c r="X742" s="82"/>
      <c r="Y742" s="82"/>
      <c r="Z742" s="82"/>
      <c r="AA742" s="82"/>
    </row>
    <row r="743" ht="15.75" customHeight="1">
      <c r="A743" s="261"/>
      <c r="B743" s="171"/>
      <c r="C743" s="172"/>
      <c r="D743" s="172"/>
      <c r="E743" s="154"/>
      <c r="F743" s="162"/>
      <c r="G743" s="162"/>
      <c r="H743" s="162"/>
      <c r="I743" s="162"/>
      <c r="J743" s="174"/>
      <c r="K743" s="162"/>
      <c r="L743" s="129"/>
      <c r="M743" s="156"/>
      <c r="N743" s="79"/>
      <c r="O743" s="79"/>
      <c r="P743" s="79"/>
      <c r="Q743" s="79"/>
      <c r="R743" s="79"/>
      <c r="S743" s="82"/>
      <c r="T743" s="82"/>
      <c r="U743" s="82"/>
      <c r="V743" s="82"/>
      <c r="W743" s="82"/>
      <c r="X743" s="82"/>
      <c r="Y743" s="82"/>
      <c r="Z743" s="82"/>
      <c r="AA743" s="82"/>
    </row>
    <row r="744" ht="15.75" customHeight="1">
      <c r="A744" s="261"/>
      <c r="B744" s="171"/>
      <c r="C744" s="172"/>
      <c r="D744" s="172"/>
      <c r="E744" s="154"/>
      <c r="F744" s="162"/>
      <c r="G744" s="162"/>
      <c r="H744" s="162"/>
      <c r="I744" s="162"/>
      <c r="J744" s="174"/>
      <c r="K744" s="162"/>
      <c r="L744" s="129"/>
      <c r="M744" s="156"/>
      <c r="N744" s="79"/>
      <c r="O744" s="79"/>
      <c r="P744" s="79"/>
      <c r="Q744" s="79"/>
      <c r="R744" s="79"/>
      <c r="S744" s="82"/>
      <c r="T744" s="82"/>
      <c r="U744" s="82"/>
      <c r="V744" s="82"/>
      <c r="W744" s="82"/>
      <c r="X744" s="82"/>
      <c r="Y744" s="82"/>
      <c r="Z744" s="82"/>
      <c r="AA744" s="82"/>
    </row>
    <row r="745" ht="15.75" customHeight="1">
      <c r="A745" s="261"/>
      <c r="B745" s="171"/>
      <c r="C745" s="172"/>
      <c r="D745" s="172"/>
      <c r="E745" s="154"/>
      <c r="F745" s="162"/>
      <c r="G745" s="162"/>
      <c r="H745" s="162"/>
      <c r="I745" s="162"/>
      <c r="J745" s="174"/>
      <c r="K745" s="162"/>
      <c r="L745" s="129"/>
      <c r="M745" s="156"/>
      <c r="N745" s="79"/>
      <c r="O745" s="79"/>
      <c r="P745" s="79"/>
      <c r="Q745" s="79"/>
      <c r="R745" s="79"/>
      <c r="S745" s="82"/>
      <c r="T745" s="82"/>
      <c r="U745" s="82"/>
      <c r="V745" s="82"/>
      <c r="W745" s="82"/>
      <c r="X745" s="82"/>
      <c r="Y745" s="82"/>
      <c r="Z745" s="82"/>
      <c r="AA745" s="82"/>
    </row>
    <row r="746" ht="15.75" customHeight="1">
      <c r="A746" s="261"/>
      <c r="B746" s="171"/>
      <c r="C746" s="172"/>
      <c r="D746" s="172"/>
      <c r="E746" s="154"/>
      <c r="F746" s="162"/>
      <c r="G746" s="162"/>
      <c r="H746" s="162"/>
      <c r="I746" s="162"/>
      <c r="J746" s="174"/>
      <c r="K746" s="162"/>
      <c r="L746" s="129"/>
      <c r="M746" s="156"/>
      <c r="N746" s="79"/>
      <c r="O746" s="79"/>
      <c r="P746" s="79"/>
      <c r="Q746" s="79"/>
      <c r="R746" s="79"/>
      <c r="S746" s="82"/>
      <c r="T746" s="82"/>
      <c r="U746" s="82"/>
      <c r="V746" s="82"/>
      <c r="W746" s="82"/>
      <c r="X746" s="82"/>
      <c r="Y746" s="82"/>
      <c r="Z746" s="82"/>
      <c r="AA746" s="82"/>
    </row>
    <row r="747" ht="15.75" customHeight="1">
      <c r="A747" s="261"/>
      <c r="B747" s="171"/>
      <c r="C747" s="172"/>
      <c r="D747" s="172"/>
      <c r="E747" s="154"/>
      <c r="F747" s="162"/>
      <c r="G747" s="162"/>
      <c r="H747" s="162"/>
      <c r="I747" s="162"/>
      <c r="J747" s="174"/>
      <c r="K747" s="162"/>
      <c r="L747" s="129"/>
      <c r="M747" s="156"/>
      <c r="N747" s="79"/>
      <c r="O747" s="79"/>
      <c r="P747" s="79"/>
      <c r="Q747" s="79"/>
      <c r="R747" s="79"/>
      <c r="S747" s="82"/>
      <c r="T747" s="82"/>
      <c r="U747" s="82"/>
      <c r="V747" s="82"/>
      <c r="W747" s="82"/>
      <c r="X747" s="82"/>
      <c r="Y747" s="82"/>
      <c r="Z747" s="82"/>
      <c r="AA747" s="82"/>
    </row>
    <row r="748" ht="15.75" customHeight="1">
      <c r="A748" s="261"/>
      <c r="B748" s="171"/>
      <c r="C748" s="172"/>
      <c r="D748" s="172"/>
      <c r="E748" s="154"/>
      <c r="F748" s="162"/>
      <c r="G748" s="162"/>
      <c r="H748" s="162"/>
      <c r="I748" s="162"/>
      <c r="J748" s="174"/>
      <c r="K748" s="162"/>
      <c r="L748" s="129"/>
      <c r="M748" s="156"/>
      <c r="N748" s="79"/>
      <c r="O748" s="79"/>
      <c r="P748" s="79"/>
      <c r="Q748" s="79"/>
      <c r="R748" s="79"/>
      <c r="S748" s="82"/>
      <c r="T748" s="82"/>
      <c r="U748" s="82"/>
      <c r="V748" s="82"/>
      <c r="W748" s="82"/>
      <c r="X748" s="82"/>
      <c r="Y748" s="82"/>
      <c r="Z748" s="82"/>
      <c r="AA748" s="82"/>
    </row>
    <row r="749" ht="15.75" customHeight="1">
      <c r="A749" s="261"/>
      <c r="B749" s="171"/>
      <c r="C749" s="172"/>
      <c r="D749" s="172"/>
      <c r="E749" s="154"/>
      <c r="F749" s="162"/>
      <c r="G749" s="162"/>
      <c r="H749" s="162"/>
      <c r="I749" s="162"/>
      <c r="J749" s="174"/>
      <c r="K749" s="162"/>
      <c r="L749" s="129"/>
      <c r="M749" s="156"/>
      <c r="N749" s="79"/>
      <c r="O749" s="79"/>
      <c r="P749" s="79"/>
      <c r="Q749" s="79"/>
      <c r="R749" s="79"/>
      <c r="S749" s="82"/>
      <c r="T749" s="82"/>
      <c r="U749" s="82"/>
      <c r="V749" s="82"/>
      <c r="W749" s="82"/>
      <c r="X749" s="82"/>
      <c r="Y749" s="82"/>
      <c r="Z749" s="82"/>
      <c r="AA749" s="82"/>
    </row>
    <row r="750" ht="15.75" customHeight="1">
      <c r="A750" s="261"/>
      <c r="B750" s="171"/>
      <c r="C750" s="172"/>
      <c r="D750" s="172"/>
      <c r="E750" s="154"/>
      <c r="F750" s="162"/>
      <c r="G750" s="162"/>
      <c r="H750" s="162"/>
      <c r="I750" s="162"/>
      <c r="J750" s="174"/>
      <c r="K750" s="162"/>
      <c r="L750" s="129"/>
      <c r="M750" s="156"/>
      <c r="N750" s="79"/>
      <c r="O750" s="79"/>
      <c r="P750" s="79"/>
      <c r="Q750" s="79"/>
      <c r="R750" s="79"/>
      <c r="S750" s="82"/>
      <c r="T750" s="82"/>
      <c r="U750" s="82"/>
      <c r="V750" s="82"/>
      <c r="W750" s="82"/>
      <c r="X750" s="82"/>
      <c r="Y750" s="82"/>
      <c r="Z750" s="82"/>
      <c r="AA750" s="82"/>
    </row>
    <row r="751" ht="15.75" customHeight="1">
      <c r="A751" s="261"/>
      <c r="B751" s="171"/>
      <c r="C751" s="172"/>
      <c r="D751" s="172"/>
      <c r="E751" s="154"/>
      <c r="F751" s="162"/>
      <c r="G751" s="162"/>
      <c r="H751" s="162"/>
      <c r="I751" s="162"/>
      <c r="J751" s="174"/>
      <c r="K751" s="162"/>
      <c r="L751" s="129"/>
      <c r="M751" s="156"/>
      <c r="N751" s="79"/>
      <c r="O751" s="79"/>
      <c r="P751" s="79"/>
      <c r="Q751" s="79"/>
      <c r="R751" s="79"/>
      <c r="S751" s="82"/>
      <c r="T751" s="82"/>
      <c r="U751" s="82"/>
      <c r="V751" s="82"/>
      <c r="W751" s="82"/>
      <c r="X751" s="82"/>
      <c r="Y751" s="82"/>
      <c r="Z751" s="82"/>
      <c r="AA751" s="82"/>
    </row>
    <row r="752" ht="15.75" customHeight="1">
      <c r="A752" s="261"/>
      <c r="B752" s="171"/>
      <c r="C752" s="172"/>
      <c r="D752" s="172"/>
      <c r="E752" s="154"/>
      <c r="F752" s="162"/>
      <c r="G752" s="162"/>
      <c r="H752" s="162"/>
      <c r="I752" s="162"/>
      <c r="J752" s="174"/>
      <c r="K752" s="162"/>
      <c r="L752" s="129"/>
      <c r="M752" s="156"/>
      <c r="N752" s="79"/>
      <c r="O752" s="79"/>
      <c r="P752" s="79"/>
      <c r="Q752" s="79"/>
      <c r="R752" s="79"/>
      <c r="S752" s="82"/>
      <c r="T752" s="82"/>
      <c r="U752" s="82"/>
      <c r="V752" s="82"/>
      <c r="W752" s="82"/>
      <c r="X752" s="82"/>
      <c r="Y752" s="82"/>
      <c r="Z752" s="82"/>
      <c r="AA752" s="82"/>
    </row>
    <row r="753" ht="15.75" customHeight="1">
      <c r="A753" s="261"/>
      <c r="B753" s="171"/>
      <c r="C753" s="172"/>
      <c r="D753" s="172"/>
      <c r="E753" s="154"/>
      <c r="F753" s="162"/>
      <c r="G753" s="162"/>
      <c r="H753" s="162"/>
      <c r="I753" s="162"/>
      <c r="J753" s="174"/>
      <c r="K753" s="162"/>
      <c r="L753" s="129"/>
      <c r="M753" s="156"/>
      <c r="N753" s="79"/>
      <c r="O753" s="79"/>
      <c r="P753" s="79"/>
      <c r="Q753" s="79"/>
      <c r="R753" s="79"/>
      <c r="S753" s="82"/>
      <c r="T753" s="82"/>
      <c r="U753" s="82"/>
      <c r="V753" s="82"/>
      <c r="W753" s="82"/>
      <c r="X753" s="82"/>
      <c r="Y753" s="82"/>
      <c r="Z753" s="82"/>
      <c r="AA753" s="82"/>
    </row>
    <row r="754" ht="15.75" customHeight="1">
      <c r="A754" s="261"/>
      <c r="B754" s="171"/>
      <c r="C754" s="172"/>
      <c r="D754" s="172"/>
      <c r="E754" s="154"/>
      <c r="F754" s="162"/>
      <c r="G754" s="162"/>
      <c r="H754" s="162"/>
      <c r="I754" s="162"/>
      <c r="J754" s="174"/>
      <c r="K754" s="162"/>
      <c r="L754" s="129"/>
      <c r="M754" s="156"/>
      <c r="N754" s="79"/>
      <c r="O754" s="79"/>
      <c r="P754" s="79"/>
      <c r="Q754" s="79"/>
      <c r="R754" s="79"/>
      <c r="S754" s="82"/>
      <c r="T754" s="82"/>
      <c r="U754" s="82"/>
      <c r="V754" s="82"/>
      <c r="W754" s="82"/>
      <c r="X754" s="82"/>
      <c r="Y754" s="82"/>
      <c r="Z754" s="82"/>
      <c r="AA754" s="82"/>
    </row>
    <row r="755" ht="15.75" customHeight="1">
      <c r="A755" s="261"/>
      <c r="B755" s="171"/>
      <c r="C755" s="172"/>
      <c r="D755" s="172"/>
      <c r="E755" s="154"/>
      <c r="F755" s="162"/>
      <c r="G755" s="162"/>
      <c r="H755" s="162"/>
      <c r="I755" s="162"/>
      <c r="J755" s="174"/>
      <c r="K755" s="162"/>
      <c r="L755" s="129"/>
      <c r="M755" s="156"/>
      <c r="N755" s="79"/>
      <c r="O755" s="79"/>
      <c r="P755" s="79"/>
      <c r="Q755" s="79"/>
      <c r="R755" s="79"/>
      <c r="S755" s="82"/>
      <c r="T755" s="82"/>
      <c r="U755" s="82"/>
      <c r="V755" s="82"/>
      <c r="W755" s="82"/>
      <c r="X755" s="82"/>
      <c r="Y755" s="82"/>
      <c r="Z755" s="82"/>
      <c r="AA755" s="82"/>
    </row>
    <row r="756" ht="15.75" customHeight="1">
      <c r="A756" s="261"/>
      <c r="B756" s="171"/>
      <c r="C756" s="172"/>
      <c r="D756" s="172"/>
      <c r="E756" s="154"/>
      <c r="F756" s="162"/>
      <c r="G756" s="162"/>
      <c r="H756" s="162"/>
      <c r="I756" s="162"/>
      <c r="J756" s="174"/>
      <c r="K756" s="162"/>
      <c r="L756" s="129"/>
      <c r="M756" s="156"/>
      <c r="N756" s="79"/>
      <c r="O756" s="79"/>
      <c r="P756" s="79"/>
      <c r="Q756" s="79"/>
      <c r="R756" s="79"/>
      <c r="S756" s="82"/>
      <c r="T756" s="82"/>
      <c r="U756" s="82"/>
      <c r="V756" s="82"/>
      <c r="W756" s="82"/>
      <c r="X756" s="82"/>
      <c r="Y756" s="82"/>
      <c r="Z756" s="82"/>
      <c r="AA756" s="82"/>
    </row>
    <row r="757" ht="15.75" customHeight="1">
      <c r="A757" s="261"/>
      <c r="B757" s="171"/>
      <c r="C757" s="172"/>
      <c r="D757" s="172"/>
      <c r="E757" s="154"/>
      <c r="F757" s="162"/>
      <c r="G757" s="162"/>
      <c r="H757" s="162"/>
      <c r="I757" s="162"/>
      <c r="J757" s="174"/>
      <c r="K757" s="162"/>
      <c r="L757" s="129"/>
      <c r="M757" s="156"/>
      <c r="N757" s="79"/>
      <c r="O757" s="79"/>
      <c r="P757" s="79"/>
      <c r="Q757" s="79"/>
      <c r="R757" s="79"/>
      <c r="S757" s="82"/>
      <c r="T757" s="82"/>
      <c r="U757" s="82"/>
      <c r="V757" s="82"/>
      <c r="W757" s="82"/>
      <c r="X757" s="82"/>
      <c r="Y757" s="82"/>
      <c r="Z757" s="82"/>
      <c r="AA757" s="82"/>
    </row>
    <row r="758" ht="15.75" customHeight="1">
      <c r="A758" s="261"/>
      <c r="B758" s="171"/>
      <c r="C758" s="172"/>
      <c r="D758" s="172"/>
      <c r="E758" s="154"/>
      <c r="F758" s="162"/>
      <c r="G758" s="162"/>
      <c r="H758" s="162"/>
      <c r="I758" s="162"/>
      <c r="J758" s="174"/>
      <c r="K758" s="162"/>
      <c r="L758" s="129"/>
      <c r="M758" s="156"/>
      <c r="N758" s="79"/>
      <c r="O758" s="79"/>
      <c r="P758" s="79"/>
      <c r="Q758" s="79"/>
      <c r="R758" s="79"/>
      <c r="S758" s="82"/>
      <c r="T758" s="82"/>
      <c r="U758" s="82"/>
      <c r="V758" s="82"/>
      <c r="W758" s="82"/>
      <c r="X758" s="82"/>
      <c r="Y758" s="82"/>
      <c r="Z758" s="82"/>
      <c r="AA758" s="82"/>
    </row>
    <row r="759" ht="15.75" customHeight="1">
      <c r="A759" s="261"/>
      <c r="B759" s="171"/>
      <c r="C759" s="172"/>
      <c r="D759" s="172"/>
      <c r="E759" s="154"/>
      <c r="F759" s="162"/>
      <c r="G759" s="162"/>
      <c r="H759" s="162"/>
      <c r="I759" s="162"/>
      <c r="J759" s="174"/>
      <c r="K759" s="162"/>
      <c r="L759" s="129"/>
      <c r="M759" s="156"/>
      <c r="N759" s="79"/>
      <c r="O759" s="79"/>
      <c r="P759" s="79"/>
      <c r="Q759" s="79"/>
      <c r="R759" s="79"/>
      <c r="S759" s="82"/>
      <c r="T759" s="82"/>
      <c r="U759" s="82"/>
      <c r="V759" s="82"/>
      <c r="W759" s="82"/>
      <c r="X759" s="82"/>
      <c r="Y759" s="82"/>
      <c r="Z759" s="82"/>
      <c r="AA759" s="82"/>
    </row>
    <row r="760" ht="15.75" customHeight="1">
      <c r="A760" s="261"/>
      <c r="B760" s="171"/>
      <c r="C760" s="172"/>
      <c r="D760" s="172"/>
      <c r="E760" s="154"/>
      <c r="F760" s="162"/>
      <c r="G760" s="162"/>
      <c r="H760" s="162"/>
      <c r="I760" s="162"/>
      <c r="J760" s="174"/>
      <c r="K760" s="162"/>
      <c r="L760" s="129"/>
      <c r="M760" s="156"/>
      <c r="N760" s="79"/>
      <c r="O760" s="79"/>
      <c r="P760" s="79"/>
      <c r="Q760" s="79"/>
      <c r="R760" s="79"/>
      <c r="S760" s="82"/>
      <c r="T760" s="82"/>
      <c r="U760" s="82"/>
      <c r="V760" s="82"/>
      <c r="W760" s="82"/>
      <c r="X760" s="82"/>
      <c r="Y760" s="82"/>
      <c r="Z760" s="82"/>
      <c r="AA760" s="82"/>
    </row>
    <row r="761" ht="15.75" customHeight="1">
      <c r="A761" s="261"/>
      <c r="B761" s="171"/>
      <c r="C761" s="172"/>
      <c r="D761" s="172"/>
      <c r="E761" s="154"/>
      <c r="F761" s="162"/>
      <c r="G761" s="162"/>
      <c r="H761" s="162"/>
      <c r="I761" s="162"/>
      <c r="J761" s="174"/>
      <c r="K761" s="162"/>
      <c r="L761" s="129"/>
      <c r="M761" s="156"/>
      <c r="N761" s="79"/>
      <c r="O761" s="79"/>
      <c r="P761" s="79"/>
      <c r="Q761" s="79"/>
      <c r="R761" s="79"/>
      <c r="S761" s="82"/>
      <c r="T761" s="82"/>
      <c r="U761" s="82"/>
      <c r="V761" s="82"/>
      <c r="W761" s="82"/>
      <c r="X761" s="82"/>
      <c r="Y761" s="82"/>
      <c r="Z761" s="82"/>
      <c r="AA761" s="82"/>
    </row>
    <row r="762" ht="15.75" customHeight="1">
      <c r="A762" s="261"/>
      <c r="B762" s="171"/>
      <c r="C762" s="172"/>
      <c r="D762" s="172"/>
      <c r="E762" s="154"/>
      <c r="F762" s="162"/>
      <c r="G762" s="162"/>
      <c r="H762" s="162"/>
      <c r="I762" s="162"/>
      <c r="J762" s="174"/>
      <c r="K762" s="162"/>
      <c r="L762" s="129"/>
      <c r="M762" s="156"/>
      <c r="N762" s="79"/>
      <c r="O762" s="79"/>
      <c r="P762" s="79"/>
      <c r="Q762" s="79"/>
      <c r="R762" s="79"/>
      <c r="S762" s="82"/>
      <c r="T762" s="82"/>
      <c r="U762" s="82"/>
      <c r="V762" s="82"/>
      <c r="W762" s="82"/>
      <c r="X762" s="82"/>
      <c r="Y762" s="82"/>
      <c r="Z762" s="82"/>
      <c r="AA762" s="82"/>
    </row>
    <row r="763" ht="15.75" customHeight="1">
      <c r="A763" s="261"/>
      <c r="B763" s="171"/>
      <c r="C763" s="172"/>
      <c r="D763" s="172"/>
      <c r="E763" s="154"/>
      <c r="F763" s="162"/>
      <c r="G763" s="162"/>
      <c r="H763" s="162"/>
      <c r="I763" s="162"/>
      <c r="J763" s="174"/>
      <c r="K763" s="162"/>
      <c r="L763" s="129"/>
      <c r="M763" s="156"/>
      <c r="N763" s="79"/>
      <c r="O763" s="79"/>
      <c r="P763" s="79"/>
      <c r="Q763" s="79"/>
      <c r="R763" s="79"/>
      <c r="S763" s="82"/>
      <c r="T763" s="82"/>
      <c r="U763" s="82"/>
      <c r="V763" s="82"/>
      <c r="W763" s="82"/>
      <c r="X763" s="82"/>
      <c r="Y763" s="82"/>
      <c r="Z763" s="82"/>
      <c r="AA763" s="82"/>
    </row>
    <row r="764" ht="15.75" customHeight="1">
      <c r="A764" s="261"/>
      <c r="B764" s="171"/>
      <c r="C764" s="172"/>
      <c r="D764" s="172"/>
      <c r="E764" s="154"/>
      <c r="F764" s="162"/>
      <c r="G764" s="162"/>
      <c r="H764" s="162"/>
      <c r="I764" s="162"/>
      <c r="J764" s="174"/>
      <c r="K764" s="162"/>
      <c r="L764" s="129"/>
      <c r="M764" s="156"/>
      <c r="N764" s="79"/>
      <c r="O764" s="79"/>
      <c r="P764" s="79"/>
      <c r="Q764" s="79"/>
      <c r="R764" s="79"/>
      <c r="S764" s="82"/>
      <c r="T764" s="82"/>
      <c r="U764" s="82"/>
      <c r="V764" s="82"/>
      <c r="W764" s="82"/>
      <c r="X764" s="82"/>
      <c r="Y764" s="82"/>
      <c r="Z764" s="82"/>
      <c r="AA764" s="82"/>
    </row>
    <row r="765" ht="15.75" customHeight="1">
      <c r="A765" s="261"/>
      <c r="B765" s="171"/>
      <c r="C765" s="172"/>
      <c r="D765" s="172"/>
      <c r="E765" s="154"/>
      <c r="F765" s="162"/>
      <c r="G765" s="162"/>
      <c r="H765" s="162"/>
      <c r="I765" s="162"/>
      <c r="J765" s="174"/>
      <c r="K765" s="162"/>
      <c r="L765" s="129"/>
      <c r="M765" s="156"/>
      <c r="N765" s="79"/>
      <c r="O765" s="79"/>
      <c r="P765" s="79"/>
      <c r="Q765" s="79"/>
      <c r="R765" s="79"/>
      <c r="S765" s="82"/>
      <c r="T765" s="82"/>
      <c r="U765" s="82"/>
      <c r="V765" s="82"/>
      <c r="W765" s="82"/>
      <c r="X765" s="82"/>
      <c r="Y765" s="82"/>
      <c r="Z765" s="82"/>
      <c r="AA765" s="82"/>
    </row>
    <row r="766" ht="15.75" customHeight="1">
      <c r="A766" s="261"/>
      <c r="B766" s="171"/>
      <c r="C766" s="172"/>
      <c r="D766" s="172"/>
      <c r="E766" s="154"/>
      <c r="F766" s="162"/>
      <c r="G766" s="162"/>
      <c r="H766" s="162"/>
      <c r="I766" s="162"/>
      <c r="J766" s="174"/>
      <c r="K766" s="162"/>
      <c r="L766" s="129"/>
      <c r="M766" s="156"/>
      <c r="N766" s="79"/>
      <c r="O766" s="79"/>
      <c r="P766" s="79"/>
      <c r="Q766" s="79"/>
      <c r="R766" s="79"/>
      <c r="S766" s="82"/>
      <c r="T766" s="82"/>
      <c r="U766" s="82"/>
      <c r="V766" s="82"/>
      <c r="W766" s="82"/>
      <c r="X766" s="82"/>
      <c r="Y766" s="82"/>
      <c r="Z766" s="82"/>
      <c r="AA766" s="82"/>
    </row>
    <row r="767" ht="15.75" customHeight="1">
      <c r="A767" s="261"/>
      <c r="B767" s="171"/>
      <c r="C767" s="172"/>
      <c r="D767" s="172"/>
      <c r="E767" s="154"/>
      <c r="F767" s="162"/>
      <c r="G767" s="162"/>
      <c r="H767" s="162"/>
      <c r="I767" s="162"/>
      <c r="J767" s="174"/>
      <c r="K767" s="162"/>
      <c r="L767" s="129"/>
      <c r="M767" s="156"/>
      <c r="N767" s="79"/>
      <c r="O767" s="79"/>
      <c r="P767" s="79"/>
      <c r="Q767" s="79"/>
      <c r="R767" s="79"/>
      <c r="S767" s="82"/>
      <c r="T767" s="82"/>
      <c r="U767" s="82"/>
      <c r="V767" s="82"/>
      <c r="W767" s="82"/>
      <c r="X767" s="82"/>
      <c r="Y767" s="82"/>
      <c r="Z767" s="82"/>
      <c r="AA767" s="82"/>
    </row>
    <row r="768" ht="15.75" customHeight="1">
      <c r="A768" s="261"/>
      <c r="B768" s="171"/>
      <c r="C768" s="172"/>
      <c r="D768" s="172"/>
      <c r="E768" s="154"/>
      <c r="F768" s="162"/>
      <c r="G768" s="162"/>
      <c r="H768" s="162"/>
      <c r="I768" s="162"/>
      <c r="J768" s="174"/>
      <c r="K768" s="162"/>
      <c r="L768" s="129"/>
      <c r="M768" s="156"/>
      <c r="N768" s="79"/>
      <c r="O768" s="79"/>
      <c r="P768" s="79"/>
      <c r="Q768" s="79"/>
      <c r="R768" s="79"/>
      <c r="S768" s="82"/>
      <c r="T768" s="82"/>
      <c r="U768" s="82"/>
      <c r="V768" s="82"/>
      <c r="W768" s="82"/>
      <c r="X768" s="82"/>
      <c r="Y768" s="82"/>
      <c r="Z768" s="82"/>
      <c r="AA768" s="82"/>
    </row>
    <row r="769" ht="15.75" customHeight="1">
      <c r="A769" s="261"/>
      <c r="B769" s="171"/>
      <c r="C769" s="172"/>
      <c r="D769" s="172"/>
      <c r="E769" s="154"/>
      <c r="F769" s="162"/>
      <c r="G769" s="162"/>
      <c r="H769" s="162"/>
      <c r="I769" s="162"/>
      <c r="J769" s="174"/>
      <c r="K769" s="162"/>
      <c r="L769" s="129"/>
      <c r="M769" s="156"/>
      <c r="N769" s="79"/>
      <c r="O769" s="79"/>
      <c r="P769" s="79"/>
      <c r="Q769" s="79"/>
      <c r="R769" s="79"/>
      <c r="S769" s="82"/>
      <c r="T769" s="82"/>
      <c r="U769" s="82"/>
      <c r="V769" s="82"/>
      <c r="W769" s="82"/>
      <c r="X769" s="82"/>
      <c r="Y769" s="82"/>
      <c r="Z769" s="82"/>
      <c r="AA769" s="82"/>
    </row>
    <row r="770" ht="15.75" customHeight="1">
      <c r="A770" s="261"/>
      <c r="B770" s="171"/>
      <c r="C770" s="172"/>
      <c r="D770" s="172"/>
      <c r="E770" s="154"/>
      <c r="F770" s="162"/>
      <c r="G770" s="162"/>
      <c r="H770" s="162"/>
      <c r="I770" s="162"/>
      <c r="J770" s="174"/>
      <c r="K770" s="162"/>
      <c r="L770" s="129"/>
      <c r="M770" s="156"/>
      <c r="N770" s="79"/>
      <c r="O770" s="79"/>
      <c r="P770" s="79"/>
      <c r="Q770" s="79"/>
      <c r="R770" s="79"/>
      <c r="S770" s="82"/>
      <c r="T770" s="82"/>
      <c r="U770" s="82"/>
      <c r="V770" s="82"/>
      <c r="W770" s="82"/>
      <c r="X770" s="82"/>
      <c r="Y770" s="82"/>
      <c r="Z770" s="82"/>
      <c r="AA770" s="82"/>
    </row>
    <row r="771" ht="15.75" customHeight="1">
      <c r="A771" s="261"/>
      <c r="B771" s="171"/>
      <c r="C771" s="172"/>
      <c r="D771" s="172"/>
      <c r="E771" s="154"/>
      <c r="F771" s="162"/>
      <c r="G771" s="162"/>
      <c r="H771" s="162"/>
      <c r="I771" s="162"/>
      <c r="J771" s="174"/>
      <c r="K771" s="162"/>
      <c r="L771" s="129"/>
      <c r="M771" s="156"/>
      <c r="N771" s="79"/>
      <c r="O771" s="79"/>
      <c r="P771" s="79"/>
      <c r="Q771" s="79"/>
      <c r="R771" s="79"/>
      <c r="S771" s="82"/>
      <c r="T771" s="82"/>
      <c r="U771" s="82"/>
      <c r="V771" s="82"/>
      <c r="W771" s="82"/>
      <c r="X771" s="82"/>
      <c r="Y771" s="82"/>
      <c r="Z771" s="82"/>
      <c r="AA771" s="82"/>
    </row>
    <row r="772" ht="15.75" customHeight="1">
      <c r="A772" s="261"/>
      <c r="B772" s="171"/>
      <c r="C772" s="172"/>
      <c r="D772" s="172"/>
      <c r="E772" s="154"/>
      <c r="F772" s="162"/>
      <c r="G772" s="162"/>
      <c r="H772" s="162"/>
      <c r="I772" s="162"/>
      <c r="J772" s="174"/>
      <c r="K772" s="162"/>
      <c r="L772" s="129"/>
      <c r="M772" s="156"/>
      <c r="N772" s="79"/>
      <c r="O772" s="79"/>
      <c r="P772" s="79"/>
      <c r="Q772" s="79"/>
      <c r="R772" s="79"/>
      <c r="S772" s="82"/>
      <c r="T772" s="82"/>
      <c r="U772" s="82"/>
      <c r="V772" s="82"/>
      <c r="W772" s="82"/>
      <c r="X772" s="82"/>
      <c r="Y772" s="82"/>
      <c r="Z772" s="82"/>
      <c r="AA772" s="82"/>
    </row>
    <row r="773" ht="15.75" customHeight="1">
      <c r="A773" s="261"/>
      <c r="B773" s="171"/>
      <c r="C773" s="172"/>
      <c r="D773" s="172"/>
      <c r="E773" s="154"/>
      <c r="F773" s="162"/>
      <c r="G773" s="162"/>
      <c r="H773" s="162"/>
      <c r="I773" s="162"/>
      <c r="J773" s="174"/>
      <c r="K773" s="162"/>
      <c r="L773" s="129"/>
      <c r="M773" s="156"/>
      <c r="N773" s="79"/>
      <c r="O773" s="79"/>
      <c r="P773" s="79"/>
      <c r="Q773" s="79"/>
      <c r="R773" s="79"/>
      <c r="S773" s="82"/>
      <c r="T773" s="82"/>
      <c r="U773" s="82"/>
      <c r="V773" s="82"/>
      <c r="W773" s="82"/>
      <c r="X773" s="82"/>
      <c r="Y773" s="82"/>
      <c r="Z773" s="82"/>
      <c r="AA773" s="82"/>
    </row>
    <row r="774" ht="15.75" customHeight="1">
      <c r="A774" s="261"/>
      <c r="B774" s="171"/>
      <c r="C774" s="172"/>
      <c r="D774" s="172"/>
      <c r="E774" s="154"/>
      <c r="F774" s="162"/>
      <c r="G774" s="162"/>
      <c r="H774" s="162"/>
      <c r="I774" s="162"/>
      <c r="J774" s="174"/>
      <c r="K774" s="162"/>
      <c r="L774" s="129"/>
      <c r="M774" s="156"/>
      <c r="N774" s="79"/>
      <c r="O774" s="79"/>
      <c r="P774" s="79"/>
      <c r="Q774" s="79"/>
      <c r="R774" s="79"/>
      <c r="S774" s="82"/>
      <c r="T774" s="82"/>
      <c r="U774" s="82"/>
      <c r="V774" s="82"/>
      <c r="W774" s="82"/>
      <c r="X774" s="82"/>
      <c r="Y774" s="82"/>
      <c r="Z774" s="82"/>
      <c r="AA774" s="82"/>
    </row>
    <row r="775" ht="15.75" customHeight="1">
      <c r="A775" s="261"/>
      <c r="B775" s="171"/>
      <c r="C775" s="172"/>
      <c r="D775" s="172"/>
      <c r="E775" s="154"/>
      <c r="F775" s="162"/>
      <c r="G775" s="162"/>
      <c r="H775" s="162"/>
      <c r="I775" s="162"/>
      <c r="J775" s="174"/>
      <c r="K775" s="162"/>
      <c r="L775" s="129"/>
      <c r="M775" s="156"/>
      <c r="N775" s="79"/>
      <c r="O775" s="79"/>
      <c r="P775" s="79"/>
      <c r="Q775" s="79"/>
      <c r="R775" s="79"/>
      <c r="S775" s="82"/>
      <c r="T775" s="82"/>
      <c r="U775" s="82"/>
      <c r="V775" s="82"/>
      <c r="W775" s="82"/>
      <c r="X775" s="82"/>
      <c r="Y775" s="82"/>
      <c r="Z775" s="82"/>
      <c r="AA775" s="82"/>
    </row>
    <row r="776" ht="15.75" customHeight="1">
      <c r="A776" s="261"/>
      <c r="B776" s="171"/>
      <c r="C776" s="172"/>
      <c r="D776" s="172"/>
      <c r="E776" s="154"/>
      <c r="F776" s="162"/>
      <c r="G776" s="162"/>
      <c r="H776" s="162"/>
      <c r="I776" s="162"/>
      <c r="J776" s="174"/>
      <c r="K776" s="162"/>
      <c r="L776" s="129"/>
      <c r="M776" s="156"/>
      <c r="N776" s="79"/>
      <c r="O776" s="79"/>
      <c r="P776" s="79"/>
      <c r="Q776" s="79"/>
      <c r="R776" s="79"/>
      <c r="S776" s="82"/>
      <c r="T776" s="82"/>
      <c r="U776" s="82"/>
      <c r="V776" s="82"/>
      <c r="W776" s="82"/>
      <c r="X776" s="82"/>
      <c r="Y776" s="82"/>
      <c r="Z776" s="82"/>
      <c r="AA776" s="82"/>
    </row>
    <row r="777" ht="15.75" customHeight="1">
      <c r="A777" s="261"/>
      <c r="B777" s="171"/>
      <c r="C777" s="172"/>
      <c r="D777" s="172"/>
      <c r="E777" s="154"/>
      <c r="F777" s="162"/>
      <c r="G777" s="162"/>
      <c r="H777" s="162"/>
      <c r="I777" s="162"/>
      <c r="J777" s="174"/>
      <c r="K777" s="162"/>
      <c r="L777" s="129"/>
      <c r="M777" s="156"/>
      <c r="N777" s="79"/>
      <c r="O777" s="79"/>
      <c r="P777" s="79"/>
      <c r="Q777" s="79"/>
      <c r="R777" s="79"/>
      <c r="S777" s="82"/>
      <c r="T777" s="82"/>
      <c r="U777" s="82"/>
      <c r="V777" s="82"/>
      <c r="W777" s="82"/>
      <c r="X777" s="82"/>
      <c r="Y777" s="82"/>
      <c r="Z777" s="82"/>
      <c r="AA777" s="82"/>
    </row>
    <row r="778" ht="15.75" customHeight="1">
      <c r="A778" s="261"/>
      <c r="B778" s="171"/>
      <c r="C778" s="172"/>
      <c r="D778" s="172"/>
      <c r="E778" s="154"/>
      <c r="F778" s="162"/>
      <c r="G778" s="162"/>
      <c r="H778" s="162"/>
      <c r="I778" s="162"/>
      <c r="J778" s="174"/>
      <c r="K778" s="162"/>
      <c r="L778" s="129"/>
      <c r="M778" s="156"/>
      <c r="N778" s="79"/>
      <c r="O778" s="79"/>
      <c r="P778" s="79"/>
      <c r="Q778" s="79"/>
      <c r="R778" s="79"/>
      <c r="S778" s="82"/>
      <c r="T778" s="82"/>
      <c r="U778" s="82"/>
      <c r="V778" s="82"/>
      <c r="W778" s="82"/>
      <c r="X778" s="82"/>
      <c r="Y778" s="82"/>
      <c r="Z778" s="82"/>
      <c r="AA778" s="82"/>
    </row>
    <row r="779" ht="15.75" customHeight="1">
      <c r="A779" s="261"/>
      <c r="B779" s="171"/>
      <c r="C779" s="172"/>
      <c r="D779" s="172"/>
      <c r="E779" s="154"/>
      <c r="F779" s="162"/>
      <c r="G779" s="162"/>
      <c r="H779" s="162"/>
      <c r="I779" s="162"/>
      <c r="J779" s="174"/>
      <c r="K779" s="162"/>
      <c r="L779" s="129"/>
      <c r="M779" s="156"/>
      <c r="N779" s="79"/>
      <c r="O779" s="79"/>
      <c r="P779" s="79"/>
      <c r="Q779" s="79"/>
      <c r="R779" s="79"/>
      <c r="S779" s="82"/>
      <c r="T779" s="82"/>
      <c r="U779" s="82"/>
      <c r="V779" s="82"/>
      <c r="W779" s="82"/>
      <c r="X779" s="82"/>
      <c r="Y779" s="82"/>
      <c r="Z779" s="82"/>
      <c r="AA779" s="82"/>
    </row>
    <row r="780" ht="15.75" customHeight="1">
      <c r="A780" s="261"/>
      <c r="B780" s="171"/>
      <c r="C780" s="172"/>
      <c r="D780" s="172"/>
      <c r="E780" s="154"/>
      <c r="F780" s="162"/>
      <c r="G780" s="162"/>
      <c r="H780" s="162"/>
      <c r="I780" s="162"/>
      <c r="J780" s="174"/>
      <c r="K780" s="162"/>
      <c r="L780" s="129"/>
      <c r="M780" s="156"/>
      <c r="N780" s="79"/>
      <c r="O780" s="79"/>
      <c r="P780" s="79"/>
      <c r="Q780" s="79"/>
      <c r="R780" s="79"/>
      <c r="S780" s="82"/>
      <c r="T780" s="82"/>
      <c r="U780" s="82"/>
      <c r="V780" s="82"/>
      <c r="W780" s="82"/>
      <c r="X780" s="82"/>
      <c r="Y780" s="82"/>
      <c r="Z780" s="82"/>
      <c r="AA780" s="82"/>
    </row>
    <row r="781" ht="15.75" customHeight="1">
      <c r="A781" s="261"/>
      <c r="B781" s="171"/>
      <c r="C781" s="172"/>
      <c r="D781" s="172"/>
      <c r="E781" s="154"/>
      <c r="F781" s="162"/>
      <c r="G781" s="162"/>
      <c r="H781" s="162"/>
      <c r="I781" s="162"/>
      <c r="J781" s="174"/>
      <c r="K781" s="162"/>
      <c r="L781" s="129"/>
      <c r="M781" s="156"/>
      <c r="N781" s="79"/>
      <c r="O781" s="79"/>
      <c r="P781" s="79"/>
      <c r="Q781" s="79"/>
      <c r="R781" s="79"/>
      <c r="S781" s="82"/>
      <c r="T781" s="82"/>
      <c r="U781" s="82"/>
      <c r="V781" s="82"/>
      <c r="W781" s="82"/>
      <c r="X781" s="82"/>
      <c r="Y781" s="82"/>
      <c r="Z781" s="82"/>
      <c r="AA781" s="82"/>
    </row>
    <row r="782" ht="15.75" customHeight="1">
      <c r="A782" s="261"/>
      <c r="B782" s="171"/>
      <c r="C782" s="172"/>
      <c r="D782" s="172"/>
      <c r="E782" s="154"/>
      <c r="F782" s="162"/>
      <c r="G782" s="162"/>
      <c r="H782" s="162"/>
      <c r="I782" s="162"/>
      <c r="J782" s="174"/>
      <c r="K782" s="162"/>
      <c r="L782" s="129"/>
      <c r="M782" s="156"/>
      <c r="N782" s="79"/>
      <c r="O782" s="79"/>
      <c r="P782" s="79"/>
      <c r="Q782" s="79"/>
      <c r="R782" s="79"/>
      <c r="S782" s="82"/>
      <c r="T782" s="82"/>
      <c r="U782" s="82"/>
      <c r="V782" s="82"/>
      <c r="W782" s="82"/>
      <c r="X782" s="82"/>
      <c r="Y782" s="82"/>
      <c r="Z782" s="82"/>
      <c r="AA782" s="82"/>
    </row>
    <row r="783" ht="15.75" customHeight="1">
      <c r="A783" s="261"/>
      <c r="B783" s="171"/>
      <c r="C783" s="172"/>
      <c r="D783" s="172"/>
      <c r="E783" s="154"/>
      <c r="F783" s="162"/>
      <c r="G783" s="162"/>
      <c r="H783" s="162"/>
      <c r="I783" s="162"/>
      <c r="J783" s="174"/>
      <c r="K783" s="162"/>
      <c r="L783" s="129"/>
      <c r="M783" s="156"/>
      <c r="N783" s="79"/>
      <c r="O783" s="79"/>
      <c r="P783" s="79"/>
      <c r="Q783" s="79"/>
      <c r="R783" s="79"/>
      <c r="S783" s="82"/>
      <c r="T783" s="82"/>
      <c r="U783" s="82"/>
      <c r="V783" s="82"/>
      <c r="W783" s="82"/>
      <c r="X783" s="82"/>
      <c r="Y783" s="82"/>
      <c r="Z783" s="82"/>
      <c r="AA783" s="82"/>
    </row>
    <row r="784" ht="15.75" customHeight="1">
      <c r="A784" s="261"/>
      <c r="B784" s="171"/>
      <c r="C784" s="172"/>
      <c r="D784" s="172"/>
      <c r="E784" s="154"/>
      <c r="F784" s="162"/>
      <c r="G784" s="162"/>
      <c r="H784" s="162"/>
      <c r="I784" s="162"/>
      <c r="J784" s="174"/>
      <c r="K784" s="162"/>
      <c r="L784" s="129"/>
      <c r="M784" s="156"/>
      <c r="N784" s="79"/>
      <c r="O784" s="79"/>
      <c r="P784" s="79"/>
      <c r="Q784" s="79"/>
      <c r="R784" s="79"/>
      <c r="S784" s="82"/>
      <c r="T784" s="82"/>
      <c r="U784" s="82"/>
      <c r="V784" s="82"/>
      <c r="W784" s="82"/>
      <c r="X784" s="82"/>
      <c r="Y784" s="82"/>
      <c r="Z784" s="82"/>
      <c r="AA784" s="82"/>
    </row>
    <row r="785" ht="15.75" customHeight="1">
      <c r="A785" s="261"/>
      <c r="B785" s="171"/>
      <c r="C785" s="172"/>
      <c r="D785" s="172"/>
      <c r="E785" s="154"/>
      <c r="F785" s="162"/>
      <c r="G785" s="162"/>
      <c r="H785" s="162"/>
      <c r="I785" s="162"/>
      <c r="J785" s="174"/>
      <c r="K785" s="162"/>
      <c r="L785" s="129"/>
      <c r="M785" s="156"/>
      <c r="N785" s="79"/>
      <c r="O785" s="79"/>
      <c r="P785" s="79"/>
      <c r="Q785" s="79"/>
      <c r="R785" s="79"/>
      <c r="S785" s="82"/>
      <c r="T785" s="82"/>
      <c r="U785" s="82"/>
      <c r="V785" s="82"/>
      <c r="W785" s="82"/>
      <c r="X785" s="82"/>
      <c r="Y785" s="82"/>
      <c r="Z785" s="82"/>
      <c r="AA785" s="82"/>
    </row>
    <row r="786" ht="15.75" customHeight="1">
      <c r="A786" s="261"/>
      <c r="B786" s="171"/>
      <c r="C786" s="172"/>
      <c r="D786" s="172"/>
      <c r="E786" s="154"/>
      <c r="F786" s="162"/>
      <c r="G786" s="162"/>
      <c r="H786" s="162"/>
      <c r="I786" s="162"/>
      <c r="J786" s="174"/>
      <c r="K786" s="162"/>
      <c r="L786" s="129"/>
      <c r="M786" s="156"/>
      <c r="N786" s="79"/>
      <c r="O786" s="79"/>
      <c r="P786" s="79"/>
      <c r="Q786" s="79"/>
      <c r="R786" s="79"/>
      <c r="S786" s="82"/>
      <c r="T786" s="82"/>
      <c r="U786" s="82"/>
      <c r="V786" s="82"/>
      <c r="W786" s="82"/>
      <c r="X786" s="82"/>
      <c r="Y786" s="82"/>
      <c r="Z786" s="82"/>
      <c r="AA786" s="82"/>
    </row>
    <row r="787" ht="15.75" customHeight="1">
      <c r="A787" s="261"/>
      <c r="B787" s="171"/>
      <c r="C787" s="172"/>
      <c r="D787" s="172"/>
      <c r="E787" s="154"/>
      <c r="F787" s="162"/>
      <c r="G787" s="162"/>
      <c r="H787" s="162"/>
      <c r="I787" s="162"/>
      <c r="J787" s="174"/>
      <c r="K787" s="162"/>
      <c r="L787" s="129"/>
      <c r="M787" s="156"/>
      <c r="N787" s="79"/>
      <c r="O787" s="79"/>
      <c r="P787" s="79"/>
      <c r="Q787" s="79"/>
      <c r="R787" s="79"/>
      <c r="S787" s="82"/>
      <c r="T787" s="82"/>
      <c r="U787" s="82"/>
      <c r="V787" s="82"/>
      <c r="W787" s="82"/>
      <c r="X787" s="82"/>
      <c r="Y787" s="82"/>
      <c r="Z787" s="82"/>
      <c r="AA787" s="82"/>
    </row>
    <row r="788" ht="15.75" customHeight="1">
      <c r="A788" s="261"/>
      <c r="B788" s="171"/>
      <c r="C788" s="172"/>
      <c r="D788" s="172"/>
      <c r="E788" s="154"/>
      <c r="F788" s="162"/>
      <c r="G788" s="162"/>
      <c r="H788" s="162"/>
      <c r="I788" s="162"/>
      <c r="J788" s="174"/>
      <c r="K788" s="162"/>
      <c r="L788" s="129"/>
      <c r="M788" s="156"/>
      <c r="N788" s="79"/>
      <c r="O788" s="79"/>
      <c r="P788" s="79"/>
      <c r="Q788" s="79"/>
      <c r="R788" s="79"/>
      <c r="S788" s="82"/>
      <c r="T788" s="82"/>
      <c r="U788" s="82"/>
      <c r="V788" s="82"/>
      <c r="W788" s="82"/>
      <c r="X788" s="82"/>
      <c r="Y788" s="82"/>
      <c r="Z788" s="82"/>
      <c r="AA788" s="82"/>
    </row>
    <row r="789" ht="15.75" customHeight="1">
      <c r="A789" s="261"/>
      <c r="B789" s="171"/>
      <c r="C789" s="172"/>
      <c r="D789" s="172"/>
      <c r="E789" s="154"/>
      <c r="F789" s="162"/>
      <c r="G789" s="162"/>
      <c r="H789" s="162"/>
      <c r="I789" s="162"/>
      <c r="J789" s="174"/>
      <c r="K789" s="162"/>
      <c r="L789" s="129"/>
      <c r="M789" s="156"/>
      <c r="N789" s="79"/>
      <c r="O789" s="79"/>
      <c r="P789" s="79"/>
      <c r="Q789" s="79"/>
      <c r="R789" s="79"/>
      <c r="S789" s="82"/>
      <c r="T789" s="82"/>
      <c r="U789" s="82"/>
      <c r="V789" s="82"/>
      <c r="W789" s="82"/>
      <c r="X789" s="82"/>
      <c r="Y789" s="82"/>
      <c r="Z789" s="82"/>
      <c r="AA789" s="82"/>
    </row>
    <row r="790" ht="15.75" customHeight="1">
      <c r="A790" s="261"/>
      <c r="B790" s="171"/>
      <c r="C790" s="172"/>
      <c r="D790" s="172"/>
      <c r="E790" s="154"/>
      <c r="F790" s="162"/>
      <c r="G790" s="162"/>
      <c r="H790" s="162"/>
      <c r="I790" s="162"/>
      <c r="J790" s="174"/>
      <c r="K790" s="162"/>
      <c r="L790" s="129"/>
      <c r="M790" s="156"/>
      <c r="N790" s="79"/>
      <c r="O790" s="79"/>
      <c r="P790" s="79"/>
      <c r="Q790" s="79"/>
      <c r="R790" s="79"/>
      <c r="S790" s="82"/>
      <c r="T790" s="82"/>
      <c r="U790" s="82"/>
      <c r="V790" s="82"/>
      <c r="W790" s="82"/>
      <c r="X790" s="82"/>
      <c r="Y790" s="82"/>
      <c r="Z790" s="82"/>
      <c r="AA790" s="82"/>
    </row>
    <row r="791" ht="15.75" customHeight="1">
      <c r="A791" s="261"/>
      <c r="B791" s="171"/>
      <c r="C791" s="172"/>
      <c r="D791" s="172"/>
      <c r="E791" s="154"/>
      <c r="F791" s="162"/>
      <c r="G791" s="162"/>
      <c r="H791" s="162"/>
      <c r="I791" s="162"/>
      <c r="J791" s="174"/>
      <c r="K791" s="162"/>
      <c r="L791" s="129"/>
      <c r="M791" s="156"/>
      <c r="N791" s="79"/>
      <c r="O791" s="79"/>
      <c r="P791" s="79"/>
      <c r="Q791" s="79"/>
      <c r="R791" s="79"/>
      <c r="S791" s="82"/>
      <c r="T791" s="82"/>
      <c r="U791" s="82"/>
      <c r="V791" s="82"/>
      <c r="W791" s="82"/>
      <c r="X791" s="82"/>
      <c r="Y791" s="82"/>
      <c r="Z791" s="82"/>
      <c r="AA791" s="82"/>
    </row>
    <row r="792" ht="15.75" customHeight="1">
      <c r="A792" s="261"/>
      <c r="B792" s="171"/>
      <c r="C792" s="172"/>
      <c r="D792" s="172"/>
      <c r="E792" s="154"/>
      <c r="F792" s="162"/>
      <c r="G792" s="162"/>
      <c r="H792" s="162"/>
      <c r="I792" s="162"/>
      <c r="J792" s="174"/>
      <c r="K792" s="162"/>
      <c r="L792" s="129"/>
      <c r="M792" s="156"/>
      <c r="N792" s="79"/>
      <c r="O792" s="79"/>
      <c r="P792" s="79"/>
      <c r="Q792" s="79"/>
      <c r="R792" s="79"/>
      <c r="S792" s="82"/>
      <c r="T792" s="82"/>
      <c r="U792" s="82"/>
      <c r="V792" s="82"/>
      <c r="W792" s="82"/>
      <c r="X792" s="82"/>
      <c r="Y792" s="82"/>
      <c r="Z792" s="82"/>
      <c r="AA792" s="82"/>
    </row>
    <row r="793" ht="15.75" customHeight="1">
      <c r="A793" s="261"/>
      <c r="B793" s="171"/>
      <c r="C793" s="172"/>
      <c r="D793" s="172"/>
      <c r="E793" s="154"/>
      <c r="F793" s="162"/>
      <c r="G793" s="162"/>
      <c r="H793" s="162"/>
      <c r="I793" s="162"/>
      <c r="J793" s="174"/>
      <c r="K793" s="162"/>
      <c r="L793" s="129"/>
      <c r="M793" s="156"/>
      <c r="N793" s="79"/>
      <c r="O793" s="79"/>
      <c r="P793" s="79"/>
      <c r="Q793" s="79"/>
      <c r="R793" s="79"/>
      <c r="S793" s="82"/>
      <c r="T793" s="82"/>
      <c r="U793" s="82"/>
      <c r="V793" s="82"/>
      <c r="W793" s="82"/>
      <c r="X793" s="82"/>
      <c r="Y793" s="82"/>
      <c r="Z793" s="82"/>
      <c r="AA793" s="82"/>
    </row>
    <row r="794" ht="15.75" customHeight="1">
      <c r="A794" s="261"/>
      <c r="B794" s="171"/>
      <c r="C794" s="172"/>
      <c r="D794" s="172"/>
      <c r="E794" s="154"/>
      <c r="F794" s="162"/>
      <c r="G794" s="162"/>
      <c r="H794" s="162"/>
      <c r="I794" s="162"/>
      <c r="J794" s="174"/>
      <c r="K794" s="162"/>
      <c r="L794" s="129"/>
      <c r="M794" s="156"/>
      <c r="N794" s="79"/>
      <c r="O794" s="79"/>
      <c r="P794" s="79"/>
      <c r="Q794" s="79"/>
      <c r="R794" s="79"/>
      <c r="S794" s="82"/>
      <c r="T794" s="82"/>
      <c r="U794" s="82"/>
      <c r="V794" s="82"/>
      <c r="W794" s="82"/>
      <c r="X794" s="82"/>
      <c r="Y794" s="82"/>
      <c r="Z794" s="82"/>
      <c r="AA794" s="82"/>
    </row>
    <row r="795" ht="15.75" customHeight="1">
      <c r="A795" s="261"/>
      <c r="B795" s="171"/>
      <c r="C795" s="172"/>
      <c r="D795" s="172"/>
      <c r="E795" s="154"/>
      <c r="F795" s="162"/>
      <c r="G795" s="162"/>
      <c r="H795" s="162"/>
      <c r="I795" s="162"/>
      <c r="J795" s="174"/>
      <c r="K795" s="162"/>
      <c r="L795" s="129"/>
      <c r="M795" s="156"/>
      <c r="N795" s="79"/>
      <c r="O795" s="79"/>
      <c r="P795" s="79"/>
      <c r="Q795" s="79"/>
      <c r="R795" s="79"/>
      <c r="S795" s="82"/>
      <c r="T795" s="82"/>
      <c r="U795" s="82"/>
      <c r="V795" s="82"/>
      <c r="W795" s="82"/>
      <c r="X795" s="82"/>
      <c r="Y795" s="82"/>
      <c r="Z795" s="82"/>
      <c r="AA795" s="82"/>
    </row>
    <row r="796" ht="15.75" customHeight="1">
      <c r="A796" s="261"/>
      <c r="B796" s="171"/>
      <c r="C796" s="172"/>
      <c r="D796" s="172"/>
      <c r="E796" s="154"/>
      <c r="F796" s="162"/>
      <c r="G796" s="162"/>
      <c r="H796" s="162"/>
      <c r="I796" s="162"/>
      <c r="J796" s="174"/>
      <c r="K796" s="162"/>
      <c r="L796" s="129"/>
      <c r="M796" s="156"/>
      <c r="N796" s="79"/>
      <c r="O796" s="79"/>
      <c r="P796" s="79"/>
      <c r="Q796" s="79"/>
      <c r="R796" s="79"/>
      <c r="S796" s="82"/>
      <c r="T796" s="82"/>
      <c r="U796" s="82"/>
      <c r="V796" s="82"/>
      <c r="W796" s="82"/>
      <c r="X796" s="82"/>
      <c r="Y796" s="82"/>
      <c r="Z796" s="82"/>
      <c r="AA796" s="82"/>
    </row>
    <row r="797" ht="15.75" customHeight="1">
      <c r="A797" s="261"/>
      <c r="B797" s="171"/>
      <c r="C797" s="172"/>
      <c r="D797" s="172"/>
      <c r="E797" s="154"/>
      <c r="F797" s="162"/>
      <c r="G797" s="162"/>
      <c r="H797" s="162"/>
      <c r="I797" s="162"/>
      <c r="J797" s="174"/>
      <c r="K797" s="162"/>
      <c r="L797" s="129"/>
      <c r="M797" s="156"/>
      <c r="N797" s="79"/>
      <c r="O797" s="79"/>
      <c r="P797" s="79"/>
      <c r="Q797" s="79"/>
      <c r="R797" s="79"/>
      <c r="S797" s="82"/>
      <c r="T797" s="82"/>
      <c r="U797" s="82"/>
      <c r="V797" s="82"/>
      <c r="W797" s="82"/>
      <c r="X797" s="82"/>
      <c r="Y797" s="82"/>
      <c r="Z797" s="82"/>
      <c r="AA797" s="82"/>
    </row>
    <row r="798" ht="15.75" customHeight="1">
      <c r="A798" s="261"/>
      <c r="B798" s="171"/>
      <c r="C798" s="172"/>
      <c r="D798" s="172"/>
      <c r="E798" s="154"/>
      <c r="F798" s="162"/>
      <c r="G798" s="162"/>
      <c r="H798" s="162"/>
      <c r="I798" s="162"/>
      <c r="J798" s="174"/>
      <c r="K798" s="162"/>
      <c r="L798" s="129"/>
      <c r="M798" s="156"/>
      <c r="N798" s="79"/>
      <c r="O798" s="79"/>
      <c r="P798" s="79"/>
      <c r="Q798" s="79"/>
      <c r="R798" s="79"/>
      <c r="S798" s="82"/>
      <c r="T798" s="82"/>
      <c r="U798" s="82"/>
      <c r="V798" s="82"/>
      <c r="W798" s="82"/>
      <c r="X798" s="82"/>
      <c r="Y798" s="82"/>
      <c r="Z798" s="82"/>
      <c r="AA798" s="82"/>
    </row>
    <row r="799" ht="15.75" customHeight="1">
      <c r="A799" s="261"/>
      <c r="B799" s="171"/>
      <c r="C799" s="172"/>
      <c r="D799" s="172"/>
      <c r="E799" s="154"/>
      <c r="F799" s="162"/>
      <c r="G799" s="162"/>
      <c r="H799" s="162"/>
      <c r="I799" s="162"/>
      <c r="J799" s="174"/>
      <c r="K799" s="162"/>
      <c r="L799" s="129"/>
      <c r="M799" s="156"/>
      <c r="N799" s="79"/>
      <c r="O799" s="79"/>
      <c r="P799" s="79"/>
      <c r="Q799" s="79"/>
      <c r="R799" s="79"/>
      <c r="S799" s="82"/>
      <c r="T799" s="82"/>
      <c r="U799" s="82"/>
      <c r="V799" s="82"/>
      <c r="W799" s="82"/>
      <c r="X799" s="82"/>
      <c r="Y799" s="82"/>
      <c r="Z799" s="82"/>
      <c r="AA799" s="82"/>
    </row>
    <row r="800" ht="15.75" customHeight="1">
      <c r="A800" s="261"/>
      <c r="B800" s="171"/>
      <c r="C800" s="172"/>
      <c r="D800" s="172"/>
      <c r="E800" s="154"/>
      <c r="F800" s="162"/>
      <c r="G800" s="162"/>
      <c r="H800" s="162"/>
      <c r="I800" s="162"/>
      <c r="J800" s="174"/>
      <c r="K800" s="162"/>
      <c r="L800" s="129"/>
      <c r="M800" s="156"/>
      <c r="N800" s="79"/>
      <c r="O800" s="79"/>
      <c r="P800" s="79"/>
      <c r="Q800" s="79"/>
      <c r="R800" s="79"/>
      <c r="S800" s="82"/>
      <c r="T800" s="82"/>
      <c r="U800" s="82"/>
      <c r="V800" s="82"/>
      <c r="W800" s="82"/>
      <c r="X800" s="82"/>
      <c r="Y800" s="82"/>
      <c r="Z800" s="82"/>
      <c r="AA800" s="82"/>
    </row>
    <row r="801" ht="15.75" customHeight="1">
      <c r="A801" s="261"/>
      <c r="B801" s="171"/>
      <c r="C801" s="172"/>
      <c r="D801" s="172"/>
      <c r="E801" s="154"/>
      <c r="F801" s="162"/>
      <c r="G801" s="162"/>
      <c r="H801" s="162"/>
      <c r="I801" s="162"/>
      <c r="J801" s="174"/>
      <c r="K801" s="162"/>
      <c r="L801" s="129"/>
      <c r="M801" s="156"/>
      <c r="N801" s="79"/>
      <c r="O801" s="79"/>
      <c r="P801" s="79"/>
      <c r="Q801" s="79"/>
      <c r="R801" s="79"/>
      <c r="S801" s="82"/>
      <c r="T801" s="82"/>
      <c r="U801" s="82"/>
      <c r="V801" s="82"/>
      <c r="W801" s="82"/>
      <c r="X801" s="82"/>
      <c r="Y801" s="82"/>
      <c r="Z801" s="82"/>
      <c r="AA801" s="82"/>
    </row>
    <row r="802" ht="15.75" customHeight="1">
      <c r="A802" s="261"/>
      <c r="B802" s="171"/>
      <c r="C802" s="172"/>
      <c r="D802" s="172"/>
      <c r="E802" s="154"/>
      <c r="F802" s="162"/>
      <c r="G802" s="162"/>
      <c r="H802" s="162"/>
      <c r="I802" s="162"/>
      <c r="J802" s="174"/>
      <c r="K802" s="162"/>
      <c r="L802" s="129"/>
      <c r="M802" s="156"/>
      <c r="N802" s="79"/>
      <c r="O802" s="79"/>
      <c r="P802" s="79"/>
      <c r="Q802" s="79"/>
      <c r="R802" s="79"/>
      <c r="S802" s="82"/>
      <c r="T802" s="82"/>
      <c r="U802" s="82"/>
      <c r="V802" s="82"/>
      <c r="W802" s="82"/>
      <c r="X802" s="82"/>
      <c r="Y802" s="82"/>
      <c r="Z802" s="82"/>
      <c r="AA802" s="82"/>
    </row>
    <row r="803" ht="15.75" customHeight="1">
      <c r="A803" s="261"/>
      <c r="B803" s="171"/>
      <c r="C803" s="172"/>
      <c r="D803" s="172"/>
      <c r="E803" s="154"/>
      <c r="F803" s="162"/>
      <c r="G803" s="162"/>
      <c r="H803" s="162"/>
      <c r="I803" s="162"/>
      <c r="J803" s="174"/>
      <c r="K803" s="162"/>
      <c r="L803" s="129"/>
      <c r="M803" s="156"/>
      <c r="N803" s="79"/>
      <c r="O803" s="79"/>
      <c r="P803" s="79"/>
      <c r="Q803" s="79"/>
      <c r="R803" s="79"/>
      <c r="S803" s="82"/>
      <c r="T803" s="82"/>
      <c r="U803" s="82"/>
      <c r="V803" s="82"/>
      <c r="W803" s="82"/>
      <c r="X803" s="82"/>
      <c r="Y803" s="82"/>
      <c r="Z803" s="82"/>
      <c r="AA803" s="82"/>
    </row>
    <row r="804" ht="15.75" customHeight="1">
      <c r="A804" s="261"/>
      <c r="B804" s="171"/>
      <c r="C804" s="172"/>
      <c r="D804" s="172"/>
      <c r="E804" s="154"/>
      <c r="F804" s="162"/>
      <c r="G804" s="162"/>
      <c r="H804" s="162"/>
      <c r="I804" s="162"/>
      <c r="J804" s="174"/>
      <c r="K804" s="162"/>
      <c r="L804" s="129"/>
      <c r="M804" s="156"/>
      <c r="N804" s="79"/>
      <c r="O804" s="79"/>
      <c r="P804" s="79"/>
      <c r="Q804" s="79"/>
      <c r="R804" s="79"/>
      <c r="S804" s="82"/>
      <c r="T804" s="82"/>
      <c r="U804" s="82"/>
      <c r="V804" s="82"/>
      <c r="W804" s="82"/>
      <c r="X804" s="82"/>
      <c r="Y804" s="82"/>
      <c r="Z804" s="82"/>
      <c r="AA804" s="82"/>
    </row>
    <row r="805" ht="15.75" customHeight="1">
      <c r="A805" s="261"/>
      <c r="B805" s="171"/>
      <c r="C805" s="172"/>
      <c r="D805" s="172"/>
      <c r="E805" s="154"/>
      <c r="F805" s="162"/>
      <c r="G805" s="162"/>
      <c r="H805" s="162"/>
      <c r="I805" s="162"/>
      <c r="J805" s="174"/>
      <c r="K805" s="162"/>
      <c r="L805" s="129"/>
      <c r="M805" s="156"/>
      <c r="N805" s="79"/>
      <c r="O805" s="79"/>
      <c r="P805" s="79"/>
      <c r="Q805" s="79"/>
      <c r="R805" s="79"/>
      <c r="S805" s="82"/>
      <c r="T805" s="82"/>
      <c r="U805" s="82"/>
      <c r="V805" s="82"/>
      <c r="W805" s="82"/>
      <c r="X805" s="82"/>
      <c r="Y805" s="82"/>
      <c r="Z805" s="82"/>
      <c r="AA805" s="82"/>
    </row>
    <row r="806" ht="15.75" customHeight="1">
      <c r="A806" s="261"/>
      <c r="B806" s="171"/>
      <c r="C806" s="172"/>
      <c r="D806" s="172"/>
      <c r="E806" s="154"/>
      <c r="F806" s="162"/>
      <c r="G806" s="162"/>
      <c r="H806" s="162"/>
      <c r="I806" s="162"/>
      <c r="J806" s="174"/>
      <c r="K806" s="162"/>
      <c r="L806" s="129"/>
      <c r="M806" s="156"/>
      <c r="N806" s="79"/>
      <c r="O806" s="79"/>
      <c r="P806" s="79"/>
      <c r="Q806" s="79"/>
      <c r="R806" s="79"/>
      <c r="S806" s="82"/>
      <c r="T806" s="82"/>
      <c r="U806" s="82"/>
      <c r="V806" s="82"/>
      <c r="W806" s="82"/>
      <c r="X806" s="82"/>
      <c r="Y806" s="82"/>
      <c r="Z806" s="82"/>
      <c r="AA806" s="82"/>
    </row>
    <row r="807" ht="15.75" customHeight="1">
      <c r="A807" s="261"/>
      <c r="B807" s="171"/>
      <c r="C807" s="172"/>
      <c r="D807" s="172"/>
      <c r="E807" s="154"/>
      <c r="F807" s="162"/>
      <c r="G807" s="162"/>
      <c r="H807" s="162"/>
      <c r="I807" s="162"/>
      <c r="J807" s="174"/>
      <c r="K807" s="162"/>
      <c r="L807" s="129"/>
      <c r="M807" s="156"/>
      <c r="N807" s="79"/>
      <c r="O807" s="79"/>
      <c r="P807" s="79"/>
      <c r="Q807" s="79"/>
      <c r="R807" s="79"/>
      <c r="S807" s="82"/>
      <c r="T807" s="82"/>
      <c r="U807" s="82"/>
      <c r="V807" s="82"/>
      <c r="W807" s="82"/>
      <c r="X807" s="82"/>
      <c r="Y807" s="82"/>
      <c r="Z807" s="82"/>
      <c r="AA807" s="82"/>
    </row>
    <row r="808" ht="15.75" customHeight="1">
      <c r="A808" s="261"/>
      <c r="B808" s="171"/>
      <c r="C808" s="172"/>
      <c r="D808" s="172"/>
      <c r="E808" s="154"/>
      <c r="F808" s="162"/>
      <c r="G808" s="162"/>
      <c r="H808" s="162"/>
      <c r="I808" s="162"/>
      <c r="J808" s="174"/>
      <c r="K808" s="162"/>
      <c r="L808" s="129"/>
      <c r="M808" s="156"/>
      <c r="N808" s="79"/>
      <c r="O808" s="79"/>
      <c r="P808" s="79"/>
      <c r="Q808" s="79"/>
      <c r="R808" s="79"/>
      <c r="S808" s="82"/>
      <c r="T808" s="82"/>
      <c r="U808" s="82"/>
      <c r="V808" s="82"/>
      <c r="W808" s="82"/>
      <c r="X808" s="82"/>
      <c r="Y808" s="82"/>
      <c r="Z808" s="82"/>
      <c r="AA808" s="82"/>
    </row>
    <row r="809" ht="15.75" customHeight="1">
      <c r="A809" s="261"/>
      <c r="B809" s="171"/>
      <c r="C809" s="172"/>
      <c r="D809" s="172"/>
      <c r="E809" s="154"/>
      <c r="F809" s="162"/>
      <c r="G809" s="162"/>
      <c r="H809" s="162"/>
      <c r="I809" s="162"/>
      <c r="J809" s="174"/>
      <c r="K809" s="162"/>
      <c r="L809" s="129"/>
      <c r="M809" s="156"/>
      <c r="N809" s="79"/>
      <c r="O809" s="79"/>
      <c r="P809" s="79"/>
      <c r="Q809" s="79"/>
      <c r="R809" s="79"/>
      <c r="S809" s="82"/>
      <c r="T809" s="82"/>
      <c r="U809" s="82"/>
      <c r="V809" s="82"/>
      <c r="W809" s="82"/>
      <c r="X809" s="82"/>
      <c r="Y809" s="82"/>
      <c r="Z809" s="82"/>
      <c r="AA809" s="82"/>
    </row>
    <row r="810" ht="15.75" customHeight="1">
      <c r="A810" s="261"/>
      <c r="B810" s="171"/>
      <c r="C810" s="172"/>
      <c r="D810" s="172"/>
      <c r="E810" s="154"/>
      <c r="F810" s="162"/>
      <c r="G810" s="162"/>
      <c r="H810" s="162"/>
      <c r="I810" s="162"/>
      <c r="J810" s="174"/>
      <c r="K810" s="162"/>
      <c r="L810" s="129"/>
      <c r="M810" s="156"/>
      <c r="N810" s="79"/>
      <c r="O810" s="79"/>
      <c r="P810" s="79"/>
      <c r="Q810" s="79"/>
      <c r="R810" s="79"/>
      <c r="S810" s="82"/>
      <c r="T810" s="82"/>
      <c r="U810" s="82"/>
      <c r="V810" s="82"/>
      <c r="W810" s="82"/>
      <c r="X810" s="82"/>
      <c r="Y810" s="82"/>
      <c r="Z810" s="82"/>
      <c r="AA810" s="82"/>
    </row>
    <row r="811" ht="15.75" customHeight="1">
      <c r="A811" s="261"/>
      <c r="B811" s="171"/>
      <c r="C811" s="172"/>
      <c r="D811" s="172"/>
      <c r="E811" s="154"/>
      <c r="F811" s="162"/>
      <c r="G811" s="162"/>
      <c r="H811" s="162"/>
      <c r="I811" s="162"/>
      <c r="J811" s="174"/>
      <c r="K811" s="162"/>
      <c r="L811" s="129"/>
      <c r="M811" s="156"/>
      <c r="N811" s="79"/>
      <c r="O811" s="79"/>
      <c r="P811" s="79"/>
      <c r="Q811" s="79"/>
      <c r="R811" s="79"/>
      <c r="S811" s="82"/>
      <c r="T811" s="82"/>
      <c r="U811" s="82"/>
      <c r="V811" s="82"/>
      <c r="W811" s="82"/>
      <c r="X811" s="82"/>
      <c r="Y811" s="82"/>
      <c r="Z811" s="82"/>
      <c r="AA811" s="82"/>
    </row>
    <row r="812" ht="15.75" customHeight="1">
      <c r="A812" s="261"/>
      <c r="B812" s="171"/>
      <c r="C812" s="172"/>
      <c r="D812" s="172"/>
      <c r="E812" s="154"/>
      <c r="F812" s="162"/>
      <c r="G812" s="162"/>
      <c r="H812" s="162"/>
      <c r="I812" s="162"/>
      <c r="J812" s="174"/>
      <c r="K812" s="162"/>
      <c r="L812" s="129"/>
      <c r="M812" s="156"/>
      <c r="N812" s="79"/>
      <c r="O812" s="79"/>
      <c r="P812" s="79"/>
      <c r="Q812" s="79"/>
      <c r="R812" s="79"/>
      <c r="S812" s="82"/>
      <c r="T812" s="82"/>
      <c r="U812" s="82"/>
      <c r="V812" s="82"/>
      <c r="W812" s="82"/>
      <c r="X812" s="82"/>
      <c r="Y812" s="82"/>
      <c r="Z812" s="82"/>
      <c r="AA812" s="82"/>
    </row>
    <row r="813" ht="15.75" customHeight="1">
      <c r="A813" s="261"/>
      <c r="B813" s="171"/>
      <c r="C813" s="172"/>
      <c r="D813" s="172"/>
      <c r="E813" s="154"/>
      <c r="F813" s="162"/>
      <c r="G813" s="162"/>
      <c r="H813" s="162"/>
      <c r="I813" s="162"/>
      <c r="J813" s="174"/>
      <c r="K813" s="162"/>
      <c r="L813" s="129"/>
      <c r="M813" s="156"/>
      <c r="N813" s="79"/>
      <c r="O813" s="79"/>
      <c r="P813" s="79"/>
      <c r="Q813" s="79"/>
      <c r="R813" s="79"/>
      <c r="S813" s="82"/>
      <c r="T813" s="82"/>
      <c r="U813" s="82"/>
      <c r="V813" s="82"/>
      <c r="W813" s="82"/>
      <c r="X813" s="82"/>
      <c r="Y813" s="82"/>
      <c r="Z813" s="82"/>
      <c r="AA813" s="82"/>
    </row>
    <row r="814" ht="15.75" customHeight="1">
      <c r="A814" s="261"/>
      <c r="B814" s="171"/>
      <c r="C814" s="172"/>
      <c r="D814" s="172"/>
      <c r="E814" s="154"/>
      <c r="F814" s="162"/>
      <c r="G814" s="162"/>
      <c r="H814" s="162"/>
      <c r="I814" s="162"/>
      <c r="J814" s="174"/>
      <c r="K814" s="162"/>
      <c r="L814" s="129"/>
      <c r="M814" s="156"/>
      <c r="N814" s="79"/>
      <c r="O814" s="79"/>
      <c r="P814" s="79"/>
      <c r="Q814" s="79"/>
      <c r="R814" s="79"/>
      <c r="S814" s="82"/>
      <c r="T814" s="82"/>
      <c r="U814" s="82"/>
      <c r="V814" s="82"/>
      <c r="W814" s="82"/>
      <c r="X814" s="82"/>
      <c r="Y814" s="82"/>
      <c r="Z814" s="82"/>
      <c r="AA814" s="82"/>
    </row>
    <row r="815" ht="15.75" customHeight="1">
      <c r="A815" s="261"/>
      <c r="B815" s="171"/>
      <c r="C815" s="172"/>
      <c r="D815" s="172"/>
      <c r="E815" s="154"/>
      <c r="F815" s="162"/>
      <c r="G815" s="162"/>
      <c r="H815" s="162"/>
      <c r="I815" s="162"/>
      <c r="J815" s="174"/>
      <c r="K815" s="162"/>
      <c r="L815" s="129"/>
      <c r="M815" s="156"/>
      <c r="N815" s="79"/>
      <c r="O815" s="79"/>
      <c r="P815" s="79"/>
      <c r="Q815" s="79"/>
      <c r="R815" s="79"/>
      <c r="S815" s="82"/>
      <c r="T815" s="82"/>
      <c r="U815" s="82"/>
      <c r="V815" s="82"/>
      <c r="W815" s="82"/>
      <c r="X815" s="82"/>
      <c r="Y815" s="82"/>
      <c r="Z815" s="82"/>
      <c r="AA815" s="82"/>
    </row>
    <row r="816" ht="15.75" customHeight="1">
      <c r="A816" s="261"/>
      <c r="B816" s="171"/>
      <c r="C816" s="172"/>
      <c r="D816" s="172"/>
      <c r="E816" s="154"/>
      <c r="F816" s="162"/>
      <c r="G816" s="162"/>
      <c r="H816" s="162"/>
      <c r="I816" s="162"/>
      <c r="J816" s="174"/>
      <c r="K816" s="162"/>
      <c r="L816" s="129"/>
      <c r="M816" s="156"/>
      <c r="N816" s="79"/>
      <c r="O816" s="79"/>
      <c r="P816" s="79"/>
      <c r="Q816" s="79"/>
      <c r="R816" s="79"/>
      <c r="S816" s="82"/>
      <c r="T816" s="82"/>
      <c r="U816" s="82"/>
      <c r="V816" s="82"/>
      <c r="W816" s="82"/>
      <c r="X816" s="82"/>
      <c r="Y816" s="82"/>
      <c r="Z816" s="82"/>
      <c r="AA816" s="82"/>
    </row>
    <row r="817" ht="15.75" customHeight="1">
      <c r="A817" s="261"/>
      <c r="B817" s="171"/>
      <c r="C817" s="172"/>
      <c r="D817" s="172"/>
      <c r="E817" s="154"/>
      <c r="F817" s="162"/>
      <c r="G817" s="162"/>
      <c r="H817" s="162"/>
      <c r="I817" s="162"/>
      <c r="J817" s="174"/>
      <c r="K817" s="162"/>
      <c r="L817" s="129"/>
      <c r="M817" s="156"/>
      <c r="N817" s="79"/>
      <c r="O817" s="79"/>
      <c r="P817" s="79"/>
      <c r="Q817" s="79"/>
      <c r="R817" s="79"/>
      <c r="S817" s="82"/>
      <c r="T817" s="82"/>
      <c r="U817" s="82"/>
      <c r="V817" s="82"/>
      <c r="W817" s="82"/>
      <c r="X817" s="82"/>
      <c r="Y817" s="82"/>
      <c r="Z817" s="82"/>
      <c r="AA817" s="82"/>
    </row>
    <row r="818" ht="15.75" customHeight="1">
      <c r="A818" s="261"/>
      <c r="B818" s="171"/>
      <c r="C818" s="172"/>
      <c r="D818" s="172"/>
      <c r="E818" s="154"/>
      <c r="F818" s="162"/>
      <c r="G818" s="162"/>
      <c r="H818" s="162"/>
      <c r="I818" s="162"/>
      <c r="J818" s="174"/>
      <c r="K818" s="162"/>
      <c r="L818" s="129"/>
      <c r="M818" s="156"/>
      <c r="N818" s="79"/>
      <c r="O818" s="79"/>
      <c r="P818" s="79"/>
      <c r="Q818" s="79"/>
      <c r="R818" s="79"/>
      <c r="S818" s="82"/>
      <c r="T818" s="82"/>
      <c r="U818" s="82"/>
      <c r="V818" s="82"/>
      <c r="W818" s="82"/>
      <c r="X818" s="82"/>
      <c r="Y818" s="82"/>
      <c r="Z818" s="82"/>
      <c r="AA818" s="82"/>
    </row>
    <row r="819" ht="15.75" customHeight="1">
      <c r="A819" s="261"/>
      <c r="B819" s="171"/>
      <c r="C819" s="172"/>
      <c r="D819" s="172"/>
      <c r="E819" s="154"/>
      <c r="F819" s="162"/>
      <c r="G819" s="162"/>
      <c r="H819" s="162"/>
      <c r="I819" s="162"/>
      <c r="J819" s="174"/>
      <c r="K819" s="162"/>
      <c r="L819" s="129"/>
      <c r="M819" s="156"/>
      <c r="N819" s="79"/>
      <c r="O819" s="79"/>
      <c r="P819" s="79"/>
      <c r="Q819" s="79"/>
      <c r="R819" s="79"/>
      <c r="S819" s="82"/>
      <c r="T819" s="82"/>
      <c r="U819" s="82"/>
      <c r="V819" s="82"/>
      <c r="W819" s="82"/>
      <c r="X819" s="82"/>
      <c r="Y819" s="82"/>
      <c r="Z819" s="82"/>
      <c r="AA819" s="82"/>
    </row>
    <row r="820" ht="15.75" customHeight="1">
      <c r="A820" s="261"/>
      <c r="B820" s="171"/>
      <c r="C820" s="172"/>
      <c r="D820" s="172"/>
      <c r="E820" s="154"/>
      <c r="F820" s="162"/>
      <c r="G820" s="162"/>
      <c r="H820" s="162"/>
      <c r="I820" s="162"/>
      <c r="J820" s="174"/>
      <c r="K820" s="162"/>
      <c r="L820" s="129"/>
      <c r="M820" s="156"/>
      <c r="N820" s="79"/>
      <c r="O820" s="79"/>
      <c r="P820" s="79"/>
      <c r="Q820" s="79"/>
      <c r="R820" s="79"/>
      <c r="S820" s="82"/>
      <c r="T820" s="82"/>
      <c r="U820" s="82"/>
      <c r="V820" s="82"/>
      <c r="W820" s="82"/>
      <c r="X820" s="82"/>
      <c r="Y820" s="82"/>
      <c r="Z820" s="82"/>
      <c r="AA820" s="82"/>
    </row>
    <row r="821" ht="15.75" customHeight="1">
      <c r="A821" s="261"/>
      <c r="B821" s="171"/>
      <c r="C821" s="172"/>
      <c r="D821" s="172"/>
      <c r="E821" s="154"/>
      <c r="F821" s="162"/>
      <c r="G821" s="162"/>
      <c r="H821" s="162"/>
      <c r="I821" s="162"/>
      <c r="J821" s="174"/>
      <c r="K821" s="162"/>
      <c r="L821" s="129"/>
      <c r="M821" s="156"/>
      <c r="N821" s="79"/>
      <c r="O821" s="79"/>
      <c r="P821" s="79"/>
      <c r="Q821" s="79"/>
      <c r="R821" s="79"/>
      <c r="S821" s="82"/>
      <c r="T821" s="82"/>
      <c r="U821" s="82"/>
      <c r="V821" s="82"/>
      <c r="W821" s="82"/>
      <c r="X821" s="82"/>
      <c r="Y821" s="82"/>
      <c r="Z821" s="82"/>
      <c r="AA821" s="82"/>
    </row>
    <row r="822" ht="15.75" customHeight="1">
      <c r="A822" s="261"/>
      <c r="B822" s="171"/>
      <c r="C822" s="172"/>
      <c r="D822" s="172"/>
      <c r="E822" s="154"/>
      <c r="F822" s="162"/>
      <c r="G822" s="162"/>
      <c r="H822" s="162"/>
      <c r="I822" s="162"/>
      <c r="J822" s="174"/>
      <c r="K822" s="162"/>
      <c r="L822" s="129"/>
      <c r="M822" s="156"/>
      <c r="N822" s="79"/>
      <c r="O822" s="79"/>
      <c r="P822" s="79"/>
      <c r="Q822" s="79"/>
      <c r="R822" s="79"/>
      <c r="S822" s="82"/>
      <c r="T822" s="82"/>
      <c r="U822" s="82"/>
      <c r="V822" s="82"/>
      <c r="W822" s="82"/>
      <c r="X822" s="82"/>
      <c r="Y822" s="82"/>
      <c r="Z822" s="82"/>
      <c r="AA822" s="82"/>
    </row>
    <row r="823" ht="15.75" customHeight="1">
      <c r="A823" s="261"/>
      <c r="B823" s="171"/>
      <c r="C823" s="172"/>
      <c r="D823" s="172"/>
      <c r="E823" s="154"/>
      <c r="F823" s="162"/>
      <c r="G823" s="162"/>
      <c r="H823" s="162"/>
      <c r="I823" s="162"/>
      <c r="J823" s="174"/>
      <c r="K823" s="162"/>
      <c r="L823" s="129"/>
      <c r="M823" s="156"/>
      <c r="N823" s="79"/>
      <c r="O823" s="79"/>
      <c r="P823" s="79"/>
      <c r="Q823" s="79"/>
      <c r="R823" s="79"/>
      <c r="S823" s="82"/>
      <c r="T823" s="82"/>
      <c r="U823" s="82"/>
      <c r="V823" s="82"/>
      <c r="W823" s="82"/>
      <c r="X823" s="82"/>
      <c r="Y823" s="82"/>
      <c r="Z823" s="82"/>
      <c r="AA823" s="82"/>
    </row>
    <row r="824" ht="15.75" customHeight="1">
      <c r="A824" s="261"/>
      <c r="B824" s="171"/>
      <c r="C824" s="172"/>
      <c r="D824" s="172"/>
      <c r="E824" s="154"/>
      <c r="F824" s="162"/>
      <c r="G824" s="162"/>
      <c r="H824" s="162"/>
      <c r="I824" s="162"/>
      <c r="J824" s="174"/>
      <c r="K824" s="162"/>
      <c r="L824" s="129"/>
      <c r="M824" s="156"/>
      <c r="N824" s="79"/>
      <c r="O824" s="79"/>
      <c r="P824" s="79"/>
      <c r="Q824" s="79"/>
      <c r="R824" s="79"/>
      <c r="S824" s="82"/>
      <c r="T824" s="82"/>
      <c r="U824" s="82"/>
      <c r="V824" s="82"/>
      <c r="W824" s="82"/>
      <c r="X824" s="82"/>
      <c r="Y824" s="82"/>
      <c r="Z824" s="82"/>
      <c r="AA824" s="82"/>
    </row>
    <row r="825" ht="15.75" customHeight="1">
      <c r="A825" s="261"/>
      <c r="B825" s="171"/>
      <c r="C825" s="172"/>
      <c r="D825" s="172"/>
      <c r="E825" s="154"/>
      <c r="F825" s="162"/>
      <c r="G825" s="162"/>
      <c r="H825" s="162"/>
      <c r="I825" s="162"/>
      <c r="J825" s="174"/>
      <c r="K825" s="162"/>
      <c r="L825" s="129"/>
      <c r="M825" s="156"/>
      <c r="N825" s="79"/>
      <c r="O825" s="79"/>
      <c r="P825" s="79"/>
      <c r="Q825" s="79"/>
      <c r="R825" s="79"/>
      <c r="S825" s="82"/>
      <c r="T825" s="82"/>
      <c r="U825" s="82"/>
      <c r="V825" s="82"/>
      <c r="W825" s="82"/>
      <c r="X825" s="82"/>
      <c r="Y825" s="82"/>
      <c r="Z825" s="82"/>
      <c r="AA825" s="82"/>
    </row>
    <row r="826" ht="15.75" customHeight="1">
      <c r="A826" s="261"/>
      <c r="B826" s="171"/>
      <c r="C826" s="172"/>
      <c r="D826" s="172"/>
      <c r="E826" s="154"/>
      <c r="F826" s="162"/>
      <c r="G826" s="162"/>
      <c r="H826" s="162"/>
      <c r="I826" s="162"/>
      <c r="J826" s="174"/>
      <c r="K826" s="162"/>
      <c r="L826" s="129"/>
      <c r="M826" s="156"/>
      <c r="N826" s="79"/>
      <c r="O826" s="79"/>
      <c r="P826" s="79"/>
      <c r="Q826" s="79"/>
      <c r="R826" s="79"/>
      <c r="S826" s="82"/>
      <c r="T826" s="82"/>
      <c r="U826" s="82"/>
      <c r="V826" s="82"/>
      <c r="W826" s="82"/>
      <c r="X826" s="82"/>
      <c r="Y826" s="82"/>
      <c r="Z826" s="82"/>
      <c r="AA826" s="82"/>
    </row>
    <row r="827" ht="15.75" customHeight="1">
      <c r="A827" s="261"/>
      <c r="B827" s="171"/>
      <c r="C827" s="172"/>
      <c r="D827" s="172"/>
      <c r="E827" s="154"/>
      <c r="F827" s="162"/>
      <c r="G827" s="162"/>
      <c r="H827" s="162"/>
      <c r="I827" s="162"/>
      <c r="J827" s="174"/>
      <c r="K827" s="162"/>
      <c r="L827" s="129"/>
      <c r="M827" s="156"/>
      <c r="N827" s="79"/>
      <c r="O827" s="79"/>
      <c r="P827" s="79"/>
      <c r="Q827" s="79"/>
      <c r="R827" s="79"/>
      <c r="S827" s="82"/>
      <c r="T827" s="82"/>
      <c r="U827" s="82"/>
      <c r="V827" s="82"/>
      <c r="W827" s="82"/>
      <c r="X827" s="82"/>
      <c r="Y827" s="82"/>
      <c r="Z827" s="82"/>
      <c r="AA827" s="82"/>
    </row>
    <row r="828" ht="15.75" customHeight="1">
      <c r="A828" s="261"/>
      <c r="B828" s="171"/>
      <c r="C828" s="172"/>
      <c r="D828" s="172"/>
      <c r="E828" s="154"/>
      <c r="F828" s="162"/>
      <c r="G828" s="162"/>
      <c r="H828" s="162"/>
      <c r="I828" s="162"/>
      <c r="J828" s="174"/>
      <c r="K828" s="162"/>
      <c r="L828" s="129"/>
      <c r="M828" s="156"/>
      <c r="N828" s="79"/>
      <c r="O828" s="79"/>
      <c r="P828" s="79"/>
      <c r="Q828" s="79"/>
      <c r="R828" s="79"/>
      <c r="S828" s="82"/>
      <c r="T828" s="82"/>
      <c r="U828" s="82"/>
      <c r="V828" s="82"/>
      <c r="W828" s="82"/>
      <c r="X828" s="82"/>
      <c r="Y828" s="82"/>
      <c r="Z828" s="82"/>
      <c r="AA828" s="82"/>
    </row>
    <row r="829" ht="15.75" customHeight="1">
      <c r="A829" s="261"/>
      <c r="B829" s="171"/>
      <c r="C829" s="172"/>
      <c r="D829" s="172"/>
      <c r="E829" s="154"/>
      <c r="F829" s="162"/>
      <c r="G829" s="162"/>
      <c r="H829" s="162"/>
      <c r="I829" s="162"/>
      <c r="J829" s="174"/>
      <c r="K829" s="162"/>
      <c r="L829" s="129"/>
      <c r="M829" s="156"/>
      <c r="N829" s="79"/>
      <c r="O829" s="79"/>
      <c r="P829" s="79"/>
      <c r="Q829" s="79"/>
      <c r="R829" s="79"/>
      <c r="S829" s="82"/>
      <c r="T829" s="82"/>
      <c r="U829" s="82"/>
      <c r="V829" s="82"/>
      <c r="W829" s="82"/>
      <c r="X829" s="82"/>
      <c r="Y829" s="82"/>
      <c r="Z829" s="82"/>
      <c r="AA829" s="82"/>
    </row>
    <row r="830" ht="15.75" customHeight="1">
      <c r="A830" s="261"/>
      <c r="B830" s="171"/>
      <c r="C830" s="172"/>
      <c r="D830" s="172"/>
      <c r="E830" s="154"/>
      <c r="F830" s="162"/>
      <c r="G830" s="162"/>
      <c r="H830" s="162"/>
      <c r="I830" s="162"/>
      <c r="J830" s="174"/>
      <c r="K830" s="162"/>
      <c r="L830" s="129"/>
      <c r="M830" s="156"/>
      <c r="N830" s="79"/>
      <c r="O830" s="79"/>
      <c r="P830" s="79"/>
      <c r="Q830" s="79"/>
      <c r="R830" s="79"/>
      <c r="S830" s="82"/>
      <c r="T830" s="82"/>
      <c r="U830" s="82"/>
      <c r="V830" s="82"/>
      <c r="W830" s="82"/>
      <c r="X830" s="82"/>
      <c r="Y830" s="82"/>
      <c r="Z830" s="82"/>
      <c r="AA830" s="82"/>
    </row>
    <row r="831" ht="15.75" customHeight="1">
      <c r="A831" s="261"/>
      <c r="B831" s="171"/>
      <c r="C831" s="172"/>
      <c r="D831" s="172"/>
      <c r="E831" s="154"/>
      <c r="F831" s="162"/>
      <c r="G831" s="162"/>
      <c r="H831" s="162"/>
      <c r="I831" s="162"/>
      <c r="J831" s="174"/>
      <c r="K831" s="162"/>
      <c r="L831" s="129"/>
      <c r="M831" s="156"/>
      <c r="N831" s="79"/>
      <c r="O831" s="79"/>
      <c r="P831" s="79"/>
      <c r="Q831" s="79"/>
      <c r="R831" s="79"/>
      <c r="S831" s="82"/>
      <c r="T831" s="82"/>
      <c r="U831" s="82"/>
      <c r="V831" s="82"/>
      <c r="W831" s="82"/>
      <c r="X831" s="82"/>
      <c r="Y831" s="82"/>
      <c r="Z831" s="82"/>
      <c r="AA831" s="82"/>
    </row>
    <row r="832" ht="15.75" customHeight="1">
      <c r="A832" s="261"/>
      <c r="B832" s="171"/>
      <c r="C832" s="172"/>
      <c r="D832" s="172"/>
      <c r="E832" s="154"/>
      <c r="F832" s="162"/>
      <c r="G832" s="162"/>
      <c r="H832" s="162"/>
      <c r="I832" s="162"/>
      <c r="J832" s="174"/>
      <c r="K832" s="162"/>
      <c r="L832" s="129"/>
      <c r="M832" s="156"/>
      <c r="N832" s="79"/>
      <c r="O832" s="79"/>
      <c r="P832" s="79"/>
      <c r="Q832" s="79"/>
      <c r="R832" s="79"/>
      <c r="S832" s="82"/>
      <c r="T832" s="82"/>
      <c r="U832" s="82"/>
      <c r="V832" s="82"/>
      <c r="W832" s="82"/>
      <c r="X832" s="82"/>
      <c r="Y832" s="82"/>
      <c r="Z832" s="82"/>
      <c r="AA832" s="82"/>
    </row>
    <row r="833" ht="15.75" customHeight="1">
      <c r="A833" s="261"/>
      <c r="B833" s="171"/>
      <c r="C833" s="172"/>
      <c r="D833" s="172"/>
      <c r="E833" s="154"/>
      <c r="F833" s="162"/>
      <c r="G833" s="162"/>
      <c r="H833" s="162"/>
      <c r="I833" s="162"/>
      <c r="J833" s="174"/>
      <c r="K833" s="162"/>
      <c r="L833" s="129"/>
      <c r="M833" s="156"/>
      <c r="N833" s="79"/>
      <c r="O833" s="79"/>
      <c r="P833" s="79"/>
      <c r="Q833" s="79"/>
      <c r="R833" s="79"/>
      <c r="S833" s="82"/>
      <c r="T833" s="82"/>
      <c r="U833" s="82"/>
      <c r="V833" s="82"/>
      <c r="W833" s="82"/>
      <c r="X833" s="82"/>
      <c r="Y833" s="82"/>
      <c r="Z833" s="82"/>
      <c r="AA833" s="82"/>
    </row>
    <row r="834" ht="15.75" customHeight="1">
      <c r="A834" s="261"/>
      <c r="B834" s="171"/>
      <c r="C834" s="172"/>
      <c r="D834" s="172"/>
      <c r="E834" s="154"/>
      <c r="F834" s="162"/>
      <c r="G834" s="162"/>
      <c r="H834" s="162"/>
      <c r="I834" s="162"/>
      <c r="J834" s="174"/>
      <c r="K834" s="162"/>
      <c r="L834" s="129"/>
      <c r="M834" s="156"/>
      <c r="N834" s="79"/>
      <c r="O834" s="79"/>
      <c r="P834" s="79"/>
      <c r="Q834" s="79"/>
      <c r="R834" s="79"/>
      <c r="S834" s="82"/>
      <c r="T834" s="82"/>
      <c r="U834" s="82"/>
      <c r="V834" s="82"/>
      <c r="W834" s="82"/>
      <c r="X834" s="82"/>
      <c r="Y834" s="82"/>
      <c r="Z834" s="82"/>
      <c r="AA834" s="82"/>
    </row>
    <row r="835" ht="15.75" customHeight="1">
      <c r="A835" s="261"/>
      <c r="B835" s="171"/>
      <c r="C835" s="172"/>
      <c r="D835" s="172"/>
      <c r="E835" s="154"/>
      <c r="F835" s="162"/>
      <c r="G835" s="162"/>
      <c r="H835" s="162"/>
      <c r="I835" s="162"/>
      <c r="J835" s="174"/>
      <c r="K835" s="162"/>
      <c r="L835" s="129"/>
      <c r="M835" s="156"/>
      <c r="N835" s="79"/>
      <c r="O835" s="79"/>
      <c r="P835" s="79"/>
      <c r="Q835" s="79"/>
      <c r="R835" s="79"/>
      <c r="S835" s="82"/>
      <c r="T835" s="82"/>
      <c r="U835" s="82"/>
      <c r="V835" s="82"/>
      <c r="W835" s="82"/>
      <c r="X835" s="82"/>
      <c r="Y835" s="82"/>
      <c r="Z835" s="82"/>
      <c r="AA835" s="82"/>
    </row>
    <row r="836" ht="15.75" customHeight="1">
      <c r="A836" s="261"/>
      <c r="B836" s="171"/>
      <c r="C836" s="172"/>
      <c r="D836" s="172"/>
      <c r="E836" s="154"/>
      <c r="F836" s="162"/>
      <c r="G836" s="162"/>
      <c r="H836" s="162"/>
      <c r="I836" s="162"/>
      <c r="J836" s="174"/>
      <c r="K836" s="162"/>
      <c r="L836" s="129"/>
      <c r="M836" s="156"/>
      <c r="N836" s="79"/>
      <c r="O836" s="79"/>
      <c r="P836" s="79"/>
      <c r="Q836" s="79"/>
      <c r="R836" s="79"/>
      <c r="S836" s="82"/>
      <c r="T836" s="82"/>
      <c r="U836" s="82"/>
      <c r="V836" s="82"/>
      <c r="W836" s="82"/>
      <c r="X836" s="82"/>
      <c r="Y836" s="82"/>
      <c r="Z836" s="82"/>
      <c r="AA836" s="82"/>
    </row>
    <row r="837" ht="15.75" customHeight="1">
      <c r="A837" s="261"/>
      <c r="B837" s="171"/>
      <c r="C837" s="172"/>
      <c r="D837" s="172"/>
      <c r="E837" s="154"/>
      <c r="F837" s="162"/>
      <c r="G837" s="162"/>
      <c r="H837" s="162"/>
      <c r="I837" s="162"/>
      <c r="J837" s="174"/>
      <c r="K837" s="162"/>
      <c r="L837" s="129"/>
      <c r="M837" s="156"/>
      <c r="N837" s="79"/>
      <c r="O837" s="79"/>
      <c r="P837" s="79"/>
      <c r="Q837" s="79"/>
      <c r="R837" s="79"/>
      <c r="S837" s="82"/>
      <c r="T837" s="82"/>
      <c r="U837" s="82"/>
      <c r="V837" s="82"/>
      <c r="W837" s="82"/>
      <c r="X837" s="82"/>
      <c r="Y837" s="82"/>
      <c r="Z837" s="82"/>
      <c r="AA837" s="82"/>
    </row>
    <row r="838" ht="15.75" customHeight="1">
      <c r="A838" s="261"/>
      <c r="B838" s="171"/>
      <c r="C838" s="172"/>
      <c r="D838" s="172"/>
      <c r="E838" s="154"/>
      <c r="F838" s="162"/>
      <c r="G838" s="162"/>
      <c r="H838" s="162"/>
      <c r="I838" s="162"/>
      <c r="J838" s="174"/>
      <c r="K838" s="162"/>
      <c r="L838" s="129"/>
      <c r="M838" s="156"/>
      <c r="N838" s="79"/>
      <c r="O838" s="79"/>
      <c r="P838" s="79"/>
      <c r="Q838" s="79"/>
      <c r="R838" s="79"/>
      <c r="S838" s="82"/>
      <c r="T838" s="82"/>
      <c r="U838" s="82"/>
      <c r="V838" s="82"/>
      <c r="W838" s="82"/>
      <c r="X838" s="82"/>
      <c r="Y838" s="82"/>
      <c r="Z838" s="82"/>
      <c r="AA838" s="82"/>
    </row>
    <row r="839" ht="15.75" customHeight="1">
      <c r="A839" s="261"/>
      <c r="B839" s="171"/>
      <c r="C839" s="172"/>
      <c r="D839" s="172"/>
      <c r="E839" s="154"/>
      <c r="F839" s="162"/>
      <c r="G839" s="162"/>
      <c r="H839" s="162"/>
      <c r="I839" s="162"/>
      <c r="J839" s="174"/>
      <c r="K839" s="162"/>
      <c r="L839" s="129"/>
      <c r="M839" s="156"/>
      <c r="N839" s="79"/>
      <c r="O839" s="79"/>
      <c r="P839" s="79"/>
      <c r="Q839" s="79"/>
      <c r="R839" s="79"/>
      <c r="S839" s="82"/>
      <c r="T839" s="82"/>
      <c r="U839" s="82"/>
      <c r="V839" s="82"/>
      <c r="W839" s="82"/>
      <c r="X839" s="82"/>
      <c r="Y839" s="82"/>
      <c r="Z839" s="82"/>
      <c r="AA839" s="82"/>
    </row>
    <row r="840" ht="15.75" customHeight="1">
      <c r="A840" s="261"/>
      <c r="B840" s="171"/>
      <c r="C840" s="172"/>
      <c r="D840" s="172"/>
      <c r="E840" s="154"/>
      <c r="F840" s="162"/>
      <c r="G840" s="162"/>
      <c r="H840" s="162"/>
      <c r="I840" s="162"/>
      <c r="J840" s="174"/>
      <c r="K840" s="162"/>
      <c r="L840" s="129"/>
      <c r="M840" s="156"/>
      <c r="N840" s="79"/>
      <c r="O840" s="79"/>
      <c r="P840" s="79"/>
      <c r="Q840" s="79"/>
      <c r="R840" s="79"/>
      <c r="S840" s="82"/>
      <c r="T840" s="82"/>
      <c r="U840" s="82"/>
      <c r="V840" s="82"/>
      <c r="W840" s="82"/>
      <c r="X840" s="82"/>
      <c r="Y840" s="82"/>
      <c r="Z840" s="82"/>
      <c r="AA840" s="82"/>
    </row>
    <row r="841" ht="15.75" customHeight="1">
      <c r="A841" s="261"/>
      <c r="B841" s="171"/>
      <c r="C841" s="172"/>
      <c r="D841" s="172"/>
      <c r="E841" s="154"/>
      <c r="F841" s="162"/>
      <c r="G841" s="162"/>
      <c r="H841" s="162"/>
      <c r="I841" s="162"/>
      <c r="J841" s="174"/>
      <c r="K841" s="162"/>
      <c r="L841" s="129"/>
      <c r="M841" s="156"/>
      <c r="N841" s="79"/>
      <c r="O841" s="79"/>
      <c r="P841" s="79"/>
      <c r="Q841" s="79"/>
      <c r="R841" s="79"/>
      <c r="S841" s="82"/>
      <c r="T841" s="82"/>
      <c r="U841" s="82"/>
      <c r="V841" s="82"/>
      <c r="W841" s="82"/>
      <c r="X841" s="82"/>
      <c r="Y841" s="82"/>
      <c r="Z841" s="82"/>
      <c r="AA841" s="82"/>
    </row>
    <row r="842" ht="15.75" customHeight="1">
      <c r="A842" s="261"/>
      <c r="B842" s="171"/>
      <c r="C842" s="172"/>
      <c r="D842" s="172"/>
      <c r="E842" s="154"/>
      <c r="F842" s="162"/>
      <c r="G842" s="162"/>
      <c r="H842" s="162"/>
      <c r="I842" s="162"/>
      <c r="J842" s="174"/>
      <c r="K842" s="162"/>
      <c r="L842" s="129"/>
      <c r="M842" s="156"/>
      <c r="N842" s="79"/>
      <c r="O842" s="79"/>
      <c r="P842" s="79"/>
      <c r="Q842" s="79"/>
      <c r="R842" s="79"/>
      <c r="S842" s="82"/>
      <c r="T842" s="82"/>
      <c r="U842" s="82"/>
      <c r="V842" s="82"/>
      <c r="W842" s="82"/>
      <c r="X842" s="82"/>
      <c r="Y842" s="82"/>
      <c r="Z842" s="82"/>
      <c r="AA842" s="82"/>
    </row>
    <row r="843" ht="15.75" customHeight="1">
      <c r="A843" s="261"/>
      <c r="B843" s="171"/>
      <c r="C843" s="172"/>
      <c r="D843" s="172"/>
      <c r="E843" s="154"/>
      <c r="F843" s="162"/>
      <c r="G843" s="162"/>
      <c r="H843" s="162"/>
      <c r="I843" s="162"/>
      <c r="J843" s="174"/>
      <c r="K843" s="162"/>
      <c r="L843" s="129"/>
      <c r="M843" s="156"/>
      <c r="N843" s="79"/>
      <c r="O843" s="79"/>
      <c r="P843" s="79"/>
      <c r="Q843" s="79"/>
      <c r="R843" s="79"/>
      <c r="S843" s="82"/>
      <c r="T843" s="82"/>
      <c r="U843" s="82"/>
      <c r="V843" s="82"/>
      <c r="W843" s="82"/>
      <c r="X843" s="82"/>
      <c r="Y843" s="82"/>
      <c r="Z843" s="82"/>
      <c r="AA843" s="82"/>
    </row>
    <row r="844" ht="15.75" customHeight="1">
      <c r="A844" s="261"/>
      <c r="B844" s="171"/>
      <c r="C844" s="172"/>
      <c r="D844" s="172"/>
      <c r="E844" s="154"/>
      <c r="F844" s="162"/>
      <c r="G844" s="162"/>
      <c r="H844" s="162"/>
      <c r="I844" s="162"/>
      <c r="J844" s="174"/>
      <c r="K844" s="162"/>
      <c r="L844" s="129"/>
      <c r="M844" s="156"/>
      <c r="N844" s="79"/>
      <c r="O844" s="79"/>
      <c r="P844" s="79"/>
      <c r="Q844" s="79"/>
      <c r="R844" s="79"/>
      <c r="S844" s="82"/>
      <c r="T844" s="82"/>
      <c r="U844" s="82"/>
      <c r="V844" s="82"/>
      <c r="W844" s="82"/>
      <c r="X844" s="82"/>
      <c r="Y844" s="82"/>
      <c r="Z844" s="82"/>
      <c r="AA844" s="82"/>
    </row>
    <row r="845" ht="15.75" customHeight="1">
      <c r="A845" s="261"/>
      <c r="B845" s="171"/>
      <c r="C845" s="172"/>
      <c r="D845" s="172"/>
      <c r="E845" s="154"/>
      <c r="F845" s="162"/>
      <c r="G845" s="162"/>
      <c r="H845" s="162"/>
      <c r="I845" s="162"/>
      <c r="J845" s="174"/>
      <c r="K845" s="162"/>
      <c r="L845" s="129"/>
      <c r="M845" s="156"/>
      <c r="N845" s="79"/>
      <c r="O845" s="79"/>
      <c r="P845" s="79"/>
      <c r="Q845" s="79"/>
      <c r="R845" s="79"/>
      <c r="S845" s="82"/>
      <c r="T845" s="82"/>
      <c r="U845" s="82"/>
      <c r="V845" s="82"/>
      <c r="W845" s="82"/>
      <c r="X845" s="82"/>
      <c r="Y845" s="82"/>
      <c r="Z845" s="82"/>
      <c r="AA845" s="82"/>
    </row>
    <row r="846" ht="15.75" customHeight="1">
      <c r="A846" s="261"/>
      <c r="B846" s="171"/>
      <c r="C846" s="172"/>
      <c r="D846" s="172"/>
      <c r="E846" s="154"/>
      <c r="F846" s="162"/>
      <c r="G846" s="162"/>
      <c r="H846" s="162"/>
      <c r="I846" s="162"/>
      <c r="J846" s="174"/>
      <c r="K846" s="162"/>
      <c r="L846" s="129"/>
      <c r="M846" s="156"/>
      <c r="N846" s="79"/>
      <c r="O846" s="79"/>
      <c r="P846" s="79"/>
      <c r="Q846" s="79"/>
      <c r="R846" s="79"/>
      <c r="S846" s="82"/>
      <c r="T846" s="82"/>
      <c r="U846" s="82"/>
      <c r="V846" s="82"/>
      <c r="W846" s="82"/>
      <c r="X846" s="82"/>
      <c r="Y846" s="82"/>
      <c r="Z846" s="82"/>
      <c r="AA846" s="82"/>
    </row>
    <row r="847" ht="15.75" customHeight="1">
      <c r="A847" s="261"/>
      <c r="B847" s="171"/>
      <c r="C847" s="172"/>
      <c r="D847" s="172"/>
      <c r="E847" s="154"/>
      <c r="F847" s="162"/>
      <c r="G847" s="162"/>
      <c r="H847" s="162"/>
      <c r="I847" s="162"/>
      <c r="J847" s="174"/>
      <c r="K847" s="162"/>
      <c r="L847" s="129"/>
      <c r="M847" s="156"/>
      <c r="N847" s="79"/>
      <c r="O847" s="79"/>
      <c r="P847" s="79"/>
      <c r="Q847" s="79"/>
      <c r="R847" s="79"/>
      <c r="S847" s="82"/>
      <c r="T847" s="82"/>
      <c r="U847" s="82"/>
      <c r="V847" s="82"/>
      <c r="W847" s="82"/>
      <c r="X847" s="82"/>
      <c r="Y847" s="82"/>
      <c r="Z847" s="82"/>
      <c r="AA847" s="82"/>
    </row>
    <row r="848" ht="15.75" customHeight="1">
      <c r="A848" s="261"/>
      <c r="B848" s="171"/>
      <c r="C848" s="172"/>
      <c r="D848" s="172"/>
      <c r="E848" s="154"/>
      <c r="F848" s="162"/>
      <c r="G848" s="162"/>
      <c r="H848" s="162"/>
      <c r="I848" s="162"/>
      <c r="J848" s="174"/>
      <c r="K848" s="162"/>
      <c r="L848" s="129"/>
      <c r="M848" s="156"/>
      <c r="N848" s="79"/>
      <c r="O848" s="79"/>
      <c r="P848" s="79"/>
      <c r="Q848" s="79"/>
      <c r="R848" s="79"/>
      <c r="S848" s="82"/>
      <c r="T848" s="82"/>
      <c r="U848" s="82"/>
      <c r="V848" s="82"/>
      <c r="W848" s="82"/>
      <c r="X848" s="82"/>
      <c r="Y848" s="82"/>
      <c r="Z848" s="82"/>
      <c r="AA848" s="82"/>
    </row>
    <row r="849" ht="15.75" customHeight="1">
      <c r="A849" s="261"/>
      <c r="B849" s="171"/>
      <c r="C849" s="172"/>
      <c r="D849" s="172"/>
      <c r="E849" s="154"/>
      <c r="F849" s="162"/>
      <c r="G849" s="162"/>
      <c r="H849" s="162"/>
      <c r="I849" s="162"/>
      <c r="J849" s="174"/>
      <c r="K849" s="162"/>
      <c r="L849" s="129"/>
      <c r="M849" s="156"/>
      <c r="N849" s="79"/>
      <c r="O849" s="79"/>
      <c r="P849" s="79"/>
      <c r="Q849" s="79"/>
      <c r="R849" s="79"/>
      <c r="S849" s="82"/>
      <c r="T849" s="82"/>
      <c r="U849" s="82"/>
      <c r="V849" s="82"/>
      <c r="W849" s="82"/>
      <c r="X849" s="82"/>
      <c r="Y849" s="82"/>
      <c r="Z849" s="82"/>
      <c r="AA849" s="82"/>
    </row>
    <row r="850" ht="15.75" customHeight="1">
      <c r="A850" s="261"/>
      <c r="B850" s="171"/>
      <c r="C850" s="172"/>
      <c r="D850" s="172"/>
      <c r="E850" s="154"/>
      <c r="F850" s="162"/>
      <c r="G850" s="162"/>
      <c r="H850" s="162"/>
      <c r="I850" s="162"/>
      <c r="J850" s="174"/>
      <c r="K850" s="162"/>
      <c r="L850" s="129"/>
      <c r="M850" s="156"/>
      <c r="N850" s="79"/>
      <c r="O850" s="79"/>
      <c r="P850" s="79"/>
      <c r="Q850" s="79"/>
      <c r="R850" s="79"/>
      <c r="S850" s="82"/>
      <c r="T850" s="82"/>
      <c r="U850" s="82"/>
      <c r="V850" s="82"/>
      <c r="W850" s="82"/>
      <c r="X850" s="82"/>
      <c r="Y850" s="82"/>
      <c r="Z850" s="82"/>
      <c r="AA850" s="82"/>
    </row>
    <row r="851" ht="15.75" customHeight="1">
      <c r="A851" s="261"/>
      <c r="B851" s="171"/>
      <c r="C851" s="172"/>
      <c r="D851" s="172"/>
      <c r="E851" s="154"/>
      <c r="F851" s="162"/>
      <c r="G851" s="162"/>
      <c r="H851" s="162"/>
      <c r="I851" s="162"/>
      <c r="J851" s="174"/>
      <c r="K851" s="162"/>
      <c r="L851" s="129"/>
      <c r="M851" s="156"/>
      <c r="N851" s="79"/>
      <c r="O851" s="79"/>
      <c r="P851" s="79"/>
      <c r="Q851" s="79"/>
      <c r="R851" s="79"/>
      <c r="S851" s="82"/>
      <c r="T851" s="82"/>
      <c r="U851" s="82"/>
      <c r="V851" s="82"/>
      <c r="W851" s="82"/>
      <c r="X851" s="82"/>
      <c r="Y851" s="82"/>
      <c r="Z851" s="82"/>
      <c r="AA851" s="82"/>
    </row>
    <row r="852" ht="15.75" customHeight="1">
      <c r="A852" s="261"/>
      <c r="B852" s="171"/>
      <c r="C852" s="172"/>
      <c r="D852" s="172"/>
      <c r="E852" s="154"/>
      <c r="F852" s="162"/>
      <c r="G852" s="162"/>
      <c r="H852" s="162"/>
      <c r="I852" s="162"/>
      <c r="J852" s="174"/>
      <c r="K852" s="162"/>
      <c r="L852" s="129"/>
      <c r="M852" s="156"/>
      <c r="N852" s="79"/>
      <c r="O852" s="79"/>
      <c r="P852" s="79"/>
      <c r="Q852" s="79"/>
      <c r="R852" s="79"/>
      <c r="S852" s="82"/>
      <c r="T852" s="82"/>
      <c r="U852" s="82"/>
      <c r="V852" s="82"/>
      <c r="W852" s="82"/>
      <c r="X852" s="82"/>
      <c r="Y852" s="82"/>
      <c r="Z852" s="82"/>
      <c r="AA852" s="82"/>
    </row>
    <row r="853" ht="15.75" customHeight="1">
      <c r="A853" s="261"/>
      <c r="B853" s="171"/>
      <c r="C853" s="172"/>
      <c r="D853" s="172"/>
      <c r="E853" s="154"/>
      <c r="F853" s="162"/>
      <c r="G853" s="162"/>
      <c r="H853" s="162"/>
      <c r="I853" s="162"/>
      <c r="J853" s="174"/>
      <c r="K853" s="162"/>
      <c r="L853" s="129"/>
      <c r="M853" s="156"/>
      <c r="N853" s="79"/>
      <c r="O853" s="79"/>
      <c r="P853" s="79"/>
      <c r="Q853" s="79"/>
      <c r="R853" s="79"/>
      <c r="S853" s="82"/>
      <c r="T853" s="82"/>
      <c r="U853" s="82"/>
      <c r="V853" s="82"/>
      <c r="W853" s="82"/>
      <c r="X853" s="82"/>
      <c r="Y853" s="82"/>
      <c r="Z853" s="82"/>
      <c r="AA853" s="82"/>
    </row>
    <row r="854" ht="15.75" customHeight="1">
      <c r="A854" s="261"/>
      <c r="B854" s="171"/>
      <c r="C854" s="172"/>
      <c r="D854" s="172"/>
      <c r="E854" s="154"/>
      <c r="F854" s="162"/>
      <c r="G854" s="162"/>
      <c r="H854" s="162"/>
      <c r="I854" s="162"/>
      <c r="J854" s="174"/>
      <c r="K854" s="162"/>
      <c r="L854" s="129"/>
      <c r="M854" s="156"/>
      <c r="N854" s="79"/>
      <c r="O854" s="79"/>
      <c r="P854" s="79"/>
      <c r="Q854" s="79"/>
      <c r="R854" s="79"/>
      <c r="S854" s="82"/>
      <c r="T854" s="82"/>
      <c r="U854" s="82"/>
      <c r="V854" s="82"/>
      <c r="W854" s="82"/>
      <c r="X854" s="82"/>
      <c r="Y854" s="82"/>
      <c r="Z854" s="82"/>
      <c r="AA854" s="82"/>
    </row>
    <row r="855" ht="15.75" customHeight="1">
      <c r="A855" s="261"/>
      <c r="B855" s="171"/>
      <c r="C855" s="172"/>
      <c r="D855" s="172"/>
      <c r="E855" s="154"/>
      <c r="F855" s="162"/>
      <c r="G855" s="162"/>
      <c r="H855" s="162"/>
      <c r="I855" s="162"/>
      <c r="J855" s="174"/>
      <c r="K855" s="162"/>
      <c r="L855" s="129"/>
      <c r="M855" s="156"/>
      <c r="N855" s="79"/>
      <c r="O855" s="79"/>
      <c r="P855" s="79"/>
      <c r="Q855" s="79"/>
      <c r="R855" s="79"/>
      <c r="S855" s="82"/>
      <c r="T855" s="82"/>
      <c r="U855" s="82"/>
      <c r="V855" s="82"/>
      <c r="W855" s="82"/>
      <c r="X855" s="82"/>
      <c r="Y855" s="82"/>
      <c r="Z855" s="82"/>
      <c r="AA855" s="82"/>
    </row>
    <row r="856" ht="15.75" customHeight="1">
      <c r="A856" s="261"/>
      <c r="B856" s="171"/>
      <c r="C856" s="172"/>
      <c r="D856" s="172"/>
      <c r="E856" s="154"/>
      <c r="F856" s="162"/>
      <c r="G856" s="162"/>
      <c r="H856" s="162"/>
      <c r="I856" s="162"/>
      <c r="J856" s="174"/>
      <c r="K856" s="162"/>
      <c r="L856" s="129"/>
      <c r="M856" s="156"/>
      <c r="N856" s="79"/>
      <c r="O856" s="79"/>
      <c r="P856" s="79"/>
      <c r="Q856" s="79"/>
      <c r="R856" s="79"/>
      <c r="S856" s="82"/>
      <c r="T856" s="82"/>
      <c r="U856" s="82"/>
      <c r="V856" s="82"/>
      <c r="W856" s="82"/>
      <c r="X856" s="82"/>
      <c r="Y856" s="82"/>
      <c r="Z856" s="82"/>
      <c r="AA856" s="82"/>
    </row>
    <row r="857" ht="15.75" customHeight="1">
      <c r="A857" s="261"/>
      <c r="B857" s="171"/>
      <c r="C857" s="172"/>
      <c r="D857" s="172"/>
      <c r="E857" s="154"/>
      <c r="F857" s="162"/>
      <c r="G857" s="162"/>
      <c r="H857" s="162"/>
      <c r="I857" s="162"/>
      <c r="J857" s="174"/>
      <c r="K857" s="162"/>
      <c r="L857" s="129"/>
      <c r="M857" s="156"/>
      <c r="N857" s="79"/>
      <c r="O857" s="79"/>
      <c r="P857" s="79"/>
      <c r="Q857" s="79"/>
      <c r="R857" s="79"/>
      <c r="S857" s="82"/>
      <c r="T857" s="82"/>
      <c r="U857" s="82"/>
      <c r="V857" s="82"/>
      <c r="W857" s="82"/>
      <c r="X857" s="82"/>
      <c r="Y857" s="82"/>
      <c r="Z857" s="82"/>
      <c r="AA857" s="82"/>
    </row>
    <row r="858" ht="15.75" customHeight="1">
      <c r="A858" s="261"/>
      <c r="B858" s="171"/>
      <c r="C858" s="172"/>
      <c r="D858" s="172"/>
      <c r="E858" s="154"/>
      <c r="F858" s="162"/>
      <c r="G858" s="162"/>
      <c r="H858" s="162"/>
      <c r="I858" s="162"/>
      <c r="J858" s="174"/>
      <c r="K858" s="162"/>
      <c r="L858" s="129"/>
      <c r="M858" s="156"/>
      <c r="N858" s="79"/>
      <c r="O858" s="79"/>
      <c r="P858" s="79"/>
      <c r="Q858" s="79"/>
      <c r="R858" s="79"/>
      <c r="S858" s="82"/>
      <c r="T858" s="82"/>
      <c r="U858" s="82"/>
      <c r="V858" s="82"/>
      <c r="W858" s="82"/>
      <c r="X858" s="82"/>
      <c r="Y858" s="82"/>
      <c r="Z858" s="82"/>
      <c r="AA858" s="82"/>
    </row>
    <row r="859" ht="15.75" customHeight="1">
      <c r="A859" s="261"/>
      <c r="B859" s="171"/>
      <c r="C859" s="172"/>
      <c r="D859" s="172"/>
      <c r="E859" s="154"/>
      <c r="F859" s="162"/>
      <c r="G859" s="162"/>
      <c r="H859" s="162"/>
      <c r="I859" s="162"/>
      <c r="J859" s="174"/>
      <c r="K859" s="162"/>
      <c r="L859" s="129"/>
      <c r="M859" s="156"/>
      <c r="N859" s="79"/>
      <c r="O859" s="79"/>
      <c r="P859" s="79"/>
      <c r="Q859" s="79"/>
      <c r="R859" s="79"/>
      <c r="S859" s="82"/>
      <c r="T859" s="82"/>
      <c r="U859" s="82"/>
      <c r="V859" s="82"/>
      <c r="W859" s="82"/>
      <c r="X859" s="82"/>
      <c r="Y859" s="82"/>
      <c r="Z859" s="82"/>
      <c r="AA859" s="82"/>
    </row>
    <row r="860" ht="15.75" customHeight="1">
      <c r="A860" s="261"/>
      <c r="B860" s="171"/>
      <c r="C860" s="172"/>
      <c r="D860" s="172"/>
      <c r="E860" s="154"/>
      <c r="F860" s="162"/>
      <c r="G860" s="162"/>
      <c r="H860" s="162"/>
      <c r="I860" s="162"/>
      <c r="J860" s="174"/>
      <c r="K860" s="162"/>
      <c r="L860" s="129"/>
      <c r="M860" s="156"/>
      <c r="N860" s="79"/>
      <c r="O860" s="79"/>
      <c r="P860" s="79"/>
      <c r="Q860" s="79"/>
      <c r="R860" s="79"/>
      <c r="S860" s="82"/>
      <c r="T860" s="82"/>
      <c r="U860" s="82"/>
      <c r="V860" s="82"/>
      <c r="W860" s="82"/>
      <c r="X860" s="82"/>
      <c r="Y860" s="82"/>
      <c r="Z860" s="82"/>
      <c r="AA860" s="82"/>
    </row>
    <row r="861" ht="15.75" customHeight="1">
      <c r="A861" s="261"/>
      <c r="B861" s="171"/>
      <c r="C861" s="172"/>
      <c r="D861" s="172"/>
      <c r="E861" s="154"/>
      <c r="F861" s="162"/>
      <c r="G861" s="162"/>
      <c r="H861" s="162"/>
      <c r="I861" s="162"/>
      <c r="J861" s="174"/>
      <c r="K861" s="162"/>
      <c r="L861" s="129"/>
      <c r="M861" s="156"/>
      <c r="N861" s="79"/>
      <c r="O861" s="79"/>
      <c r="P861" s="79"/>
      <c r="Q861" s="79"/>
      <c r="R861" s="79"/>
      <c r="S861" s="82"/>
      <c r="T861" s="82"/>
      <c r="U861" s="82"/>
      <c r="V861" s="82"/>
      <c r="W861" s="82"/>
      <c r="X861" s="82"/>
      <c r="Y861" s="82"/>
      <c r="Z861" s="82"/>
      <c r="AA861" s="82"/>
    </row>
    <row r="862" ht="15.75" customHeight="1">
      <c r="A862" s="261"/>
      <c r="B862" s="171"/>
      <c r="C862" s="172"/>
      <c r="D862" s="172"/>
      <c r="E862" s="154"/>
      <c r="F862" s="162"/>
      <c r="G862" s="162"/>
      <c r="H862" s="162"/>
      <c r="I862" s="162"/>
      <c r="J862" s="174"/>
      <c r="K862" s="162"/>
      <c r="L862" s="129"/>
      <c r="M862" s="156"/>
      <c r="N862" s="79"/>
      <c r="O862" s="79"/>
      <c r="P862" s="79"/>
      <c r="Q862" s="79"/>
      <c r="R862" s="79"/>
      <c r="S862" s="82"/>
      <c r="T862" s="82"/>
      <c r="U862" s="82"/>
      <c r="V862" s="82"/>
      <c r="W862" s="82"/>
      <c r="X862" s="82"/>
      <c r="Y862" s="82"/>
      <c r="Z862" s="82"/>
      <c r="AA862" s="82"/>
    </row>
    <row r="863" ht="15.75" customHeight="1">
      <c r="A863" s="261"/>
      <c r="B863" s="171"/>
      <c r="C863" s="172"/>
      <c r="D863" s="172"/>
      <c r="E863" s="154"/>
      <c r="F863" s="162"/>
      <c r="G863" s="162"/>
      <c r="H863" s="162"/>
      <c r="I863" s="162"/>
      <c r="J863" s="174"/>
      <c r="K863" s="162"/>
      <c r="L863" s="129"/>
      <c r="M863" s="156"/>
      <c r="N863" s="79"/>
      <c r="O863" s="79"/>
      <c r="P863" s="79"/>
      <c r="Q863" s="79"/>
      <c r="R863" s="79"/>
      <c r="S863" s="82"/>
      <c r="T863" s="82"/>
      <c r="U863" s="82"/>
      <c r="V863" s="82"/>
      <c r="W863" s="82"/>
      <c r="X863" s="82"/>
      <c r="Y863" s="82"/>
      <c r="Z863" s="82"/>
      <c r="AA863" s="82"/>
    </row>
    <row r="864" ht="15.75" customHeight="1">
      <c r="A864" s="261"/>
      <c r="B864" s="171"/>
      <c r="C864" s="172"/>
      <c r="D864" s="172"/>
      <c r="E864" s="154"/>
      <c r="F864" s="162"/>
      <c r="G864" s="162"/>
      <c r="H864" s="162"/>
      <c r="I864" s="162"/>
      <c r="J864" s="174"/>
      <c r="K864" s="162"/>
      <c r="L864" s="129"/>
      <c r="M864" s="156"/>
      <c r="N864" s="79"/>
      <c r="O864" s="79"/>
      <c r="P864" s="79"/>
      <c r="Q864" s="79"/>
      <c r="R864" s="79"/>
      <c r="S864" s="82"/>
      <c r="T864" s="82"/>
      <c r="U864" s="82"/>
      <c r="V864" s="82"/>
      <c r="W864" s="82"/>
      <c r="X864" s="82"/>
      <c r="Y864" s="82"/>
      <c r="Z864" s="82"/>
      <c r="AA864" s="82"/>
    </row>
    <row r="865" ht="15.75" customHeight="1">
      <c r="A865" s="261"/>
      <c r="B865" s="171"/>
      <c r="C865" s="172"/>
      <c r="D865" s="172"/>
      <c r="E865" s="154"/>
      <c r="F865" s="162"/>
      <c r="G865" s="162"/>
      <c r="H865" s="162"/>
      <c r="I865" s="162"/>
      <c r="J865" s="174"/>
      <c r="K865" s="162"/>
      <c r="L865" s="129"/>
      <c r="M865" s="156"/>
      <c r="N865" s="79"/>
      <c r="O865" s="79"/>
      <c r="P865" s="79"/>
      <c r="Q865" s="79"/>
      <c r="R865" s="79"/>
      <c r="S865" s="82"/>
      <c r="T865" s="82"/>
      <c r="U865" s="82"/>
      <c r="V865" s="82"/>
      <c r="W865" s="82"/>
      <c r="X865" s="82"/>
      <c r="Y865" s="82"/>
      <c r="Z865" s="82"/>
      <c r="AA865" s="82"/>
    </row>
    <row r="866" ht="15.75" customHeight="1">
      <c r="A866" s="261"/>
      <c r="B866" s="171"/>
      <c r="C866" s="172"/>
      <c r="D866" s="172"/>
      <c r="E866" s="154"/>
      <c r="F866" s="162"/>
      <c r="G866" s="162"/>
      <c r="H866" s="162"/>
      <c r="I866" s="162"/>
      <c r="J866" s="174"/>
      <c r="K866" s="162"/>
      <c r="L866" s="129"/>
      <c r="M866" s="156"/>
      <c r="N866" s="79"/>
      <c r="O866" s="79"/>
      <c r="P866" s="79"/>
      <c r="Q866" s="79"/>
      <c r="R866" s="79"/>
      <c r="S866" s="82"/>
      <c r="T866" s="82"/>
      <c r="U866" s="82"/>
      <c r="V866" s="82"/>
      <c r="W866" s="82"/>
      <c r="X866" s="82"/>
      <c r="Y866" s="82"/>
      <c r="Z866" s="82"/>
      <c r="AA866" s="82"/>
    </row>
    <row r="867" ht="15.75" customHeight="1">
      <c r="A867" s="261"/>
      <c r="B867" s="171"/>
      <c r="C867" s="172"/>
      <c r="D867" s="172"/>
      <c r="E867" s="154"/>
      <c r="F867" s="162"/>
      <c r="G867" s="162"/>
      <c r="H867" s="162"/>
      <c r="I867" s="162"/>
      <c r="J867" s="174"/>
      <c r="K867" s="162"/>
      <c r="L867" s="129"/>
      <c r="M867" s="156"/>
      <c r="N867" s="79"/>
      <c r="O867" s="79"/>
      <c r="P867" s="79"/>
      <c r="Q867" s="79"/>
      <c r="R867" s="79"/>
      <c r="S867" s="82"/>
      <c r="T867" s="82"/>
      <c r="U867" s="82"/>
      <c r="V867" s="82"/>
      <c r="W867" s="82"/>
      <c r="X867" s="82"/>
      <c r="Y867" s="82"/>
      <c r="Z867" s="82"/>
      <c r="AA867" s="82"/>
    </row>
    <row r="868" ht="15.75" customHeight="1">
      <c r="A868" s="261"/>
      <c r="B868" s="171"/>
      <c r="C868" s="172"/>
      <c r="D868" s="172"/>
      <c r="E868" s="154"/>
      <c r="F868" s="162"/>
      <c r="G868" s="162"/>
      <c r="H868" s="162"/>
      <c r="I868" s="162"/>
      <c r="J868" s="174"/>
      <c r="K868" s="162"/>
      <c r="L868" s="129"/>
      <c r="M868" s="156"/>
      <c r="N868" s="79"/>
      <c r="O868" s="79"/>
      <c r="P868" s="79"/>
      <c r="Q868" s="79"/>
      <c r="R868" s="79"/>
      <c r="S868" s="82"/>
      <c r="T868" s="82"/>
      <c r="U868" s="82"/>
      <c r="V868" s="82"/>
      <c r="W868" s="82"/>
      <c r="X868" s="82"/>
      <c r="Y868" s="82"/>
      <c r="Z868" s="82"/>
      <c r="AA868" s="82"/>
    </row>
    <row r="869" ht="15.75" customHeight="1">
      <c r="A869" s="261"/>
      <c r="B869" s="171"/>
      <c r="C869" s="172"/>
      <c r="D869" s="172"/>
      <c r="E869" s="154"/>
      <c r="F869" s="162"/>
      <c r="G869" s="162"/>
      <c r="H869" s="162"/>
      <c r="I869" s="162"/>
      <c r="J869" s="174"/>
      <c r="K869" s="162"/>
      <c r="L869" s="129"/>
      <c r="M869" s="156"/>
      <c r="N869" s="79"/>
      <c r="O869" s="79"/>
      <c r="P869" s="79"/>
      <c r="Q869" s="79"/>
      <c r="R869" s="79"/>
      <c r="S869" s="82"/>
      <c r="T869" s="82"/>
      <c r="U869" s="82"/>
      <c r="V869" s="82"/>
      <c r="W869" s="82"/>
      <c r="X869" s="82"/>
      <c r="Y869" s="82"/>
      <c r="Z869" s="82"/>
      <c r="AA869" s="82"/>
    </row>
    <row r="870" ht="15.75" customHeight="1">
      <c r="A870" s="261"/>
      <c r="B870" s="171"/>
      <c r="C870" s="172"/>
      <c r="D870" s="172"/>
      <c r="E870" s="154"/>
      <c r="F870" s="162"/>
      <c r="G870" s="162"/>
      <c r="H870" s="162"/>
      <c r="I870" s="162"/>
      <c r="J870" s="174"/>
      <c r="K870" s="162"/>
      <c r="L870" s="129"/>
      <c r="M870" s="156"/>
      <c r="N870" s="79"/>
      <c r="O870" s="79"/>
      <c r="P870" s="79"/>
      <c r="Q870" s="79"/>
      <c r="R870" s="79"/>
      <c r="S870" s="82"/>
      <c r="T870" s="82"/>
      <c r="U870" s="82"/>
      <c r="V870" s="82"/>
      <c r="W870" s="82"/>
      <c r="X870" s="82"/>
      <c r="Y870" s="82"/>
      <c r="Z870" s="82"/>
      <c r="AA870" s="82"/>
    </row>
    <row r="871" ht="15.75" customHeight="1">
      <c r="A871" s="261"/>
      <c r="B871" s="171"/>
      <c r="C871" s="172"/>
      <c r="D871" s="172"/>
      <c r="E871" s="154"/>
      <c r="F871" s="162"/>
      <c r="G871" s="162"/>
      <c r="H871" s="162"/>
      <c r="I871" s="162"/>
      <c r="J871" s="174"/>
      <c r="K871" s="162"/>
      <c r="L871" s="129"/>
      <c r="M871" s="156"/>
      <c r="N871" s="79"/>
      <c r="O871" s="79"/>
      <c r="P871" s="79"/>
      <c r="Q871" s="79"/>
      <c r="R871" s="79"/>
      <c r="S871" s="82"/>
      <c r="T871" s="82"/>
      <c r="U871" s="82"/>
      <c r="V871" s="82"/>
      <c r="W871" s="82"/>
      <c r="X871" s="82"/>
      <c r="Y871" s="82"/>
      <c r="Z871" s="82"/>
      <c r="AA871" s="82"/>
    </row>
    <row r="872" ht="15.75" customHeight="1">
      <c r="A872" s="261"/>
      <c r="B872" s="171"/>
      <c r="C872" s="172"/>
      <c r="D872" s="172"/>
      <c r="E872" s="154"/>
      <c r="F872" s="162"/>
      <c r="G872" s="162"/>
      <c r="H872" s="162"/>
      <c r="I872" s="162"/>
      <c r="J872" s="174"/>
      <c r="K872" s="162"/>
      <c r="L872" s="129"/>
      <c r="M872" s="156"/>
      <c r="N872" s="79"/>
      <c r="O872" s="79"/>
      <c r="P872" s="79"/>
      <c r="Q872" s="79"/>
      <c r="R872" s="79"/>
      <c r="S872" s="82"/>
      <c r="T872" s="82"/>
      <c r="U872" s="82"/>
      <c r="V872" s="82"/>
      <c r="W872" s="82"/>
      <c r="X872" s="82"/>
      <c r="Y872" s="82"/>
      <c r="Z872" s="82"/>
      <c r="AA872" s="82"/>
    </row>
    <row r="873" ht="15.75" customHeight="1">
      <c r="A873" s="261"/>
      <c r="B873" s="171"/>
      <c r="C873" s="172"/>
      <c r="D873" s="172"/>
      <c r="E873" s="154"/>
      <c r="F873" s="162"/>
      <c r="G873" s="162"/>
      <c r="H873" s="162"/>
      <c r="I873" s="162"/>
      <c r="J873" s="174"/>
      <c r="K873" s="162"/>
      <c r="L873" s="129"/>
      <c r="M873" s="156"/>
      <c r="N873" s="79"/>
      <c r="O873" s="79"/>
      <c r="P873" s="79"/>
      <c r="Q873" s="79"/>
      <c r="R873" s="79"/>
      <c r="S873" s="82"/>
      <c r="T873" s="82"/>
      <c r="U873" s="82"/>
      <c r="V873" s="82"/>
      <c r="W873" s="82"/>
      <c r="X873" s="82"/>
      <c r="Y873" s="82"/>
      <c r="Z873" s="82"/>
      <c r="AA873" s="82"/>
    </row>
    <row r="874" ht="15.75" customHeight="1">
      <c r="A874" s="261"/>
      <c r="B874" s="171"/>
      <c r="C874" s="172"/>
      <c r="D874" s="172"/>
      <c r="E874" s="154"/>
      <c r="F874" s="162"/>
      <c r="G874" s="162"/>
      <c r="H874" s="162"/>
      <c r="I874" s="162"/>
      <c r="J874" s="174"/>
      <c r="K874" s="162"/>
      <c r="L874" s="129"/>
      <c r="M874" s="156"/>
      <c r="N874" s="79"/>
      <c r="O874" s="79"/>
      <c r="P874" s="79"/>
      <c r="Q874" s="79"/>
      <c r="R874" s="79"/>
      <c r="S874" s="82"/>
      <c r="T874" s="82"/>
      <c r="U874" s="82"/>
      <c r="V874" s="82"/>
      <c r="W874" s="82"/>
      <c r="X874" s="82"/>
      <c r="Y874" s="82"/>
      <c r="Z874" s="82"/>
      <c r="AA874" s="82"/>
    </row>
    <row r="875" ht="15.75" customHeight="1">
      <c r="A875" s="261"/>
      <c r="B875" s="171"/>
      <c r="C875" s="172"/>
      <c r="D875" s="172"/>
      <c r="E875" s="154"/>
      <c r="F875" s="162"/>
      <c r="G875" s="162"/>
      <c r="H875" s="162"/>
      <c r="I875" s="162"/>
      <c r="J875" s="174"/>
      <c r="K875" s="162"/>
      <c r="L875" s="129"/>
      <c r="M875" s="156"/>
      <c r="N875" s="79"/>
      <c r="O875" s="79"/>
      <c r="P875" s="79"/>
      <c r="Q875" s="79"/>
      <c r="R875" s="79"/>
      <c r="S875" s="82"/>
      <c r="T875" s="82"/>
      <c r="U875" s="82"/>
      <c r="V875" s="82"/>
      <c r="W875" s="82"/>
      <c r="X875" s="82"/>
      <c r="Y875" s="82"/>
      <c r="Z875" s="82"/>
      <c r="AA875" s="82"/>
    </row>
    <row r="876" ht="15.75" customHeight="1">
      <c r="A876" s="261"/>
      <c r="B876" s="171"/>
      <c r="C876" s="172"/>
      <c r="D876" s="172"/>
      <c r="E876" s="154"/>
      <c r="F876" s="162"/>
      <c r="G876" s="162"/>
      <c r="H876" s="162"/>
      <c r="I876" s="162"/>
      <c r="J876" s="174"/>
      <c r="K876" s="162"/>
      <c r="L876" s="129"/>
      <c r="M876" s="156"/>
      <c r="N876" s="79"/>
      <c r="O876" s="79"/>
      <c r="P876" s="79"/>
      <c r="Q876" s="79"/>
      <c r="R876" s="79"/>
      <c r="S876" s="82"/>
      <c r="T876" s="82"/>
      <c r="U876" s="82"/>
      <c r="V876" s="82"/>
      <c r="W876" s="82"/>
      <c r="X876" s="82"/>
      <c r="Y876" s="82"/>
      <c r="Z876" s="82"/>
      <c r="AA876" s="82"/>
    </row>
    <row r="877" ht="15.75" customHeight="1">
      <c r="A877" s="261"/>
      <c r="B877" s="171"/>
      <c r="C877" s="172"/>
      <c r="D877" s="172"/>
      <c r="E877" s="154"/>
      <c r="F877" s="162"/>
      <c r="G877" s="162"/>
      <c r="H877" s="162"/>
      <c r="I877" s="162"/>
      <c r="J877" s="174"/>
      <c r="K877" s="162"/>
      <c r="L877" s="129"/>
      <c r="M877" s="156"/>
      <c r="N877" s="79"/>
      <c r="O877" s="79"/>
      <c r="P877" s="79"/>
      <c r="Q877" s="79"/>
      <c r="R877" s="79"/>
      <c r="S877" s="82"/>
      <c r="T877" s="82"/>
      <c r="U877" s="82"/>
      <c r="V877" s="82"/>
      <c r="W877" s="82"/>
      <c r="X877" s="82"/>
      <c r="Y877" s="82"/>
      <c r="Z877" s="82"/>
      <c r="AA877" s="82"/>
    </row>
    <row r="878" ht="15.75" customHeight="1">
      <c r="A878" s="261"/>
      <c r="B878" s="171"/>
      <c r="C878" s="172"/>
      <c r="D878" s="172"/>
      <c r="E878" s="154"/>
      <c r="F878" s="162"/>
      <c r="G878" s="162"/>
      <c r="H878" s="162"/>
      <c r="I878" s="162"/>
      <c r="J878" s="174"/>
      <c r="K878" s="162"/>
      <c r="L878" s="129"/>
      <c r="M878" s="156"/>
      <c r="N878" s="79"/>
      <c r="O878" s="79"/>
      <c r="P878" s="79"/>
      <c r="Q878" s="79"/>
      <c r="R878" s="79"/>
      <c r="S878" s="82"/>
      <c r="T878" s="82"/>
      <c r="U878" s="82"/>
      <c r="V878" s="82"/>
      <c r="W878" s="82"/>
      <c r="X878" s="82"/>
      <c r="Y878" s="82"/>
      <c r="Z878" s="82"/>
      <c r="AA878" s="82"/>
    </row>
    <row r="879" ht="15.75" customHeight="1">
      <c r="A879" s="261"/>
      <c r="B879" s="171"/>
      <c r="C879" s="172"/>
      <c r="D879" s="172"/>
      <c r="E879" s="154"/>
      <c r="F879" s="162"/>
      <c r="G879" s="162"/>
      <c r="H879" s="162"/>
      <c r="I879" s="162"/>
      <c r="J879" s="174"/>
      <c r="K879" s="162"/>
      <c r="L879" s="129"/>
      <c r="M879" s="156"/>
      <c r="N879" s="79"/>
      <c r="O879" s="79"/>
      <c r="P879" s="79"/>
      <c r="Q879" s="79"/>
      <c r="R879" s="79"/>
      <c r="S879" s="82"/>
      <c r="T879" s="82"/>
      <c r="U879" s="82"/>
      <c r="V879" s="82"/>
      <c r="W879" s="82"/>
      <c r="X879" s="82"/>
      <c r="Y879" s="82"/>
      <c r="Z879" s="82"/>
      <c r="AA879" s="82"/>
    </row>
    <row r="880" ht="15.75" customHeight="1">
      <c r="A880" s="261"/>
      <c r="B880" s="171"/>
      <c r="C880" s="172"/>
      <c r="D880" s="172"/>
      <c r="E880" s="154"/>
      <c r="F880" s="162"/>
      <c r="G880" s="162"/>
      <c r="H880" s="162"/>
      <c r="I880" s="162"/>
      <c r="J880" s="174"/>
      <c r="K880" s="162"/>
      <c r="L880" s="129"/>
      <c r="M880" s="156"/>
      <c r="N880" s="79"/>
      <c r="O880" s="79"/>
      <c r="P880" s="79"/>
      <c r="Q880" s="79"/>
      <c r="R880" s="79"/>
      <c r="S880" s="82"/>
      <c r="T880" s="82"/>
      <c r="U880" s="82"/>
      <c r="V880" s="82"/>
      <c r="W880" s="82"/>
      <c r="X880" s="82"/>
      <c r="Y880" s="82"/>
      <c r="Z880" s="82"/>
      <c r="AA880" s="82"/>
    </row>
    <row r="881" ht="15.75" customHeight="1">
      <c r="A881" s="261"/>
      <c r="B881" s="171"/>
      <c r="C881" s="172"/>
      <c r="D881" s="172"/>
      <c r="E881" s="154"/>
      <c r="F881" s="162"/>
      <c r="G881" s="162"/>
      <c r="H881" s="162"/>
      <c r="I881" s="162"/>
      <c r="J881" s="174"/>
      <c r="K881" s="162"/>
      <c r="L881" s="129"/>
      <c r="M881" s="156"/>
      <c r="N881" s="79"/>
      <c r="O881" s="79"/>
      <c r="P881" s="79"/>
      <c r="Q881" s="79"/>
      <c r="R881" s="79"/>
      <c r="S881" s="82"/>
      <c r="T881" s="82"/>
      <c r="U881" s="82"/>
      <c r="V881" s="82"/>
      <c r="W881" s="82"/>
      <c r="X881" s="82"/>
      <c r="Y881" s="82"/>
      <c r="Z881" s="82"/>
      <c r="AA881" s="82"/>
    </row>
    <row r="882" ht="15.75" customHeight="1">
      <c r="A882" s="261"/>
      <c r="B882" s="171"/>
      <c r="C882" s="172"/>
      <c r="D882" s="172"/>
      <c r="E882" s="154"/>
      <c r="F882" s="162"/>
      <c r="G882" s="162"/>
      <c r="H882" s="162"/>
      <c r="I882" s="162"/>
      <c r="J882" s="174"/>
      <c r="K882" s="162"/>
      <c r="L882" s="129"/>
      <c r="M882" s="156"/>
      <c r="N882" s="79"/>
      <c r="O882" s="79"/>
      <c r="P882" s="79"/>
      <c r="Q882" s="79"/>
      <c r="R882" s="79"/>
      <c r="S882" s="82"/>
      <c r="T882" s="82"/>
      <c r="U882" s="82"/>
      <c r="V882" s="82"/>
      <c r="W882" s="82"/>
      <c r="X882" s="82"/>
      <c r="Y882" s="82"/>
      <c r="Z882" s="82"/>
      <c r="AA882" s="82"/>
    </row>
    <row r="883" ht="15.75" customHeight="1">
      <c r="A883" s="261"/>
      <c r="B883" s="171"/>
      <c r="C883" s="172"/>
      <c r="D883" s="172"/>
      <c r="E883" s="154"/>
      <c r="F883" s="162"/>
      <c r="G883" s="162"/>
      <c r="H883" s="162"/>
      <c r="I883" s="162"/>
      <c r="J883" s="174"/>
      <c r="K883" s="162"/>
      <c r="L883" s="129"/>
      <c r="M883" s="156"/>
      <c r="N883" s="79"/>
      <c r="O883" s="79"/>
      <c r="P883" s="79"/>
      <c r="Q883" s="79"/>
      <c r="R883" s="79"/>
      <c r="S883" s="82"/>
      <c r="T883" s="82"/>
      <c r="U883" s="82"/>
      <c r="V883" s="82"/>
      <c r="W883" s="82"/>
      <c r="X883" s="82"/>
      <c r="Y883" s="82"/>
      <c r="Z883" s="82"/>
      <c r="AA883" s="82"/>
    </row>
    <row r="884" ht="15.75" customHeight="1">
      <c r="A884" s="261"/>
      <c r="B884" s="171"/>
      <c r="C884" s="172"/>
      <c r="D884" s="172"/>
      <c r="E884" s="154"/>
      <c r="F884" s="162"/>
      <c r="G884" s="162"/>
      <c r="H884" s="162"/>
      <c r="I884" s="162"/>
      <c r="J884" s="174"/>
      <c r="K884" s="162"/>
      <c r="L884" s="129"/>
      <c r="M884" s="156"/>
      <c r="N884" s="79"/>
      <c r="O884" s="79"/>
      <c r="P884" s="79"/>
      <c r="Q884" s="79"/>
      <c r="R884" s="79"/>
      <c r="S884" s="82"/>
      <c r="T884" s="82"/>
      <c r="U884" s="82"/>
      <c r="V884" s="82"/>
      <c r="W884" s="82"/>
      <c r="X884" s="82"/>
      <c r="Y884" s="82"/>
      <c r="Z884" s="82"/>
      <c r="AA884" s="82"/>
    </row>
    <row r="885" ht="15.75" customHeight="1">
      <c r="A885" s="261"/>
      <c r="B885" s="171"/>
      <c r="C885" s="172"/>
      <c r="D885" s="172"/>
      <c r="E885" s="154"/>
      <c r="F885" s="162"/>
      <c r="G885" s="162"/>
      <c r="H885" s="162"/>
      <c r="I885" s="162"/>
      <c r="J885" s="174"/>
      <c r="K885" s="162"/>
      <c r="L885" s="129"/>
      <c r="M885" s="156"/>
      <c r="N885" s="79"/>
      <c r="O885" s="79"/>
      <c r="P885" s="79"/>
      <c r="Q885" s="79"/>
      <c r="R885" s="79"/>
      <c r="S885" s="82"/>
      <c r="T885" s="82"/>
      <c r="U885" s="82"/>
      <c r="V885" s="82"/>
      <c r="W885" s="82"/>
      <c r="X885" s="82"/>
      <c r="Y885" s="82"/>
      <c r="Z885" s="82"/>
      <c r="AA885" s="82"/>
    </row>
    <row r="886" ht="15.75" customHeight="1">
      <c r="A886" s="261"/>
      <c r="B886" s="171"/>
      <c r="C886" s="172"/>
      <c r="D886" s="172"/>
      <c r="E886" s="154"/>
      <c r="F886" s="162"/>
      <c r="G886" s="162"/>
      <c r="H886" s="162"/>
      <c r="I886" s="162"/>
      <c r="J886" s="174"/>
      <c r="K886" s="162"/>
      <c r="L886" s="129"/>
      <c r="M886" s="156"/>
      <c r="N886" s="79"/>
      <c r="O886" s="79"/>
      <c r="P886" s="79"/>
      <c r="Q886" s="79"/>
      <c r="R886" s="79"/>
      <c r="S886" s="82"/>
      <c r="T886" s="82"/>
      <c r="U886" s="82"/>
      <c r="V886" s="82"/>
      <c r="W886" s="82"/>
      <c r="X886" s="82"/>
      <c r="Y886" s="82"/>
      <c r="Z886" s="82"/>
      <c r="AA886" s="82"/>
    </row>
    <row r="887" ht="15.75" customHeight="1">
      <c r="A887" s="261"/>
      <c r="B887" s="171"/>
      <c r="C887" s="172"/>
      <c r="D887" s="172"/>
      <c r="E887" s="154"/>
      <c r="F887" s="162"/>
      <c r="G887" s="162"/>
      <c r="H887" s="162"/>
      <c r="I887" s="162"/>
      <c r="J887" s="174"/>
      <c r="K887" s="162"/>
      <c r="L887" s="129"/>
      <c r="M887" s="156"/>
      <c r="N887" s="79"/>
      <c r="O887" s="79"/>
      <c r="P887" s="79"/>
      <c r="Q887" s="79"/>
      <c r="R887" s="79"/>
      <c r="S887" s="82"/>
      <c r="T887" s="82"/>
      <c r="U887" s="82"/>
      <c r="V887" s="82"/>
      <c r="W887" s="82"/>
      <c r="X887" s="82"/>
      <c r="Y887" s="82"/>
      <c r="Z887" s="82"/>
      <c r="AA887" s="82"/>
    </row>
    <row r="888" ht="15.75" customHeight="1">
      <c r="A888" s="261"/>
      <c r="B888" s="171"/>
      <c r="C888" s="172"/>
      <c r="D888" s="172"/>
      <c r="E888" s="154"/>
      <c r="F888" s="162"/>
      <c r="G888" s="162"/>
      <c r="H888" s="162"/>
      <c r="I888" s="162"/>
      <c r="J888" s="174"/>
      <c r="K888" s="162"/>
      <c r="L888" s="129"/>
      <c r="M888" s="156"/>
      <c r="N888" s="79"/>
      <c r="O888" s="79"/>
      <c r="P888" s="79"/>
      <c r="Q888" s="79"/>
      <c r="R888" s="79"/>
      <c r="S888" s="82"/>
      <c r="T888" s="82"/>
      <c r="U888" s="82"/>
      <c r="V888" s="82"/>
      <c r="W888" s="82"/>
      <c r="X888" s="82"/>
      <c r="Y888" s="82"/>
      <c r="Z888" s="82"/>
      <c r="AA888" s="82"/>
    </row>
    <row r="889" ht="15.75" customHeight="1">
      <c r="A889" s="261"/>
      <c r="B889" s="171"/>
      <c r="C889" s="172"/>
      <c r="D889" s="172"/>
      <c r="E889" s="154"/>
      <c r="F889" s="162"/>
      <c r="G889" s="162"/>
      <c r="H889" s="162"/>
      <c r="I889" s="162"/>
      <c r="J889" s="174"/>
      <c r="K889" s="162"/>
      <c r="L889" s="129"/>
      <c r="M889" s="156"/>
      <c r="N889" s="79"/>
      <c r="O889" s="79"/>
      <c r="P889" s="79"/>
      <c r="Q889" s="79"/>
      <c r="R889" s="79"/>
      <c r="S889" s="82"/>
      <c r="T889" s="82"/>
      <c r="U889" s="82"/>
      <c r="V889" s="82"/>
      <c r="W889" s="82"/>
      <c r="X889" s="82"/>
      <c r="Y889" s="82"/>
      <c r="Z889" s="82"/>
      <c r="AA889" s="82"/>
    </row>
    <row r="890" ht="15.75" customHeight="1">
      <c r="A890" s="261"/>
      <c r="B890" s="171"/>
      <c r="C890" s="172"/>
      <c r="D890" s="172"/>
      <c r="E890" s="154"/>
      <c r="F890" s="162"/>
      <c r="G890" s="162"/>
      <c r="H890" s="162"/>
      <c r="I890" s="162"/>
      <c r="J890" s="174"/>
      <c r="K890" s="162"/>
      <c r="L890" s="129"/>
      <c r="M890" s="156"/>
      <c r="N890" s="79"/>
      <c r="O890" s="79"/>
      <c r="P890" s="79"/>
      <c r="Q890" s="79"/>
      <c r="R890" s="79"/>
      <c r="S890" s="82"/>
      <c r="T890" s="82"/>
      <c r="U890" s="82"/>
      <c r="V890" s="82"/>
      <c r="W890" s="82"/>
      <c r="X890" s="82"/>
      <c r="Y890" s="82"/>
      <c r="Z890" s="82"/>
      <c r="AA890" s="82"/>
    </row>
    <row r="891" ht="15.75" customHeight="1">
      <c r="A891" s="261"/>
      <c r="B891" s="171"/>
      <c r="C891" s="172"/>
      <c r="D891" s="172"/>
      <c r="E891" s="154"/>
      <c r="F891" s="162"/>
      <c r="G891" s="162"/>
      <c r="H891" s="162"/>
      <c r="I891" s="162"/>
      <c r="J891" s="174"/>
      <c r="K891" s="162"/>
      <c r="L891" s="129"/>
      <c r="M891" s="156"/>
      <c r="N891" s="79"/>
      <c r="O891" s="79"/>
      <c r="P891" s="79"/>
      <c r="Q891" s="79"/>
      <c r="R891" s="79"/>
      <c r="S891" s="82"/>
      <c r="T891" s="82"/>
      <c r="U891" s="82"/>
      <c r="V891" s="82"/>
      <c r="W891" s="82"/>
      <c r="X891" s="82"/>
      <c r="Y891" s="82"/>
      <c r="Z891" s="82"/>
      <c r="AA891" s="82"/>
    </row>
    <row r="892" ht="15.75" customHeight="1">
      <c r="A892" s="261"/>
      <c r="B892" s="171"/>
      <c r="C892" s="172"/>
      <c r="D892" s="172"/>
      <c r="E892" s="154"/>
      <c r="F892" s="162"/>
      <c r="G892" s="162"/>
      <c r="H892" s="162"/>
      <c r="I892" s="162"/>
      <c r="J892" s="174"/>
      <c r="K892" s="162"/>
      <c r="L892" s="129"/>
      <c r="M892" s="156"/>
      <c r="N892" s="79"/>
      <c r="O892" s="79"/>
      <c r="P892" s="79"/>
      <c r="Q892" s="79"/>
      <c r="R892" s="79"/>
      <c r="S892" s="82"/>
      <c r="T892" s="82"/>
      <c r="U892" s="82"/>
      <c r="V892" s="82"/>
      <c r="W892" s="82"/>
      <c r="X892" s="82"/>
      <c r="Y892" s="82"/>
      <c r="Z892" s="82"/>
      <c r="AA892" s="82"/>
    </row>
    <row r="893" ht="15.75" customHeight="1">
      <c r="A893" s="261"/>
      <c r="B893" s="171"/>
      <c r="C893" s="172"/>
      <c r="D893" s="172"/>
      <c r="E893" s="154"/>
      <c r="F893" s="162"/>
      <c r="G893" s="162"/>
      <c r="H893" s="162"/>
      <c r="I893" s="162"/>
      <c r="J893" s="174"/>
      <c r="K893" s="162"/>
      <c r="L893" s="129"/>
      <c r="M893" s="156"/>
      <c r="N893" s="79"/>
      <c r="O893" s="79"/>
      <c r="P893" s="79"/>
      <c r="Q893" s="79"/>
      <c r="R893" s="79"/>
      <c r="S893" s="82"/>
      <c r="T893" s="82"/>
      <c r="U893" s="82"/>
      <c r="V893" s="82"/>
      <c r="W893" s="82"/>
      <c r="X893" s="82"/>
      <c r="Y893" s="82"/>
      <c r="Z893" s="82"/>
      <c r="AA893" s="82"/>
    </row>
    <row r="894" ht="15.75" customHeight="1">
      <c r="A894" s="261"/>
      <c r="B894" s="171"/>
      <c r="C894" s="172"/>
      <c r="D894" s="172"/>
      <c r="E894" s="154"/>
      <c r="F894" s="162"/>
      <c r="G894" s="162"/>
      <c r="H894" s="162"/>
      <c r="I894" s="162"/>
      <c r="J894" s="174"/>
      <c r="K894" s="162"/>
      <c r="L894" s="129"/>
      <c r="M894" s="156"/>
      <c r="N894" s="79"/>
      <c r="O894" s="79"/>
      <c r="P894" s="79"/>
      <c r="Q894" s="79"/>
      <c r="R894" s="79"/>
      <c r="S894" s="82"/>
      <c r="T894" s="82"/>
      <c r="U894" s="82"/>
      <c r="V894" s="82"/>
      <c r="W894" s="82"/>
      <c r="X894" s="82"/>
      <c r="Y894" s="82"/>
      <c r="Z894" s="82"/>
      <c r="AA894" s="82"/>
    </row>
    <row r="895" ht="15.75" customHeight="1">
      <c r="A895" s="261"/>
      <c r="B895" s="171"/>
      <c r="C895" s="172"/>
      <c r="D895" s="172"/>
      <c r="E895" s="154"/>
      <c r="F895" s="162"/>
      <c r="G895" s="162"/>
      <c r="H895" s="162"/>
      <c r="I895" s="162"/>
      <c r="J895" s="174"/>
      <c r="K895" s="162"/>
      <c r="L895" s="129"/>
      <c r="M895" s="156"/>
      <c r="N895" s="79"/>
      <c r="O895" s="79"/>
      <c r="P895" s="79"/>
      <c r="Q895" s="79"/>
      <c r="R895" s="79"/>
      <c r="S895" s="82"/>
      <c r="T895" s="82"/>
      <c r="U895" s="82"/>
      <c r="V895" s="82"/>
      <c r="W895" s="82"/>
      <c r="X895" s="82"/>
      <c r="Y895" s="82"/>
      <c r="Z895" s="82"/>
      <c r="AA895" s="82"/>
    </row>
    <row r="896" ht="15.75" customHeight="1">
      <c r="A896" s="261"/>
      <c r="B896" s="171"/>
      <c r="C896" s="172"/>
      <c r="D896" s="172"/>
      <c r="E896" s="154"/>
      <c r="F896" s="162"/>
      <c r="G896" s="162"/>
      <c r="H896" s="162"/>
      <c r="I896" s="162"/>
      <c r="J896" s="174"/>
      <c r="K896" s="162"/>
      <c r="L896" s="129"/>
      <c r="M896" s="156"/>
      <c r="N896" s="79"/>
      <c r="O896" s="79"/>
      <c r="P896" s="79"/>
      <c r="Q896" s="79"/>
      <c r="R896" s="79"/>
      <c r="S896" s="82"/>
      <c r="T896" s="82"/>
      <c r="U896" s="82"/>
      <c r="V896" s="82"/>
      <c r="W896" s="82"/>
      <c r="X896" s="82"/>
      <c r="Y896" s="82"/>
      <c r="Z896" s="82"/>
      <c r="AA896" s="82"/>
    </row>
    <row r="897" ht="15.75" customHeight="1">
      <c r="A897" s="261"/>
      <c r="B897" s="171"/>
      <c r="C897" s="172"/>
      <c r="D897" s="172"/>
      <c r="E897" s="154"/>
      <c r="F897" s="162"/>
      <c r="G897" s="162"/>
      <c r="H897" s="162"/>
      <c r="I897" s="162"/>
      <c r="J897" s="174"/>
      <c r="K897" s="162"/>
      <c r="L897" s="129"/>
      <c r="M897" s="156"/>
      <c r="N897" s="79"/>
      <c r="O897" s="79"/>
      <c r="P897" s="79"/>
      <c r="Q897" s="79"/>
      <c r="R897" s="79"/>
      <c r="S897" s="82"/>
      <c r="T897" s="82"/>
      <c r="U897" s="82"/>
      <c r="V897" s="82"/>
      <c r="W897" s="82"/>
      <c r="X897" s="82"/>
      <c r="Y897" s="82"/>
      <c r="Z897" s="82"/>
      <c r="AA897" s="82"/>
    </row>
    <row r="898" ht="15.75" customHeight="1">
      <c r="A898" s="261"/>
      <c r="B898" s="171"/>
      <c r="C898" s="172"/>
      <c r="D898" s="172"/>
      <c r="E898" s="154"/>
      <c r="F898" s="162"/>
      <c r="G898" s="162"/>
      <c r="H898" s="162"/>
      <c r="I898" s="162"/>
      <c r="J898" s="174"/>
      <c r="K898" s="162"/>
      <c r="L898" s="129"/>
      <c r="M898" s="156"/>
      <c r="N898" s="79"/>
      <c r="O898" s="79"/>
      <c r="P898" s="79"/>
      <c r="Q898" s="79"/>
      <c r="R898" s="79"/>
      <c r="S898" s="82"/>
      <c r="T898" s="82"/>
      <c r="U898" s="82"/>
      <c r="V898" s="82"/>
      <c r="W898" s="82"/>
      <c r="X898" s="82"/>
      <c r="Y898" s="82"/>
      <c r="Z898" s="82"/>
      <c r="AA898" s="82"/>
    </row>
    <row r="899" ht="15.75" customHeight="1">
      <c r="A899" s="261"/>
      <c r="B899" s="171"/>
      <c r="C899" s="172"/>
      <c r="D899" s="172"/>
      <c r="E899" s="154"/>
      <c r="F899" s="162"/>
      <c r="G899" s="162"/>
      <c r="H899" s="162"/>
      <c r="I899" s="162"/>
      <c r="J899" s="174"/>
      <c r="K899" s="162"/>
      <c r="L899" s="129"/>
      <c r="M899" s="156"/>
      <c r="N899" s="79"/>
      <c r="O899" s="79"/>
      <c r="P899" s="79"/>
      <c r="Q899" s="79"/>
      <c r="R899" s="79"/>
      <c r="S899" s="82"/>
      <c r="T899" s="82"/>
      <c r="U899" s="82"/>
      <c r="V899" s="82"/>
      <c r="W899" s="82"/>
      <c r="X899" s="82"/>
      <c r="Y899" s="82"/>
      <c r="Z899" s="82"/>
      <c r="AA899" s="82"/>
    </row>
    <row r="900" ht="15.75" customHeight="1">
      <c r="A900" s="261"/>
      <c r="B900" s="171"/>
      <c r="C900" s="172"/>
      <c r="D900" s="172"/>
      <c r="E900" s="154"/>
      <c r="F900" s="162"/>
      <c r="G900" s="162"/>
      <c r="H900" s="162"/>
      <c r="I900" s="162"/>
      <c r="J900" s="174"/>
      <c r="K900" s="162"/>
      <c r="L900" s="129"/>
      <c r="M900" s="156"/>
      <c r="N900" s="79"/>
      <c r="O900" s="79"/>
      <c r="P900" s="79"/>
      <c r="Q900" s="79"/>
      <c r="R900" s="79"/>
      <c r="S900" s="82"/>
      <c r="T900" s="82"/>
      <c r="U900" s="82"/>
      <c r="V900" s="82"/>
      <c r="W900" s="82"/>
      <c r="X900" s="82"/>
      <c r="Y900" s="82"/>
      <c r="Z900" s="82"/>
      <c r="AA900" s="82"/>
    </row>
    <row r="901" ht="15.75" customHeight="1">
      <c r="A901" s="261"/>
      <c r="B901" s="171"/>
      <c r="C901" s="172"/>
      <c r="D901" s="172"/>
      <c r="E901" s="154"/>
      <c r="F901" s="162"/>
      <c r="G901" s="162"/>
      <c r="H901" s="162"/>
      <c r="I901" s="162"/>
      <c r="J901" s="174"/>
      <c r="K901" s="162"/>
      <c r="L901" s="129"/>
      <c r="M901" s="156"/>
      <c r="N901" s="79"/>
      <c r="O901" s="79"/>
      <c r="P901" s="79"/>
      <c r="Q901" s="79"/>
      <c r="R901" s="79"/>
      <c r="S901" s="82"/>
      <c r="T901" s="82"/>
      <c r="U901" s="82"/>
      <c r="V901" s="82"/>
      <c r="W901" s="82"/>
      <c r="X901" s="82"/>
      <c r="Y901" s="82"/>
      <c r="Z901" s="82"/>
      <c r="AA901" s="82"/>
    </row>
    <row r="902" ht="15.75" customHeight="1">
      <c r="A902" s="261"/>
      <c r="B902" s="171"/>
      <c r="C902" s="172"/>
      <c r="D902" s="172"/>
      <c r="E902" s="154"/>
      <c r="F902" s="162"/>
      <c r="G902" s="162"/>
      <c r="H902" s="162"/>
      <c r="I902" s="162"/>
      <c r="J902" s="174"/>
      <c r="K902" s="162"/>
      <c r="L902" s="129"/>
      <c r="M902" s="156"/>
      <c r="N902" s="79"/>
      <c r="O902" s="79"/>
      <c r="P902" s="79"/>
      <c r="Q902" s="79"/>
      <c r="R902" s="79"/>
      <c r="S902" s="82"/>
      <c r="T902" s="82"/>
      <c r="U902" s="82"/>
      <c r="V902" s="82"/>
      <c r="W902" s="82"/>
      <c r="X902" s="82"/>
      <c r="Y902" s="82"/>
      <c r="Z902" s="82"/>
      <c r="AA902" s="82"/>
    </row>
    <row r="903" ht="15.75" customHeight="1">
      <c r="A903" s="261"/>
      <c r="B903" s="171"/>
      <c r="C903" s="172"/>
      <c r="D903" s="172"/>
      <c r="E903" s="154"/>
      <c r="F903" s="162"/>
      <c r="G903" s="162"/>
      <c r="H903" s="162"/>
      <c r="I903" s="162"/>
      <c r="J903" s="174"/>
      <c r="K903" s="162"/>
      <c r="L903" s="129"/>
      <c r="M903" s="156"/>
      <c r="N903" s="79"/>
      <c r="O903" s="79"/>
      <c r="P903" s="79"/>
      <c r="Q903" s="79"/>
      <c r="R903" s="79"/>
      <c r="S903" s="82"/>
      <c r="T903" s="82"/>
      <c r="U903" s="82"/>
      <c r="V903" s="82"/>
      <c r="W903" s="82"/>
      <c r="X903" s="82"/>
      <c r="Y903" s="82"/>
      <c r="Z903" s="82"/>
      <c r="AA903" s="82"/>
    </row>
    <row r="904" ht="15.75" customHeight="1">
      <c r="A904" s="261"/>
      <c r="B904" s="171"/>
      <c r="C904" s="172"/>
      <c r="D904" s="172"/>
      <c r="E904" s="154"/>
      <c r="F904" s="162"/>
      <c r="G904" s="162"/>
      <c r="H904" s="162"/>
      <c r="I904" s="162"/>
      <c r="J904" s="174"/>
      <c r="K904" s="162"/>
      <c r="L904" s="129"/>
      <c r="M904" s="156"/>
      <c r="N904" s="79"/>
      <c r="O904" s="79"/>
      <c r="P904" s="79"/>
      <c r="Q904" s="79"/>
      <c r="R904" s="79"/>
      <c r="S904" s="82"/>
      <c r="T904" s="82"/>
      <c r="U904" s="82"/>
      <c r="V904" s="82"/>
      <c r="W904" s="82"/>
      <c r="X904" s="82"/>
      <c r="Y904" s="82"/>
      <c r="Z904" s="82"/>
      <c r="AA904" s="82"/>
    </row>
    <row r="905" ht="15.75" customHeight="1">
      <c r="A905" s="261"/>
      <c r="B905" s="171"/>
      <c r="C905" s="172"/>
      <c r="D905" s="172"/>
      <c r="E905" s="154"/>
      <c r="F905" s="162"/>
      <c r="G905" s="162"/>
      <c r="H905" s="162"/>
      <c r="I905" s="162"/>
      <c r="J905" s="174"/>
      <c r="K905" s="162"/>
      <c r="L905" s="129"/>
      <c r="M905" s="156"/>
      <c r="N905" s="79"/>
      <c r="O905" s="79"/>
      <c r="P905" s="79"/>
      <c r="Q905" s="79"/>
      <c r="R905" s="79"/>
      <c r="S905" s="82"/>
      <c r="T905" s="82"/>
      <c r="U905" s="82"/>
      <c r="V905" s="82"/>
      <c r="W905" s="82"/>
      <c r="X905" s="82"/>
      <c r="Y905" s="82"/>
      <c r="Z905" s="82"/>
      <c r="AA905" s="82"/>
    </row>
    <row r="906" ht="15.75" customHeight="1">
      <c r="A906" s="261"/>
      <c r="B906" s="171"/>
      <c r="C906" s="172"/>
      <c r="D906" s="172"/>
      <c r="E906" s="154"/>
      <c r="F906" s="162"/>
      <c r="G906" s="162"/>
      <c r="H906" s="162"/>
      <c r="I906" s="162"/>
      <c r="J906" s="174"/>
      <c r="K906" s="162"/>
      <c r="L906" s="129"/>
      <c r="M906" s="156"/>
      <c r="N906" s="79"/>
      <c r="O906" s="79"/>
      <c r="P906" s="79"/>
      <c r="Q906" s="79"/>
      <c r="R906" s="79"/>
      <c r="S906" s="82"/>
      <c r="T906" s="82"/>
      <c r="U906" s="82"/>
      <c r="V906" s="82"/>
      <c r="W906" s="82"/>
      <c r="X906" s="82"/>
      <c r="Y906" s="82"/>
      <c r="Z906" s="82"/>
      <c r="AA906" s="82"/>
    </row>
    <row r="907" ht="15.75" customHeight="1">
      <c r="A907" s="261"/>
      <c r="B907" s="171"/>
      <c r="C907" s="172"/>
      <c r="D907" s="172"/>
      <c r="E907" s="154"/>
      <c r="F907" s="162"/>
      <c r="G907" s="162"/>
      <c r="H907" s="162"/>
      <c r="I907" s="162"/>
      <c r="J907" s="174"/>
      <c r="K907" s="162"/>
      <c r="L907" s="129"/>
      <c r="M907" s="156"/>
      <c r="N907" s="79"/>
      <c r="O907" s="79"/>
      <c r="P907" s="79"/>
      <c r="Q907" s="79"/>
      <c r="R907" s="79"/>
      <c r="S907" s="82"/>
      <c r="T907" s="82"/>
      <c r="U907" s="82"/>
      <c r="V907" s="82"/>
      <c r="W907" s="82"/>
      <c r="X907" s="82"/>
      <c r="Y907" s="82"/>
      <c r="Z907" s="82"/>
      <c r="AA907" s="82"/>
    </row>
    <row r="908" ht="15.75" customHeight="1">
      <c r="A908" s="261"/>
      <c r="B908" s="171"/>
      <c r="C908" s="172"/>
      <c r="D908" s="172"/>
      <c r="E908" s="154"/>
      <c r="F908" s="162"/>
      <c r="G908" s="162"/>
      <c r="H908" s="162"/>
      <c r="I908" s="162"/>
      <c r="J908" s="174"/>
      <c r="K908" s="162"/>
      <c r="L908" s="129"/>
      <c r="M908" s="156"/>
      <c r="N908" s="79"/>
      <c r="O908" s="79"/>
      <c r="P908" s="79"/>
      <c r="Q908" s="79"/>
      <c r="R908" s="79"/>
      <c r="S908" s="82"/>
      <c r="T908" s="82"/>
      <c r="U908" s="82"/>
      <c r="V908" s="82"/>
      <c r="W908" s="82"/>
      <c r="X908" s="82"/>
      <c r="Y908" s="82"/>
      <c r="Z908" s="82"/>
      <c r="AA908" s="82"/>
    </row>
    <row r="909" ht="15.75" customHeight="1">
      <c r="A909" s="261"/>
      <c r="B909" s="171"/>
      <c r="C909" s="172"/>
      <c r="D909" s="172"/>
      <c r="E909" s="154"/>
      <c r="F909" s="162"/>
      <c r="G909" s="162"/>
      <c r="H909" s="162"/>
      <c r="I909" s="162"/>
      <c r="J909" s="174"/>
      <c r="K909" s="162"/>
      <c r="L909" s="129"/>
      <c r="M909" s="156"/>
      <c r="N909" s="79"/>
      <c r="O909" s="79"/>
      <c r="P909" s="79"/>
      <c r="Q909" s="79"/>
      <c r="R909" s="79"/>
      <c r="S909" s="82"/>
      <c r="T909" s="82"/>
      <c r="U909" s="82"/>
      <c r="V909" s="82"/>
      <c r="W909" s="82"/>
      <c r="X909" s="82"/>
      <c r="Y909" s="82"/>
      <c r="Z909" s="82"/>
      <c r="AA909" s="82"/>
    </row>
    <row r="910" ht="15.75" customHeight="1">
      <c r="A910" s="261"/>
      <c r="B910" s="171"/>
      <c r="C910" s="172"/>
      <c r="D910" s="172"/>
      <c r="E910" s="154"/>
      <c r="F910" s="162"/>
      <c r="G910" s="162"/>
      <c r="H910" s="162"/>
      <c r="I910" s="162"/>
      <c r="J910" s="174"/>
      <c r="K910" s="162"/>
      <c r="L910" s="129"/>
      <c r="M910" s="156"/>
      <c r="N910" s="79"/>
      <c r="O910" s="79"/>
      <c r="P910" s="79"/>
      <c r="Q910" s="79"/>
      <c r="R910" s="79"/>
      <c r="S910" s="82"/>
      <c r="T910" s="82"/>
      <c r="U910" s="82"/>
      <c r="V910" s="82"/>
      <c r="W910" s="82"/>
      <c r="X910" s="82"/>
      <c r="Y910" s="82"/>
      <c r="Z910" s="82"/>
      <c r="AA910" s="82"/>
    </row>
    <row r="911" ht="15.75" customHeight="1">
      <c r="A911" s="261"/>
      <c r="B911" s="171"/>
      <c r="C911" s="172"/>
      <c r="D911" s="172"/>
      <c r="E911" s="154"/>
      <c r="F911" s="162"/>
      <c r="G911" s="162"/>
      <c r="H911" s="162"/>
      <c r="I911" s="162"/>
      <c r="J911" s="174"/>
      <c r="K911" s="162"/>
      <c r="L911" s="129"/>
      <c r="M911" s="156"/>
      <c r="N911" s="79"/>
      <c r="O911" s="79"/>
      <c r="P911" s="79"/>
      <c r="Q911" s="79"/>
      <c r="R911" s="79"/>
      <c r="S911" s="82"/>
      <c r="T911" s="82"/>
      <c r="U911" s="82"/>
      <c r="V911" s="82"/>
      <c r="W911" s="82"/>
      <c r="X911" s="82"/>
      <c r="Y911" s="82"/>
      <c r="Z911" s="82"/>
      <c r="AA911" s="82"/>
    </row>
    <row r="912" ht="15.75" customHeight="1">
      <c r="A912" s="261"/>
      <c r="B912" s="171"/>
      <c r="C912" s="172"/>
      <c r="D912" s="172"/>
      <c r="E912" s="154"/>
      <c r="F912" s="162"/>
      <c r="G912" s="162"/>
      <c r="H912" s="162"/>
      <c r="I912" s="162"/>
      <c r="J912" s="174"/>
      <c r="K912" s="162"/>
      <c r="L912" s="129"/>
      <c r="M912" s="156"/>
      <c r="N912" s="79"/>
      <c r="O912" s="79"/>
      <c r="P912" s="79"/>
      <c r="Q912" s="79"/>
      <c r="R912" s="79"/>
      <c r="S912" s="82"/>
      <c r="T912" s="82"/>
      <c r="U912" s="82"/>
      <c r="V912" s="82"/>
      <c r="W912" s="82"/>
      <c r="X912" s="82"/>
      <c r="Y912" s="82"/>
      <c r="Z912" s="82"/>
      <c r="AA912" s="82"/>
    </row>
    <row r="913" ht="15.75" customHeight="1">
      <c r="A913" s="261"/>
      <c r="B913" s="171"/>
      <c r="C913" s="172"/>
      <c r="D913" s="172"/>
      <c r="E913" s="154"/>
      <c r="F913" s="162"/>
      <c r="G913" s="162"/>
      <c r="H913" s="162"/>
      <c r="I913" s="162"/>
      <c r="J913" s="174"/>
      <c r="K913" s="162"/>
      <c r="L913" s="129"/>
      <c r="M913" s="156"/>
      <c r="N913" s="79"/>
      <c r="O913" s="79"/>
      <c r="P913" s="79"/>
      <c r="Q913" s="79"/>
      <c r="R913" s="79"/>
      <c r="S913" s="82"/>
      <c r="T913" s="82"/>
      <c r="U913" s="82"/>
      <c r="V913" s="82"/>
      <c r="W913" s="82"/>
      <c r="X913" s="82"/>
      <c r="Y913" s="82"/>
      <c r="Z913" s="82"/>
      <c r="AA913" s="82"/>
    </row>
    <row r="914" ht="15.75" customHeight="1">
      <c r="A914" s="261"/>
      <c r="B914" s="171"/>
      <c r="C914" s="172"/>
      <c r="D914" s="172"/>
      <c r="E914" s="154"/>
      <c r="F914" s="162"/>
      <c r="G914" s="162"/>
      <c r="H914" s="162"/>
      <c r="I914" s="162"/>
      <c r="J914" s="174"/>
      <c r="K914" s="162"/>
      <c r="L914" s="129"/>
      <c r="M914" s="156"/>
      <c r="N914" s="79"/>
      <c r="O914" s="79"/>
      <c r="P914" s="79"/>
      <c r="Q914" s="79"/>
      <c r="R914" s="79"/>
      <c r="S914" s="82"/>
      <c r="T914" s="82"/>
      <c r="U914" s="82"/>
      <c r="V914" s="82"/>
      <c r="W914" s="82"/>
      <c r="X914" s="82"/>
      <c r="Y914" s="82"/>
      <c r="Z914" s="82"/>
      <c r="AA914" s="82"/>
    </row>
    <row r="915" ht="15.75" customHeight="1">
      <c r="A915" s="261"/>
      <c r="B915" s="171"/>
      <c r="C915" s="172"/>
      <c r="D915" s="172"/>
      <c r="E915" s="154"/>
      <c r="F915" s="162"/>
      <c r="G915" s="162"/>
      <c r="H915" s="162"/>
      <c r="I915" s="162"/>
      <c r="J915" s="174"/>
      <c r="K915" s="162"/>
      <c r="L915" s="129"/>
      <c r="M915" s="156"/>
      <c r="N915" s="79"/>
      <c r="O915" s="79"/>
      <c r="P915" s="79"/>
      <c r="Q915" s="79"/>
      <c r="R915" s="79"/>
      <c r="S915" s="82"/>
      <c r="T915" s="82"/>
      <c r="U915" s="82"/>
      <c r="V915" s="82"/>
      <c r="W915" s="82"/>
      <c r="X915" s="82"/>
      <c r="Y915" s="82"/>
      <c r="Z915" s="82"/>
      <c r="AA915" s="82"/>
    </row>
    <row r="916" ht="15.75" customHeight="1">
      <c r="A916" s="261"/>
      <c r="B916" s="171"/>
      <c r="C916" s="172"/>
      <c r="D916" s="172"/>
      <c r="E916" s="154"/>
      <c r="F916" s="162"/>
      <c r="G916" s="162"/>
      <c r="H916" s="162"/>
      <c r="I916" s="162"/>
      <c r="J916" s="174"/>
      <c r="K916" s="162"/>
      <c r="L916" s="129"/>
      <c r="M916" s="156"/>
      <c r="N916" s="79"/>
      <c r="O916" s="79"/>
      <c r="P916" s="79"/>
      <c r="Q916" s="79"/>
      <c r="R916" s="79"/>
      <c r="S916" s="82"/>
      <c r="T916" s="82"/>
      <c r="U916" s="82"/>
      <c r="V916" s="82"/>
      <c r="W916" s="82"/>
      <c r="X916" s="82"/>
      <c r="Y916" s="82"/>
      <c r="Z916" s="82"/>
      <c r="AA916" s="82"/>
    </row>
    <row r="917" ht="15.75" customHeight="1">
      <c r="A917" s="261"/>
      <c r="B917" s="171"/>
      <c r="C917" s="172"/>
      <c r="D917" s="172"/>
      <c r="E917" s="154"/>
      <c r="F917" s="162"/>
      <c r="G917" s="162"/>
      <c r="H917" s="162"/>
      <c r="I917" s="162"/>
      <c r="J917" s="174"/>
      <c r="K917" s="162"/>
      <c r="L917" s="129"/>
      <c r="M917" s="156"/>
      <c r="N917" s="79"/>
      <c r="O917" s="79"/>
      <c r="P917" s="79"/>
      <c r="Q917" s="79"/>
      <c r="R917" s="79"/>
      <c r="S917" s="82"/>
      <c r="T917" s="82"/>
      <c r="U917" s="82"/>
      <c r="V917" s="82"/>
      <c r="W917" s="82"/>
      <c r="X917" s="82"/>
      <c r="Y917" s="82"/>
      <c r="Z917" s="82"/>
      <c r="AA917" s="82"/>
    </row>
    <row r="918" ht="15.75" customHeight="1">
      <c r="A918" s="261"/>
      <c r="B918" s="171"/>
      <c r="C918" s="172"/>
      <c r="D918" s="172"/>
      <c r="E918" s="154"/>
      <c r="F918" s="162"/>
      <c r="G918" s="162"/>
      <c r="H918" s="162"/>
      <c r="I918" s="162"/>
      <c r="J918" s="174"/>
      <c r="K918" s="162"/>
      <c r="L918" s="129"/>
      <c r="M918" s="156"/>
      <c r="N918" s="79"/>
      <c r="O918" s="79"/>
      <c r="P918" s="79"/>
      <c r="Q918" s="79"/>
      <c r="R918" s="79"/>
      <c r="S918" s="82"/>
      <c r="T918" s="82"/>
      <c r="U918" s="82"/>
      <c r="V918" s="82"/>
      <c r="W918" s="82"/>
      <c r="X918" s="82"/>
      <c r="Y918" s="82"/>
      <c r="Z918" s="82"/>
      <c r="AA918" s="82"/>
    </row>
    <row r="919" ht="15.75" customHeight="1">
      <c r="A919" s="261"/>
      <c r="B919" s="171"/>
      <c r="C919" s="172"/>
      <c r="D919" s="172"/>
      <c r="E919" s="154"/>
      <c r="F919" s="162"/>
      <c r="G919" s="162"/>
      <c r="H919" s="162"/>
      <c r="I919" s="162"/>
      <c r="J919" s="174"/>
      <c r="K919" s="162"/>
      <c r="L919" s="129"/>
      <c r="M919" s="156"/>
      <c r="N919" s="79"/>
      <c r="O919" s="79"/>
      <c r="P919" s="79"/>
      <c r="Q919" s="79"/>
      <c r="R919" s="79"/>
      <c r="S919" s="82"/>
      <c r="T919" s="82"/>
      <c r="U919" s="82"/>
      <c r="V919" s="82"/>
      <c r="W919" s="82"/>
      <c r="X919" s="82"/>
      <c r="Y919" s="82"/>
      <c r="Z919" s="82"/>
      <c r="AA919" s="82"/>
    </row>
    <row r="920" ht="15.75" customHeight="1">
      <c r="A920" s="261"/>
      <c r="B920" s="171"/>
      <c r="C920" s="172"/>
      <c r="D920" s="172"/>
      <c r="E920" s="154"/>
      <c r="F920" s="162"/>
      <c r="G920" s="162"/>
      <c r="H920" s="162"/>
      <c r="I920" s="162"/>
      <c r="J920" s="174"/>
      <c r="K920" s="162"/>
      <c r="L920" s="129"/>
      <c r="M920" s="156"/>
      <c r="N920" s="79"/>
      <c r="O920" s="79"/>
      <c r="P920" s="79"/>
      <c r="Q920" s="79"/>
      <c r="R920" s="79"/>
      <c r="S920" s="82"/>
      <c r="T920" s="82"/>
      <c r="U920" s="82"/>
      <c r="V920" s="82"/>
      <c r="W920" s="82"/>
      <c r="X920" s="82"/>
      <c r="Y920" s="82"/>
      <c r="Z920" s="82"/>
      <c r="AA920" s="82"/>
    </row>
    <row r="921" ht="15.75" customHeight="1">
      <c r="A921" s="261"/>
      <c r="B921" s="171"/>
      <c r="C921" s="172"/>
      <c r="D921" s="172"/>
      <c r="E921" s="154"/>
      <c r="F921" s="162"/>
      <c r="G921" s="162"/>
      <c r="H921" s="162"/>
      <c r="I921" s="162"/>
      <c r="J921" s="174"/>
      <c r="K921" s="162"/>
      <c r="L921" s="129"/>
      <c r="M921" s="156"/>
      <c r="N921" s="79"/>
      <c r="O921" s="79"/>
      <c r="P921" s="79"/>
      <c r="Q921" s="79"/>
      <c r="R921" s="79"/>
      <c r="S921" s="82"/>
      <c r="T921" s="82"/>
      <c r="U921" s="82"/>
      <c r="V921" s="82"/>
      <c r="W921" s="82"/>
      <c r="X921" s="82"/>
      <c r="Y921" s="82"/>
      <c r="Z921" s="82"/>
      <c r="AA921" s="82"/>
    </row>
    <row r="922" ht="15.75" customHeight="1">
      <c r="A922" s="261"/>
      <c r="B922" s="171"/>
      <c r="C922" s="172"/>
      <c r="D922" s="172"/>
      <c r="E922" s="154"/>
      <c r="F922" s="162"/>
      <c r="G922" s="162"/>
      <c r="H922" s="162"/>
      <c r="I922" s="162"/>
      <c r="J922" s="174"/>
      <c r="K922" s="162"/>
      <c r="L922" s="129"/>
      <c r="M922" s="156"/>
      <c r="N922" s="79"/>
      <c r="O922" s="79"/>
      <c r="P922" s="79"/>
      <c r="Q922" s="79"/>
      <c r="R922" s="79"/>
      <c r="S922" s="82"/>
      <c r="T922" s="82"/>
      <c r="U922" s="82"/>
      <c r="V922" s="82"/>
      <c r="W922" s="82"/>
      <c r="X922" s="82"/>
      <c r="Y922" s="82"/>
      <c r="Z922" s="82"/>
      <c r="AA922" s="82"/>
    </row>
    <row r="923" ht="15.75" customHeight="1">
      <c r="A923" s="261"/>
      <c r="B923" s="171"/>
      <c r="C923" s="172"/>
      <c r="D923" s="172"/>
      <c r="E923" s="154"/>
      <c r="F923" s="162"/>
      <c r="G923" s="162"/>
      <c r="H923" s="162"/>
      <c r="I923" s="162"/>
      <c r="J923" s="174"/>
      <c r="K923" s="162"/>
      <c r="L923" s="129"/>
      <c r="M923" s="156"/>
      <c r="N923" s="79"/>
      <c r="O923" s="79"/>
      <c r="P923" s="79"/>
      <c r="Q923" s="79"/>
      <c r="R923" s="79"/>
      <c r="S923" s="82"/>
      <c r="T923" s="82"/>
      <c r="U923" s="82"/>
      <c r="V923" s="82"/>
      <c r="W923" s="82"/>
      <c r="X923" s="82"/>
      <c r="Y923" s="82"/>
      <c r="Z923" s="82"/>
      <c r="AA923" s="82"/>
    </row>
    <row r="924" ht="15.75" customHeight="1">
      <c r="A924" s="261"/>
      <c r="B924" s="171"/>
      <c r="C924" s="172"/>
      <c r="D924" s="172"/>
      <c r="E924" s="154"/>
      <c r="F924" s="162"/>
      <c r="G924" s="162"/>
      <c r="H924" s="162"/>
      <c r="I924" s="162"/>
      <c r="J924" s="174"/>
      <c r="K924" s="162"/>
      <c r="L924" s="129"/>
      <c r="M924" s="156"/>
      <c r="N924" s="79"/>
      <c r="O924" s="79"/>
      <c r="P924" s="79"/>
      <c r="Q924" s="79"/>
      <c r="R924" s="79"/>
      <c r="S924" s="82"/>
      <c r="T924" s="82"/>
      <c r="U924" s="82"/>
      <c r="V924" s="82"/>
      <c r="W924" s="82"/>
      <c r="X924" s="82"/>
      <c r="Y924" s="82"/>
      <c r="Z924" s="82"/>
      <c r="AA924" s="82"/>
    </row>
    <row r="925" ht="15.75" customHeight="1">
      <c r="A925" s="261"/>
      <c r="B925" s="171"/>
      <c r="C925" s="172"/>
      <c r="D925" s="172"/>
      <c r="E925" s="154"/>
      <c r="F925" s="162"/>
      <c r="G925" s="162"/>
      <c r="H925" s="162"/>
      <c r="I925" s="162"/>
      <c r="J925" s="174"/>
      <c r="K925" s="162"/>
      <c r="L925" s="129"/>
      <c r="M925" s="156"/>
      <c r="N925" s="79"/>
      <c r="O925" s="79"/>
      <c r="P925" s="79"/>
      <c r="Q925" s="79"/>
      <c r="R925" s="79"/>
      <c r="S925" s="82"/>
      <c r="T925" s="82"/>
      <c r="U925" s="82"/>
      <c r="V925" s="82"/>
      <c r="W925" s="82"/>
      <c r="X925" s="82"/>
      <c r="Y925" s="82"/>
      <c r="Z925" s="82"/>
      <c r="AA925" s="82"/>
    </row>
    <row r="926" ht="15.75" customHeight="1">
      <c r="A926" s="261"/>
      <c r="B926" s="171"/>
      <c r="C926" s="172"/>
      <c r="D926" s="172"/>
      <c r="E926" s="154"/>
      <c r="F926" s="162"/>
      <c r="G926" s="162"/>
      <c r="H926" s="162"/>
      <c r="I926" s="162"/>
      <c r="J926" s="174"/>
      <c r="K926" s="162"/>
      <c r="L926" s="129"/>
      <c r="M926" s="156"/>
      <c r="N926" s="79"/>
      <c r="O926" s="79"/>
      <c r="P926" s="79"/>
      <c r="Q926" s="79"/>
      <c r="R926" s="79"/>
      <c r="S926" s="82"/>
      <c r="T926" s="82"/>
      <c r="U926" s="82"/>
      <c r="V926" s="82"/>
      <c r="W926" s="82"/>
      <c r="X926" s="82"/>
      <c r="Y926" s="82"/>
      <c r="Z926" s="82"/>
      <c r="AA926" s="82"/>
    </row>
    <row r="927" ht="15.75" customHeight="1">
      <c r="A927" s="261"/>
      <c r="B927" s="171"/>
      <c r="C927" s="172"/>
      <c r="D927" s="172"/>
      <c r="E927" s="154"/>
      <c r="F927" s="162"/>
      <c r="G927" s="162"/>
      <c r="H927" s="162"/>
      <c r="I927" s="162"/>
      <c r="J927" s="174"/>
      <c r="K927" s="162"/>
      <c r="L927" s="129"/>
      <c r="M927" s="156"/>
      <c r="N927" s="79"/>
      <c r="O927" s="79"/>
      <c r="P927" s="79"/>
      <c r="Q927" s="79"/>
      <c r="R927" s="79"/>
      <c r="S927" s="82"/>
      <c r="T927" s="82"/>
      <c r="U927" s="82"/>
      <c r="V927" s="82"/>
      <c r="W927" s="82"/>
      <c r="X927" s="82"/>
      <c r="Y927" s="82"/>
      <c r="Z927" s="82"/>
      <c r="AA927" s="82"/>
    </row>
    <row r="928" ht="15.75" customHeight="1">
      <c r="A928" s="261"/>
      <c r="B928" s="171"/>
      <c r="C928" s="172"/>
      <c r="D928" s="172"/>
      <c r="E928" s="154"/>
      <c r="F928" s="162"/>
      <c r="G928" s="162"/>
      <c r="H928" s="162"/>
      <c r="I928" s="162"/>
      <c r="J928" s="174"/>
      <c r="K928" s="162"/>
      <c r="L928" s="129"/>
      <c r="M928" s="156"/>
      <c r="N928" s="79"/>
      <c r="O928" s="79"/>
      <c r="P928" s="79"/>
      <c r="Q928" s="79"/>
      <c r="R928" s="79"/>
      <c r="S928" s="82"/>
      <c r="T928" s="82"/>
      <c r="U928" s="82"/>
      <c r="V928" s="82"/>
      <c r="W928" s="82"/>
      <c r="X928" s="82"/>
      <c r="Y928" s="82"/>
      <c r="Z928" s="82"/>
      <c r="AA928" s="82"/>
    </row>
    <row r="929" ht="15.75" customHeight="1">
      <c r="A929" s="261"/>
      <c r="B929" s="171"/>
      <c r="C929" s="172"/>
      <c r="D929" s="172"/>
      <c r="E929" s="154"/>
      <c r="F929" s="162"/>
      <c r="G929" s="162"/>
      <c r="H929" s="162"/>
      <c r="I929" s="162"/>
      <c r="J929" s="174"/>
      <c r="K929" s="162"/>
      <c r="L929" s="129"/>
      <c r="M929" s="156"/>
      <c r="N929" s="79"/>
      <c r="O929" s="79"/>
      <c r="P929" s="79"/>
      <c r="Q929" s="79"/>
      <c r="R929" s="79"/>
      <c r="S929" s="82"/>
      <c r="T929" s="82"/>
      <c r="U929" s="82"/>
      <c r="V929" s="82"/>
      <c r="W929" s="82"/>
      <c r="X929" s="82"/>
      <c r="Y929" s="82"/>
      <c r="Z929" s="82"/>
      <c r="AA929" s="82"/>
    </row>
    <row r="930" ht="15.75" customHeight="1">
      <c r="A930" s="261"/>
      <c r="B930" s="171"/>
      <c r="C930" s="172"/>
      <c r="D930" s="172"/>
      <c r="E930" s="154"/>
      <c r="F930" s="162"/>
      <c r="G930" s="162"/>
      <c r="H930" s="162"/>
      <c r="I930" s="162"/>
      <c r="J930" s="174"/>
      <c r="K930" s="162"/>
      <c r="L930" s="129"/>
      <c r="M930" s="156"/>
      <c r="N930" s="79"/>
      <c r="O930" s="79"/>
      <c r="P930" s="79"/>
      <c r="Q930" s="79"/>
      <c r="R930" s="79"/>
      <c r="S930" s="82"/>
      <c r="T930" s="82"/>
      <c r="U930" s="82"/>
      <c r="V930" s="82"/>
      <c r="W930" s="82"/>
      <c r="X930" s="82"/>
      <c r="Y930" s="82"/>
      <c r="Z930" s="82"/>
      <c r="AA930" s="82"/>
    </row>
    <row r="931" ht="15.75" customHeight="1">
      <c r="A931" s="261"/>
      <c r="B931" s="171"/>
      <c r="C931" s="172"/>
      <c r="D931" s="172"/>
      <c r="E931" s="154"/>
      <c r="F931" s="162"/>
      <c r="G931" s="162"/>
      <c r="H931" s="162"/>
      <c r="I931" s="162"/>
      <c r="J931" s="174"/>
      <c r="K931" s="162"/>
      <c r="L931" s="129"/>
      <c r="M931" s="156"/>
      <c r="N931" s="79"/>
      <c r="O931" s="79"/>
      <c r="P931" s="79"/>
      <c r="Q931" s="79"/>
      <c r="R931" s="79"/>
      <c r="S931" s="82"/>
      <c r="T931" s="82"/>
      <c r="U931" s="82"/>
      <c r="V931" s="82"/>
      <c r="W931" s="82"/>
      <c r="X931" s="82"/>
      <c r="Y931" s="82"/>
      <c r="Z931" s="82"/>
      <c r="AA931" s="82"/>
    </row>
    <row r="932" ht="15.75" customHeight="1">
      <c r="A932" s="261"/>
      <c r="B932" s="171"/>
      <c r="C932" s="172"/>
      <c r="D932" s="172"/>
      <c r="E932" s="154"/>
      <c r="F932" s="162"/>
      <c r="G932" s="162"/>
      <c r="H932" s="162"/>
      <c r="I932" s="162"/>
      <c r="J932" s="174"/>
      <c r="K932" s="162"/>
      <c r="L932" s="129"/>
      <c r="M932" s="156"/>
      <c r="N932" s="79"/>
      <c r="O932" s="79"/>
      <c r="P932" s="79"/>
      <c r="Q932" s="79"/>
      <c r="R932" s="79"/>
      <c r="S932" s="82"/>
      <c r="T932" s="82"/>
      <c r="U932" s="82"/>
      <c r="V932" s="82"/>
      <c r="W932" s="82"/>
      <c r="X932" s="82"/>
      <c r="Y932" s="82"/>
      <c r="Z932" s="82"/>
      <c r="AA932" s="82"/>
    </row>
    <row r="933" ht="15.75" customHeight="1">
      <c r="A933" s="261"/>
      <c r="B933" s="171"/>
      <c r="C933" s="172"/>
      <c r="D933" s="172"/>
      <c r="E933" s="154"/>
      <c r="F933" s="162"/>
      <c r="G933" s="162"/>
      <c r="H933" s="162"/>
      <c r="I933" s="162"/>
      <c r="J933" s="174"/>
      <c r="K933" s="162"/>
      <c r="L933" s="129"/>
      <c r="M933" s="156"/>
      <c r="N933" s="79"/>
      <c r="O933" s="79"/>
      <c r="P933" s="79"/>
      <c r="Q933" s="79"/>
      <c r="R933" s="79"/>
      <c r="S933" s="82"/>
      <c r="T933" s="82"/>
      <c r="U933" s="82"/>
      <c r="V933" s="82"/>
      <c r="W933" s="82"/>
      <c r="X933" s="82"/>
      <c r="Y933" s="82"/>
      <c r="Z933" s="82"/>
      <c r="AA933" s="82"/>
    </row>
    <row r="934" ht="15.75" customHeight="1">
      <c r="A934" s="261"/>
      <c r="B934" s="171"/>
      <c r="C934" s="172"/>
      <c r="D934" s="172"/>
      <c r="E934" s="154"/>
      <c r="F934" s="162"/>
      <c r="G934" s="162"/>
      <c r="H934" s="162"/>
      <c r="I934" s="162"/>
      <c r="J934" s="174"/>
      <c r="K934" s="162"/>
      <c r="L934" s="129"/>
      <c r="M934" s="156"/>
      <c r="N934" s="79"/>
      <c r="O934" s="79"/>
      <c r="P934" s="79"/>
      <c r="Q934" s="79"/>
      <c r="R934" s="79"/>
      <c r="S934" s="82"/>
      <c r="T934" s="82"/>
      <c r="U934" s="82"/>
      <c r="V934" s="82"/>
      <c r="W934" s="82"/>
      <c r="X934" s="82"/>
      <c r="Y934" s="82"/>
      <c r="Z934" s="82"/>
      <c r="AA934" s="82"/>
    </row>
    <row r="935" ht="15.75" customHeight="1">
      <c r="A935" s="261"/>
      <c r="B935" s="171"/>
      <c r="C935" s="172"/>
      <c r="D935" s="172"/>
      <c r="E935" s="154"/>
      <c r="F935" s="162"/>
      <c r="G935" s="162"/>
      <c r="H935" s="162"/>
      <c r="I935" s="162"/>
      <c r="J935" s="174"/>
      <c r="K935" s="162"/>
      <c r="L935" s="129"/>
      <c r="M935" s="156"/>
      <c r="N935" s="79"/>
      <c r="O935" s="79"/>
      <c r="P935" s="79"/>
      <c r="Q935" s="79"/>
      <c r="R935" s="79"/>
      <c r="S935" s="82"/>
      <c r="T935" s="82"/>
      <c r="U935" s="82"/>
      <c r="V935" s="82"/>
      <c r="W935" s="82"/>
      <c r="X935" s="82"/>
      <c r="Y935" s="82"/>
      <c r="Z935" s="82"/>
      <c r="AA935" s="82"/>
    </row>
    <row r="936" ht="15.75" customHeight="1">
      <c r="A936" s="261"/>
      <c r="B936" s="171"/>
      <c r="C936" s="172"/>
      <c r="D936" s="172"/>
      <c r="E936" s="154"/>
      <c r="F936" s="162"/>
      <c r="G936" s="162"/>
      <c r="H936" s="162"/>
      <c r="I936" s="162"/>
      <c r="J936" s="174"/>
      <c r="K936" s="162"/>
      <c r="L936" s="129"/>
      <c r="M936" s="156"/>
      <c r="N936" s="79"/>
      <c r="O936" s="79"/>
      <c r="P936" s="79"/>
      <c r="Q936" s="79"/>
      <c r="R936" s="79"/>
      <c r="S936" s="82"/>
      <c r="T936" s="82"/>
      <c r="U936" s="82"/>
      <c r="V936" s="82"/>
      <c r="W936" s="82"/>
      <c r="X936" s="82"/>
      <c r="Y936" s="82"/>
      <c r="Z936" s="82"/>
      <c r="AA936" s="82"/>
    </row>
    <row r="937" ht="15.75" customHeight="1">
      <c r="A937" s="261"/>
      <c r="B937" s="171"/>
      <c r="C937" s="172"/>
      <c r="D937" s="172"/>
      <c r="E937" s="154"/>
      <c r="F937" s="162"/>
      <c r="G937" s="162"/>
      <c r="H937" s="162"/>
      <c r="I937" s="162"/>
      <c r="J937" s="174"/>
      <c r="K937" s="162"/>
      <c r="L937" s="129"/>
      <c r="M937" s="156"/>
      <c r="N937" s="79"/>
      <c r="O937" s="79"/>
      <c r="P937" s="79"/>
      <c r="Q937" s="79"/>
      <c r="R937" s="79"/>
      <c r="S937" s="82"/>
      <c r="T937" s="82"/>
      <c r="U937" s="82"/>
      <c r="V937" s="82"/>
      <c r="W937" s="82"/>
      <c r="X937" s="82"/>
      <c r="Y937" s="82"/>
      <c r="Z937" s="82"/>
      <c r="AA937" s="82"/>
    </row>
    <row r="938" ht="15.75" customHeight="1">
      <c r="A938" s="261"/>
      <c r="B938" s="171"/>
      <c r="C938" s="172"/>
      <c r="D938" s="172"/>
      <c r="E938" s="154"/>
      <c r="F938" s="162"/>
      <c r="G938" s="162"/>
      <c r="H938" s="162"/>
      <c r="I938" s="162"/>
      <c r="J938" s="174"/>
      <c r="K938" s="162"/>
      <c r="L938" s="129"/>
      <c r="M938" s="156"/>
      <c r="N938" s="79"/>
      <c r="O938" s="79"/>
      <c r="P938" s="79"/>
      <c r="Q938" s="79"/>
      <c r="R938" s="79"/>
      <c r="S938" s="82"/>
      <c r="T938" s="82"/>
      <c r="U938" s="82"/>
      <c r="V938" s="82"/>
      <c r="W938" s="82"/>
      <c r="X938" s="82"/>
      <c r="Y938" s="82"/>
      <c r="Z938" s="82"/>
      <c r="AA938" s="82"/>
    </row>
    <row r="939" ht="15.75" customHeight="1">
      <c r="A939" s="261"/>
      <c r="B939" s="171"/>
      <c r="C939" s="172"/>
      <c r="D939" s="172"/>
      <c r="E939" s="154"/>
      <c r="F939" s="162"/>
      <c r="G939" s="162"/>
      <c r="H939" s="162"/>
      <c r="I939" s="162"/>
      <c r="J939" s="174"/>
      <c r="K939" s="162"/>
      <c r="L939" s="129"/>
      <c r="M939" s="156"/>
      <c r="N939" s="79"/>
      <c r="O939" s="79"/>
      <c r="P939" s="79"/>
      <c r="Q939" s="79"/>
      <c r="R939" s="79"/>
      <c r="S939" s="82"/>
      <c r="T939" s="82"/>
      <c r="U939" s="82"/>
      <c r="V939" s="82"/>
      <c r="W939" s="82"/>
      <c r="X939" s="82"/>
      <c r="Y939" s="82"/>
      <c r="Z939" s="82"/>
      <c r="AA939" s="82"/>
    </row>
    <row r="940" ht="15.75" customHeight="1">
      <c r="A940" s="261"/>
      <c r="B940" s="171"/>
      <c r="C940" s="172"/>
      <c r="D940" s="172"/>
      <c r="E940" s="154"/>
      <c r="F940" s="162"/>
      <c r="G940" s="162"/>
      <c r="H940" s="162"/>
      <c r="I940" s="162"/>
      <c r="J940" s="174"/>
      <c r="K940" s="162"/>
      <c r="L940" s="129"/>
      <c r="M940" s="156"/>
      <c r="N940" s="79"/>
      <c r="O940" s="79"/>
      <c r="P940" s="79"/>
      <c r="Q940" s="79"/>
      <c r="R940" s="79"/>
      <c r="S940" s="82"/>
      <c r="T940" s="82"/>
      <c r="U940" s="82"/>
      <c r="V940" s="82"/>
      <c r="W940" s="82"/>
      <c r="X940" s="82"/>
      <c r="Y940" s="82"/>
      <c r="Z940" s="82"/>
      <c r="AA940" s="82"/>
    </row>
    <row r="941" ht="15.75" customHeight="1">
      <c r="A941" s="261"/>
      <c r="B941" s="171"/>
      <c r="C941" s="172"/>
      <c r="D941" s="172"/>
      <c r="E941" s="154"/>
      <c r="F941" s="162"/>
      <c r="G941" s="162"/>
      <c r="H941" s="162"/>
      <c r="I941" s="162"/>
      <c r="J941" s="174"/>
      <c r="K941" s="162"/>
      <c r="L941" s="129"/>
      <c r="M941" s="156"/>
      <c r="N941" s="79"/>
      <c r="O941" s="79"/>
      <c r="P941" s="79"/>
      <c r="Q941" s="79"/>
      <c r="R941" s="79"/>
      <c r="S941" s="82"/>
      <c r="T941" s="82"/>
      <c r="U941" s="82"/>
      <c r="V941" s="82"/>
      <c r="W941" s="82"/>
      <c r="X941" s="82"/>
      <c r="Y941" s="82"/>
      <c r="Z941" s="82"/>
      <c r="AA941" s="82"/>
    </row>
    <row r="942" ht="15.75" customHeight="1">
      <c r="A942" s="261"/>
      <c r="B942" s="171"/>
      <c r="C942" s="172"/>
      <c r="D942" s="172"/>
      <c r="E942" s="154"/>
      <c r="F942" s="162"/>
      <c r="G942" s="162"/>
      <c r="H942" s="162"/>
      <c r="I942" s="162"/>
      <c r="J942" s="174"/>
      <c r="K942" s="162"/>
      <c r="L942" s="129"/>
      <c r="M942" s="156"/>
      <c r="N942" s="79"/>
      <c r="O942" s="79"/>
      <c r="P942" s="79"/>
      <c r="Q942" s="79"/>
      <c r="R942" s="79"/>
      <c r="S942" s="82"/>
      <c r="T942" s="82"/>
      <c r="U942" s="82"/>
      <c r="V942" s="82"/>
      <c r="W942" s="82"/>
      <c r="X942" s="82"/>
      <c r="Y942" s="82"/>
      <c r="Z942" s="82"/>
      <c r="AA942" s="82"/>
    </row>
    <row r="943" ht="15.75" customHeight="1">
      <c r="A943" s="261"/>
      <c r="B943" s="171"/>
      <c r="C943" s="172"/>
      <c r="D943" s="172"/>
      <c r="E943" s="154"/>
      <c r="F943" s="162"/>
      <c r="G943" s="162"/>
      <c r="H943" s="162"/>
      <c r="I943" s="162"/>
      <c r="J943" s="174"/>
      <c r="K943" s="162"/>
      <c r="L943" s="129"/>
      <c r="M943" s="156"/>
      <c r="N943" s="79"/>
      <c r="O943" s="79"/>
      <c r="P943" s="79"/>
      <c r="Q943" s="79"/>
      <c r="R943" s="79"/>
      <c r="S943" s="82"/>
      <c r="T943" s="82"/>
      <c r="U943" s="82"/>
      <c r="V943" s="82"/>
      <c r="W943" s="82"/>
      <c r="X943" s="82"/>
      <c r="Y943" s="82"/>
      <c r="Z943" s="82"/>
      <c r="AA943" s="82"/>
    </row>
    <row r="944" ht="15.75" customHeight="1">
      <c r="A944" s="261"/>
      <c r="B944" s="171"/>
      <c r="C944" s="172"/>
      <c r="D944" s="172"/>
      <c r="E944" s="154"/>
      <c r="F944" s="162"/>
      <c r="G944" s="162"/>
      <c r="H944" s="162"/>
      <c r="I944" s="162"/>
      <c r="J944" s="174"/>
      <c r="K944" s="162"/>
      <c r="L944" s="129"/>
      <c r="M944" s="156"/>
      <c r="N944" s="79"/>
      <c r="O944" s="79"/>
      <c r="P944" s="79"/>
      <c r="Q944" s="79"/>
      <c r="R944" s="79"/>
      <c r="S944" s="82"/>
      <c r="T944" s="82"/>
      <c r="U944" s="82"/>
      <c r="V944" s="82"/>
      <c r="W944" s="82"/>
      <c r="X944" s="82"/>
      <c r="Y944" s="82"/>
      <c r="Z944" s="82"/>
      <c r="AA944" s="82"/>
    </row>
    <row r="945" ht="15.75" customHeight="1">
      <c r="A945" s="261"/>
      <c r="B945" s="171"/>
      <c r="C945" s="172"/>
      <c r="D945" s="172"/>
      <c r="E945" s="154"/>
      <c r="F945" s="162"/>
      <c r="G945" s="162"/>
      <c r="H945" s="162"/>
      <c r="I945" s="162"/>
      <c r="J945" s="174"/>
      <c r="K945" s="162"/>
      <c r="L945" s="129"/>
      <c r="M945" s="156"/>
      <c r="N945" s="79"/>
      <c r="O945" s="79"/>
      <c r="P945" s="79"/>
      <c r="Q945" s="79"/>
      <c r="R945" s="79"/>
      <c r="S945" s="82"/>
      <c r="T945" s="82"/>
      <c r="U945" s="82"/>
      <c r="V945" s="82"/>
      <c r="W945" s="82"/>
      <c r="X945" s="82"/>
      <c r="Y945" s="82"/>
      <c r="Z945" s="82"/>
      <c r="AA945" s="82"/>
    </row>
    <row r="946" ht="15.75" customHeight="1">
      <c r="A946" s="261"/>
      <c r="B946" s="171"/>
      <c r="C946" s="172"/>
      <c r="D946" s="172"/>
      <c r="E946" s="154"/>
      <c r="F946" s="162"/>
      <c r="G946" s="162"/>
      <c r="H946" s="162"/>
      <c r="I946" s="162"/>
      <c r="J946" s="174"/>
      <c r="K946" s="162"/>
      <c r="L946" s="129"/>
      <c r="M946" s="156"/>
      <c r="N946" s="79"/>
      <c r="O946" s="79"/>
      <c r="P946" s="79"/>
      <c r="Q946" s="79"/>
      <c r="R946" s="79"/>
      <c r="S946" s="82"/>
      <c r="T946" s="82"/>
      <c r="U946" s="82"/>
      <c r="V946" s="82"/>
      <c r="W946" s="82"/>
      <c r="X946" s="82"/>
      <c r="Y946" s="82"/>
      <c r="Z946" s="82"/>
      <c r="AA946" s="82"/>
    </row>
    <row r="947" ht="15.75" customHeight="1">
      <c r="A947" s="261"/>
      <c r="B947" s="171"/>
      <c r="C947" s="172"/>
      <c r="D947" s="172"/>
      <c r="E947" s="154"/>
      <c r="F947" s="162"/>
      <c r="G947" s="162"/>
      <c r="H947" s="162"/>
      <c r="I947" s="162"/>
      <c r="J947" s="174"/>
      <c r="K947" s="162"/>
      <c r="L947" s="129"/>
      <c r="M947" s="156"/>
      <c r="N947" s="79"/>
      <c r="O947" s="79"/>
      <c r="P947" s="79"/>
      <c r="Q947" s="79"/>
      <c r="R947" s="79"/>
      <c r="S947" s="82"/>
      <c r="T947" s="82"/>
      <c r="U947" s="82"/>
      <c r="V947" s="82"/>
      <c r="W947" s="82"/>
      <c r="X947" s="82"/>
      <c r="Y947" s="82"/>
      <c r="Z947" s="82"/>
      <c r="AA947" s="82"/>
    </row>
    <row r="948" ht="15.75" customHeight="1">
      <c r="A948" s="261"/>
      <c r="B948" s="171"/>
      <c r="C948" s="172"/>
      <c r="D948" s="172"/>
      <c r="E948" s="154"/>
      <c r="F948" s="162"/>
      <c r="G948" s="162"/>
      <c r="H948" s="162"/>
      <c r="I948" s="162"/>
      <c r="J948" s="174"/>
      <c r="K948" s="162"/>
      <c r="L948" s="129"/>
      <c r="M948" s="156"/>
      <c r="N948" s="79"/>
      <c r="O948" s="79"/>
      <c r="P948" s="79"/>
      <c r="Q948" s="79"/>
      <c r="R948" s="79"/>
      <c r="S948" s="82"/>
      <c r="T948" s="82"/>
      <c r="U948" s="82"/>
      <c r="V948" s="82"/>
      <c r="W948" s="82"/>
      <c r="X948" s="82"/>
      <c r="Y948" s="82"/>
      <c r="Z948" s="82"/>
      <c r="AA948" s="82"/>
    </row>
    <row r="949" ht="15.75" customHeight="1">
      <c r="A949" s="261"/>
      <c r="B949" s="171"/>
      <c r="C949" s="172"/>
      <c r="D949" s="172"/>
      <c r="E949" s="154"/>
      <c r="F949" s="162"/>
      <c r="G949" s="162"/>
      <c r="H949" s="162"/>
      <c r="I949" s="162"/>
      <c r="J949" s="174"/>
      <c r="K949" s="162"/>
      <c r="L949" s="129"/>
      <c r="M949" s="156"/>
      <c r="N949" s="79"/>
      <c r="O949" s="79"/>
      <c r="P949" s="79"/>
      <c r="Q949" s="79"/>
      <c r="R949" s="79"/>
      <c r="S949" s="82"/>
      <c r="T949" s="82"/>
      <c r="U949" s="82"/>
      <c r="V949" s="82"/>
      <c r="W949" s="82"/>
      <c r="X949" s="82"/>
      <c r="Y949" s="82"/>
      <c r="Z949" s="82"/>
      <c r="AA949" s="82"/>
    </row>
    <row r="950" ht="15.75" customHeight="1">
      <c r="A950" s="261"/>
      <c r="B950" s="171"/>
      <c r="C950" s="172"/>
      <c r="D950" s="172"/>
      <c r="E950" s="154"/>
      <c r="F950" s="162"/>
      <c r="G950" s="162"/>
      <c r="H950" s="162"/>
      <c r="I950" s="162"/>
      <c r="J950" s="174"/>
      <c r="K950" s="162"/>
      <c r="L950" s="129"/>
      <c r="M950" s="156"/>
      <c r="N950" s="79"/>
      <c r="O950" s="79"/>
      <c r="P950" s="79"/>
      <c r="Q950" s="79"/>
      <c r="R950" s="79"/>
      <c r="S950" s="82"/>
      <c r="T950" s="82"/>
      <c r="U950" s="82"/>
      <c r="V950" s="82"/>
      <c r="W950" s="82"/>
      <c r="X950" s="82"/>
      <c r="Y950" s="82"/>
      <c r="Z950" s="82"/>
      <c r="AA950" s="82"/>
    </row>
    <row r="951" ht="15.75" customHeight="1">
      <c r="A951" s="261"/>
      <c r="B951" s="171"/>
      <c r="C951" s="172"/>
      <c r="D951" s="172"/>
      <c r="E951" s="154"/>
      <c r="F951" s="162"/>
      <c r="G951" s="162"/>
      <c r="H951" s="162"/>
      <c r="I951" s="162"/>
      <c r="J951" s="174"/>
      <c r="K951" s="162"/>
      <c r="L951" s="129"/>
      <c r="M951" s="156"/>
      <c r="N951" s="79"/>
      <c r="O951" s="79"/>
      <c r="P951" s="79"/>
      <c r="Q951" s="79"/>
      <c r="R951" s="79"/>
      <c r="S951" s="82"/>
      <c r="T951" s="82"/>
      <c r="U951" s="82"/>
      <c r="V951" s="82"/>
      <c r="W951" s="82"/>
      <c r="X951" s="82"/>
      <c r="Y951" s="82"/>
      <c r="Z951" s="82"/>
      <c r="AA951" s="82"/>
    </row>
    <row r="952" ht="15.75" customHeight="1">
      <c r="A952" s="261"/>
      <c r="B952" s="171"/>
      <c r="C952" s="172"/>
      <c r="D952" s="172"/>
      <c r="E952" s="154"/>
      <c r="F952" s="162"/>
      <c r="G952" s="162"/>
      <c r="H952" s="162"/>
      <c r="I952" s="162"/>
      <c r="J952" s="174"/>
      <c r="K952" s="162"/>
      <c r="L952" s="129"/>
      <c r="M952" s="156"/>
      <c r="N952" s="79"/>
      <c r="O952" s="79"/>
      <c r="P952" s="79"/>
      <c r="Q952" s="79"/>
      <c r="R952" s="79"/>
      <c r="S952" s="82"/>
      <c r="T952" s="82"/>
      <c r="U952" s="82"/>
      <c r="V952" s="82"/>
      <c r="W952" s="82"/>
      <c r="X952" s="82"/>
      <c r="Y952" s="82"/>
      <c r="Z952" s="82"/>
      <c r="AA952" s="82"/>
    </row>
    <row r="953" ht="15.75" customHeight="1">
      <c r="A953" s="261"/>
      <c r="B953" s="171"/>
      <c r="C953" s="172"/>
      <c r="D953" s="172"/>
      <c r="E953" s="154"/>
      <c r="F953" s="162"/>
      <c r="G953" s="162"/>
      <c r="H953" s="162"/>
      <c r="I953" s="162"/>
      <c r="J953" s="174"/>
      <c r="K953" s="162"/>
      <c r="L953" s="129"/>
      <c r="M953" s="156"/>
      <c r="N953" s="79"/>
      <c r="O953" s="79"/>
      <c r="P953" s="79"/>
      <c r="Q953" s="79"/>
      <c r="R953" s="79"/>
      <c r="S953" s="82"/>
      <c r="T953" s="82"/>
      <c r="U953" s="82"/>
      <c r="V953" s="82"/>
      <c r="W953" s="82"/>
      <c r="X953" s="82"/>
      <c r="Y953" s="82"/>
      <c r="Z953" s="82"/>
      <c r="AA953" s="82"/>
    </row>
    <row r="954" ht="15.75" customHeight="1">
      <c r="A954" s="261"/>
      <c r="B954" s="171"/>
      <c r="C954" s="172"/>
      <c r="D954" s="172"/>
      <c r="E954" s="154"/>
      <c r="F954" s="162"/>
      <c r="G954" s="162"/>
      <c r="H954" s="162"/>
      <c r="I954" s="162"/>
      <c r="J954" s="174"/>
      <c r="K954" s="162"/>
      <c r="L954" s="129"/>
      <c r="M954" s="156"/>
      <c r="N954" s="79"/>
      <c r="O954" s="79"/>
      <c r="P954" s="79"/>
      <c r="Q954" s="79"/>
      <c r="R954" s="79"/>
      <c r="S954" s="82"/>
      <c r="T954" s="82"/>
      <c r="U954" s="82"/>
      <c r="V954" s="82"/>
      <c r="W954" s="82"/>
      <c r="X954" s="82"/>
      <c r="Y954" s="82"/>
      <c r="Z954" s="82"/>
      <c r="AA954" s="82"/>
    </row>
    <row r="955" ht="15.75" customHeight="1">
      <c r="A955" s="261"/>
      <c r="B955" s="171"/>
      <c r="C955" s="172"/>
      <c r="D955" s="172"/>
      <c r="E955" s="154"/>
      <c r="F955" s="162"/>
      <c r="G955" s="162"/>
      <c r="H955" s="162"/>
      <c r="I955" s="162"/>
      <c r="J955" s="174"/>
      <c r="K955" s="162"/>
      <c r="L955" s="129"/>
      <c r="M955" s="156"/>
      <c r="N955" s="79"/>
      <c r="O955" s="79"/>
      <c r="P955" s="79"/>
      <c r="Q955" s="79"/>
      <c r="R955" s="79"/>
      <c r="S955" s="82"/>
      <c r="T955" s="82"/>
      <c r="U955" s="82"/>
      <c r="V955" s="82"/>
      <c r="W955" s="82"/>
      <c r="X955" s="82"/>
      <c r="Y955" s="82"/>
      <c r="Z955" s="82"/>
      <c r="AA955" s="82"/>
    </row>
    <row r="956" ht="15.75" customHeight="1">
      <c r="A956" s="261"/>
      <c r="B956" s="171"/>
      <c r="C956" s="172"/>
      <c r="D956" s="172"/>
      <c r="E956" s="154"/>
      <c r="F956" s="162"/>
      <c r="G956" s="162"/>
      <c r="H956" s="162"/>
      <c r="I956" s="162"/>
      <c r="J956" s="174"/>
      <c r="K956" s="162"/>
      <c r="L956" s="129"/>
      <c r="M956" s="156"/>
      <c r="N956" s="79"/>
      <c r="O956" s="79"/>
      <c r="P956" s="79"/>
      <c r="Q956" s="79"/>
      <c r="R956" s="79"/>
      <c r="S956" s="82"/>
      <c r="T956" s="82"/>
      <c r="U956" s="82"/>
      <c r="V956" s="82"/>
      <c r="W956" s="82"/>
      <c r="X956" s="82"/>
      <c r="Y956" s="82"/>
      <c r="Z956" s="82"/>
      <c r="AA956" s="82"/>
    </row>
    <row r="957" ht="15.75" customHeight="1">
      <c r="A957" s="261"/>
      <c r="B957" s="171"/>
      <c r="C957" s="172"/>
      <c r="D957" s="172"/>
      <c r="E957" s="154"/>
      <c r="F957" s="162"/>
      <c r="G957" s="162"/>
      <c r="H957" s="162"/>
      <c r="I957" s="162"/>
      <c r="J957" s="174"/>
      <c r="K957" s="162"/>
      <c r="L957" s="129"/>
      <c r="M957" s="156"/>
      <c r="N957" s="79"/>
      <c r="O957" s="79"/>
      <c r="P957" s="79"/>
      <c r="Q957" s="79"/>
      <c r="R957" s="79"/>
      <c r="S957" s="82"/>
      <c r="T957" s="82"/>
      <c r="U957" s="82"/>
      <c r="V957" s="82"/>
      <c r="W957" s="82"/>
      <c r="X957" s="82"/>
      <c r="Y957" s="82"/>
      <c r="Z957" s="82"/>
      <c r="AA957" s="82"/>
    </row>
    <row r="958" ht="15.75" customHeight="1">
      <c r="A958" s="261"/>
      <c r="B958" s="171"/>
      <c r="C958" s="172"/>
      <c r="D958" s="172"/>
      <c r="E958" s="154"/>
      <c r="F958" s="162"/>
      <c r="G958" s="162"/>
      <c r="H958" s="162"/>
      <c r="I958" s="162"/>
      <c r="J958" s="174"/>
      <c r="K958" s="162"/>
      <c r="L958" s="129"/>
      <c r="M958" s="156"/>
      <c r="N958" s="79"/>
      <c r="O958" s="79"/>
      <c r="P958" s="79"/>
      <c r="Q958" s="79"/>
      <c r="R958" s="79"/>
      <c r="S958" s="82"/>
      <c r="T958" s="82"/>
      <c r="U958" s="82"/>
      <c r="V958" s="82"/>
      <c r="W958" s="82"/>
      <c r="X958" s="82"/>
      <c r="Y958" s="82"/>
      <c r="Z958" s="82"/>
      <c r="AA958" s="82"/>
    </row>
    <row r="959" ht="15.75" customHeight="1">
      <c r="A959" s="261"/>
      <c r="B959" s="171"/>
      <c r="C959" s="172"/>
      <c r="D959" s="172"/>
      <c r="E959" s="154"/>
      <c r="F959" s="162"/>
      <c r="G959" s="162"/>
      <c r="H959" s="162"/>
      <c r="I959" s="162"/>
      <c r="J959" s="174"/>
      <c r="K959" s="162"/>
      <c r="L959" s="129"/>
      <c r="M959" s="156"/>
      <c r="N959" s="79"/>
      <c r="O959" s="79"/>
      <c r="P959" s="79"/>
      <c r="Q959" s="79"/>
      <c r="R959" s="79"/>
      <c r="S959" s="82"/>
      <c r="T959" s="82"/>
      <c r="U959" s="82"/>
      <c r="V959" s="82"/>
      <c r="W959" s="82"/>
      <c r="X959" s="82"/>
      <c r="Y959" s="82"/>
      <c r="Z959" s="82"/>
      <c r="AA959" s="82"/>
    </row>
    <row r="960" ht="15.75" customHeight="1">
      <c r="A960" s="261"/>
      <c r="B960" s="171"/>
      <c r="C960" s="172"/>
      <c r="D960" s="172"/>
      <c r="E960" s="154"/>
      <c r="F960" s="162"/>
      <c r="G960" s="162"/>
      <c r="H960" s="162"/>
      <c r="I960" s="162"/>
      <c r="J960" s="174"/>
      <c r="K960" s="162"/>
      <c r="L960" s="129"/>
      <c r="M960" s="156"/>
      <c r="N960" s="79"/>
      <c r="O960" s="79"/>
      <c r="P960" s="79"/>
      <c r="Q960" s="79"/>
      <c r="R960" s="79"/>
      <c r="S960" s="82"/>
      <c r="T960" s="82"/>
      <c r="U960" s="82"/>
      <c r="V960" s="82"/>
      <c r="W960" s="82"/>
      <c r="X960" s="82"/>
      <c r="Y960" s="82"/>
      <c r="Z960" s="82"/>
      <c r="AA960" s="82"/>
    </row>
    <row r="961" ht="15.75" customHeight="1">
      <c r="A961" s="261"/>
      <c r="B961" s="171"/>
      <c r="C961" s="172"/>
      <c r="D961" s="172"/>
      <c r="E961" s="154"/>
      <c r="F961" s="162"/>
      <c r="G961" s="162"/>
      <c r="H961" s="162"/>
      <c r="I961" s="162"/>
      <c r="J961" s="174"/>
      <c r="K961" s="162"/>
      <c r="L961" s="129"/>
      <c r="M961" s="156"/>
      <c r="N961" s="79"/>
      <c r="O961" s="79"/>
      <c r="P961" s="79"/>
      <c r="Q961" s="79"/>
      <c r="R961" s="79"/>
      <c r="S961" s="82"/>
      <c r="T961" s="82"/>
      <c r="U961" s="82"/>
      <c r="V961" s="82"/>
      <c r="W961" s="82"/>
      <c r="X961" s="82"/>
      <c r="Y961" s="82"/>
      <c r="Z961" s="82"/>
      <c r="AA961" s="82"/>
    </row>
    <row r="962" ht="15.75" customHeight="1">
      <c r="A962" s="261"/>
      <c r="B962" s="171"/>
      <c r="C962" s="172"/>
      <c r="D962" s="172"/>
      <c r="E962" s="154"/>
      <c r="F962" s="162"/>
      <c r="G962" s="162"/>
      <c r="H962" s="162"/>
      <c r="I962" s="162"/>
      <c r="J962" s="174"/>
      <c r="K962" s="162"/>
      <c r="L962" s="129"/>
      <c r="M962" s="156"/>
      <c r="N962" s="79"/>
      <c r="O962" s="79"/>
      <c r="P962" s="79"/>
      <c r="Q962" s="79"/>
      <c r="R962" s="79"/>
      <c r="S962" s="82"/>
      <c r="T962" s="82"/>
      <c r="U962" s="82"/>
      <c r="V962" s="82"/>
      <c r="W962" s="82"/>
      <c r="X962" s="82"/>
      <c r="Y962" s="82"/>
      <c r="Z962" s="82"/>
      <c r="AA962" s="82"/>
    </row>
    <row r="963" ht="15.75" customHeight="1">
      <c r="A963" s="261"/>
      <c r="B963" s="171"/>
      <c r="C963" s="172"/>
      <c r="D963" s="172"/>
      <c r="E963" s="154"/>
      <c r="F963" s="162"/>
      <c r="G963" s="162"/>
      <c r="H963" s="162"/>
      <c r="I963" s="162"/>
      <c r="J963" s="174"/>
      <c r="K963" s="162"/>
      <c r="L963" s="129"/>
      <c r="M963" s="156"/>
      <c r="N963" s="79"/>
      <c r="O963" s="79"/>
      <c r="P963" s="79"/>
      <c r="Q963" s="79"/>
      <c r="R963" s="79"/>
      <c r="S963" s="82"/>
      <c r="T963" s="82"/>
      <c r="U963" s="82"/>
      <c r="V963" s="82"/>
      <c r="W963" s="82"/>
      <c r="X963" s="82"/>
      <c r="Y963" s="82"/>
      <c r="Z963" s="82"/>
      <c r="AA963" s="82"/>
    </row>
    <row r="964" ht="15.75" customHeight="1">
      <c r="A964" s="261"/>
      <c r="B964" s="171"/>
      <c r="C964" s="172"/>
      <c r="D964" s="172"/>
      <c r="E964" s="154"/>
      <c r="F964" s="162"/>
      <c r="G964" s="162"/>
      <c r="H964" s="162"/>
      <c r="I964" s="162"/>
      <c r="J964" s="174"/>
      <c r="K964" s="162"/>
      <c r="L964" s="129"/>
      <c r="M964" s="156"/>
      <c r="N964" s="79"/>
      <c r="O964" s="79"/>
      <c r="P964" s="79"/>
      <c r="Q964" s="79"/>
      <c r="R964" s="79"/>
      <c r="S964" s="82"/>
      <c r="T964" s="82"/>
      <c r="U964" s="82"/>
      <c r="V964" s="82"/>
      <c r="W964" s="82"/>
      <c r="X964" s="82"/>
      <c r="Y964" s="82"/>
      <c r="Z964" s="82"/>
      <c r="AA964" s="82"/>
    </row>
    <row r="965" ht="15.75" customHeight="1">
      <c r="A965" s="261"/>
      <c r="B965" s="171"/>
      <c r="C965" s="172"/>
      <c r="D965" s="172"/>
      <c r="E965" s="154"/>
      <c r="F965" s="162"/>
      <c r="G965" s="162"/>
      <c r="H965" s="162"/>
      <c r="I965" s="162"/>
      <c r="J965" s="174"/>
      <c r="K965" s="162"/>
      <c r="L965" s="129"/>
      <c r="M965" s="156"/>
      <c r="N965" s="79"/>
      <c r="O965" s="79"/>
      <c r="P965" s="79"/>
      <c r="Q965" s="79"/>
      <c r="R965" s="79"/>
      <c r="S965" s="82"/>
      <c r="T965" s="82"/>
      <c r="U965" s="82"/>
      <c r="V965" s="82"/>
      <c r="W965" s="82"/>
      <c r="X965" s="82"/>
      <c r="Y965" s="82"/>
      <c r="Z965" s="82"/>
      <c r="AA965" s="82"/>
    </row>
    <row r="966" ht="15.75" customHeight="1">
      <c r="A966" s="261"/>
      <c r="B966" s="171"/>
      <c r="C966" s="172"/>
      <c r="D966" s="172"/>
      <c r="E966" s="154"/>
      <c r="F966" s="162"/>
      <c r="G966" s="162"/>
      <c r="H966" s="162"/>
      <c r="I966" s="162"/>
      <c r="J966" s="174"/>
      <c r="K966" s="162"/>
      <c r="L966" s="129"/>
      <c r="M966" s="156"/>
      <c r="N966" s="79"/>
      <c r="O966" s="79"/>
      <c r="P966" s="79"/>
      <c r="Q966" s="79"/>
      <c r="R966" s="79"/>
      <c r="S966" s="82"/>
      <c r="T966" s="82"/>
      <c r="U966" s="82"/>
      <c r="V966" s="82"/>
      <c r="W966" s="82"/>
      <c r="X966" s="82"/>
      <c r="Y966" s="82"/>
      <c r="Z966" s="82"/>
      <c r="AA966" s="82"/>
    </row>
    <row r="967" ht="15.75" customHeight="1">
      <c r="A967" s="261"/>
      <c r="B967" s="171"/>
      <c r="C967" s="172"/>
      <c r="D967" s="172"/>
      <c r="E967" s="154"/>
      <c r="F967" s="162"/>
      <c r="G967" s="162"/>
      <c r="H967" s="162"/>
      <c r="I967" s="162"/>
      <c r="J967" s="174"/>
      <c r="K967" s="162"/>
      <c r="L967" s="129"/>
      <c r="M967" s="156"/>
      <c r="N967" s="79"/>
      <c r="O967" s="79"/>
      <c r="P967" s="79"/>
      <c r="Q967" s="79"/>
      <c r="R967" s="79"/>
      <c r="S967" s="82"/>
      <c r="T967" s="82"/>
      <c r="U967" s="82"/>
      <c r="V967" s="82"/>
      <c r="W967" s="82"/>
      <c r="X967" s="82"/>
      <c r="Y967" s="82"/>
      <c r="Z967" s="82"/>
      <c r="AA967" s="82"/>
    </row>
    <row r="968" ht="15.75" customHeight="1">
      <c r="A968" s="261"/>
      <c r="B968" s="171"/>
      <c r="C968" s="172"/>
      <c r="D968" s="172"/>
      <c r="E968" s="154"/>
      <c r="F968" s="162"/>
      <c r="G968" s="162"/>
      <c r="H968" s="162"/>
      <c r="I968" s="162"/>
      <c r="J968" s="174"/>
      <c r="K968" s="162"/>
      <c r="L968" s="129"/>
      <c r="M968" s="156"/>
      <c r="N968" s="79"/>
      <c r="O968" s="79"/>
      <c r="P968" s="79"/>
      <c r="Q968" s="79"/>
      <c r="R968" s="79"/>
      <c r="S968" s="82"/>
      <c r="T968" s="82"/>
      <c r="U968" s="82"/>
      <c r="V968" s="82"/>
      <c r="W968" s="82"/>
      <c r="X968" s="82"/>
      <c r="Y968" s="82"/>
      <c r="Z968" s="82"/>
      <c r="AA968" s="82"/>
    </row>
    <row r="969" ht="15.75" customHeight="1">
      <c r="A969" s="261"/>
      <c r="B969" s="171"/>
      <c r="C969" s="172"/>
      <c r="D969" s="172"/>
      <c r="E969" s="154"/>
      <c r="F969" s="162"/>
      <c r="G969" s="162"/>
      <c r="H969" s="162"/>
      <c r="I969" s="162"/>
      <c r="J969" s="174"/>
      <c r="K969" s="162"/>
      <c r="L969" s="129"/>
      <c r="M969" s="156"/>
      <c r="N969" s="79"/>
      <c r="O969" s="79"/>
      <c r="P969" s="79"/>
      <c r="Q969" s="79"/>
      <c r="R969" s="79"/>
      <c r="S969" s="82"/>
      <c r="T969" s="82"/>
      <c r="U969" s="82"/>
      <c r="V969" s="82"/>
      <c r="W969" s="82"/>
      <c r="X969" s="82"/>
      <c r="Y969" s="82"/>
      <c r="Z969" s="82"/>
      <c r="AA969" s="82"/>
    </row>
    <row r="970" ht="15.75" customHeight="1">
      <c r="A970" s="261"/>
      <c r="B970" s="171"/>
      <c r="C970" s="172"/>
      <c r="D970" s="172"/>
      <c r="E970" s="154"/>
      <c r="F970" s="162"/>
      <c r="G970" s="162"/>
      <c r="H970" s="162"/>
      <c r="I970" s="162"/>
      <c r="J970" s="174"/>
      <c r="K970" s="162"/>
      <c r="L970" s="129"/>
      <c r="M970" s="156"/>
      <c r="N970" s="79"/>
      <c r="O970" s="79"/>
      <c r="P970" s="79"/>
      <c r="Q970" s="79"/>
      <c r="R970" s="79"/>
      <c r="S970" s="82"/>
      <c r="T970" s="82"/>
      <c r="U970" s="82"/>
      <c r="V970" s="82"/>
      <c r="W970" s="82"/>
      <c r="X970" s="82"/>
      <c r="Y970" s="82"/>
      <c r="Z970" s="82"/>
      <c r="AA970" s="82"/>
    </row>
    <row r="971" ht="15.75" customHeight="1">
      <c r="A971" s="261"/>
      <c r="B971" s="171"/>
      <c r="C971" s="172"/>
      <c r="D971" s="172"/>
      <c r="E971" s="154"/>
      <c r="F971" s="162"/>
      <c r="G971" s="162"/>
      <c r="H971" s="162"/>
      <c r="I971" s="162"/>
      <c r="J971" s="174"/>
      <c r="K971" s="162"/>
      <c r="L971" s="129"/>
      <c r="M971" s="156"/>
      <c r="N971" s="79"/>
      <c r="O971" s="79"/>
      <c r="P971" s="79"/>
      <c r="Q971" s="79"/>
      <c r="R971" s="79"/>
      <c r="S971" s="82"/>
      <c r="T971" s="82"/>
      <c r="U971" s="82"/>
      <c r="V971" s="82"/>
      <c r="W971" s="82"/>
      <c r="X971" s="82"/>
      <c r="Y971" s="82"/>
      <c r="Z971" s="82"/>
      <c r="AA971" s="82"/>
    </row>
    <row r="972" ht="15.75" customHeight="1">
      <c r="A972" s="261"/>
      <c r="B972" s="171"/>
      <c r="C972" s="172"/>
      <c r="D972" s="172"/>
      <c r="E972" s="154"/>
      <c r="F972" s="162"/>
      <c r="G972" s="162"/>
      <c r="H972" s="162"/>
      <c r="I972" s="162"/>
      <c r="J972" s="174"/>
      <c r="K972" s="162"/>
      <c r="L972" s="129"/>
      <c r="M972" s="156"/>
      <c r="N972" s="79"/>
      <c r="O972" s="79"/>
      <c r="P972" s="79"/>
      <c r="Q972" s="79"/>
      <c r="R972" s="79"/>
      <c r="S972" s="82"/>
      <c r="T972" s="82"/>
      <c r="U972" s="82"/>
      <c r="V972" s="82"/>
      <c r="W972" s="82"/>
      <c r="X972" s="82"/>
      <c r="Y972" s="82"/>
      <c r="Z972" s="82"/>
      <c r="AA972" s="82"/>
    </row>
    <row r="973" ht="15.75" customHeight="1">
      <c r="A973" s="261"/>
      <c r="B973" s="171"/>
      <c r="C973" s="172"/>
      <c r="D973" s="172"/>
      <c r="E973" s="154"/>
      <c r="F973" s="162"/>
      <c r="G973" s="162"/>
      <c r="H973" s="162"/>
      <c r="I973" s="162"/>
      <c r="J973" s="174"/>
      <c r="K973" s="162"/>
      <c r="L973" s="129"/>
      <c r="M973" s="156"/>
      <c r="N973" s="79"/>
      <c r="O973" s="79"/>
      <c r="P973" s="79"/>
      <c r="Q973" s="79"/>
      <c r="R973" s="79"/>
      <c r="S973" s="82"/>
      <c r="T973" s="82"/>
      <c r="U973" s="82"/>
      <c r="V973" s="82"/>
      <c r="W973" s="82"/>
      <c r="X973" s="82"/>
      <c r="Y973" s="82"/>
      <c r="Z973" s="82"/>
      <c r="AA973" s="82"/>
    </row>
    <row r="974" ht="15.75" customHeight="1">
      <c r="A974" s="261"/>
      <c r="B974" s="171"/>
      <c r="C974" s="172"/>
      <c r="D974" s="172"/>
      <c r="E974" s="154"/>
      <c r="F974" s="162"/>
      <c r="G974" s="162"/>
      <c r="H974" s="162"/>
      <c r="I974" s="162"/>
      <c r="J974" s="174"/>
      <c r="K974" s="162"/>
      <c r="L974" s="129"/>
      <c r="M974" s="156"/>
      <c r="N974" s="79"/>
      <c r="O974" s="79"/>
      <c r="P974" s="79"/>
      <c r="Q974" s="79"/>
      <c r="R974" s="79"/>
      <c r="S974" s="82"/>
      <c r="T974" s="82"/>
      <c r="U974" s="82"/>
      <c r="V974" s="82"/>
      <c r="W974" s="82"/>
      <c r="X974" s="82"/>
      <c r="Y974" s="82"/>
      <c r="Z974" s="82"/>
      <c r="AA974" s="82"/>
    </row>
    <row r="975" ht="15.75" customHeight="1">
      <c r="A975" s="261"/>
      <c r="B975" s="171"/>
      <c r="C975" s="172"/>
      <c r="D975" s="172"/>
      <c r="E975" s="154"/>
      <c r="F975" s="162"/>
      <c r="G975" s="162"/>
      <c r="H975" s="162"/>
      <c r="I975" s="162"/>
      <c r="J975" s="174"/>
      <c r="K975" s="162"/>
      <c r="L975" s="129"/>
      <c r="M975" s="156"/>
      <c r="N975" s="79"/>
      <c r="O975" s="79"/>
      <c r="P975" s="79"/>
      <c r="Q975" s="79"/>
      <c r="R975" s="79"/>
      <c r="S975" s="82"/>
      <c r="T975" s="82"/>
      <c r="U975" s="82"/>
      <c r="V975" s="82"/>
      <c r="W975" s="82"/>
      <c r="X975" s="82"/>
      <c r="Y975" s="82"/>
      <c r="Z975" s="82"/>
      <c r="AA975" s="82"/>
    </row>
    <row r="976" ht="15.75" customHeight="1">
      <c r="A976" s="261"/>
      <c r="B976" s="171"/>
      <c r="C976" s="172"/>
      <c r="D976" s="172"/>
      <c r="E976" s="154"/>
      <c r="F976" s="162"/>
      <c r="G976" s="162"/>
      <c r="H976" s="162"/>
      <c r="I976" s="162"/>
      <c r="J976" s="174"/>
      <c r="K976" s="162"/>
      <c r="L976" s="129"/>
      <c r="M976" s="156"/>
      <c r="N976" s="79"/>
      <c r="O976" s="79"/>
      <c r="P976" s="79"/>
      <c r="Q976" s="79"/>
      <c r="R976" s="79"/>
      <c r="S976" s="82"/>
      <c r="T976" s="82"/>
      <c r="U976" s="82"/>
      <c r="V976" s="82"/>
      <c r="W976" s="82"/>
      <c r="X976" s="82"/>
      <c r="Y976" s="82"/>
      <c r="Z976" s="82"/>
      <c r="AA976" s="82"/>
    </row>
    <row r="977" ht="15.75" customHeight="1">
      <c r="A977" s="261"/>
      <c r="B977" s="171"/>
      <c r="C977" s="172"/>
      <c r="D977" s="172"/>
      <c r="E977" s="154"/>
      <c r="F977" s="162"/>
      <c r="G977" s="162"/>
      <c r="H977" s="162"/>
      <c r="I977" s="162"/>
      <c r="J977" s="174"/>
      <c r="K977" s="162"/>
      <c r="L977" s="129"/>
      <c r="M977" s="156"/>
      <c r="N977" s="79"/>
      <c r="O977" s="79"/>
      <c r="P977" s="79"/>
      <c r="Q977" s="79"/>
      <c r="R977" s="79"/>
      <c r="S977" s="82"/>
      <c r="T977" s="82"/>
      <c r="U977" s="82"/>
      <c r="V977" s="82"/>
      <c r="W977" s="82"/>
      <c r="X977" s="82"/>
      <c r="Y977" s="82"/>
      <c r="Z977" s="82"/>
      <c r="AA977" s="82"/>
    </row>
    <row r="978" ht="15.75" customHeight="1">
      <c r="A978" s="261"/>
      <c r="B978" s="171"/>
      <c r="C978" s="172"/>
      <c r="D978" s="172"/>
      <c r="E978" s="154"/>
      <c r="F978" s="162"/>
      <c r="G978" s="162"/>
      <c r="H978" s="162"/>
      <c r="I978" s="162"/>
      <c r="J978" s="174"/>
      <c r="K978" s="162"/>
      <c r="L978" s="129"/>
      <c r="M978" s="156"/>
      <c r="N978" s="79"/>
      <c r="O978" s="79"/>
      <c r="P978" s="79"/>
      <c r="Q978" s="79"/>
      <c r="R978" s="79"/>
      <c r="S978" s="82"/>
      <c r="T978" s="82"/>
      <c r="U978" s="82"/>
      <c r="V978" s="82"/>
      <c r="W978" s="82"/>
      <c r="X978" s="82"/>
      <c r="Y978" s="82"/>
      <c r="Z978" s="82"/>
      <c r="AA978" s="82"/>
    </row>
    <row r="979" ht="15.75" customHeight="1">
      <c r="A979" s="261"/>
      <c r="B979" s="171"/>
      <c r="C979" s="172"/>
      <c r="D979" s="172"/>
      <c r="E979" s="154"/>
      <c r="F979" s="162"/>
      <c r="G979" s="162"/>
      <c r="H979" s="162"/>
      <c r="I979" s="162"/>
      <c r="J979" s="174"/>
      <c r="K979" s="162"/>
      <c r="L979" s="129"/>
      <c r="M979" s="156"/>
      <c r="N979" s="79"/>
      <c r="O979" s="79"/>
      <c r="P979" s="79"/>
      <c r="Q979" s="79"/>
      <c r="R979" s="79"/>
      <c r="S979" s="82"/>
      <c r="T979" s="82"/>
      <c r="U979" s="82"/>
      <c r="V979" s="82"/>
      <c r="W979" s="82"/>
      <c r="X979" s="82"/>
      <c r="Y979" s="82"/>
      <c r="Z979" s="82"/>
      <c r="AA979" s="82"/>
    </row>
    <row r="980" ht="15.75" customHeight="1">
      <c r="A980" s="261"/>
      <c r="B980" s="171"/>
      <c r="C980" s="172"/>
      <c r="D980" s="172"/>
      <c r="E980" s="154"/>
      <c r="F980" s="162"/>
      <c r="G980" s="162"/>
      <c r="H980" s="162"/>
      <c r="I980" s="162"/>
      <c r="J980" s="174"/>
      <c r="K980" s="162"/>
      <c r="L980" s="129"/>
      <c r="M980" s="156"/>
      <c r="N980" s="79"/>
      <c r="O980" s="79"/>
      <c r="P980" s="79"/>
      <c r="Q980" s="79"/>
      <c r="R980" s="79"/>
      <c r="S980" s="82"/>
      <c r="T980" s="82"/>
      <c r="U980" s="82"/>
      <c r="V980" s="82"/>
      <c r="W980" s="82"/>
      <c r="X980" s="82"/>
      <c r="Y980" s="82"/>
      <c r="Z980" s="82"/>
      <c r="AA980" s="82"/>
    </row>
    <row r="981" ht="15.75" customHeight="1">
      <c r="A981" s="261"/>
      <c r="B981" s="171"/>
      <c r="C981" s="172"/>
      <c r="D981" s="172"/>
      <c r="E981" s="154"/>
      <c r="F981" s="162"/>
      <c r="G981" s="162"/>
      <c r="H981" s="162"/>
      <c r="I981" s="162"/>
      <c r="J981" s="174"/>
      <c r="K981" s="162"/>
      <c r="L981" s="129"/>
      <c r="M981" s="156"/>
      <c r="N981" s="79"/>
      <c r="O981" s="79"/>
      <c r="P981" s="79"/>
      <c r="Q981" s="79"/>
      <c r="R981" s="79"/>
      <c r="S981" s="82"/>
      <c r="T981" s="82"/>
      <c r="U981" s="82"/>
      <c r="V981" s="82"/>
      <c r="W981" s="82"/>
      <c r="X981" s="82"/>
      <c r="Y981" s="82"/>
      <c r="Z981" s="82"/>
      <c r="AA981" s="82"/>
    </row>
    <row r="982" ht="15.75" customHeight="1">
      <c r="A982" s="261"/>
      <c r="B982" s="171"/>
      <c r="C982" s="172"/>
      <c r="D982" s="172"/>
      <c r="E982" s="154"/>
      <c r="F982" s="162"/>
      <c r="G982" s="162"/>
      <c r="H982" s="162"/>
      <c r="I982" s="162"/>
      <c r="J982" s="174"/>
      <c r="K982" s="162"/>
      <c r="L982" s="129"/>
      <c r="M982" s="156"/>
      <c r="N982" s="79"/>
      <c r="O982" s="79"/>
      <c r="P982" s="79"/>
      <c r="Q982" s="79"/>
      <c r="R982" s="79"/>
      <c r="S982" s="82"/>
      <c r="T982" s="82"/>
      <c r="U982" s="82"/>
      <c r="V982" s="82"/>
      <c r="W982" s="82"/>
      <c r="X982" s="82"/>
      <c r="Y982" s="82"/>
      <c r="Z982" s="82"/>
      <c r="AA982" s="82"/>
    </row>
    <row r="983" ht="15.75" customHeight="1">
      <c r="A983" s="261"/>
      <c r="B983" s="171"/>
      <c r="C983" s="172"/>
      <c r="D983" s="172"/>
      <c r="E983" s="154"/>
      <c r="F983" s="162"/>
      <c r="G983" s="162"/>
      <c r="H983" s="162"/>
      <c r="I983" s="162"/>
      <c r="J983" s="174"/>
      <c r="K983" s="162"/>
      <c r="L983" s="129"/>
      <c r="M983" s="156"/>
      <c r="N983" s="79"/>
      <c r="O983" s="79"/>
      <c r="P983" s="79"/>
      <c r="Q983" s="79"/>
      <c r="R983" s="79"/>
      <c r="S983" s="82"/>
      <c r="T983" s="82"/>
      <c r="U983" s="82"/>
      <c r="V983" s="82"/>
      <c r="W983" s="82"/>
      <c r="X983" s="82"/>
      <c r="Y983" s="82"/>
      <c r="Z983" s="82"/>
      <c r="AA983" s="82"/>
    </row>
    <row r="984" ht="15.75" customHeight="1">
      <c r="A984" s="261"/>
      <c r="B984" s="171"/>
      <c r="C984" s="172"/>
      <c r="D984" s="172"/>
      <c r="E984" s="154"/>
      <c r="F984" s="162"/>
      <c r="G984" s="162"/>
      <c r="H984" s="162"/>
      <c r="I984" s="162"/>
      <c r="J984" s="174"/>
      <c r="K984" s="162"/>
      <c r="L984" s="129"/>
      <c r="M984" s="156"/>
      <c r="N984" s="79"/>
      <c r="O984" s="79"/>
      <c r="P984" s="79"/>
      <c r="Q984" s="79"/>
      <c r="R984" s="79"/>
      <c r="S984" s="82"/>
      <c r="T984" s="82"/>
      <c r="U984" s="82"/>
      <c r="V984" s="82"/>
      <c r="W984" s="82"/>
      <c r="X984" s="82"/>
      <c r="Y984" s="82"/>
      <c r="Z984" s="82"/>
      <c r="AA984" s="82"/>
    </row>
    <row r="985" ht="15.75" customHeight="1">
      <c r="A985" s="261"/>
      <c r="B985" s="171"/>
      <c r="C985" s="172"/>
      <c r="D985" s="172"/>
      <c r="E985" s="154"/>
      <c r="F985" s="162"/>
      <c r="G985" s="162"/>
      <c r="H985" s="162"/>
      <c r="I985" s="162"/>
      <c r="J985" s="174"/>
      <c r="K985" s="162"/>
      <c r="L985" s="129"/>
      <c r="M985" s="156"/>
      <c r="N985" s="79"/>
      <c r="O985" s="79"/>
      <c r="P985" s="79"/>
      <c r="Q985" s="79"/>
      <c r="R985" s="79"/>
      <c r="S985" s="82"/>
      <c r="T985" s="82"/>
      <c r="U985" s="82"/>
      <c r="V985" s="82"/>
      <c r="W985" s="82"/>
      <c r="X985" s="82"/>
      <c r="Y985" s="82"/>
      <c r="Z985" s="82"/>
      <c r="AA985" s="82"/>
    </row>
    <row r="986" ht="15.75" customHeight="1">
      <c r="A986" s="261"/>
      <c r="B986" s="171"/>
      <c r="C986" s="172"/>
      <c r="D986" s="172"/>
      <c r="E986" s="154"/>
      <c r="F986" s="162"/>
      <c r="G986" s="162"/>
      <c r="H986" s="162"/>
      <c r="I986" s="162"/>
      <c r="J986" s="174"/>
      <c r="K986" s="162"/>
      <c r="L986" s="129"/>
      <c r="M986" s="156"/>
      <c r="N986" s="79"/>
      <c r="O986" s="79"/>
      <c r="P986" s="79"/>
      <c r="Q986" s="79"/>
      <c r="R986" s="79"/>
      <c r="S986" s="82"/>
      <c r="T986" s="82"/>
      <c r="U986" s="82"/>
      <c r="V986" s="82"/>
      <c r="W986" s="82"/>
      <c r="X986" s="82"/>
      <c r="Y986" s="82"/>
      <c r="Z986" s="82"/>
      <c r="AA986" s="82"/>
    </row>
    <row r="987" ht="15.75" customHeight="1">
      <c r="A987" s="261"/>
      <c r="B987" s="171"/>
      <c r="C987" s="172"/>
      <c r="D987" s="172"/>
      <c r="E987" s="154"/>
      <c r="F987" s="162"/>
      <c r="G987" s="162"/>
      <c r="H987" s="162"/>
      <c r="I987" s="162"/>
      <c r="J987" s="174"/>
      <c r="K987" s="162"/>
      <c r="L987" s="129"/>
      <c r="M987" s="156"/>
      <c r="N987" s="79"/>
      <c r="O987" s="79"/>
      <c r="P987" s="79"/>
      <c r="Q987" s="79"/>
      <c r="R987" s="79"/>
      <c r="S987" s="82"/>
      <c r="T987" s="82"/>
      <c r="U987" s="82"/>
      <c r="V987" s="82"/>
      <c r="W987" s="82"/>
      <c r="X987" s="82"/>
      <c r="Y987" s="82"/>
      <c r="Z987" s="82"/>
      <c r="AA987" s="82"/>
    </row>
    <row r="988" ht="15.75" customHeight="1">
      <c r="A988" s="261"/>
      <c r="B988" s="171"/>
      <c r="C988" s="172"/>
      <c r="D988" s="172"/>
      <c r="E988" s="154"/>
      <c r="F988" s="162"/>
      <c r="G988" s="162"/>
      <c r="H988" s="162"/>
      <c r="I988" s="162"/>
      <c r="J988" s="174"/>
      <c r="K988" s="162"/>
      <c r="L988" s="129"/>
      <c r="M988" s="156"/>
      <c r="N988" s="79"/>
      <c r="O988" s="79"/>
      <c r="P988" s="79"/>
      <c r="Q988" s="79"/>
      <c r="R988" s="79"/>
      <c r="S988" s="82"/>
      <c r="T988" s="82"/>
      <c r="U988" s="82"/>
      <c r="V988" s="82"/>
      <c r="W988" s="82"/>
      <c r="X988" s="82"/>
      <c r="Y988" s="82"/>
      <c r="Z988" s="82"/>
      <c r="AA988" s="82"/>
    </row>
    <row r="989" ht="15.75" customHeight="1">
      <c r="A989" s="261"/>
      <c r="B989" s="171"/>
      <c r="C989" s="172"/>
      <c r="D989" s="172"/>
      <c r="E989" s="154"/>
      <c r="F989" s="162"/>
      <c r="G989" s="162"/>
      <c r="H989" s="162"/>
      <c r="I989" s="162"/>
      <c r="J989" s="174"/>
      <c r="K989" s="162"/>
      <c r="L989" s="129"/>
      <c r="M989" s="156"/>
      <c r="N989" s="79"/>
      <c r="O989" s="79"/>
      <c r="P989" s="79"/>
      <c r="Q989" s="79"/>
      <c r="R989" s="79"/>
      <c r="S989" s="82"/>
      <c r="T989" s="82"/>
      <c r="U989" s="82"/>
      <c r="V989" s="82"/>
      <c r="W989" s="82"/>
      <c r="X989" s="82"/>
      <c r="Y989" s="82"/>
      <c r="Z989" s="82"/>
      <c r="AA989" s="82"/>
    </row>
    <row r="990" ht="15.75" customHeight="1">
      <c r="A990" s="261"/>
      <c r="B990" s="171"/>
      <c r="C990" s="172"/>
      <c r="D990" s="172"/>
      <c r="E990" s="154"/>
      <c r="F990" s="162"/>
      <c r="G990" s="162"/>
      <c r="H990" s="162"/>
      <c r="I990" s="162"/>
      <c r="J990" s="174"/>
      <c r="K990" s="162"/>
      <c r="L990" s="129"/>
      <c r="M990" s="156"/>
      <c r="N990" s="79"/>
      <c r="O990" s="79"/>
      <c r="P990" s="79"/>
      <c r="Q990" s="79"/>
      <c r="R990" s="79"/>
      <c r="S990" s="82"/>
      <c r="T990" s="82"/>
      <c r="U990" s="82"/>
      <c r="V990" s="82"/>
      <c r="W990" s="82"/>
      <c r="X990" s="82"/>
      <c r="Y990" s="82"/>
      <c r="Z990" s="82"/>
      <c r="AA990" s="82"/>
    </row>
    <row r="991" ht="15.75" customHeight="1">
      <c r="A991" s="261"/>
      <c r="B991" s="171"/>
      <c r="C991" s="172"/>
      <c r="D991" s="172"/>
      <c r="E991" s="154"/>
      <c r="F991" s="162"/>
      <c r="G991" s="162"/>
      <c r="H991" s="162"/>
      <c r="I991" s="162"/>
      <c r="J991" s="174"/>
      <c r="K991" s="162"/>
      <c r="L991" s="129"/>
      <c r="M991" s="156"/>
      <c r="N991" s="79"/>
      <c r="O991" s="79"/>
      <c r="P991" s="79"/>
      <c r="Q991" s="79"/>
      <c r="R991" s="79"/>
      <c r="S991" s="82"/>
      <c r="T991" s="82"/>
      <c r="U991" s="82"/>
      <c r="V991" s="82"/>
      <c r="W991" s="82"/>
      <c r="X991" s="82"/>
      <c r="Y991" s="82"/>
      <c r="Z991" s="82"/>
      <c r="AA991" s="82"/>
    </row>
    <row r="992" ht="15.75" customHeight="1">
      <c r="A992" s="261"/>
      <c r="B992" s="171"/>
      <c r="C992" s="172"/>
      <c r="D992" s="172"/>
      <c r="E992" s="154"/>
      <c r="F992" s="162"/>
      <c r="G992" s="162"/>
      <c r="H992" s="162"/>
      <c r="I992" s="162"/>
      <c r="J992" s="174"/>
      <c r="K992" s="162"/>
      <c r="L992" s="129"/>
      <c r="M992" s="156"/>
      <c r="N992" s="79"/>
      <c r="O992" s="79"/>
      <c r="P992" s="79"/>
      <c r="Q992" s="79"/>
      <c r="R992" s="79"/>
      <c r="S992" s="82"/>
      <c r="T992" s="82"/>
      <c r="U992" s="82"/>
      <c r="V992" s="82"/>
      <c r="W992" s="82"/>
      <c r="X992" s="82"/>
      <c r="Y992" s="82"/>
      <c r="Z992" s="82"/>
      <c r="AA992" s="82"/>
    </row>
    <row r="993" ht="15.75" customHeight="1">
      <c r="A993" s="261"/>
      <c r="B993" s="171"/>
      <c r="C993" s="172"/>
      <c r="D993" s="172"/>
      <c r="E993" s="154"/>
      <c r="F993" s="162"/>
      <c r="G993" s="162"/>
      <c r="H993" s="162"/>
      <c r="I993" s="162"/>
      <c r="J993" s="174"/>
      <c r="K993" s="162"/>
      <c r="L993" s="129"/>
      <c r="M993" s="156"/>
      <c r="N993" s="79"/>
      <c r="O993" s="79"/>
      <c r="P993" s="79"/>
      <c r="Q993" s="79"/>
      <c r="R993" s="79"/>
      <c r="S993" s="82"/>
      <c r="T993" s="82"/>
      <c r="U993" s="82"/>
      <c r="V993" s="82"/>
      <c r="W993" s="82"/>
      <c r="X993" s="82"/>
      <c r="Y993" s="82"/>
      <c r="Z993" s="82"/>
      <c r="AA993" s="82"/>
    </row>
    <row r="994" ht="15.75" customHeight="1">
      <c r="A994" s="261"/>
      <c r="B994" s="171"/>
      <c r="C994" s="172"/>
      <c r="D994" s="172"/>
      <c r="E994" s="154"/>
      <c r="F994" s="162"/>
      <c r="G994" s="162"/>
      <c r="H994" s="162"/>
      <c r="I994" s="162"/>
      <c r="J994" s="174"/>
      <c r="K994" s="162"/>
      <c r="L994" s="129"/>
      <c r="M994" s="156"/>
      <c r="N994" s="79"/>
      <c r="O994" s="79"/>
      <c r="P994" s="79"/>
      <c r="Q994" s="79"/>
      <c r="R994" s="79"/>
      <c r="S994" s="82"/>
      <c r="T994" s="82"/>
      <c r="U994" s="82"/>
      <c r="V994" s="82"/>
      <c r="W994" s="82"/>
      <c r="X994" s="82"/>
      <c r="Y994" s="82"/>
      <c r="Z994" s="82"/>
      <c r="AA994" s="82"/>
    </row>
    <row r="995" ht="15.75" customHeight="1">
      <c r="A995" s="261"/>
      <c r="B995" s="171"/>
      <c r="C995" s="172"/>
      <c r="D995" s="172"/>
      <c r="E995" s="154"/>
      <c r="F995" s="162"/>
      <c r="G995" s="162"/>
      <c r="H995" s="162"/>
      <c r="I995" s="162"/>
      <c r="J995" s="174"/>
      <c r="K995" s="162"/>
      <c r="L995" s="129"/>
      <c r="M995" s="156"/>
      <c r="N995" s="79"/>
      <c r="O995" s="79"/>
      <c r="P995" s="79"/>
      <c r="Q995" s="79"/>
      <c r="R995" s="79"/>
      <c r="S995" s="82"/>
      <c r="T995" s="82"/>
      <c r="U995" s="82"/>
      <c r="V995" s="82"/>
      <c r="W995" s="82"/>
      <c r="X995" s="82"/>
      <c r="Y995" s="82"/>
      <c r="Z995" s="82"/>
      <c r="AA995" s="82"/>
    </row>
    <row r="996" ht="15.75" customHeight="1">
      <c r="A996" s="261"/>
      <c r="B996" s="171"/>
      <c r="C996" s="172"/>
      <c r="D996" s="172"/>
      <c r="E996" s="154"/>
      <c r="F996" s="162"/>
      <c r="G996" s="162"/>
      <c r="H996" s="162"/>
      <c r="I996" s="162"/>
      <c r="J996" s="174"/>
      <c r="K996" s="162"/>
      <c r="L996" s="129"/>
      <c r="M996" s="156"/>
      <c r="N996" s="79"/>
      <c r="O996" s="79"/>
      <c r="P996" s="79"/>
      <c r="Q996" s="79"/>
      <c r="R996" s="79"/>
      <c r="S996" s="82"/>
      <c r="T996" s="82"/>
      <c r="U996" s="82"/>
      <c r="V996" s="82"/>
      <c r="W996" s="82"/>
      <c r="X996" s="82"/>
      <c r="Y996" s="82"/>
      <c r="Z996" s="82"/>
      <c r="AA996" s="82"/>
    </row>
    <row r="997" ht="15.75" customHeight="1">
      <c r="A997" s="261"/>
      <c r="B997" s="171"/>
      <c r="C997" s="172"/>
      <c r="D997" s="172"/>
      <c r="E997" s="154"/>
      <c r="F997" s="162"/>
      <c r="G997" s="162"/>
      <c r="H997" s="162"/>
      <c r="I997" s="162"/>
      <c r="J997" s="174"/>
      <c r="K997" s="162"/>
      <c r="L997" s="129"/>
      <c r="M997" s="156"/>
      <c r="N997" s="79"/>
      <c r="O997" s="79"/>
      <c r="P997" s="79"/>
      <c r="Q997" s="79"/>
      <c r="R997" s="79"/>
      <c r="S997" s="82"/>
      <c r="T997" s="82"/>
      <c r="U997" s="82"/>
      <c r="V997" s="82"/>
      <c r="W997" s="82"/>
      <c r="X997" s="82"/>
      <c r="Y997" s="82"/>
      <c r="Z997" s="82"/>
      <c r="AA997" s="82"/>
    </row>
    <row r="998" ht="15.75" customHeight="1">
      <c r="A998" s="261"/>
      <c r="B998" s="171"/>
      <c r="C998" s="172"/>
      <c r="D998" s="172"/>
      <c r="E998" s="154"/>
      <c r="F998" s="162"/>
      <c r="G998" s="162"/>
      <c r="H998" s="162"/>
      <c r="I998" s="162"/>
      <c r="J998" s="174"/>
      <c r="K998" s="162"/>
      <c r="L998" s="129"/>
      <c r="M998" s="156"/>
      <c r="N998" s="79"/>
      <c r="O998" s="79"/>
      <c r="P998" s="79"/>
      <c r="Q998" s="79"/>
      <c r="R998" s="79"/>
      <c r="S998" s="82"/>
      <c r="T998" s="82"/>
      <c r="U998" s="82"/>
      <c r="V998" s="82"/>
      <c r="W998" s="82"/>
      <c r="X998" s="82"/>
      <c r="Y998" s="82"/>
      <c r="Z998" s="82"/>
      <c r="AA998" s="82"/>
    </row>
    <row r="999" ht="15.75" customHeight="1">
      <c r="A999" s="261"/>
      <c r="B999" s="171"/>
      <c r="C999" s="172"/>
      <c r="D999" s="172"/>
      <c r="E999" s="154"/>
      <c r="F999" s="162"/>
      <c r="G999" s="162"/>
      <c r="H999" s="162"/>
      <c r="I999" s="162"/>
      <c r="J999" s="174"/>
      <c r="K999" s="162"/>
      <c r="L999" s="129"/>
      <c r="M999" s="156"/>
      <c r="N999" s="79"/>
      <c r="O999" s="79"/>
      <c r="P999" s="79"/>
      <c r="Q999" s="79"/>
      <c r="R999" s="79"/>
      <c r="S999" s="82"/>
      <c r="T999" s="82"/>
      <c r="U999" s="82"/>
      <c r="V999" s="82"/>
      <c r="W999" s="82"/>
      <c r="X999" s="82"/>
      <c r="Y999" s="82"/>
      <c r="Z999" s="82"/>
      <c r="AA999" s="82"/>
    </row>
    <row r="1000" ht="15.75" customHeight="1">
      <c r="A1000" s="261"/>
      <c r="B1000" s="171"/>
      <c r="C1000" s="172"/>
      <c r="D1000" s="172"/>
      <c r="E1000" s="154"/>
      <c r="F1000" s="162"/>
      <c r="G1000" s="162"/>
      <c r="H1000" s="162"/>
      <c r="I1000" s="162"/>
      <c r="J1000" s="174"/>
      <c r="K1000" s="162"/>
      <c r="L1000" s="129"/>
      <c r="M1000" s="156"/>
      <c r="N1000" s="79"/>
      <c r="O1000" s="79"/>
      <c r="P1000" s="79"/>
      <c r="Q1000" s="79"/>
      <c r="R1000" s="79"/>
      <c r="S1000" s="82"/>
      <c r="T1000" s="82"/>
      <c r="U1000" s="82"/>
      <c r="V1000" s="82"/>
      <c r="W1000" s="82"/>
      <c r="X1000" s="82"/>
      <c r="Y1000" s="82"/>
      <c r="Z1000" s="82"/>
      <c r="AA1000" s="82"/>
    </row>
  </sheetData>
  <dataValidations>
    <dataValidation type="list" allowBlank="1" showErrorMessage="1" sqref="C3:C8">
      <formula1>"EM FUNCIONAMENTO,EM CONSTRUÇÃO"</formula1>
    </dataValidation>
    <dataValidation type="list" allowBlank="1" showErrorMessage="1" sqref="D3:D8">
      <formula1>"OS,Gestão própria,OSS,Sem informaçao"</formula1>
    </dataValidation>
  </dataValidations>
  <printOptions gridLines="1"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0"/>
  <cols>
    <col customWidth="1" min="1" max="1" width="1.25"/>
    <col customWidth="1" min="2" max="2" width="25.25"/>
    <col customWidth="1" min="3" max="3" width="25.0"/>
    <col customWidth="1" min="4" max="4" width="25.25"/>
    <col customWidth="1" min="5" max="5" width="9.63"/>
    <col customWidth="1" min="6" max="6" width="40.25"/>
    <col customWidth="1" min="7" max="7" width="17.75"/>
    <col customWidth="1" min="8" max="8" width="19.25"/>
    <col customWidth="1" min="9" max="9" width="13.75"/>
    <col customWidth="1" min="10" max="10" width="19.25"/>
    <col customWidth="1" min="11" max="11" width="17.13"/>
    <col customWidth="1" min="12" max="12" width="50.63"/>
    <col customWidth="1" min="13" max="13" width="68.88"/>
  </cols>
  <sheetData>
    <row r="1" ht="89.25" customHeight="1">
      <c r="A1" s="1"/>
      <c r="B1" s="4"/>
      <c r="C1" s="7"/>
      <c r="D1" s="9"/>
      <c r="E1" s="11"/>
      <c r="F1" s="11"/>
      <c r="G1" s="303"/>
      <c r="H1" s="14"/>
      <c r="I1" s="9"/>
      <c r="J1" s="7"/>
      <c r="K1" s="16"/>
      <c r="L1" s="16"/>
      <c r="M1" s="16"/>
    </row>
    <row r="2" ht="36.75" customHeight="1">
      <c r="A2" s="304"/>
      <c r="B2" s="305" t="s">
        <v>508</v>
      </c>
      <c r="C2" s="305" t="s">
        <v>2</v>
      </c>
      <c r="D2" s="306" t="s">
        <v>3</v>
      </c>
      <c r="E2" s="305" t="s">
        <v>5</v>
      </c>
      <c r="F2" s="305" t="s">
        <v>9</v>
      </c>
      <c r="G2" s="307" t="s">
        <v>509</v>
      </c>
      <c r="H2" s="305" t="s">
        <v>510</v>
      </c>
      <c r="I2" s="305"/>
      <c r="J2" s="305"/>
      <c r="K2" s="308"/>
      <c r="L2" s="308"/>
      <c r="M2" s="308"/>
    </row>
    <row r="3" ht="137.25" customHeight="1">
      <c r="A3" s="309"/>
      <c r="B3" s="310" t="s">
        <v>438</v>
      </c>
      <c r="C3" s="44" t="s">
        <v>106</v>
      </c>
      <c r="D3" s="58" t="s">
        <v>68</v>
      </c>
      <c r="E3" s="58" t="s">
        <v>183</v>
      </c>
      <c r="F3" s="59" t="s">
        <v>439</v>
      </c>
      <c r="G3" s="252">
        <v>165.0</v>
      </c>
      <c r="H3" s="259">
        <v>6.873988214E7</v>
      </c>
      <c r="I3" s="61"/>
      <c r="J3" s="61"/>
      <c r="K3" s="311"/>
      <c r="L3" s="312"/>
      <c r="M3" s="311"/>
    </row>
    <row r="4" ht="137.25" customHeight="1">
      <c r="A4" s="313"/>
      <c r="B4" s="314" t="s">
        <v>440</v>
      </c>
      <c r="C4" s="44" t="s">
        <v>106</v>
      </c>
      <c r="D4" s="58" t="s">
        <v>68</v>
      </c>
      <c r="E4" s="58" t="s">
        <v>224</v>
      </c>
      <c r="F4" s="259" t="s">
        <v>390</v>
      </c>
      <c r="G4" s="252">
        <v>120.0</v>
      </c>
      <c r="H4" s="259">
        <v>5.330386318E7</v>
      </c>
      <c r="I4" s="208"/>
      <c r="J4" s="315"/>
      <c r="K4" s="315"/>
      <c r="L4" s="315"/>
      <c r="M4" s="315"/>
    </row>
    <row r="5" ht="137.25" customHeight="1">
      <c r="A5" s="313"/>
      <c r="B5" s="314" t="s">
        <v>441</v>
      </c>
      <c r="C5" s="44" t="s">
        <v>106</v>
      </c>
      <c r="D5" s="58" t="s">
        <v>68</v>
      </c>
      <c r="E5" s="58" t="s">
        <v>85</v>
      </c>
      <c r="F5" s="59" t="s">
        <v>439</v>
      </c>
      <c r="G5" s="252">
        <v>165.0</v>
      </c>
      <c r="H5" s="259">
        <v>5.649E7</v>
      </c>
      <c r="I5" s="58"/>
      <c r="J5" s="316"/>
      <c r="K5" s="317"/>
      <c r="L5" s="318"/>
      <c r="M5" s="319"/>
    </row>
    <row r="6" ht="137.25" customHeight="1">
      <c r="A6" s="313"/>
      <c r="B6" s="314" t="s">
        <v>443</v>
      </c>
      <c r="C6" s="44" t="s">
        <v>106</v>
      </c>
      <c r="D6" s="58" t="s">
        <v>68</v>
      </c>
      <c r="E6" s="58" t="s">
        <v>249</v>
      </c>
      <c r="F6" s="59" t="s">
        <v>439</v>
      </c>
      <c r="G6" s="252">
        <v>165.0</v>
      </c>
      <c r="H6" s="259">
        <v>6.512E7</v>
      </c>
      <c r="I6" s="208"/>
      <c r="J6" s="315"/>
      <c r="K6" s="315"/>
      <c r="L6" s="315"/>
      <c r="M6" s="315"/>
    </row>
    <row r="7" ht="137.25" customHeight="1">
      <c r="A7" s="313"/>
      <c r="B7" s="314" t="s">
        <v>444</v>
      </c>
      <c r="C7" s="44" t="s">
        <v>106</v>
      </c>
      <c r="D7" s="320" t="s">
        <v>68</v>
      </c>
      <c r="E7" s="58" t="s">
        <v>263</v>
      </c>
      <c r="F7" s="263" t="s">
        <v>390</v>
      </c>
      <c r="G7" s="252"/>
      <c r="H7" s="321" t="s">
        <v>390</v>
      </c>
      <c r="I7" s="322"/>
      <c r="J7" s="323"/>
      <c r="K7" s="315"/>
      <c r="L7" s="315"/>
      <c r="M7" s="315"/>
    </row>
    <row r="8" ht="137.25" customHeight="1">
      <c r="A8" s="313"/>
      <c r="B8" s="314" t="s">
        <v>446</v>
      </c>
      <c r="C8" s="44" t="s">
        <v>106</v>
      </c>
      <c r="D8" s="320" t="s">
        <v>68</v>
      </c>
      <c r="E8" s="58" t="s">
        <v>249</v>
      </c>
      <c r="F8" s="263" t="s">
        <v>390</v>
      </c>
      <c r="G8" s="252"/>
      <c r="H8" s="321" t="s">
        <v>511</v>
      </c>
      <c r="I8" s="208"/>
      <c r="J8" s="315"/>
      <c r="K8" s="315"/>
      <c r="L8" s="315"/>
      <c r="M8" s="315"/>
    </row>
    <row r="9" ht="137.25" customHeight="1">
      <c r="A9" s="313"/>
      <c r="B9" s="314" t="s">
        <v>448</v>
      </c>
      <c r="C9" s="44" t="s">
        <v>106</v>
      </c>
      <c r="D9" s="58" t="s">
        <v>68</v>
      </c>
      <c r="E9" s="58" t="s">
        <v>153</v>
      </c>
      <c r="F9" s="263" t="s">
        <v>390</v>
      </c>
      <c r="G9" s="266"/>
      <c r="H9" s="321" t="s">
        <v>512</v>
      </c>
      <c r="I9" s="208"/>
      <c r="J9" s="315"/>
      <c r="K9" s="315"/>
      <c r="L9" s="315"/>
      <c r="M9" s="315"/>
    </row>
    <row r="10" ht="137.25" customHeight="1">
      <c r="A10" s="313"/>
      <c r="B10" s="314" t="s">
        <v>449</v>
      </c>
      <c r="C10" s="44" t="s">
        <v>106</v>
      </c>
      <c r="D10" s="58" t="s">
        <v>420</v>
      </c>
      <c r="E10" s="58" t="s">
        <v>183</v>
      </c>
      <c r="F10" s="263" t="s">
        <v>390</v>
      </c>
      <c r="G10" s="163">
        <v>246.0</v>
      </c>
      <c r="H10" s="259">
        <v>1.258E8</v>
      </c>
      <c r="I10" s="218"/>
      <c r="J10" s="324"/>
      <c r="K10" s="315"/>
      <c r="L10" s="315"/>
      <c r="M10" s="315"/>
    </row>
    <row r="11" ht="137.25" customHeight="1">
      <c r="A11" s="313"/>
      <c r="B11" s="314"/>
      <c r="C11" s="314"/>
      <c r="D11" s="320"/>
      <c r="E11" s="132"/>
      <c r="F11" s="263"/>
      <c r="G11" s="266"/>
      <c r="H11" s="325"/>
      <c r="I11" s="208"/>
      <c r="J11" s="315"/>
      <c r="K11" s="315"/>
      <c r="L11" s="315"/>
      <c r="M11" s="317"/>
    </row>
    <row r="12" ht="137.25" customHeight="1">
      <c r="A12" s="326"/>
      <c r="B12" s="168"/>
      <c r="C12" s="168"/>
      <c r="D12" s="153"/>
      <c r="E12" s="227"/>
      <c r="F12" s="154"/>
      <c r="G12" s="327"/>
      <c r="H12" s="164"/>
      <c r="I12" s="162"/>
      <c r="J12" s="129"/>
      <c r="K12" s="79"/>
      <c r="L12" s="79"/>
      <c r="M12" s="328"/>
    </row>
    <row r="13" ht="137.25" customHeight="1">
      <c r="A13" s="326"/>
      <c r="B13" s="168"/>
      <c r="C13" s="168"/>
      <c r="D13" s="153"/>
      <c r="E13" s="227"/>
      <c r="F13" s="154"/>
      <c r="G13" s="327"/>
      <c r="H13" s="157"/>
      <c r="I13" s="156"/>
      <c r="J13" s="79"/>
      <c r="K13" s="79"/>
      <c r="L13" s="79"/>
      <c r="M13" s="329"/>
    </row>
    <row r="14" ht="137.25" customHeight="1">
      <c r="A14" s="326"/>
      <c r="B14" s="168"/>
      <c r="C14" s="168"/>
      <c r="D14" s="153"/>
      <c r="E14" s="330"/>
      <c r="F14" s="154"/>
      <c r="G14" s="327"/>
      <c r="H14" s="157"/>
      <c r="I14" s="156"/>
      <c r="J14" s="79"/>
      <c r="K14" s="79"/>
      <c r="L14" s="79"/>
      <c r="M14" s="328"/>
    </row>
    <row r="15" ht="137.25" customHeight="1">
      <c r="A15" s="326"/>
      <c r="B15" s="168"/>
      <c r="C15" s="168"/>
      <c r="D15" s="159"/>
      <c r="E15" s="227"/>
      <c r="F15" s="154"/>
      <c r="G15" s="327"/>
      <c r="H15" s="157"/>
      <c r="I15" s="156"/>
      <c r="J15" s="79"/>
      <c r="K15" s="79"/>
      <c r="L15" s="79"/>
      <c r="M15" s="329"/>
    </row>
    <row r="16" ht="137.25" customHeight="1">
      <c r="A16" s="326"/>
      <c r="B16" s="168"/>
      <c r="C16" s="168"/>
      <c r="D16" s="159"/>
      <c r="E16" s="227"/>
      <c r="F16" s="154"/>
      <c r="G16" s="327"/>
      <c r="H16" s="157"/>
      <c r="I16" s="156"/>
      <c r="J16" s="79"/>
      <c r="K16" s="79"/>
      <c r="L16" s="79"/>
      <c r="M16" s="328"/>
    </row>
    <row r="17" ht="137.25" customHeight="1">
      <c r="A17" s="326"/>
      <c r="B17" s="168"/>
      <c r="C17" s="168"/>
      <c r="D17" s="159"/>
      <c r="E17" s="227"/>
      <c r="F17" s="154"/>
      <c r="G17" s="327"/>
      <c r="H17" s="157"/>
      <c r="I17" s="156"/>
      <c r="J17" s="79"/>
      <c r="K17" s="79"/>
      <c r="L17" s="79"/>
      <c r="M17" s="329"/>
    </row>
    <row r="18" ht="137.25" customHeight="1">
      <c r="A18" s="326"/>
      <c r="B18" s="168"/>
      <c r="C18" s="168"/>
      <c r="D18" s="159"/>
      <c r="E18" s="227"/>
      <c r="F18" s="154"/>
      <c r="G18" s="327"/>
      <c r="H18" s="157"/>
      <c r="I18" s="156"/>
      <c r="J18" s="79"/>
      <c r="K18" s="79"/>
      <c r="L18" s="79"/>
      <c r="M18" s="328"/>
    </row>
    <row r="19" ht="137.25" customHeight="1">
      <c r="A19" s="326"/>
      <c r="B19" s="168"/>
      <c r="C19" s="168"/>
      <c r="D19" s="172"/>
      <c r="E19" s="227"/>
      <c r="F19" s="154"/>
      <c r="G19" s="327"/>
      <c r="H19" s="164"/>
      <c r="I19" s="162"/>
      <c r="J19" s="129"/>
      <c r="K19" s="79"/>
      <c r="L19" s="79"/>
      <c r="M19" s="329"/>
    </row>
    <row r="20" ht="137.25" customHeight="1">
      <c r="A20" s="326"/>
      <c r="B20" s="168"/>
      <c r="C20" s="168"/>
      <c r="D20" s="159"/>
      <c r="E20" s="227"/>
      <c r="F20" s="154"/>
      <c r="G20" s="327"/>
      <c r="H20" s="157"/>
      <c r="I20" s="156"/>
      <c r="J20" s="79"/>
      <c r="K20" s="79"/>
      <c r="L20" s="79"/>
      <c r="M20" s="328"/>
    </row>
    <row r="21" ht="137.25" customHeight="1">
      <c r="A21" s="326"/>
      <c r="B21" s="176"/>
      <c r="C21" s="122"/>
      <c r="D21" s="159"/>
      <c r="E21" s="227"/>
      <c r="F21" s="154"/>
      <c r="G21" s="327"/>
      <c r="H21" s="157"/>
      <c r="I21" s="156"/>
      <c r="J21" s="79"/>
      <c r="K21" s="79"/>
      <c r="L21" s="79"/>
      <c r="M21" s="329"/>
    </row>
    <row r="22" ht="137.25" customHeight="1">
      <c r="A22" s="326"/>
      <c r="B22" s="176"/>
      <c r="C22" s="122"/>
      <c r="D22" s="159"/>
      <c r="E22" s="227"/>
      <c r="F22" s="154"/>
      <c r="G22" s="327"/>
      <c r="H22" s="157"/>
      <c r="I22" s="156"/>
      <c r="J22" s="79"/>
      <c r="K22" s="79"/>
      <c r="L22" s="79"/>
      <c r="M22" s="328"/>
    </row>
    <row r="23" ht="137.25" customHeight="1">
      <c r="A23" s="326"/>
      <c r="B23" s="168"/>
      <c r="C23" s="168"/>
      <c r="D23" s="159"/>
      <c r="E23" s="227"/>
      <c r="F23" s="154"/>
      <c r="G23" s="327"/>
      <c r="H23" s="157"/>
      <c r="I23" s="156"/>
      <c r="J23" s="79"/>
      <c r="K23" s="79"/>
      <c r="L23" s="79"/>
      <c r="M23" s="328"/>
    </row>
    <row r="24" ht="137.25" customHeight="1">
      <c r="A24" s="326"/>
      <c r="B24" s="168"/>
      <c r="C24" s="168"/>
      <c r="D24" s="159"/>
      <c r="E24" s="227"/>
      <c r="F24" s="154"/>
      <c r="G24" s="327"/>
      <c r="H24" s="157"/>
      <c r="I24" s="156"/>
      <c r="J24" s="79"/>
      <c r="K24" s="79"/>
      <c r="L24" s="79"/>
      <c r="M24" s="329"/>
    </row>
    <row r="25" ht="137.25" customHeight="1">
      <c r="A25" s="326"/>
      <c r="B25" s="168"/>
      <c r="C25" s="168"/>
      <c r="D25" s="159"/>
      <c r="E25" s="227"/>
      <c r="F25" s="154"/>
      <c r="G25" s="327"/>
      <c r="H25" s="157"/>
      <c r="I25" s="156"/>
      <c r="J25" s="79"/>
      <c r="K25" s="79"/>
      <c r="L25" s="79"/>
      <c r="M25" s="328"/>
    </row>
    <row r="26" ht="137.25" customHeight="1">
      <c r="A26" s="326"/>
      <c r="B26" s="168"/>
      <c r="C26" s="168"/>
      <c r="D26" s="159"/>
      <c r="E26" s="227"/>
      <c r="F26" s="154"/>
      <c r="G26" s="327"/>
      <c r="H26" s="157"/>
      <c r="I26" s="156"/>
      <c r="J26" s="79"/>
      <c r="K26" s="79"/>
      <c r="L26" s="79"/>
      <c r="M26" s="328"/>
    </row>
    <row r="27" ht="137.25" customHeight="1">
      <c r="A27" s="326"/>
      <c r="B27" s="168"/>
      <c r="C27" s="168"/>
      <c r="D27" s="159"/>
      <c r="E27" s="227"/>
      <c r="F27" s="154"/>
      <c r="G27" s="327"/>
      <c r="H27" s="157"/>
      <c r="I27" s="156"/>
      <c r="J27" s="79"/>
      <c r="K27" s="79"/>
      <c r="L27" s="79"/>
      <c r="M27" s="329"/>
    </row>
    <row r="28" ht="137.25" customHeight="1">
      <c r="A28" s="326"/>
      <c r="B28" s="168"/>
      <c r="C28" s="168"/>
      <c r="D28" s="159"/>
      <c r="E28" s="227"/>
      <c r="F28" s="154"/>
      <c r="G28" s="327"/>
      <c r="H28" s="157"/>
      <c r="I28" s="156"/>
      <c r="J28" s="79"/>
      <c r="K28" s="79"/>
      <c r="L28" s="79"/>
      <c r="M28" s="329"/>
    </row>
    <row r="29" ht="137.25" customHeight="1">
      <c r="A29" s="326"/>
      <c r="B29" s="176"/>
      <c r="C29" s="122"/>
      <c r="D29" s="159"/>
      <c r="E29" s="227"/>
      <c r="F29" s="154"/>
      <c r="G29" s="327"/>
      <c r="H29" s="157"/>
      <c r="I29" s="156"/>
      <c r="J29" s="79"/>
      <c r="K29" s="79"/>
      <c r="L29" s="79"/>
      <c r="M29" s="329"/>
    </row>
    <row r="30" ht="19.5" customHeight="1">
      <c r="A30" s="326"/>
      <c r="B30" s="53"/>
      <c r="C30" s="153"/>
      <c r="D30" s="159"/>
      <c r="E30" s="227"/>
      <c r="F30" s="154"/>
      <c r="G30" s="327"/>
      <c r="H30" s="157"/>
      <c r="I30" s="156"/>
      <c r="J30" s="79"/>
      <c r="K30" s="79"/>
      <c r="L30" s="79"/>
      <c r="M30" s="329"/>
    </row>
    <row r="31" ht="19.5" customHeight="1">
      <c r="A31" s="326"/>
      <c r="B31" s="166"/>
      <c r="C31" s="159"/>
      <c r="D31" s="159"/>
      <c r="E31" s="227"/>
      <c r="F31" s="154"/>
      <c r="G31" s="327"/>
      <c r="H31" s="157"/>
      <c r="I31" s="156"/>
      <c r="J31" s="79"/>
      <c r="K31" s="79"/>
      <c r="L31" s="79"/>
      <c r="M31" s="329"/>
    </row>
    <row r="32" ht="19.5" customHeight="1">
      <c r="A32" s="326"/>
      <c r="B32" s="171"/>
      <c r="C32" s="172"/>
      <c r="D32" s="172"/>
      <c r="E32" s="227"/>
      <c r="F32" s="154"/>
      <c r="G32" s="327"/>
      <c r="H32" s="164"/>
      <c r="I32" s="162"/>
      <c r="J32" s="129"/>
      <c r="K32" s="79"/>
      <c r="L32" s="79"/>
      <c r="M32" s="329"/>
    </row>
    <row r="33" ht="19.5" customHeight="1">
      <c r="A33" s="326"/>
      <c r="B33" s="166"/>
      <c r="C33" s="159"/>
      <c r="D33" s="159"/>
      <c r="E33" s="227"/>
      <c r="F33" s="154"/>
      <c r="G33" s="327"/>
      <c r="H33" s="157"/>
      <c r="I33" s="156"/>
      <c r="J33" s="79"/>
      <c r="K33" s="79"/>
      <c r="L33" s="79"/>
      <c r="M33" s="329"/>
    </row>
    <row r="34" ht="19.5" customHeight="1">
      <c r="A34" s="326"/>
      <c r="B34" s="171"/>
      <c r="C34" s="172"/>
      <c r="D34" s="172"/>
      <c r="E34" s="227"/>
      <c r="F34" s="154"/>
      <c r="G34" s="327"/>
      <c r="H34" s="164"/>
      <c r="I34" s="162"/>
      <c r="J34" s="129"/>
      <c r="K34" s="79"/>
      <c r="L34" s="79"/>
      <c r="M34" s="328"/>
    </row>
    <row r="35" ht="19.5" customHeight="1">
      <c r="A35" s="326"/>
      <c r="B35" s="166"/>
      <c r="C35" s="159"/>
      <c r="D35" s="159"/>
      <c r="E35" s="227"/>
      <c r="F35" s="154"/>
      <c r="G35" s="327"/>
      <c r="H35" s="157"/>
      <c r="I35" s="156"/>
      <c r="J35" s="79"/>
      <c r="K35" s="79"/>
      <c r="L35" s="79"/>
      <c r="M35" s="328"/>
    </row>
    <row r="36" ht="19.5" customHeight="1">
      <c r="A36" s="326"/>
      <c r="B36" s="166"/>
      <c r="C36" s="159"/>
      <c r="D36" s="159"/>
      <c r="E36" s="227"/>
      <c r="F36" s="154"/>
      <c r="G36" s="327"/>
      <c r="H36" s="157"/>
      <c r="I36" s="156"/>
      <c r="J36" s="79"/>
      <c r="K36" s="79"/>
      <c r="L36" s="79"/>
      <c r="M36" s="328"/>
    </row>
    <row r="37" ht="19.5" customHeight="1">
      <c r="A37" s="326"/>
      <c r="B37" s="166"/>
      <c r="C37" s="159"/>
      <c r="D37" s="159"/>
      <c r="E37" s="227"/>
      <c r="F37" s="154"/>
      <c r="G37" s="327"/>
      <c r="H37" s="157"/>
      <c r="I37" s="156"/>
      <c r="J37" s="79"/>
      <c r="K37" s="79"/>
      <c r="L37" s="79"/>
      <c r="M37" s="328"/>
    </row>
    <row r="38" ht="19.5" customHeight="1">
      <c r="A38" s="326"/>
      <c r="B38" s="171"/>
      <c r="C38" s="172"/>
      <c r="D38" s="172"/>
      <c r="E38" s="227"/>
      <c r="F38" s="154"/>
      <c r="G38" s="327"/>
      <c r="H38" s="164"/>
      <c r="I38" s="162"/>
      <c r="J38" s="129"/>
      <c r="K38" s="79"/>
      <c r="L38" s="79"/>
      <c r="M38" s="328"/>
    </row>
    <row r="39" ht="19.5" customHeight="1">
      <c r="A39" s="326"/>
      <c r="B39" s="171"/>
      <c r="C39" s="172"/>
      <c r="D39" s="172"/>
      <c r="E39" s="227"/>
      <c r="F39" s="154"/>
      <c r="G39" s="327"/>
      <c r="H39" s="164"/>
      <c r="I39" s="162"/>
      <c r="J39" s="129"/>
      <c r="K39" s="79"/>
      <c r="L39" s="79"/>
      <c r="M39" s="328"/>
    </row>
    <row r="40" ht="19.5" customHeight="1">
      <c r="A40" s="326"/>
      <c r="B40" s="171"/>
      <c r="C40" s="172"/>
      <c r="D40" s="172"/>
      <c r="E40" s="227"/>
      <c r="F40" s="154"/>
      <c r="G40" s="327"/>
      <c r="H40" s="164"/>
      <c r="I40" s="162"/>
      <c r="J40" s="129"/>
      <c r="K40" s="79"/>
      <c r="L40" s="79"/>
      <c r="M40" s="328"/>
    </row>
    <row r="41" ht="19.5" customHeight="1">
      <c r="A41" s="326"/>
      <c r="B41" s="171"/>
      <c r="C41" s="172"/>
      <c r="D41" s="172"/>
      <c r="E41" s="227"/>
      <c r="F41" s="154"/>
      <c r="G41" s="327"/>
      <c r="H41" s="164"/>
      <c r="I41" s="162"/>
      <c r="J41" s="129"/>
      <c r="K41" s="79"/>
      <c r="L41" s="79"/>
      <c r="M41" s="328"/>
    </row>
    <row r="42" ht="19.5" customHeight="1">
      <c r="A42" s="52"/>
      <c r="B42" s="171"/>
      <c r="C42" s="172"/>
      <c r="D42" s="172"/>
      <c r="E42" s="227"/>
      <c r="F42" s="154"/>
      <c r="G42" s="327"/>
      <c r="H42" s="164"/>
      <c r="I42" s="162"/>
      <c r="J42" s="129"/>
      <c r="K42" s="79"/>
      <c r="L42" s="79"/>
      <c r="M42" s="79"/>
    </row>
    <row r="43" ht="19.5" customHeight="1">
      <c r="A43" s="52"/>
      <c r="B43" s="171"/>
      <c r="C43" s="172"/>
      <c r="D43" s="172"/>
      <c r="E43" s="227"/>
      <c r="F43" s="154"/>
      <c r="G43" s="327"/>
      <c r="H43" s="164"/>
      <c r="I43" s="162"/>
      <c r="J43" s="129"/>
      <c r="K43" s="79"/>
      <c r="L43" s="79"/>
      <c r="M43" s="79"/>
    </row>
    <row r="44" ht="19.5" customHeight="1">
      <c r="A44" s="52"/>
      <c r="B44" s="171"/>
      <c r="C44" s="172"/>
      <c r="D44" s="172"/>
      <c r="E44" s="227"/>
      <c r="F44" s="154"/>
      <c r="G44" s="327"/>
      <c r="H44" s="164"/>
      <c r="I44" s="162"/>
      <c r="J44" s="129"/>
      <c r="K44" s="79"/>
      <c r="L44" s="79"/>
      <c r="M44" s="79"/>
    </row>
    <row r="45" ht="19.5" customHeight="1">
      <c r="A45" s="52"/>
      <c r="B45" s="171"/>
      <c r="C45" s="172"/>
      <c r="D45" s="172"/>
      <c r="E45" s="227"/>
      <c r="F45" s="154"/>
      <c r="G45" s="327"/>
      <c r="H45" s="164"/>
      <c r="I45" s="162"/>
      <c r="J45" s="129"/>
      <c r="K45" s="79"/>
      <c r="L45" s="79"/>
      <c r="M45" s="79"/>
    </row>
    <row r="46" ht="19.5" customHeight="1">
      <c r="A46" s="52"/>
      <c r="B46" s="171"/>
      <c r="C46" s="172"/>
      <c r="D46" s="172"/>
      <c r="E46" s="227"/>
      <c r="F46" s="154"/>
      <c r="G46" s="327"/>
      <c r="H46" s="164"/>
      <c r="I46" s="162"/>
      <c r="J46" s="129"/>
      <c r="K46" s="79"/>
      <c r="L46" s="79"/>
      <c r="M46" s="79"/>
    </row>
    <row r="47" ht="19.5" customHeight="1">
      <c r="A47" s="52"/>
      <c r="B47" s="171"/>
      <c r="C47" s="172"/>
      <c r="D47" s="172"/>
      <c r="E47" s="227"/>
      <c r="F47" s="154"/>
      <c r="G47" s="327"/>
      <c r="H47" s="164"/>
      <c r="I47" s="162"/>
      <c r="J47" s="129"/>
      <c r="K47" s="79"/>
      <c r="L47" s="79"/>
      <c r="M47" s="79"/>
    </row>
    <row r="48" ht="19.5" customHeight="1">
      <c r="A48" s="52"/>
      <c r="B48" s="171"/>
      <c r="C48" s="172"/>
      <c r="D48" s="172"/>
      <c r="E48" s="227"/>
      <c r="F48" s="154"/>
      <c r="G48" s="327"/>
      <c r="H48" s="164"/>
      <c r="I48" s="162"/>
      <c r="J48" s="129"/>
      <c r="K48" s="79"/>
      <c r="L48" s="79"/>
      <c r="M48" s="79"/>
    </row>
    <row r="49" ht="19.5" customHeight="1">
      <c r="A49" s="52"/>
      <c r="B49" s="171"/>
      <c r="C49" s="172"/>
      <c r="D49" s="172"/>
      <c r="E49" s="227"/>
      <c r="F49" s="154"/>
      <c r="G49" s="327"/>
      <c r="H49" s="164"/>
      <c r="I49" s="162"/>
      <c r="J49" s="129"/>
      <c r="K49" s="79"/>
      <c r="L49" s="79"/>
      <c r="M49" s="79"/>
    </row>
    <row r="50" ht="19.5" customHeight="1">
      <c r="A50" s="52"/>
      <c r="B50" s="171"/>
      <c r="C50" s="172"/>
      <c r="D50" s="172"/>
      <c r="E50" s="227"/>
      <c r="F50" s="154"/>
      <c r="G50" s="327"/>
      <c r="H50" s="164"/>
      <c r="I50" s="162"/>
      <c r="J50" s="129"/>
      <c r="K50" s="79"/>
      <c r="L50" s="79"/>
      <c r="M50" s="79"/>
    </row>
    <row r="51" ht="19.5" customHeight="1">
      <c r="A51" s="52"/>
      <c r="B51" s="171"/>
      <c r="C51" s="172"/>
      <c r="D51" s="172"/>
      <c r="E51" s="227"/>
      <c r="F51" s="154"/>
      <c r="G51" s="327"/>
      <c r="H51" s="164"/>
      <c r="I51" s="162"/>
      <c r="J51" s="129"/>
      <c r="K51" s="79"/>
      <c r="L51" s="79"/>
      <c r="M51" s="79"/>
    </row>
    <row r="52" ht="19.5" customHeight="1">
      <c r="A52" s="52"/>
      <c r="B52" s="171"/>
      <c r="C52" s="172"/>
      <c r="D52" s="172"/>
      <c r="E52" s="227"/>
      <c r="F52" s="154"/>
      <c r="G52" s="327"/>
      <c r="H52" s="164"/>
      <c r="I52" s="162"/>
      <c r="J52" s="129"/>
      <c r="K52" s="79"/>
      <c r="L52" s="79"/>
      <c r="M52" s="79"/>
    </row>
    <row r="53" ht="19.5" customHeight="1">
      <c r="A53" s="52"/>
      <c r="B53" s="171"/>
      <c r="C53" s="172"/>
      <c r="D53" s="172"/>
      <c r="E53" s="227"/>
      <c r="F53" s="154"/>
      <c r="G53" s="327"/>
      <c r="H53" s="164"/>
      <c r="I53" s="162"/>
      <c r="J53" s="129"/>
      <c r="K53" s="79"/>
      <c r="L53" s="79"/>
      <c r="M53" s="79"/>
    </row>
    <row r="54" ht="19.5" customHeight="1">
      <c r="A54" s="52"/>
      <c r="B54" s="171"/>
      <c r="C54" s="172"/>
      <c r="D54" s="172"/>
      <c r="E54" s="227"/>
      <c r="F54" s="154"/>
      <c r="G54" s="327"/>
      <c r="H54" s="164"/>
      <c r="I54" s="162"/>
      <c r="J54" s="129"/>
      <c r="K54" s="79"/>
      <c r="L54" s="79"/>
      <c r="M54" s="79"/>
    </row>
    <row r="55" ht="19.5" customHeight="1">
      <c r="A55" s="52"/>
      <c r="B55" s="171"/>
      <c r="C55" s="172"/>
      <c r="D55" s="172"/>
      <c r="E55" s="227"/>
      <c r="F55" s="154"/>
      <c r="G55" s="327"/>
      <c r="H55" s="164"/>
      <c r="I55" s="162"/>
      <c r="J55" s="129"/>
      <c r="K55" s="79"/>
      <c r="L55" s="79"/>
      <c r="M55" s="79"/>
    </row>
    <row r="56" ht="19.5" customHeight="1">
      <c r="A56" s="52"/>
      <c r="B56" s="171"/>
      <c r="C56" s="172"/>
      <c r="D56" s="172"/>
      <c r="E56" s="227"/>
      <c r="F56" s="154"/>
      <c r="G56" s="327"/>
      <c r="H56" s="164"/>
      <c r="I56" s="162"/>
      <c r="J56" s="129"/>
      <c r="K56" s="79"/>
      <c r="L56" s="79"/>
      <c r="M56" s="79"/>
    </row>
    <row r="57" ht="19.5" customHeight="1">
      <c r="A57" s="52"/>
      <c r="B57" s="171"/>
      <c r="C57" s="172"/>
      <c r="D57" s="172"/>
      <c r="E57" s="227"/>
      <c r="F57" s="154"/>
      <c r="G57" s="327"/>
      <c r="H57" s="164"/>
      <c r="I57" s="162"/>
      <c r="J57" s="129"/>
      <c r="K57" s="79"/>
      <c r="L57" s="79"/>
      <c r="M57" s="79"/>
    </row>
    <row r="58" ht="19.5" customHeight="1">
      <c r="A58" s="52"/>
      <c r="B58" s="171"/>
      <c r="C58" s="172"/>
      <c r="D58" s="172"/>
      <c r="E58" s="227"/>
      <c r="F58" s="154"/>
      <c r="G58" s="327"/>
      <c r="H58" s="164"/>
      <c r="I58" s="162"/>
      <c r="J58" s="129"/>
      <c r="K58" s="79"/>
      <c r="L58" s="79"/>
      <c r="M58" s="79"/>
    </row>
    <row r="59" ht="19.5" customHeight="1">
      <c r="A59" s="52"/>
      <c r="B59" s="171"/>
      <c r="C59" s="172"/>
      <c r="D59" s="172"/>
      <c r="E59" s="227"/>
      <c r="F59" s="154"/>
      <c r="G59" s="327"/>
      <c r="H59" s="164"/>
      <c r="I59" s="162"/>
      <c r="J59" s="129"/>
      <c r="K59" s="79"/>
      <c r="L59" s="79"/>
      <c r="M59" s="79"/>
    </row>
    <row r="60" ht="19.5" customHeight="1">
      <c r="A60" s="52"/>
      <c r="B60" s="171"/>
      <c r="C60" s="172"/>
      <c r="D60" s="172"/>
      <c r="E60" s="227"/>
      <c r="F60" s="154"/>
      <c r="G60" s="327"/>
      <c r="H60" s="164"/>
      <c r="I60" s="162"/>
      <c r="J60" s="129"/>
      <c r="K60" s="79"/>
      <c r="L60" s="79"/>
      <c r="M60" s="79"/>
    </row>
    <row r="61" ht="19.5" customHeight="1">
      <c r="A61" s="52"/>
      <c r="B61" s="171"/>
      <c r="C61" s="172"/>
      <c r="D61" s="172"/>
      <c r="E61" s="227"/>
      <c r="F61" s="154"/>
      <c r="G61" s="327"/>
      <c r="H61" s="164"/>
      <c r="I61" s="162"/>
      <c r="J61" s="129"/>
      <c r="K61" s="79"/>
      <c r="L61" s="79"/>
      <c r="M61" s="79"/>
    </row>
    <row r="62" ht="19.5" customHeight="1">
      <c r="A62" s="52"/>
      <c r="B62" s="171"/>
      <c r="C62" s="172"/>
      <c r="D62" s="172"/>
      <c r="E62" s="227"/>
      <c r="F62" s="154"/>
      <c r="G62" s="327"/>
      <c r="H62" s="164"/>
      <c r="I62" s="162"/>
      <c r="J62" s="129"/>
      <c r="K62" s="79"/>
      <c r="L62" s="79"/>
      <c r="M62" s="79"/>
    </row>
    <row r="63" ht="19.5" customHeight="1">
      <c r="A63" s="52"/>
      <c r="B63" s="171"/>
      <c r="C63" s="172"/>
      <c r="D63" s="172"/>
      <c r="E63" s="227"/>
      <c r="F63" s="154"/>
      <c r="G63" s="327"/>
      <c r="H63" s="164"/>
      <c r="I63" s="162"/>
      <c r="J63" s="129"/>
      <c r="K63" s="79"/>
      <c r="L63" s="79"/>
      <c r="M63" s="79"/>
    </row>
    <row r="64" ht="19.5" customHeight="1">
      <c r="A64" s="52"/>
      <c r="B64" s="171"/>
      <c r="C64" s="172"/>
      <c r="D64" s="172"/>
      <c r="E64" s="227"/>
      <c r="F64" s="154"/>
      <c r="G64" s="327"/>
      <c r="H64" s="164"/>
      <c r="I64" s="162"/>
      <c r="J64" s="129"/>
      <c r="K64" s="79"/>
      <c r="L64" s="79"/>
      <c r="M64" s="79"/>
    </row>
    <row r="65" ht="19.5" customHeight="1">
      <c r="A65" s="52"/>
      <c r="B65" s="171"/>
      <c r="C65" s="172"/>
      <c r="D65" s="172"/>
      <c r="E65" s="227"/>
      <c r="F65" s="154"/>
      <c r="G65" s="327"/>
      <c r="H65" s="164"/>
      <c r="I65" s="162"/>
      <c r="J65" s="129"/>
      <c r="K65" s="79"/>
      <c r="L65" s="79"/>
      <c r="M65" s="79"/>
    </row>
    <row r="66" ht="19.5" customHeight="1">
      <c r="A66" s="52"/>
      <c r="B66" s="171"/>
      <c r="C66" s="172"/>
      <c r="D66" s="172"/>
      <c r="E66" s="227"/>
      <c r="F66" s="154"/>
      <c r="G66" s="327"/>
      <c r="H66" s="164"/>
      <c r="I66" s="162"/>
      <c r="J66" s="129"/>
      <c r="K66" s="79"/>
      <c r="L66" s="79"/>
      <c r="M66" s="79"/>
    </row>
    <row r="67" ht="19.5" customHeight="1">
      <c r="A67" s="52"/>
      <c r="B67" s="171"/>
      <c r="C67" s="172"/>
      <c r="D67" s="172"/>
      <c r="E67" s="227"/>
      <c r="F67" s="154"/>
      <c r="G67" s="327"/>
      <c r="H67" s="164"/>
      <c r="I67" s="162"/>
      <c r="J67" s="129"/>
      <c r="K67" s="79"/>
      <c r="L67" s="79"/>
      <c r="M67" s="79"/>
    </row>
    <row r="68" ht="19.5" customHeight="1">
      <c r="A68" s="52"/>
      <c r="B68" s="171"/>
      <c r="C68" s="172"/>
      <c r="D68" s="172"/>
      <c r="E68" s="227"/>
      <c r="F68" s="154"/>
      <c r="G68" s="327"/>
      <c r="H68" s="164"/>
      <c r="I68" s="162"/>
      <c r="J68" s="129"/>
      <c r="K68" s="79"/>
      <c r="L68" s="79"/>
      <c r="M68" s="79"/>
    </row>
    <row r="69" ht="19.5" customHeight="1">
      <c r="A69" s="52"/>
      <c r="B69" s="171"/>
      <c r="C69" s="172"/>
      <c r="D69" s="172"/>
      <c r="E69" s="227"/>
      <c r="F69" s="154"/>
      <c r="G69" s="327"/>
      <c r="H69" s="164"/>
      <c r="I69" s="162"/>
      <c r="J69" s="129"/>
      <c r="K69" s="79"/>
      <c r="L69" s="79"/>
      <c r="M69" s="79"/>
    </row>
    <row r="70" ht="19.5" customHeight="1">
      <c r="A70" s="52"/>
      <c r="B70" s="171"/>
      <c r="C70" s="172"/>
      <c r="D70" s="172"/>
      <c r="E70" s="227"/>
      <c r="F70" s="154"/>
      <c r="G70" s="327"/>
      <c r="H70" s="164"/>
      <c r="I70" s="162"/>
      <c r="J70" s="129"/>
      <c r="K70" s="79"/>
      <c r="L70" s="79"/>
      <c r="M70" s="79"/>
    </row>
    <row r="71" ht="19.5" customHeight="1">
      <c r="A71" s="52"/>
      <c r="B71" s="171"/>
      <c r="C71" s="172"/>
      <c r="D71" s="172"/>
      <c r="E71" s="227"/>
      <c r="F71" s="154"/>
      <c r="G71" s="327"/>
      <c r="H71" s="164"/>
      <c r="I71" s="162"/>
      <c r="J71" s="129"/>
      <c r="K71" s="79"/>
      <c r="L71" s="79"/>
      <c r="M71" s="79"/>
    </row>
    <row r="72" ht="19.5" customHeight="1">
      <c r="A72" s="52"/>
      <c r="B72" s="171"/>
      <c r="C72" s="172"/>
      <c r="D72" s="172"/>
      <c r="E72" s="227"/>
      <c r="F72" s="154"/>
      <c r="G72" s="327"/>
      <c r="H72" s="164"/>
      <c r="I72" s="162"/>
      <c r="J72" s="129"/>
      <c r="K72" s="79"/>
      <c r="L72" s="79"/>
      <c r="M72" s="79"/>
    </row>
    <row r="73" ht="19.5" customHeight="1">
      <c r="A73" s="52"/>
      <c r="B73" s="171"/>
      <c r="C73" s="172"/>
      <c r="D73" s="172"/>
      <c r="E73" s="227"/>
      <c r="F73" s="154"/>
      <c r="G73" s="327"/>
      <c r="H73" s="164"/>
      <c r="I73" s="162"/>
      <c r="J73" s="129"/>
      <c r="K73" s="79"/>
      <c r="L73" s="79"/>
      <c r="M73" s="79"/>
    </row>
    <row r="74" ht="19.5" customHeight="1">
      <c r="A74" s="52"/>
      <c r="B74" s="171"/>
      <c r="C74" s="172"/>
      <c r="D74" s="172"/>
      <c r="E74" s="227"/>
      <c r="F74" s="154"/>
      <c r="G74" s="327"/>
      <c r="H74" s="164"/>
      <c r="I74" s="162"/>
      <c r="J74" s="129"/>
      <c r="K74" s="79"/>
      <c r="L74" s="79"/>
      <c r="M74" s="79"/>
    </row>
    <row r="75" ht="19.5" customHeight="1">
      <c r="A75" s="52"/>
      <c r="B75" s="171"/>
      <c r="C75" s="172"/>
      <c r="D75" s="172"/>
      <c r="E75" s="227"/>
      <c r="F75" s="154"/>
      <c r="G75" s="327"/>
      <c r="H75" s="164"/>
      <c r="I75" s="162"/>
      <c r="J75" s="129"/>
      <c r="K75" s="79"/>
      <c r="L75" s="79"/>
      <c r="M75" s="79"/>
    </row>
    <row r="76" ht="19.5" customHeight="1">
      <c r="A76" s="52"/>
      <c r="B76" s="171"/>
      <c r="C76" s="172"/>
      <c r="D76" s="172"/>
      <c r="E76" s="227"/>
      <c r="F76" s="154"/>
      <c r="G76" s="327"/>
      <c r="H76" s="164"/>
      <c r="I76" s="162"/>
      <c r="J76" s="129"/>
      <c r="K76" s="79"/>
      <c r="L76" s="79"/>
      <c r="M76" s="79"/>
    </row>
    <row r="77" ht="19.5" customHeight="1">
      <c r="A77" s="52"/>
      <c r="B77" s="171"/>
      <c r="C77" s="172"/>
      <c r="D77" s="172"/>
      <c r="E77" s="227"/>
      <c r="F77" s="154"/>
      <c r="G77" s="327"/>
      <c r="H77" s="164"/>
      <c r="I77" s="162"/>
      <c r="J77" s="129"/>
      <c r="K77" s="79"/>
      <c r="L77" s="79"/>
      <c r="M77" s="79"/>
    </row>
    <row r="78" ht="19.5" customHeight="1">
      <c r="A78" s="52"/>
      <c r="B78" s="171"/>
      <c r="C78" s="172"/>
      <c r="D78" s="172"/>
      <c r="E78" s="227"/>
      <c r="F78" s="154"/>
      <c r="G78" s="327"/>
      <c r="H78" s="164"/>
      <c r="I78" s="162"/>
      <c r="J78" s="129"/>
      <c r="K78" s="79"/>
      <c r="L78" s="79"/>
      <c r="M78" s="79"/>
    </row>
    <row r="79" ht="19.5" customHeight="1">
      <c r="A79" s="52"/>
      <c r="B79" s="171"/>
      <c r="C79" s="172"/>
      <c r="D79" s="172"/>
      <c r="E79" s="227"/>
      <c r="F79" s="154"/>
      <c r="G79" s="327"/>
      <c r="H79" s="164"/>
      <c r="I79" s="162"/>
      <c r="J79" s="129"/>
      <c r="K79" s="79"/>
      <c r="L79" s="79"/>
      <c r="M79" s="79"/>
    </row>
    <row r="80" ht="19.5" customHeight="1">
      <c r="A80" s="52"/>
      <c r="B80" s="171"/>
      <c r="C80" s="172"/>
      <c r="D80" s="172"/>
      <c r="E80" s="227"/>
      <c r="F80" s="154"/>
      <c r="G80" s="327"/>
      <c r="H80" s="164"/>
      <c r="I80" s="162"/>
      <c r="J80" s="129"/>
      <c r="K80" s="79"/>
      <c r="L80" s="79"/>
      <c r="M80" s="79"/>
    </row>
    <row r="81" ht="19.5" customHeight="1">
      <c r="A81" s="52"/>
      <c r="B81" s="171"/>
      <c r="C81" s="172"/>
      <c r="D81" s="172"/>
      <c r="E81" s="227"/>
      <c r="F81" s="154"/>
      <c r="G81" s="327"/>
      <c r="H81" s="164"/>
      <c r="I81" s="162"/>
      <c r="J81" s="129"/>
      <c r="K81" s="79"/>
      <c r="L81" s="79"/>
      <c r="M81" s="79"/>
    </row>
    <row r="82" ht="19.5" customHeight="1">
      <c r="A82" s="52"/>
      <c r="B82" s="171"/>
      <c r="C82" s="172"/>
      <c r="D82" s="172"/>
      <c r="E82" s="227"/>
      <c r="F82" s="154"/>
      <c r="G82" s="327"/>
      <c r="H82" s="164"/>
      <c r="I82" s="162"/>
      <c r="J82" s="129"/>
      <c r="K82" s="79"/>
      <c r="L82" s="79"/>
      <c r="M82" s="79"/>
    </row>
    <row r="83" ht="19.5" customHeight="1">
      <c r="A83" s="52"/>
      <c r="B83" s="171"/>
      <c r="C83" s="172"/>
      <c r="D83" s="172"/>
      <c r="E83" s="227"/>
      <c r="F83" s="154"/>
      <c r="G83" s="327"/>
      <c r="H83" s="164"/>
      <c r="I83" s="162"/>
      <c r="J83" s="129"/>
      <c r="K83" s="79"/>
      <c r="L83" s="79"/>
      <c r="M83" s="79"/>
    </row>
    <row r="84" ht="19.5" customHeight="1">
      <c r="A84" s="52"/>
      <c r="B84" s="171"/>
      <c r="C84" s="172"/>
      <c r="D84" s="172"/>
      <c r="E84" s="227"/>
      <c r="F84" s="154"/>
      <c r="G84" s="327"/>
      <c r="H84" s="164"/>
      <c r="I84" s="162"/>
      <c r="J84" s="129"/>
      <c r="K84" s="79"/>
      <c r="L84" s="79"/>
      <c r="M84" s="79"/>
    </row>
    <row r="85" ht="19.5" customHeight="1">
      <c r="A85" s="52"/>
      <c r="B85" s="171"/>
      <c r="C85" s="172"/>
      <c r="D85" s="172"/>
      <c r="E85" s="227"/>
      <c r="F85" s="154"/>
      <c r="G85" s="327"/>
      <c r="H85" s="164"/>
      <c r="I85" s="162"/>
      <c r="J85" s="129"/>
      <c r="K85" s="79"/>
      <c r="L85" s="79"/>
      <c r="M85" s="79"/>
    </row>
    <row r="86" ht="19.5" customHeight="1">
      <c r="A86" s="52"/>
      <c r="B86" s="171"/>
      <c r="C86" s="172"/>
      <c r="D86" s="172"/>
      <c r="E86" s="227"/>
      <c r="F86" s="154"/>
      <c r="G86" s="327"/>
      <c r="H86" s="164"/>
      <c r="I86" s="162"/>
      <c r="J86" s="129"/>
      <c r="K86" s="79"/>
      <c r="L86" s="79"/>
      <c r="M86" s="79"/>
    </row>
    <row r="87" ht="19.5" customHeight="1">
      <c r="A87" s="52"/>
      <c r="B87" s="171"/>
      <c r="C87" s="172"/>
      <c r="D87" s="172"/>
      <c r="E87" s="227"/>
      <c r="F87" s="154"/>
      <c r="G87" s="327"/>
      <c r="H87" s="164"/>
      <c r="I87" s="162"/>
      <c r="J87" s="129"/>
      <c r="K87" s="79"/>
      <c r="L87" s="79"/>
      <c r="M87" s="79"/>
    </row>
    <row r="88" ht="19.5" customHeight="1">
      <c r="A88" s="52"/>
      <c r="B88" s="171"/>
      <c r="C88" s="172"/>
      <c r="D88" s="172"/>
      <c r="E88" s="227"/>
      <c r="F88" s="154"/>
      <c r="G88" s="327"/>
      <c r="H88" s="164"/>
      <c r="I88" s="162"/>
      <c r="J88" s="129"/>
      <c r="K88" s="79"/>
      <c r="L88" s="79"/>
      <c r="M88" s="79"/>
    </row>
    <row r="89" ht="19.5" customHeight="1">
      <c r="A89" s="52"/>
      <c r="B89" s="171"/>
      <c r="C89" s="172"/>
      <c r="D89" s="172"/>
      <c r="E89" s="227"/>
      <c r="F89" s="154"/>
      <c r="G89" s="327"/>
      <c r="H89" s="164"/>
      <c r="I89" s="162"/>
      <c r="J89" s="129"/>
      <c r="K89" s="79"/>
      <c r="L89" s="79"/>
      <c r="M89" s="79"/>
    </row>
    <row r="90" ht="19.5" customHeight="1">
      <c r="A90" s="52"/>
      <c r="B90" s="171"/>
      <c r="C90" s="172"/>
      <c r="D90" s="172"/>
      <c r="E90" s="227"/>
      <c r="F90" s="154"/>
      <c r="G90" s="327"/>
      <c r="H90" s="164"/>
      <c r="I90" s="162"/>
      <c r="J90" s="129"/>
      <c r="K90" s="79"/>
      <c r="L90" s="79"/>
      <c r="M90" s="79"/>
    </row>
    <row r="91" ht="19.5" customHeight="1">
      <c r="A91" s="52"/>
      <c r="B91" s="171"/>
      <c r="C91" s="172"/>
      <c r="D91" s="172"/>
      <c r="E91" s="227"/>
      <c r="F91" s="154"/>
      <c r="G91" s="327"/>
      <c r="H91" s="164"/>
      <c r="I91" s="162"/>
      <c r="J91" s="129"/>
      <c r="K91" s="79"/>
      <c r="L91" s="79"/>
      <c r="M91" s="79"/>
    </row>
    <row r="92" ht="19.5" customHeight="1">
      <c r="A92" s="52"/>
      <c r="B92" s="171"/>
      <c r="C92" s="172"/>
      <c r="D92" s="172"/>
      <c r="E92" s="227"/>
      <c r="F92" s="154"/>
      <c r="G92" s="327"/>
      <c r="H92" s="164"/>
      <c r="I92" s="162"/>
      <c r="J92" s="129"/>
      <c r="K92" s="79"/>
      <c r="L92" s="79"/>
      <c r="M92" s="79"/>
    </row>
    <row r="93" ht="19.5" customHeight="1">
      <c r="A93" s="52"/>
      <c r="B93" s="171"/>
      <c r="C93" s="172"/>
      <c r="D93" s="172"/>
      <c r="E93" s="227"/>
      <c r="F93" s="154"/>
      <c r="G93" s="327"/>
      <c r="H93" s="164"/>
      <c r="I93" s="162"/>
      <c r="J93" s="129"/>
      <c r="K93" s="79"/>
      <c r="L93" s="79"/>
      <c r="M93" s="79"/>
    </row>
    <row r="94" ht="19.5" customHeight="1">
      <c r="A94" s="52"/>
      <c r="B94" s="171"/>
      <c r="C94" s="172"/>
      <c r="D94" s="172"/>
      <c r="E94" s="227"/>
      <c r="F94" s="154"/>
      <c r="G94" s="327"/>
      <c r="H94" s="164"/>
      <c r="I94" s="162"/>
      <c r="J94" s="129"/>
      <c r="K94" s="79"/>
      <c r="L94" s="79"/>
      <c r="M94" s="79"/>
    </row>
    <row r="95" ht="19.5" customHeight="1">
      <c r="A95" s="52"/>
      <c r="B95" s="171"/>
      <c r="C95" s="172"/>
      <c r="D95" s="172"/>
      <c r="E95" s="227"/>
      <c r="F95" s="154"/>
      <c r="G95" s="327"/>
      <c r="H95" s="164"/>
      <c r="I95" s="162"/>
      <c r="J95" s="129"/>
      <c r="K95" s="79"/>
      <c r="L95" s="79"/>
      <c r="M95" s="79"/>
    </row>
    <row r="96" ht="19.5" customHeight="1">
      <c r="A96" s="52"/>
      <c r="B96" s="171"/>
      <c r="C96" s="172"/>
      <c r="D96" s="172"/>
      <c r="E96" s="227"/>
      <c r="F96" s="154"/>
      <c r="G96" s="327"/>
      <c r="H96" s="164"/>
      <c r="I96" s="162"/>
      <c r="J96" s="129"/>
      <c r="K96" s="79"/>
      <c r="L96" s="79"/>
      <c r="M96" s="79"/>
    </row>
    <row r="97" ht="19.5" customHeight="1">
      <c r="A97" s="52"/>
      <c r="B97" s="171"/>
      <c r="C97" s="172"/>
      <c r="D97" s="172"/>
      <c r="E97" s="227"/>
      <c r="F97" s="154"/>
      <c r="G97" s="327"/>
      <c r="H97" s="164"/>
      <c r="I97" s="162"/>
      <c r="J97" s="129"/>
      <c r="K97" s="79"/>
      <c r="L97" s="79"/>
      <c r="M97" s="79"/>
    </row>
    <row r="98" ht="19.5" customHeight="1">
      <c r="A98" s="52"/>
      <c r="B98" s="171"/>
      <c r="C98" s="172"/>
      <c r="D98" s="172"/>
      <c r="E98" s="227"/>
      <c r="F98" s="154"/>
      <c r="G98" s="327"/>
      <c r="H98" s="164"/>
      <c r="I98" s="162"/>
      <c r="J98" s="129"/>
      <c r="K98" s="79"/>
      <c r="L98" s="79"/>
      <c r="M98" s="79"/>
    </row>
    <row r="99" ht="19.5" customHeight="1">
      <c r="A99" s="52"/>
      <c r="B99" s="171"/>
      <c r="C99" s="172"/>
      <c r="D99" s="172"/>
      <c r="E99" s="227"/>
      <c r="F99" s="154"/>
      <c r="G99" s="327"/>
      <c r="H99" s="164"/>
      <c r="I99" s="162"/>
      <c r="J99" s="129"/>
      <c r="K99" s="79"/>
      <c r="L99" s="79"/>
      <c r="M99" s="79"/>
    </row>
    <row r="100" ht="19.5" customHeight="1">
      <c r="A100" s="52"/>
      <c r="B100" s="171"/>
      <c r="C100" s="172"/>
      <c r="D100" s="172"/>
      <c r="E100" s="227"/>
      <c r="F100" s="154"/>
      <c r="G100" s="327"/>
      <c r="H100" s="164"/>
      <c r="I100" s="162"/>
      <c r="J100" s="129"/>
      <c r="K100" s="79"/>
      <c r="L100" s="79"/>
      <c r="M100" s="79"/>
    </row>
    <row r="101" ht="19.5" customHeight="1">
      <c r="A101" s="52"/>
      <c r="B101" s="171"/>
      <c r="C101" s="172"/>
      <c r="D101" s="172"/>
      <c r="E101" s="227"/>
      <c r="F101" s="154"/>
      <c r="G101" s="327"/>
      <c r="H101" s="164"/>
      <c r="I101" s="162"/>
      <c r="J101" s="129"/>
      <c r="K101" s="79"/>
      <c r="L101" s="79"/>
      <c r="M101" s="79"/>
    </row>
    <row r="102" ht="19.5" customHeight="1">
      <c r="A102" s="52"/>
      <c r="B102" s="171"/>
      <c r="C102" s="172"/>
      <c r="D102" s="172"/>
      <c r="E102" s="227"/>
      <c r="F102" s="154"/>
      <c r="G102" s="327"/>
      <c r="H102" s="164"/>
      <c r="I102" s="162"/>
      <c r="J102" s="129"/>
      <c r="K102" s="79"/>
      <c r="L102" s="79"/>
      <c r="M102" s="79"/>
    </row>
    <row r="103" ht="19.5" customHeight="1">
      <c r="A103" s="52"/>
      <c r="B103" s="171"/>
      <c r="C103" s="172"/>
      <c r="D103" s="172"/>
      <c r="E103" s="227"/>
      <c r="F103" s="154"/>
      <c r="G103" s="327"/>
      <c r="H103" s="164"/>
      <c r="I103" s="162"/>
      <c r="J103" s="129"/>
      <c r="K103" s="79"/>
      <c r="L103" s="79"/>
      <c r="M103" s="79"/>
    </row>
    <row r="104" ht="19.5" customHeight="1">
      <c r="A104" s="52"/>
      <c r="B104" s="171"/>
      <c r="C104" s="172"/>
      <c r="D104" s="172"/>
      <c r="E104" s="227"/>
      <c r="F104" s="154"/>
      <c r="G104" s="327"/>
      <c r="H104" s="164"/>
      <c r="I104" s="162"/>
      <c r="J104" s="129"/>
      <c r="K104" s="79"/>
      <c r="L104" s="79"/>
      <c r="M104" s="79"/>
    </row>
    <row r="105" ht="19.5" customHeight="1">
      <c r="A105" s="52"/>
      <c r="B105" s="171"/>
      <c r="C105" s="172"/>
      <c r="D105" s="172"/>
      <c r="E105" s="227"/>
      <c r="F105" s="154"/>
      <c r="G105" s="327"/>
      <c r="H105" s="164"/>
      <c r="I105" s="162"/>
      <c r="J105" s="129"/>
      <c r="K105" s="79"/>
      <c r="L105" s="79"/>
      <c r="M105" s="79"/>
    </row>
    <row r="106" ht="19.5" customHeight="1">
      <c r="A106" s="52"/>
      <c r="B106" s="171"/>
      <c r="C106" s="172"/>
      <c r="D106" s="172"/>
      <c r="E106" s="227"/>
      <c r="F106" s="154"/>
      <c r="G106" s="327"/>
      <c r="H106" s="164"/>
      <c r="I106" s="162"/>
      <c r="J106" s="129"/>
      <c r="K106" s="79"/>
      <c r="L106" s="79"/>
      <c r="M106" s="79"/>
    </row>
    <row r="107" ht="19.5" customHeight="1">
      <c r="A107" s="52"/>
      <c r="B107" s="171"/>
      <c r="C107" s="172"/>
      <c r="D107" s="172"/>
      <c r="E107" s="227"/>
      <c r="F107" s="154"/>
      <c r="G107" s="327"/>
      <c r="H107" s="164"/>
      <c r="I107" s="162"/>
      <c r="J107" s="129"/>
      <c r="K107" s="79"/>
      <c r="L107" s="79"/>
      <c r="M107" s="79"/>
    </row>
    <row r="108" ht="19.5" customHeight="1">
      <c r="A108" s="52"/>
      <c r="B108" s="171"/>
      <c r="C108" s="172"/>
      <c r="D108" s="172"/>
      <c r="E108" s="227"/>
      <c r="F108" s="154"/>
      <c r="G108" s="327"/>
      <c r="H108" s="164"/>
      <c r="I108" s="162"/>
      <c r="J108" s="129"/>
      <c r="K108" s="79"/>
      <c r="L108" s="79"/>
      <c r="M108" s="79"/>
    </row>
    <row r="109" ht="19.5" customHeight="1">
      <c r="A109" s="52"/>
      <c r="B109" s="171"/>
      <c r="C109" s="172"/>
      <c r="D109" s="172"/>
      <c r="E109" s="227"/>
      <c r="F109" s="154"/>
      <c r="G109" s="327"/>
      <c r="H109" s="164"/>
      <c r="I109" s="162"/>
      <c r="J109" s="129"/>
      <c r="K109" s="79"/>
      <c r="L109" s="79"/>
      <c r="M109" s="79"/>
    </row>
    <row r="110" ht="19.5" customHeight="1">
      <c r="A110" s="52"/>
      <c r="B110" s="171"/>
      <c r="C110" s="172"/>
      <c r="D110" s="172"/>
      <c r="E110" s="227"/>
      <c r="F110" s="154"/>
      <c r="G110" s="327"/>
      <c r="H110" s="164"/>
      <c r="I110" s="162"/>
      <c r="J110" s="129"/>
      <c r="K110" s="79"/>
      <c r="L110" s="79"/>
      <c r="M110" s="79"/>
    </row>
    <row r="111" ht="19.5" customHeight="1">
      <c r="A111" s="52"/>
      <c r="B111" s="171"/>
      <c r="C111" s="172"/>
      <c r="D111" s="172"/>
      <c r="E111" s="227"/>
      <c r="F111" s="154"/>
      <c r="G111" s="327"/>
      <c r="H111" s="164"/>
      <c r="I111" s="162"/>
      <c r="J111" s="129"/>
      <c r="K111" s="79"/>
      <c r="L111" s="79"/>
      <c r="M111" s="79"/>
    </row>
    <row r="112" ht="19.5" customHeight="1">
      <c r="A112" s="52"/>
      <c r="B112" s="171"/>
      <c r="C112" s="172"/>
      <c r="D112" s="172"/>
      <c r="E112" s="227"/>
      <c r="F112" s="154"/>
      <c r="G112" s="327"/>
      <c r="H112" s="164"/>
      <c r="I112" s="162"/>
      <c r="J112" s="129"/>
      <c r="K112" s="79"/>
      <c r="L112" s="79"/>
      <c r="M112" s="79"/>
    </row>
    <row r="113" ht="19.5" customHeight="1">
      <c r="A113" s="52"/>
      <c r="B113" s="171"/>
      <c r="C113" s="172"/>
      <c r="D113" s="172"/>
      <c r="E113" s="227"/>
      <c r="F113" s="154"/>
      <c r="G113" s="327"/>
      <c r="H113" s="164"/>
      <c r="I113" s="162"/>
      <c r="J113" s="129"/>
      <c r="K113" s="79"/>
      <c r="L113" s="79"/>
      <c r="M113" s="79"/>
    </row>
    <row r="114" ht="19.5" customHeight="1">
      <c r="A114" s="52"/>
      <c r="B114" s="171"/>
      <c r="C114" s="172"/>
      <c r="D114" s="172"/>
      <c r="E114" s="227"/>
      <c r="F114" s="154"/>
      <c r="G114" s="327"/>
      <c r="H114" s="164"/>
      <c r="I114" s="162"/>
      <c r="J114" s="129"/>
      <c r="K114" s="79"/>
      <c r="L114" s="79"/>
      <c r="M114" s="79"/>
    </row>
    <row r="115" ht="19.5" customHeight="1">
      <c r="A115" s="52"/>
      <c r="B115" s="171"/>
      <c r="C115" s="172"/>
      <c r="D115" s="172"/>
      <c r="E115" s="227"/>
      <c r="F115" s="154"/>
      <c r="G115" s="327"/>
      <c r="H115" s="164"/>
      <c r="I115" s="162"/>
      <c r="J115" s="129"/>
      <c r="K115" s="79"/>
      <c r="L115" s="79"/>
      <c r="M115" s="79"/>
    </row>
    <row r="116" ht="19.5" customHeight="1">
      <c r="A116" s="52"/>
      <c r="B116" s="171"/>
      <c r="C116" s="172"/>
      <c r="D116" s="172"/>
      <c r="E116" s="227"/>
      <c r="F116" s="154"/>
      <c r="G116" s="327"/>
      <c r="H116" s="164"/>
      <c r="I116" s="162"/>
      <c r="J116" s="129"/>
      <c r="K116" s="79"/>
      <c r="L116" s="79"/>
      <c r="M116" s="79"/>
    </row>
    <row r="117" ht="19.5" customHeight="1">
      <c r="A117" s="52"/>
      <c r="B117" s="171"/>
      <c r="C117" s="172"/>
      <c r="D117" s="172"/>
      <c r="E117" s="227"/>
      <c r="F117" s="154"/>
      <c r="G117" s="327"/>
      <c r="H117" s="164"/>
      <c r="I117" s="162"/>
      <c r="J117" s="129"/>
      <c r="K117" s="79"/>
      <c r="L117" s="79"/>
      <c r="M117" s="79"/>
    </row>
    <row r="118" ht="19.5" customHeight="1">
      <c r="A118" s="52"/>
      <c r="B118" s="171"/>
      <c r="C118" s="172"/>
      <c r="D118" s="172"/>
      <c r="E118" s="227"/>
      <c r="F118" s="154"/>
      <c r="G118" s="327"/>
      <c r="H118" s="164"/>
      <c r="I118" s="162"/>
      <c r="J118" s="129"/>
      <c r="K118" s="79"/>
      <c r="L118" s="79"/>
      <c r="M118" s="79"/>
    </row>
    <row r="119" ht="19.5" customHeight="1">
      <c r="A119" s="52"/>
      <c r="B119" s="171"/>
      <c r="C119" s="172"/>
      <c r="D119" s="172"/>
      <c r="E119" s="227"/>
      <c r="F119" s="154"/>
      <c r="G119" s="327"/>
      <c r="H119" s="164"/>
      <c r="I119" s="162"/>
      <c r="J119" s="129"/>
      <c r="K119" s="79"/>
      <c r="L119" s="79"/>
      <c r="M119" s="79"/>
    </row>
    <row r="120" ht="19.5" customHeight="1">
      <c r="A120" s="52"/>
      <c r="B120" s="171"/>
      <c r="C120" s="172"/>
      <c r="D120" s="172"/>
      <c r="E120" s="227"/>
      <c r="F120" s="154"/>
      <c r="G120" s="327"/>
      <c r="H120" s="164"/>
      <c r="I120" s="162"/>
      <c r="J120" s="129"/>
      <c r="K120" s="79"/>
      <c r="L120" s="79"/>
      <c r="M120" s="79"/>
    </row>
    <row r="121" ht="19.5" customHeight="1">
      <c r="A121" s="52"/>
      <c r="B121" s="171"/>
      <c r="C121" s="172"/>
      <c r="D121" s="172"/>
      <c r="E121" s="227"/>
      <c r="F121" s="154"/>
      <c r="G121" s="327"/>
      <c r="H121" s="164"/>
      <c r="I121" s="162"/>
      <c r="J121" s="129"/>
      <c r="K121" s="79"/>
      <c r="L121" s="79"/>
      <c r="M121" s="79"/>
    </row>
    <row r="122" ht="19.5" customHeight="1">
      <c r="A122" s="52"/>
      <c r="B122" s="171"/>
      <c r="C122" s="172"/>
      <c r="D122" s="172"/>
      <c r="E122" s="227"/>
      <c r="F122" s="154"/>
      <c r="G122" s="327"/>
      <c r="H122" s="164"/>
      <c r="I122" s="162"/>
      <c r="J122" s="129"/>
      <c r="K122" s="79"/>
      <c r="L122" s="79"/>
      <c r="M122" s="79"/>
    </row>
    <row r="123" ht="19.5" customHeight="1">
      <c r="A123" s="52"/>
      <c r="B123" s="171"/>
      <c r="C123" s="172"/>
      <c r="D123" s="172"/>
      <c r="E123" s="227"/>
      <c r="F123" s="154"/>
      <c r="G123" s="327"/>
      <c r="H123" s="164"/>
      <c r="I123" s="162"/>
      <c r="J123" s="129"/>
      <c r="K123" s="79"/>
      <c r="L123" s="79"/>
      <c r="M123" s="79"/>
    </row>
    <row r="124" ht="19.5" customHeight="1">
      <c r="A124" s="52"/>
      <c r="B124" s="171"/>
      <c r="C124" s="172"/>
      <c r="D124" s="172"/>
      <c r="E124" s="227"/>
      <c r="F124" s="154"/>
      <c r="G124" s="327"/>
      <c r="H124" s="164"/>
      <c r="I124" s="162"/>
      <c r="J124" s="129"/>
      <c r="K124" s="79"/>
      <c r="L124" s="79"/>
      <c r="M124" s="79"/>
    </row>
    <row r="125" ht="19.5" customHeight="1">
      <c r="A125" s="52"/>
      <c r="B125" s="171"/>
      <c r="C125" s="172"/>
      <c r="D125" s="172"/>
      <c r="E125" s="227"/>
      <c r="F125" s="154"/>
      <c r="G125" s="327"/>
      <c r="H125" s="164"/>
      <c r="I125" s="162"/>
      <c r="J125" s="129"/>
      <c r="K125" s="79"/>
      <c r="L125" s="79"/>
      <c r="M125" s="79"/>
    </row>
    <row r="126" ht="19.5" customHeight="1">
      <c r="A126" s="52"/>
      <c r="B126" s="171"/>
      <c r="C126" s="172"/>
      <c r="D126" s="172"/>
      <c r="E126" s="227"/>
      <c r="F126" s="154"/>
      <c r="G126" s="327"/>
      <c r="H126" s="164"/>
      <c r="I126" s="162"/>
      <c r="J126" s="129"/>
      <c r="K126" s="79"/>
      <c r="L126" s="79"/>
      <c r="M126" s="79"/>
    </row>
    <row r="127" ht="19.5" customHeight="1">
      <c r="A127" s="52"/>
      <c r="B127" s="171"/>
      <c r="C127" s="172"/>
      <c r="D127" s="172"/>
      <c r="E127" s="227"/>
      <c r="F127" s="154"/>
      <c r="G127" s="327"/>
      <c r="H127" s="164"/>
      <c r="I127" s="162"/>
      <c r="J127" s="129"/>
      <c r="K127" s="79"/>
      <c r="L127" s="79"/>
      <c r="M127" s="79"/>
    </row>
    <row r="128" ht="19.5" customHeight="1">
      <c r="A128" s="52"/>
      <c r="B128" s="171"/>
      <c r="C128" s="172"/>
      <c r="D128" s="172"/>
      <c r="E128" s="227"/>
      <c r="F128" s="154"/>
      <c r="G128" s="327"/>
      <c r="H128" s="164"/>
      <c r="I128" s="162"/>
      <c r="J128" s="129"/>
      <c r="K128" s="79"/>
      <c r="L128" s="79"/>
      <c r="M128" s="79"/>
    </row>
    <row r="129" ht="19.5" customHeight="1">
      <c r="A129" s="52"/>
      <c r="B129" s="171"/>
      <c r="C129" s="172"/>
      <c r="D129" s="172"/>
      <c r="E129" s="227"/>
      <c r="F129" s="154"/>
      <c r="G129" s="327"/>
      <c r="H129" s="164"/>
      <c r="I129" s="162"/>
      <c r="J129" s="129"/>
      <c r="K129" s="79"/>
      <c r="L129" s="79"/>
      <c r="M129" s="79"/>
    </row>
    <row r="130" ht="19.5" customHeight="1">
      <c r="A130" s="52"/>
      <c r="B130" s="171"/>
      <c r="C130" s="172"/>
      <c r="D130" s="172"/>
      <c r="E130" s="227"/>
      <c r="F130" s="154"/>
      <c r="G130" s="327"/>
      <c r="H130" s="164"/>
      <c r="I130" s="162"/>
      <c r="J130" s="129"/>
      <c r="K130" s="79"/>
      <c r="L130" s="79"/>
      <c r="M130" s="79"/>
    </row>
    <row r="131" ht="19.5" customHeight="1">
      <c r="A131" s="52"/>
      <c r="B131" s="171"/>
      <c r="C131" s="172"/>
      <c r="D131" s="172"/>
      <c r="E131" s="227"/>
      <c r="F131" s="154"/>
      <c r="G131" s="327"/>
      <c r="H131" s="164"/>
      <c r="I131" s="162"/>
      <c r="J131" s="129"/>
      <c r="K131" s="79"/>
      <c r="L131" s="79"/>
      <c r="M131" s="79"/>
    </row>
    <row r="132" ht="19.5" customHeight="1">
      <c r="A132" s="52"/>
      <c r="B132" s="171"/>
      <c r="C132" s="172"/>
      <c r="D132" s="172"/>
      <c r="E132" s="227"/>
      <c r="F132" s="154"/>
      <c r="G132" s="327"/>
      <c r="H132" s="164"/>
      <c r="I132" s="162"/>
      <c r="J132" s="129"/>
      <c r="K132" s="79"/>
      <c r="L132" s="79"/>
      <c r="M132" s="79"/>
    </row>
    <row r="133" ht="19.5" customHeight="1">
      <c r="A133" s="52"/>
      <c r="B133" s="171"/>
      <c r="C133" s="172"/>
      <c r="D133" s="172"/>
      <c r="E133" s="227"/>
      <c r="F133" s="154"/>
      <c r="G133" s="327"/>
      <c r="H133" s="164"/>
      <c r="I133" s="162"/>
      <c r="J133" s="129"/>
      <c r="K133" s="79"/>
      <c r="L133" s="79"/>
      <c r="M133" s="79"/>
    </row>
    <row r="134" ht="19.5" customHeight="1">
      <c r="A134" s="52"/>
      <c r="B134" s="171"/>
      <c r="C134" s="172"/>
      <c r="D134" s="172"/>
      <c r="E134" s="227"/>
      <c r="F134" s="154"/>
      <c r="G134" s="327"/>
      <c r="H134" s="164"/>
      <c r="I134" s="162"/>
      <c r="J134" s="129"/>
      <c r="K134" s="79"/>
      <c r="L134" s="79"/>
      <c r="M134" s="79"/>
    </row>
    <row r="135" ht="19.5" customHeight="1">
      <c r="A135" s="52"/>
      <c r="B135" s="171"/>
      <c r="C135" s="172"/>
      <c r="D135" s="172"/>
      <c r="E135" s="227"/>
      <c r="F135" s="154"/>
      <c r="G135" s="327"/>
      <c r="H135" s="164"/>
      <c r="I135" s="162"/>
      <c r="J135" s="129"/>
      <c r="K135" s="79"/>
      <c r="L135" s="79"/>
      <c r="M135" s="79"/>
    </row>
    <row r="136" ht="19.5" customHeight="1">
      <c r="A136" s="52"/>
      <c r="B136" s="171"/>
      <c r="C136" s="172"/>
      <c r="D136" s="172"/>
      <c r="E136" s="227"/>
      <c r="F136" s="154"/>
      <c r="G136" s="327"/>
      <c r="H136" s="164"/>
      <c r="I136" s="162"/>
      <c r="J136" s="129"/>
      <c r="K136" s="79"/>
      <c r="L136" s="79"/>
      <c r="M136" s="79"/>
    </row>
    <row r="137" ht="19.5" customHeight="1">
      <c r="A137" s="52"/>
      <c r="B137" s="171"/>
      <c r="C137" s="172"/>
      <c r="D137" s="172"/>
      <c r="E137" s="227"/>
      <c r="F137" s="154"/>
      <c r="G137" s="327"/>
      <c r="H137" s="164"/>
      <c r="I137" s="162"/>
      <c r="J137" s="129"/>
      <c r="K137" s="79"/>
      <c r="L137" s="79"/>
      <c r="M137" s="79"/>
    </row>
    <row r="138" ht="19.5" customHeight="1">
      <c r="A138" s="52"/>
      <c r="B138" s="171"/>
      <c r="C138" s="172"/>
      <c r="D138" s="172"/>
      <c r="E138" s="227"/>
      <c r="F138" s="154"/>
      <c r="G138" s="327"/>
      <c r="H138" s="164"/>
      <c r="I138" s="162"/>
      <c r="J138" s="129"/>
      <c r="K138" s="79"/>
      <c r="L138" s="79"/>
      <c r="M138" s="79"/>
    </row>
    <row r="139" ht="19.5" customHeight="1">
      <c r="A139" s="52"/>
      <c r="B139" s="171"/>
      <c r="C139" s="172"/>
      <c r="D139" s="172"/>
      <c r="E139" s="227"/>
      <c r="F139" s="154"/>
      <c r="G139" s="327"/>
      <c r="H139" s="164"/>
      <c r="I139" s="162"/>
      <c r="J139" s="129"/>
      <c r="K139" s="79"/>
      <c r="L139" s="79"/>
      <c r="M139" s="79"/>
    </row>
    <row r="140" ht="19.5" customHeight="1">
      <c r="A140" s="52"/>
      <c r="B140" s="171"/>
      <c r="C140" s="172"/>
      <c r="D140" s="172"/>
      <c r="E140" s="227"/>
      <c r="F140" s="154"/>
      <c r="G140" s="327"/>
      <c r="H140" s="164"/>
      <c r="I140" s="162"/>
      <c r="J140" s="129"/>
      <c r="K140" s="79"/>
      <c r="L140" s="79"/>
      <c r="M140" s="79"/>
    </row>
    <row r="141" ht="19.5" customHeight="1">
      <c r="A141" s="52"/>
      <c r="B141" s="171"/>
      <c r="C141" s="172"/>
      <c r="D141" s="172"/>
      <c r="E141" s="227"/>
      <c r="F141" s="154"/>
      <c r="G141" s="327"/>
      <c r="H141" s="164"/>
      <c r="I141" s="162"/>
      <c r="J141" s="129"/>
      <c r="K141" s="79"/>
      <c r="L141" s="79"/>
      <c r="M141" s="79"/>
    </row>
    <row r="142" ht="19.5" customHeight="1">
      <c r="A142" s="52"/>
      <c r="B142" s="171"/>
      <c r="C142" s="172"/>
      <c r="D142" s="172"/>
      <c r="E142" s="227"/>
      <c r="F142" s="154"/>
      <c r="G142" s="327"/>
      <c r="H142" s="164"/>
      <c r="I142" s="162"/>
      <c r="J142" s="129"/>
      <c r="K142" s="79"/>
      <c r="L142" s="79"/>
      <c r="M142" s="79"/>
    </row>
    <row r="143" ht="19.5" customHeight="1">
      <c r="A143" s="52"/>
      <c r="B143" s="171"/>
      <c r="C143" s="172"/>
      <c r="D143" s="172"/>
      <c r="E143" s="227"/>
      <c r="F143" s="154"/>
      <c r="G143" s="327"/>
      <c r="H143" s="164"/>
      <c r="I143" s="162"/>
      <c r="J143" s="129"/>
      <c r="K143" s="79"/>
      <c r="L143" s="79"/>
      <c r="M143" s="79"/>
    </row>
    <row r="144" ht="19.5" customHeight="1">
      <c r="A144" s="52"/>
      <c r="B144" s="171"/>
      <c r="C144" s="172"/>
      <c r="D144" s="172"/>
      <c r="E144" s="227"/>
      <c r="F144" s="154"/>
      <c r="G144" s="327"/>
      <c r="H144" s="164"/>
      <c r="I144" s="162"/>
      <c r="J144" s="129"/>
      <c r="K144" s="79"/>
      <c r="L144" s="79"/>
      <c r="M144" s="79"/>
    </row>
    <row r="145" ht="19.5" customHeight="1">
      <c r="A145" s="52"/>
      <c r="B145" s="171"/>
      <c r="C145" s="172"/>
      <c r="D145" s="172"/>
      <c r="E145" s="227"/>
      <c r="F145" s="154"/>
      <c r="G145" s="327"/>
      <c r="H145" s="164"/>
      <c r="I145" s="162"/>
      <c r="J145" s="129"/>
      <c r="K145" s="79"/>
      <c r="L145" s="79"/>
      <c r="M145" s="79"/>
    </row>
    <row r="146" ht="19.5" customHeight="1">
      <c r="A146" s="52"/>
      <c r="B146" s="171"/>
      <c r="C146" s="172"/>
      <c r="D146" s="172"/>
      <c r="E146" s="227"/>
      <c r="F146" s="154"/>
      <c r="G146" s="327"/>
      <c r="H146" s="164"/>
      <c r="I146" s="162"/>
      <c r="J146" s="129"/>
      <c r="K146" s="79"/>
      <c r="L146" s="79"/>
      <c r="M146" s="79"/>
    </row>
    <row r="147" ht="19.5" customHeight="1">
      <c r="A147" s="52"/>
      <c r="B147" s="171"/>
      <c r="C147" s="172"/>
      <c r="D147" s="172"/>
      <c r="E147" s="227"/>
      <c r="F147" s="154"/>
      <c r="G147" s="327"/>
      <c r="H147" s="164"/>
      <c r="I147" s="162"/>
      <c r="J147" s="129"/>
      <c r="K147" s="79"/>
      <c r="L147" s="79"/>
      <c r="M147" s="79"/>
    </row>
    <row r="148" ht="19.5" customHeight="1">
      <c r="A148" s="52"/>
      <c r="B148" s="171"/>
      <c r="C148" s="172"/>
      <c r="D148" s="172"/>
      <c r="E148" s="227"/>
      <c r="F148" s="154"/>
      <c r="G148" s="327"/>
      <c r="H148" s="164"/>
      <c r="I148" s="162"/>
      <c r="J148" s="129"/>
      <c r="K148" s="79"/>
      <c r="L148" s="79"/>
      <c r="M148" s="79"/>
    </row>
    <row r="149" ht="19.5" customHeight="1">
      <c r="A149" s="52"/>
      <c r="B149" s="171"/>
      <c r="C149" s="172"/>
      <c r="D149" s="172"/>
      <c r="E149" s="227"/>
      <c r="F149" s="154"/>
      <c r="G149" s="327"/>
      <c r="H149" s="164"/>
      <c r="I149" s="162"/>
      <c r="J149" s="129"/>
      <c r="K149" s="79"/>
      <c r="L149" s="79"/>
      <c r="M149" s="79"/>
    </row>
    <row r="150" ht="19.5" customHeight="1">
      <c r="A150" s="52"/>
      <c r="B150" s="171"/>
      <c r="C150" s="172"/>
      <c r="D150" s="172"/>
      <c r="E150" s="227"/>
      <c r="F150" s="154"/>
      <c r="G150" s="327"/>
      <c r="H150" s="164"/>
      <c r="I150" s="162"/>
      <c r="J150" s="129"/>
      <c r="K150" s="79"/>
      <c r="L150" s="79"/>
      <c r="M150" s="79"/>
    </row>
    <row r="151" ht="19.5" customHeight="1">
      <c r="A151" s="52"/>
      <c r="B151" s="171"/>
      <c r="C151" s="172"/>
      <c r="D151" s="172"/>
      <c r="E151" s="227"/>
      <c r="F151" s="154"/>
      <c r="G151" s="327"/>
      <c r="H151" s="164"/>
      <c r="I151" s="162"/>
      <c r="J151" s="129"/>
      <c r="K151" s="79"/>
      <c r="L151" s="79"/>
      <c r="M151" s="79"/>
    </row>
    <row r="152" ht="19.5" customHeight="1">
      <c r="A152" s="52"/>
      <c r="B152" s="171"/>
      <c r="C152" s="172"/>
      <c r="D152" s="172"/>
      <c r="E152" s="227"/>
      <c r="F152" s="154"/>
      <c r="G152" s="327"/>
      <c r="H152" s="164"/>
      <c r="I152" s="162"/>
      <c r="J152" s="129"/>
      <c r="K152" s="79"/>
      <c r="L152" s="79"/>
      <c r="M152" s="79"/>
    </row>
    <row r="153" ht="19.5" customHeight="1">
      <c r="A153" s="52"/>
      <c r="B153" s="171"/>
      <c r="C153" s="172"/>
      <c r="D153" s="172"/>
      <c r="E153" s="227"/>
      <c r="F153" s="154"/>
      <c r="G153" s="327"/>
      <c r="H153" s="164"/>
      <c r="I153" s="162"/>
      <c r="J153" s="129"/>
      <c r="K153" s="79"/>
      <c r="L153" s="79"/>
      <c r="M153" s="79"/>
    </row>
    <row r="154" ht="19.5" customHeight="1">
      <c r="A154" s="52"/>
      <c r="B154" s="171"/>
      <c r="C154" s="172"/>
      <c r="D154" s="172"/>
      <c r="E154" s="227"/>
      <c r="F154" s="154"/>
      <c r="G154" s="327"/>
      <c r="H154" s="164"/>
      <c r="I154" s="162"/>
      <c r="J154" s="129"/>
      <c r="K154" s="79"/>
      <c r="L154" s="79"/>
      <c r="M154" s="79"/>
    </row>
    <row r="155" ht="19.5" customHeight="1">
      <c r="A155" s="52"/>
      <c r="B155" s="171"/>
      <c r="C155" s="172"/>
      <c r="D155" s="172"/>
      <c r="E155" s="227"/>
      <c r="F155" s="154"/>
      <c r="G155" s="327"/>
      <c r="H155" s="164"/>
      <c r="I155" s="162"/>
      <c r="J155" s="129"/>
      <c r="K155" s="79"/>
      <c r="L155" s="79"/>
      <c r="M155" s="79"/>
    </row>
    <row r="156" ht="19.5" customHeight="1">
      <c r="A156" s="52"/>
      <c r="B156" s="171"/>
      <c r="C156" s="172"/>
      <c r="D156" s="172"/>
      <c r="E156" s="227"/>
      <c r="F156" s="154"/>
      <c r="G156" s="327"/>
      <c r="H156" s="164"/>
      <c r="I156" s="162"/>
      <c r="J156" s="129"/>
      <c r="K156" s="79"/>
      <c r="L156" s="79"/>
      <c r="M156" s="79"/>
    </row>
    <row r="157" ht="19.5" customHeight="1">
      <c r="A157" s="52"/>
      <c r="B157" s="171"/>
      <c r="C157" s="172"/>
      <c r="D157" s="172"/>
      <c r="E157" s="227"/>
      <c r="F157" s="154"/>
      <c r="G157" s="327"/>
      <c r="H157" s="164"/>
      <c r="I157" s="162"/>
      <c r="J157" s="129"/>
      <c r="K157" s="79"/>
      <c r="L157" s="79"/>
      <c r="M157" s="79"/>
    </row>
    <row r="158" ht="19.5" customHeight="1">
      <c r="A158" s="52"/>
      <c r="B158" s="171"/>
      <c r="C158" s="172"/>
      <c r="D158" s="172"/>
      <c r="E158" s="227"/>
      <c r="F158" s="154"/>
      <c r="G158" s="327"/>
      <c r="H158" s="164"/>
      <c r="I158" s="162"/>
      <c r="J158" s="129"/>
      <c r="K158" s="79"/>
      <c r="L158" s="79"/>
      <c r="M158" s="79"/>
    </row>
    <row r="159" ht="19.5" customHeight="1">
      <c r="A159" s="52"/>
      <c r="B159" s="171"/>
      <c r="C159" s="172"/>
      <c r="D159" s="172"/>
      <c r="E159" s="227"/>
      <c r="F159" s="154"/>
      <c r="G159" s="327"/>
      <c r="H159" s="164"/>
      <c r="I159" s="162"/>
      <c r="J159" s="129"/>
      <c r="K159" s="79"/>
      <c r="L159" s="79"/>
      <c r="M159" s="79"/>
    </row>
    <row r="160" ht="19.5" customHeight="1">
      <c r="A160" s="52"/>
      <c r="B160" s="171"/>
      <c r="C160" s="172"/>
      <c r="D160" s="172"/>
      <c r="E160" s="227"/>
      <c r="F160" s="154"/>
      <c r="G160" s="327"/>
      <c r="H160" s="164"/>
      <c r="I160" s="162"/>
      <c r="J160" s="129"/>
      <c r="K160" s="79"/>
      <c r="L160" s="79"/>
      <c r="M160" s="79"/>
    </row>
    <row r="161" ht="19.5" customHeight="1">
      <c r="A161" s="52"/>
      <c r="B161" s="171"/>
      <c r="C161" s="172"/>
      <c r="D161" s="172"/>
      <c r="E161" s="227"/>
      <c r="F161" s="154"/>
      <c r="G161" s="327"/>
      <c r="H161" s="164"/>
      <c r="I161" s="162"/>
      <c r="J161" s="129"/>
      <c r="K161" s="79"/>
      <c r="L161" s="79"/>
      <c r="M161" s="79"/>
    </row>
    <row r="162" ht="19.5" customHeight="1">
      <c r="A162" s="52"/>
      <c r="B162" s="171"/>
      <c r="C162" s="172"/>
      <c r="D162" s="172"/>
      <c r="E162" s="227"/>
      <c r="F162" s="154"/>
      <c r="G162" s="327"/>
      <c r="H162" s="164"/>
      <c r="I162" s="162"/>
      <c r="J162" s="129"/>
      <c r="K162" s="79"/>
      <c r="L162" s="79"/>
      <c r="M162" s="79"/>
    </row>
    <row r="163" ht="19.5" customHeight="1">
      <c r="A163" s="52"/>
      <c r="B163" s="171"/>
      <c r="C163" s="172"/>
      <c r="D163" s="172"/>
      <c r="E163" s="227"/>
      <c r="F163" s="154"/>
      <c r="G163" s="327"/>
      <c r="H163" s="164"/>
      <c r="I163" s="162"/>
      <c r="J163" s="129"/>
      <c r="K163" s="79"/>
      <c r="L163" s="79"/>
      <c r="M163" s="79"/>
    </row>
    <row r="164" ht="19.5" customHeight="1">
      <c r="A164" s="52"/>
      <c r="B164" s="171"/>
      <c r="C164" s="172"/>
      <c r="D164" s="172"/>
      <c r="E164" s="227"/>
      <c r="F164" s="154"/>
      <c r="G164" s="327"/>
      <c r="H164" s="164"/>
      <c r="I164" s="162"/>
      <c r="J164" s="129"/>
      <c r="K164" s="79"/>
      <c r="L164" s="79"/>
      <c r="M164" s="79"/>
    </row>
    <row r="165" ht="19.5" customHeight="1">
      <c r="A165" s="52"/>
      <c r="B165" s="171"/>
      <c r="C165" s="172"/>
      <c r="D165" s="172"/>
      <c r="E165" s="227"/>
      <c r="F165" s="154"/>
      <c r="G165" s="327"/>
      <c r="H165" s="164"/>
      <c r="I165" s="162"/>
      <c r="J165" s="129"/>
      <c r="K165" s="79"/>
      <c r="L165" s="79"/>
      <c r="M165" s="79"/>
    </row>
    <row r="166" ht="19.5" customHeight="1">
      <c r="A166" s="52"/>
      <c r="B166" s="171"/>
      <c r="C166" s="172"/>
      <c r="D166" s="172"/>
      <c r="E166" s="227"/>
      <c r="F166" s="154"/>
      <c r="G166" s="327"/>
      <c r="H166" s="164"/>
      <c r="I166" s="162"/>
      <c r="J166" s="129"/>
      <c r="K166" s="79"/>
      <c r="L166" s="79"/>
      <c r="M166" s="79"/>
    </row>
    <row r="167" ht="19.5" customHeight="1">
      <c r="A167" s="52"/>
      <c r="B167" s="171"/>
      <c r="C167" s="172"/>
      <c r="D167" s="172"/>
      <c r="E167" s="227"/>
      <c r="F167" s="154"/>
      <c r="G167" s="327"/>
      <c r="H167" s="164"/>
      <c r="I167" s="162"/>
      <c r="J167" s="129"/>
      <c r="K167" s="79"/>
      <c r="L167" s="79"/>
      <c r="M167" s="79"/>
    </row>
    <row r="168" ht="19.5" customHeight="1">
      <c r="A168" s="52"/>
      <c r="B168" s="171"/>
      <c r="C168" s="172"/>
      <c r="D168" s="172"/>
      <c r="E168" s="227"/>
      <c r="F168" s="154"/>
      <c r="G168" s="327"/>
      <c r="H168" s="164"/>
      <c r="I168" s="162"/>
      <c r="J168" s="129"/>
      <c r="K168" s="79"/>
      <c r="L168" s="79"/>
      <c r="M168" s="79"/>
    </row>
    <row r="169" ht="19.5" customHeight="1">
      <c r="A169" s="52"/>
      <c r="B169" s="171"/>
      <c r="C169" s="172"/>
      <c r="D169" s="172"/>
      <c r="E169" s="227"/>
      <c r="F169" s="154"/>
      <c r="G169" s="327"/>
      <c r="H169" s="164"/>
      <c r="I169" s="162"/>
      <c r="J169" s="129"/>
      <c r="K169" s="79"/>
      <c r="L169" s="79"/>
      <c r="M169" s="79"/>
    </row>
    <row r="170" ht="19.5" customHeight="1">
      <c r="A170" s="52"/>
      <c r="B170" s="171"/>
      <c r="C170" s="172"/>
      <c r="D170" s="172"/>
      <c r="E170" s="227"/>
      <c r="F170" s="154"/>
      <c r="G170" s="327"/>
      <c r="H170" s="164"/>
      <c r="I170" s="162"/>
      <c r="J170" s="129"/>
      <c r="K170" s="79"/>
      <c r="L170" s="79"/>
      <c r="M170" s="79"/>
    </row>
    <row r="171" ht="19.5" customHeight="1">
      <c r="A171" s="52"/>
      <c r="B171" s="171"/>
      <c r="C171" s="172"/>
      <c r="D171" s="172"/>
      <c r="E171" s="227"/>
      <c r="F171" s="154"/>
      <c r="G171" s="327"/>
      <c r="H171" s="164"/>
      <c r="I171" s="162"/>
      <c r="J171" s="129"/>
      <c r="K171" s="79"/>
      <c r="L171" s="79"/>
      <c r="M171" s="79"/>
    </row>
    <row r="172" ht="19.5" customHeight="1">
      <c r="A172" s="52"/>
      <c r="B172" s="171"/>
      <c r="C172" s="172"/>
      <c r="D172" s="172"/>
      <c r="E172" s="227"/>
      <c r="F172" s="154"/>
      <c r="G172" s="327"/>
      <c r="H172" s="164"/>
      <c r="I172" s="162"/>
      <c r="J172" s="129"/>
      <c r="K172" s="79"/>
      <c r="L172" s="79"/>
      <c r="M172" s="79"/>
    </row>
    <row r="173" ht="19.5" customHeight="1">
      <c r="A173" s="52"/>
      <c r="B173" s="171"/>
      <c r="C173" s="172"/>
      <c r="D173" s="172"/>
      <c r="E173" s="227"/>
      <c r="F173" s="154"/>
      <c r="G173" s="327"/>
      <c r="H173" s="164"/>
      <c r="I173" s="162"/>
      <c r="J173" s="129"/>
      <c r="K173" s="79"/>
      <c r="L173" s="79"/>
      <c r="M173" s="79"/>
    </row>
    <row r="174" ht="19.5" customHeight="1">
      <c r="A174" s="52"/>
      <c r="B174" s="171"/>
      <c r="C174" s="172"/>
      <c r="D174" s="172"/>
      <c r="E174" s="227"/>
      <c r="F174" s="154"/>
      <c r="G174" s="327"/>
      <c r="H174" s="164"/>
      <c r="I174" s="162"/>
      <c r="J174" s="129"/>
      <c r="K174" s="79"/>
      <c r="L174" s="79"/>
      <c r="M174" s="79"/>
    </row>
    <row r="175" ht="19.5" customHeight="1">
      <c r="A175" s="52"/>
      <c r="B175" s="171"/>
      <c r="C175" s="172"/>
      <c r="D175" s="172"/>
      <c r="E175" s="227"/>
      <c r="F175" s="154"/>
      <c r="G175" s="327"/>
      <c r="H175" s="164"/>
      <c r="I175" s="162"/>
      <c r="J175" s="129"/>
      <c r="K175" s="79"/>
      <c r="L175" s="79"/>
      <c r="M175" s="79"/>
    </row>
    <row r="176" ht="19.5" customHeight="1">
      <c r="A176" s="52"/>
      <c r="B176" s="171"/>
      <c r="C176" s="172"/>
      <c r="D176" s="172"/>
      <c r="E176" s="227"/>
      <c r="F176" s="154"/>
      <c r="G176" s="327"/>
      <c r="H176" s="164"/>
      <c r="I176" s="162"/>
      <c r="J176" s="129"/>
      <c r="K176" s="79"/>
      <c r="L176" s="79"/>
      <c r="M176" s="79"/>
    </row>
    <row r="177" ht="19.5" customHeight="1">
      <c r="A177" s="52"/>
      <c r="B177" s="171"/>
      <c r="C177" s="172"/>
      <c r="D177" s="172"/>
      <c r="E177" s="227"/>
      <c r="F177" s="154"/>
      <c r="G177" s="327"/>
      <c r="H177" s="164"/>
      <c r="I177" s="162"/>
      <c r="J177" s="129"/>
      <c r="K177" s="79"/>
      <c r="L177" s="79"/>
      <c r="M177" s="79"/>
    </row>
    <row r="178" ht="19.5" customHeight="1">
      <c r="A178" s="52"/>
      <c r="B178" s="171"/>
      <c r="C178" s="172"/>
      <c r="D178" s="172"/>
      <c r="E178" s="227"/>
      <c r="F178" s="154"/>
      <c r="G178" s="327"/>
      <c r="H178" s="164"/>
      <c r="I178" s="162"/>
      <c r="J178" s="129"/>
      <c r="K178" s="79"/>
      <c r="L178" s="79"/>
      <c r="M178" s="79"/>
    </row>
    <row r="179" ht="19.5" customHeight="1">
      <c r="A179" s="52"/>
      <c r="B179" s="171"/>
      <c r="C179" s="172"/>
      <c r="D179" s="172"/>
      <c r="E179" s="227"/>
      <c r="F179" s="154"/>
      <c r="G179" s="327"/>
      <c r="H179" s="164"/>
      <c r="I179" s="162"/>
      <c r="J179" s="129"/>
      <c r="K179" s="79"/>
      <c r="L179" s="79"/>
      <c r="M179" s="79"/>
    </row>
    <row r="180" ht="19.5" customHeight="1">
      <c r="A180" s="52"/>
      <c r="B180" s="171"/>
      <c r="C180" s="172"/>
      <c r="D180" s="172"/>
      <c r="E180" s="227"/>
      <c r="F180" s="154"/>
      <c r="G180" s="327"/>
      <c r="H180" s="164"/>
      <c r="I180" s="162"/>
      <c r="J180" s="129"/>
      <c r="K180" s="79"/>
      <c r="L180" s="79"/>
      <c r="M180" s="79"/>
    </row>
    <row r="181" ht="19.5" customHeight="1">
      <c r="A181" s="52"/>
      <c r="B181" s="171"/>
      <c r="C181" s="172"/>
      <c r="D181" s="172"/>
      <c r="E181" s="227"/>
      <c r="F181" s="154"/>
      <c r="G181" s="327"/>
      <c r="H181" s="164"/>
      <c r="I181" s="162"/>
      <c r="J181" s="129"/>
      <c r="K181" s="79"/>
      <c r="L181" s="79"/>
      <c r="M181" s="79"/>
    </row>
    <row r="182" ht="19.5" customHeight="1">
      <c r="A182" s="52"/>
      <c r="B182" s="171"/>
      <c r="C182" s="172"/>
      <c r="D182" s="172"/>
      <c r="E182" s="227"/>
      <c r="F182" s="154"/>
      <c r="G182" s="327"/>
      <c r="H182" s="164"/>
      <c r="I182" s="162"/>
      <c r="J182" s="129"/>
      <c r="K182" s="79"/>
      <c r="L182" s="79"/>
      <c r="M182" s="79"/>
    </row>
    <row r="183" ht="19.5" customHeight="1">
      <c r="A183" s="52"/>
      <c r="B183" s="171"/>
      <c r="C183" s="172"/>
      <c r="D183" s="172"/>
      <c r="E183" s="227"/>
      <c r="F183" s="154"/>
      <c r="G183" s="327"/>
      <c r="H183" s="164"/>
      <c r="I183" s="162"/>
      <c r="J183" s="129"/>
      <c r="K183" s="79"/>
      <c r="L183" s="79"/>
      <c r="M183" s="79"/>
    </row>
    <row r="184" ht="19.5" customHeight="1">
      <c r="A184" s="52"/>
      <c r="B184" s="171"/>
      <c r="C184" s="172"/>
      <c r="D184" s="172"/>
      <c r="E184" s="227"/>
      <c r="F184" s="154"/>
      <c r="G184" s="327"/>
      <c r="H184" s="164"/>
      <c r="I184" s="162"/>
      <c r="J184" s="129"/>
      <c r="K184" s="79"/>
      <c r="L184" s="79"/>
      <c r="M184" s="79"/>
    </row>
    <row r="185" ht="19.5" customHeight="1">
      <c r="A185" s="52"/>
      <c r="B185" s="171"/>
      <c r="C185" s="172"/>
      <c r="D185" s="172"/>
      <c r="E185" s="227"/>
      <c r="F185" s="154"/>
      <c r="G185" s="327"/>
      <c r="H185" s="164"/>
      <c r="I185" s="162"/>
      <c r="J185" s="129"/>
      <c r="K185" s="79"/>
      <c r="L185" s="79"/>
      <c r="M185" s="79"/>
    </row>
    <row r="186" ht="19.5" customHeight="1">
      <c r="A186" s="52"/>
      <c r="B186" s="171"/>
      <c r="C186" s="172"/>
      <c r="D186" s="172"/>
      <c r="E186" s="227"/>
      <c r="F186" s="154"/>
      <c r="G186" s="327"/>
      <c r="H186" s="164"/>
      <c r="I186" s="162"/>
      <c r="J186" s="129"/>
      <c r="K186" s="79"/>
      <c r="L186" s="79"/>
      <c r="M186" s="79"/>
    </row>
    <row r="187" ht="19.5" customHeight="1">
      <c r="A187" s="52"/>
      <c r="B187" s="171"/>
      <c r="C187" s="172"/>
      <c r="D187" s="172"/>
      <c r="E187" s="227"/>
      <c r="F187" s="154"/>
      <c r="G187" s="327"/>
      <c r="H187" s="164"/>
      <c r="I187" s="162"/>
      <c r="J187" s="129"/>
      <c r="K187" s="79"/>
      <c r="L187" s="79"/>
      <c r="M187" s="79"/>
    </row>
    <row r="188" ht="19.5" customHeight="1">
      <c r="A188" s="52"/>
      <c r="B188" s="171"/>
      <c r="C188" s="172"/>
      <c r="D188" s="172"/>
      <c r="E188" s="227"/>
      <c r="F188" s="154"/>
      <c r="G188" s="327"/>
      <c r="H188" s="164"/>
      <c r="I188" s="162"/>
      <c r="J188" s="129"/>
      <c r="K188" s="79"/>
      <c r="L188" s="79"/>
      <c r="M188" s="79"/>
    </row>
    <row r="189" ht="19.5" customHeight="1">
      <c r="A189" s="52"/>
      <c r="B189" s="171"/>
      <c r="C189" s="172"/>
      <c r="D189" s="172"/>
      <c r="E189" s="227"/>
      <c r="F189" s="154"/>
      <c r="G189" s="327"/>
      <c r="H189" s="164"/>
      <c r="I189" s="162"/>
      <c r="J189" s="129"/>
      <c r="K189" s="79"/>
      <c r="L189" s="79"/>
      <c r="M189" s="79"/>
    </row>
    <row r="190" ht="19.5" customHeight="1">
      <c r="A190" s="52"/>
      <c r="B190" s="171"/>
      <c r="C190" s="172"/>
      <c r="D190" s="172"/>
      <c r="E190" s="227"/>
      <c r="F190" s="154"/>
      <c r="G190" s="327"/>
      <c r="H190" s="164"/>
      <c r="I190" s="162"/>
      <c r="J190" s="129"/>
      <c r="K190" s="79"/>
      <c r="L190" s="79"/>
      <c r="M190" s="79"/>
    </row>
    <row r="191" ht="19.5" customHeight="1">
      <c r="A191" s="52"/>
      <c r="B191" s="171"/>
      <c r="C191" s="172"/>
      <c r="D191" s="172"/>
      <c r="E191" s="227"/>
      <c r="F191" s="154"/>
      <c r="G191" s="327"/>
      <c r="H191" s="164"/>
      <c r="I191" s="162"/>
      <c r="J191" s="129"/>
      <c r="K191" s="79"/>
      <c r="L191" s="79"/>
      <c r="M191" s="79"/>
    </row>
    <row r="192" ht="19.5" customHeight="1">
      <c r="A192" s="52"/>
      <c r="B192" s="171"/>
      <c r="C192" s="172"/>
      <c r="D192" s="172"/>
      <c r="E192" s="227"/>
      <c r="F192" s="154"/>
      <c r="G192" s="327"/>
      <c r="H192" s="164"/>
      <c r="I192" s="162"/>
      <c r="J192" s="129"/>
      <c r="K192" s="79"/>
      <c r="L192" s="79"/>
      <c r="M192" s="79"/>
    </row>
    <row r="193" ht="19.5" customHeight="1">
      <c r="A193" s="52"/>
      <c r="B193" s="171"/>
      <c r="C193" s="172"/>
      <c r="D193" s="172"/>
      <c r="E193" s="227"/>
      <c r="F193" s="154"/>
      <c r="G193" s="327"/>
      <c r="H193" s="164"/>
      <c r="I193" s="162"/>
      <c r="J193" s="129"/>
      <c r="K193" s="79"/>
      <c r="L193" s="79"/>
      <c r="M193" s="79"/>
    </row>
    <row r="194" ht="19.5" customHeight="1">
      <c r="A194" s="52"/>
      <c r="B194" s="171"/>
      <c r="C194" s="172"/>
      <c r="D194" s="172"/>
      <c r="E194" s="227"/>
      <c r="F194" s="154"/>
      <c r="G194" s="327"/>
      <c r="H194" s="164"/>
      <c r="I194" s="162"/>
      <c r="J194" s="129"/>
      <c r="K194" s="79"/>
      <c r="L194" s="79"/>
      <c r="M194" s="79"/>
    </row>
    <row r="195" ht="19.5" customHeight="1">
      <c r="A195" s="52"/>
      <c r="B195" s="171"/>
      <c r="C195" s="172"/>
      <c r="D195" s="172"/>
      <c r="E195" s="227"/>
      <c r="F195" s="154"/>
      <c r="G195" s="327"/>
      <c r="H195" s="164"/>
      <c r="I195" s="162"/>
      <c r="J195" s="129"/>
      <c r="K195" s="79"/>
      <c r="L195" s="79"/>
      <c r="M195" s="79"/>
    </row>
    <row r="196" ht="19.5" customHeight="1">
      <c r="A196" s="52"/>
      <c r="B196" s="171"/>
      <c r="C196" s="172"/>
      <c r="D196" s="172"/>
      <c r="E196" s="227"/>
      <c r="F196" s="154"/>
      <c r="G196" s="327"/>
      <c r="H196" s="164"/>
      <c r="I196" s="162"/>
      <c r="J196" s="129"/>
      <c r="K196" s="79"/>
      <c r="L196" s="79"/>
      <c r="M196" s="79"/>
    </row>
    <row r="197" ht="19.5" customHeight="1">
      <c r="A197" s="52"/>
      <c r="B197" s="171"/>
      <c r="C197" s="172"/>
      <c r="D197" s="172"/>
      <c r="E197" s="227"/>
      <c r="F197" s="154"/>
      <c r="G197" s="327"/>
      <c r="H197" s="164"/>
      <c r="I197" s="162"/>
      <c r="J197" s="129"/>
      <c r="K197" s="79"/>
      <c r="L197" s="79"/>
      <c r="M197" s="79"/>
    </row>
    <row r="198" ht="19.5" customHeight="1">
      <c r="A198" s="52"/>
      <c r="B198" s="171"/>
      <c r="C198" s="172"/>
      <c r="D198" s="172"/>
      <c r="E198" s="227"/>
      <c r="F198" s="154"/>
      <c r="G198" s="327"/>
      <c r="H198" s="164"/>
      <c r="I198" s="162"/>
      <c r="J198" s="129"/>
      <c r="K198" s="79"/>
      <c r="L198" s="79"/>
      <c r="M198" s="79"/>
    </row>
    <row r="199" ht="19.5" customHeight="1">
      <c r="A199" s="52"/>
      <c r="B199" s="171"/>
      <c r="C199" s="172"/>
      <c r="D199" s="172"/>
      <c r="E199" s="227"/>
      <c r="F199" s="154"/>
      <c r="G199" s="327"/>
      <c r="H199" s="164"/>
      <c r="I199" s="162"/>
      <c r="J199" s="129"/>
      <c r="K199" s="79"/>
      <c r="L199" s="79"/>
      <c r="M199" s="79"/>
    </row>
    <row r="200" ht="19.5" customHeight="1">
      <c r="A200" s="52"/>
      <c r="B200" s="171"/>
      <c r="C200" s="172"/>
      <c r="D200" s="172"/>
      <c r="E200" s="227"/>
      <c r="F200" s="154"/>
      <c r="G200" s="327"/>
      <c r="H200" s="164"/>
      <c r="I200" s="162"/>
      <c r="J200" s="129"/>
      <c r="K200" s="79"/>
      <c r="L200" s="79"/>
      <c r="M200" s="79"/>
    </row>
    <row r="201" ht="19.5" customHeight="1">
      <c r="A201" s="52"/>
      <c r="B201" s="171"/>
      <c r="C201" s="172"/>
      <c r="D201" s="172"/>
      <c r="E201" s="227"/>
      <c r="F201" s="154"/>
      <c r="G201" s="327"/>
      <c r="H201" s="164"/>
      <c r="I201" s="162"/>
      <c r="J201" s="129"/>
      <c r="K201" s="79"/>
      <c r="L201" s="79"/>
      <c r="M201" s="79"/>
    </row>
    <row r="202" ht="19.5" customHeight="1">
      <c r="A202" s="52"/>
      <c r="B202" s="171"/>
      <c r="C202" s="172"/>
      <c r="D202" s="172"/>
      <c r="E202" s="227"/>
      <c r="F202" s="154"/>
      <c r="G202" s="327"/>
      <c r="H202" s="164"/>
      <c r="I202" s="162"/>
      <c r="J202" s="129"/>
      <c r="K202" s="79"/>
      <c r="L202" s="79"/>
      <c r="M202" s="79"/>
    </row>
    <row r="203" ht="19.5" customHeight="1">
      <c r="A203" s="52"/>
      <c r="B203" s="171"/>
      <c r="C203" s="172"/>
      <c r="D203" s="172"/>
      <c r="E203" s="227"/>
      <c r="F203" s="154"/>
      <c r="G203" s="327"/>
      <c r="H203" s="164"/>
      <c r="I203" s="162"/>
      <c r="J203" s="129"/>
      <c r="K203" s="79"/>
      <c r="L203" s="79"/>
      <c r="M203" s="79"/>
    </row>
    <row r="204" ht="19.5" customHeight="1">
      <c r="A204" s="52"/>
      <c r="B204" s="171"/>
      <c r="C204" s="172"/>
      <c r="D204" s="172"/>
      <c r="E204" s="227"/>
      <c r="F204" s="154"/>
      <c r="G204" s="327"/>
      <c r="H204" s="164"/>
      <c r="I204" s="162"/>
      <c r="J204" s="129"/>
      <c r="K204" s="79"/>
      <c r="L204" s="79"/>
      <c r="M204" s="79"/>
    </row>
    <row r="205" ht="19.5" customHeight="1">
      <c r="A205" s="52"/>
      <c r="B205" s="171"/>
      <c r="C205" s="172"/>
      <c r="D205" s="172"/>
      <c r="E205" s="227"/>
      <c r="F205" s="154"/>
      <c r="G205" s="327"/>
      <c r="H205" s="164"/>
      <c r="I205" s="162"/>
      <c r="J205" s="129"/>
      <c r="K205" s="79"/>
      <c r="L205" s="79"/>
      <c r="M205" s="79"/>
    </row>
    <row r="206" ht="19.5" customHeight="1">
      <c r="A206" s="52"/>
      <c r="B206" s="171"/>
      <c r="C206" s="172"/>
      <c r="D206" s="172"/>
      <c r="E206" s="227"/>
      <c r="F206" s="154"/>
      <c r="G206" s="327"/>
      <c r="H206" s="164"/>
      <c r="I206" s="162"/>
      <c r="J206" s="129"/>
      <c r="K206" s="79"/>
      <c r="L206" s="79"/>
      <c r="M206" s="79"/>
    </row>
    <row r="207" ht="19.5" customHeight="1">
      <c r="A207" s="52"/>
      <c r="B207" s="171"/>
      <c r="C207" s="172"/>
      <c r="D207" s="172"/>
      <c r="E207" s="227"/>
      <c r="F207" s="154"/>
      <c r="G207" s="327"/>
      <c r="H207" s="164"/>
      <c r="I207" s="162"/>
      <c r="J207" s="129"/>
      <c r="K207" s="79"/>
      <c r="L207" s="79"/>
      <c r="M207" s="79"/>
    </row>
    <row r="208" ht="19.5" customHeight="1">
      <c r="A208" s="52"/>
      <c r="B208" s="171"/>
      <c r="C208" s="172"/>
      <c r="D208" s="172"/>
      <c r="E208" s="227"/>
      <c r="F208" s="154"/>
      <c r="G208" s="327"/>
      <c r="H208" s="164"/>
      <c r="I208" s="162"/>
      <c r="J208" s="129"/>
      <c r="K208" s="79"/>
      <c r="L208" s="79"/>
      <c r="M208" s="79"/>
    </row>
    <row r="209" ht="19.5" customHeight="1">
      <c r="A209" s="52"/>
      <c r="B209" s="171"/>
      <c r="C209" s="172"/>
      <c r="D209" s="172"/>
      <c r="E209" s="227"/>
      <c r="F209" s="154"/>
      <c r="G209" s="327"/>
      <c r="H209" s="164"/>
      <c r="I209" s="162"/>
      <c r="J209" s="129"/>
      <c r="K209" s="79"/>
      <c r="L209" s="79"/>
      <c r="M209" s="79"/>
    </row>
    <row r="210" ht="19.5" customHeight="1">
      <c r="A210" s="52"/>
      <c r="B210" s="171"/>
      <c r="C210" s="172"/>
      <c r="D210" s="172"/>
      <c r="E210" s="227"/>
      <c r="F210" s="154"/>
      <c r="G210" s="327"/>
      <c r="H210" s="164"/>
      <c r="I210" s="162"/>
      <c r="J210" s="129"/>
      <c r="K210" s="79"/>
      <c r="L210" s="79"/>
      <c r="M210" s="79"/>
    </row>
    <row r="211" ht="19.5" customHeight="1">
      <c r="A211" s="52"/>
      <c r="B211" s="171"/>
      <c r="C211" s="172"/>
      <c r="D211" s="172"/>
      <c r="E211" s="227"/>
      <c r="F211" s="154"/>
      <c r="G211" s="327"/>
      <c r="H211" s="164"/>
      <c r="I211" s="162"/>
      <c r="J211" s="129"/>
      <c r="K211" s="79"/>
      <c r="L211" s="79"/>
      <c r="M211" s="79"/>
    </row>
    <row r="212" ht="19.5" customHeight="1">
      <c r="A212" s="52"/>
      <c r="B212" s="171"/>
      <c r="C212" s="172"/>
      <c r="D212" s="172"/>
      <c r="E212" s="227"/>
      <c r="F212" s="154"/>
      <c r="G212" s="327"/>
      <c r="H212" s="164"/>
      <c r="I212" s="162"/>
      <c r="J212" s="129"/>
      <c r="K212" s="79"/>
      <c r="L212" s="79"/>
      <c r="M212" s="79"/>
    </row>
    <row r="213" ht="19.5" customHeight="1">
      <c r="A213" s="52"/>
      <c r="B213" s="171"/>
      <c r="C213" s="172"/>
      <c r="D213" s="172"/>
      <c r="E213" s="227"/>
      <c r="F213" s="154"/>
      <c r="G213" s="327"/>
      <c r="H213" s="164"/>
      <c r="I213" s="162"/>
      <c r="J213" s="129"/>
      <c r="K213" s="79"/>
      <c r="L213" s="79"/>
      <c r="M213" s="79"/>
    </row>
    <row r="214" ht="19.5" customHeight="1">
      <c r="A214" s="52"/>
      <c r="B214" s="171"/>
      <c r="C214" s="172"/>
      <c r="D214" s="172"/>
      <c r="E214" s="227"/>
      <c r="F214" s="154"/>
      <c r="G214" s="327"/>
      <c r="H214" s="164"/>
      <c r="I214" s="162"/>
      <c r="J214" s="129"/>
      <c r="K214" s="79"/>
      <c r="L214" s="79"/>
      <c r="M214" s="79"/>
    </row>
    <row r="215" ht="19.5" customHeight="1">
      <c r="A215" s="52"/>
      <c r="B215" s="171"/>
      <c r="C215" s="172"/>
      <c r="D215" s="172"/>
      <c r="E215" s="227"/>
      <c r="F215" s="154"/>
      <c r="G215" s="327"/>
      <c r="H215" s="164"/>
      <c r="I215" s="162"/>
      <c r="J215" s="129"/>
      <c r="K215" s="79"/>
      <c r="L215" s="79"/>
      <c r="M215" s="79"/>
    </row>
    <row r="216" ht="19.5" customHeight="1">
      <c r="A216" s="52"/>
      <c r="B216" s="171"/>
      <c r="C216" s="172"/>
      <c r="D216" s="172"/>
      <c r="E216" s="227"/>
      <c r="F216" s="154"/>
      <c r="G216" s="327"/>
      <c r="H216" s="164"/>
      <c r="I216" s="162"/>
      <c r="J216" s="129"/>
      <c r="K216" s="79"/>
      <c r="L216" s="79"/>
      <c r="M216" s="79"/>
    </row>
    <row r="217" ht="19.5" customHeight="1">
      <c r="A217" s="52"/>
      <c r="B217" s="171"/>
      <c r="C217" s="172"/>
      <c r="D217" s="172"/>
      <c r="E217" s="227"/>
      <c r="F217" s="154"/>
      <c r="G217" s="327"/>
      <c r="H217" s="164"/>
      <c r="I217" s="162"/>
      <c r="J217" s="129"/>
      <c r="K217" s="79"/>
      <c r="L217" s="79"/>
      <c r="M217" s="79"/>
    </row>
    <row r="218" ht="19.5" customHeight="1">
      <c r="A218" s="52"/>
      <c r="B218" s="171"/>
      <c r="C218" s="172"/>
      <c r="D218" s="172"/>
      <c r="E218" s="227"/>
      <c r="F218" s="154"/>
      <c r="G218" s="327"/>
      <c r="H218" s="164"/>
      <c r="I218" s="162"/>
      <c r="J218" s="129"/>
      <c r="K218" s="79"/>
      <c r="L218" s="79"/>
      <c r="M218" s="79"/>
    </row>
    <row r="219" ht="19.5" customHeight="1">
      <c r="A219" s="52"/>
      <c r="B219" s="171"/>
      <c r="C219" s="172"/>
      <c r="D219" s="172"/>
      <c r="E219" s="227"/>
      <c r="F219" s="154"/>
      <c r="G219" s="327"/>
      <c r="H219" s="164"/>
      <c r="I219" s="162"/>
      <c r="J219" s="129"/>
      <c r="K219" s="79"/>
      <c r="L219" s="79"/>
      <c r="M219" s="79"/>
    </row>
    <row r="220" ht="19.5" customHeight="1">
      <c r="A220" s="52"/>
      <c r="B220" s="171"/>
      <c r="C220" s="172"/>
      <c r="D220" s="172"/>
      <c r="E220" s="227"/>
      <c r="F220" s="154"/>
      <c r="G220" s="327"/>
      <c r="H220" s="164"/>
      <c r="I220" s="162"/>
      <c r="J220" s="129"/>
      <c r="K220" s="79"/>
      <c r="L220" s="79"/>
      <c r="M220" s="79"/>
    </row>
    <row r="221" ht="15.75" customHeight="1">
      <c r="A221" s="261"/>
      <c r="B221" s="171"/>
      <c r="C221" s="172"/>
      <c r="D221" s="172"/>
      <c r="E221" s="227"/>
      <c r="F221" s="154"/>
      <c r="G221" s="327"/>
      <c r="H221" s="164"/>
      <c r="I221" s="162"/>
      <c r="J221" s="129"/>
      <c r="K221" s="79"/>
      <c r="L221" s="79"/>
      <c r="M221" s="79"/>
    </row>
    <row r="222" ht="15.75" customHeight="1">
      <c r="A222" s="261"/>
      <c r="B222" s="171"/>
      <c r="C222" s="172"/>
      <c r="D222" s="172"/>
      <c r="E222" s="227"/>
      <c r="F222" s="154"/>
      <c r="G222" s="327"/>
      <c r="H222" s="164"/>
      <c r="I222" s="162"/>
      <c r="J222" s="129"/>
      <c r="K222" s="79"/>
      <c r="L222" s="79"/>
      <c r="M222" s="79"/>
    </row>
    <row r="223" ht="15.75" customHeight="1">
      <c r="A223" s="261"/>
      <c r="B223" s="171"/>
      <c r="C223" s="172"/>
      <c r="D223" s="172"/>
      <c r="E223" s="227"/>
      <c r="F223" s="154"/>
      <c r="G223" s="327"/>
      <c r="H223" s="164"/>
      <c r="I223" s="162"/>
      <c r="J223" s="129"/>
      <c r="K223" s="79"/>
      <c r="L223" s="79"/>
      <c r="M223" s="79"/>
    </row>
    <row r="224" ht="15.75" customHeight="1">
      <c r="A224" s="261"/>
      <c r="B224" s="171"/>
      <c r="C224" s="172"/>
      <c r="D224" s="172"/>
      <c r="E224" s="227"/>
      <c r="F224" s="154"/>
      <c r="G224" s="327"/>
      <c r="H224" s="164"/>
      <c r="I224" s="162"/>
      <c r="J224" s="129"/>
      <c r="K224" s="79"/>
      <c r="L224" s="79"/>
      <c r="M224" s="79"/>
    </row>
    <row r="225" ht="15.75" customHeight="1">
      <c r="A225" s="261"/>
      <c r="B225" s="171"/>
      <c r="C225" s="172"/>
      <c r="D225" s="172"/>
      <c r="E225" s="227"/>
      <c r="F225" s="154"/>
      <c r="G225" s="327"/>
      <c r="H225" s="164"/>
      <c r="I225" s="162"/>
      <c r="J225" s="129"/>
      <c r="K225" s="79"/>
      <c r="L225" s="79"/>
      <c r="M225" s="79"/>
    </row>
    <row r="226" ht="15.75" customHeight="1">
      <c r="A226" s="261"/>
      <c r="B226" s="171"/>
      <c r="C226" s="172"/>
      <c r="D226" s="172"/>
      <c r="E226" s="227"/>
      <c r="F226" s="154"/>
      <c r="G226" s="327"/>
      <c r="H226" s="164"/>
      <c r="I226" s="162"/>
      <c r="J226" s="129"/>
      <c r="K226" s="79"/>
      <c r="L226" s="79"/>
      <c r="M226" s="79"/>
    </row>
    <row r="227" ht="15.75" customHeight="1">
      <c r="A227" s="261"/>
      <c r="B227" s="171"/>
      <c r="C227" s="172"/>
      <c r="D227" s="172"/>
      <c r="E227" s="227"/>
      <c r="F227" s="154"/>
      <c r="G227" s="327"/>
      <c r="H227" s="164"/>
      <c r="I227" s="162"/>
      <c r="J227" s="129"/>
      <c r="K227" s="79"/>
      <c r="L227" s="79"/>
      <c r="M227" s="79"/>
    </row>
    <row r="228" ht="15.75" customHeight="1">
      <c r="A228" s="261"/>
      <c r="B228" s="171"/>
      <c r="C228" s="172"/>
      <c r="D228" s="172"/>
      <c r="E228" s="227"/>
      <c r="F228" s="154"/>
      <c r="G228" s="327"/>
      <c r="H228" s="164"/>
      <c r="I228" s="162"/>
      <c r="J228" s="129"/>
      <c r="K228" s="79"/>
      <c r="L228" s="79"/>
      <c r="M228" s="79"/>
    </row>
    <row r="229" ht="15.75" customHeight="1">
      <c r="A229" s="261"/>
      <c r="B229" s="171"/>
      <c r="C229" s="172"/>
      <c r="D229" s="172"/>
      <c r="E229" s="227"/>
      <c r="F229" s="154"/>
      <c r="G229" s="327"/>
      <c r="H229" s="164"/>
      <c r="I229" s="162"/>
      <c r="J229" s="129"/>
      <c r="K229" s="79"/>
      <c r="L229" s="79"/>
      <c r="M229" s="79"/>
    </row>
    <row r="230" ht="15.75" customHeight="1">
      <c r="A230" s="261"/>
      <c r="B230" s="171"/>
      <c r="C230" s="172"/>
      <c r="D230" s="172"/>
      <c r="E230" s="227"/>
      <c r="F230" s="154"/>
      <c r="G230" s="327"/>
      <c r="H230" s="164"/>
      <c r="I230" s="162"/>
      <c r="J230" s="129"/>
      <c r="K230" s="79"/>
      <c r="L230" s="79"/>
      <c r="M230" s="79"/>
    </row>
    <row r="231" ht="15.75" customHeight="1">
      <c r="A231" s="261"/>
      <c r="B231" s="171"/>
      <c r="C231" s="172"/>
      <c r="D231" s="172"/>
      <c r="E231" s="227"/>
      <c r="F231" s="154"/>
      <c r="G231" s="327"/>
      <c r="H231" s="164"/>
      <c r="I231" s="162"/>
      <c r="J231" s="129"/>
      <c r="K231" s="79"/>
      <c r="L231" s="79"/>
      <c r="M231" s="79"/>
    </row>
    <row r="232" ht="15.75" customHeight="1">
      <c r="A232" s="261"/>
      <c r="B232" s="171"/>
      <c r="C232" s="172"/>
      <c r="D232" s="172"/>
      <c r="E232" s="227"/>
      <c r="F232" s="154"/>
      <c r="G232" s="327"/>
      <c r="H232" s="164"/>
      <c r="I232" s="162"/>
      <c r="J232" s="129"/>
      <c r="K232" s="79"/>
      <c r="L232" s="79"/>
      <c r="M232" s="79"/>
    </row>
    <row r="233" ht="15.75" customHeight="1">
      <c r="A233" s="261"/>
      <c r="B233" s="171"/>
      <c r="C233" s="172"/>
      <c r="D233" s="172"/>
      <c r="E233" s="227"/>
      <c r="F233" s="154"/>
      <c r="G233" s="327"/>
      <c r="H233" s="164"/>
      <c r="I233" s="162"/>
      <c r="J233" s="129"/>
      <c r="K233" s="79"/>
      <c r="L233" s="79"/>
      <c r="M233" s="79"/>
    </row>
    <row r="234" ht="15.75" customHeight="1">
      <c r="A234" s="261"/>
      <c r="B234" s="171"/>
      <c r="C234" s="172"/>
      <c r="D234" s="172"/>
      <c r="E234" s="227"/>
      <c r="F234" s="154"/>
      <c r="G234" s="327"/>
      <c r="H234" s="164"/>
      <c r="I234" s="162"/>
      <c r="J234" s="129"/>
      <c r="K234" s="79"/>
      <c r="L234" s="79"/>
      <c r="M234" s="79"/>
    </row>
    <row r="235" ht="15.75" customHeight="1">
      <c r="A235" s="261"/>
      <c r="B235" s="171"/>
      <c r="C235" s="172"/>
      <c r="D235" s="172"/>
      <c r="E235" s="227"/>
      <c r="F235" s="154"/>
      <c r="G235" s="327"/>
      <c r="H235" s="164"/>
      <c r="I235" s="162"/>
      <c r="J235" s="129"/>
      <c r="K235" s="79"/>
      <c r="L235" s="79"/>
      <c r="M235" s="79"/>
    </row>
    <row r="236" ht="15.75" customHeight="1">
      <c r="A236" s="261"/>
      <c r="B236" s="171"/>
      <c r="C236" s="172"/>
      <c r="D236" s="172"/>
      <c r="E236" s="227"/>
      <c r="F236" s="154"/>
      <c r="G236" s="327"/>
      <c r="H236" s="164"/>
      <c r="I236" s="162"/>
      <c r="J236" s="129"/>
      <c r="K236" s="79"/>
      <c r="L236" s="79"/>
      <c r="M236" s="79"/>
    </row>
    <row r="237" ht="15.75" customHeight="1">
      <c r="A237" s="261"/>
      <c r="B237" s="171"/>
      <c r="C237" s="172"/>
      <c r="D237" s="172"/>
      <c r="E237" s="227"/>
      <c r="F237" s="154"/>
      <c r="G237" s="327"/>
      <c r="H237" s="164"/>
      <c r="I237" s="162"/>
      <c r="J237" s="129"/>
      <c r="K237" s="79"/>
      <c r="L237" s="79"/>
      <c r="M237" s="79"/>
    </row>
    <row r="238" ht="15.75" customHeight="1">
      <c r="A238" s="261"/>
      <c r="B238" s="171"/>
      <c r="C238" s="172"/>
      <c r="D238" s="172"/>
      <c r="E238" s="227"/>
      <c r="F238" s="154"/>
      <c r="G238" s="327"/>
      <c r="H238" s="164"/>
      <c r="I238" s="162"/>
      <c r="J238" s="129"/>
      <c r="K238" s="79"/>
      <c r="L238" s="79"/>
      <c r="M238" s="79"/>
    </row>
    <row r="239" ht="15.75" customHeight="1">
      <c r="A239" s="261"/>
      <c r="B239" s="171"/>
      <c r="C239" s="172"/>
      <c r="D239" s="172"/>
      <c r="E239" s="227"/>
      <c r="F239" s="154"/>
      <c r="G239" s="327"/>
      <c r="H239" s="164"/>
      <c r="I239" s="162"/>
      <c r="J239" s="129"/>
      <c r="K239" s="79"/>
      <c r="L239" s="79"/>
      <c r="M239" s="79"/>
    </row>
    <row r="240" ht="15.75" customHeight="1">
      <c r="A240" s="261"/>
      <c r="B240" s="171"/>
      <c r="C240" s="172"/>
      <c r="D240" s="172"/>
      <c r="E240" s="227"/>
      <c r="F240" s="154"/>
      <c r="G240" s="327"/>
      <c r="H240" s="164"/>
      <c r="I240" s="162"/>
      <c r="J240" s="129"/>
      <c r="K240" s="79"/>
      <c r="L240" s="79"/>
      <c r="M240" s="79"/>
    </row>
    <row r="241" ht="15.75" customHeight="1">
      <c r="A241" s="261"/>
      <c r="B241" s="171"/>
      <c r="C241" s="172"/>
      <c r="D241" s="172"/>
      <c r="E241" s="227"/>
      <c r="F241" s="154"/>
      <c r="G241" s="327"/>
      <c r="H241" s="164"/>
      <c r="I241" s="162"/>
      <c r="J241" s="129"/>
      <c r="K241" s="79"/>
      <c r="L241" s="79"/>
      <c r="M241" s="79"/>
    </row>
    <row r="242" ht="15.75" customHeight="1">
      <c r="A242" s="261"/>
      <c r="B242" s="171"/>
      <c r="C242" s="172"/>
      <c r="D242" s="172"/>
      <c r="E242" s="227"/>
      <c r="F242" s="154"/>
      <c r="G242" s="327"/>
      <c r="H242" s="164"/>
      <c r="I242" s="162"/>
      <c r="J242" s="129"/>
      <c r="K242" s="79"/>
      <c r="L242" s="79"/>
      <c r="M242" s="79"/>
    </row>
    <row r="243" ht="15.75" customHeight="1">
      <c r="A243" s="261"/>
      <c r="B243" s="171"/>
      <c r="C243" s="172"/>
      <c r="D243" s="172"/>
      <c r="E243" s="227"/>
      <c r="F243" s="154"/>
      <c r="G243" s="327"/>
      <c r="H243" s="164"/>
      <c r="I243" s="162"/>
      <c r="J243" s="129"/>
      <c r="K243" s="79"/>
      <c r="L243" s="79"/>
      <c r="M243" s="79"/>
    </row>
    <row r="244" ht="15.75" customHeight="1">
      <c r="A244" s="261"/>
      <c r="B244" s="171"/>
      <c r="C244" s="172"/>
      <c r="D244" s="172"/>
      <c r="E244" s="227"/>
      <c r="F244" s="154"/>
      <c r="G244" s="327"/>
      <c r="H244" s="164"/>
      <c r="I244" s="162"/>
      <c r="J244" s="129"/>
      <c r="K244" s="79"/>
      <c r="L244" s="79"/>
      <c r="M244" s="79"/>
    </row>
    <row r="245" ht="15.75" customHeight="1">
      <c r="A245" s="261"/>
      <c r="B245" s="171"/>
      <c r="C245" s="172"/>
      <c r="D245" s="172"/>
      <c r="E245" s="227"/>
      <c r="F245" s="154"/>
      <c r="G245" s="327"/>
      <c r="H245" s="164"/>
      <c r="I245" s="162"/>
      <c r="J245" s="129"/>
      <c r="K245" s="79"/>
      <c r="L245" s="79"/>
      <c r="M245" s="79"/>
    </row>
    <row r="246" ht="15.75" customHeight="1">
      <c r="A246" s="261"/>
      <c r="B246" s="171"/>
      <c r="C246" s="172"/>
      <c r="D246" s="172"/>
      <c r="E246" s="227"/>
      <c r="F246" s="154"/>
      <c r="G246" s="327"/>
      <c r="H246" s="164"/>
      <c r="I246" s="162"/>
      <c r="J246" s="129"/>
      <c r="K246" s="79"/>
      <c r="L246" s="79"/>
      <c r="M246" s="79"/>
    </row>
    <row r="247" ht="15.75" customHeight="1">
      <c r="A247" s="261"/>
      <c r="B247" s="171"/>
      <c r="C247" s="172"/>
      <c r="D247" s="172"/>
      <c r="E247" s="227"/>
      <c r="F247" s="154"/>
      <c r="G247" s="327"/>
      <c r="H247" s="164"/>
      <c r="I247" s="162"/>
      <c r="J247" s="129"/>
      <c r="K247" s="79"/>
      <c r="L247" s="79"/>
      <c r="M247" s="79"/>
    </row>
    <row r="248" ht="15.75" customHeight="1">
      <c r="A248" s="261"/>
      <c r="B248" s="171"/>
      <c r="C248" s="172"/>
      <c r="D248" s="172"/>
      <c r="E248" s="227"/>
      <c r="F248" s="154"/>
      <c r="G248" s="327"/>
      <c r="H248" s="164"/>
      <c r="I248" s="162"/>
      <c r="J248" s="129"/>
      <c r="K248" s="79"/>
      <c r="L248" s="79"/>
      <c r="M248" s="79"/>
    </row>
    <row r="249" ht="15.75" customHeight="1">
      <c r="A249" s="261"/>
      <c r="B249" s="171"/>
      <c r="C249" s="172"/>
      <c r="D249" s="172"/>
      <c r="E249" s="227"/>
      <c r="F249" s="154"/>
      <c r="G249" s="327"/>
      <c r="H249" s="164"/>
      <c r="I249" s="162"/>
      <c r="J249" s="129"/>
      <c r="K249" s="79"/>
      <c r="L249" s="79"/>
      <c r="M249" s="79"/>
    </row>
    <row r="250" ht="15.75" customHeight="1">
      <c r="A250" s="261"/>
      <c r="B250" s="171"/>
      <c r="C250" s="172"/>
      <c r="D250" s="172"/>
      <c r="E250" s="227"/>
      <c r="F250" s="154"/>
      <c r="G250" s="327"/>
      <c r="H250" s="164"/>
      <c r="I250" s="162"/>
      <c r="J250" s="129"/>
      <c r="K250" s="79"/>
      <c r="L250" s="79"/>
      <c r="M250" s="79"/>
    </row>
    <row r="251" ht="15.75" customHeight="1">
      <c r="A251" s="261"/>
      <c r="B251" s="171"/>
      <c r="C251" s="172"/>
      <c r="D251" s="172"/>
      <c r="E251" s="227"/>
      <c r="F251" s="154"/>
      <c r="G251" s="327"/>
      <c r="H251" s="164"/>
      <c r="I251" s="162"/>
      <c r="J251" s="129"/>
      <c r="K251" s="79"/>
      <c r="L251" s="79"/>
      <c r="M251" s="79"/>
    </row>
    <row r="252" ht="15.75" customHeight="1">
      <c r="A252" s="261"/>
      <c r="B252" s="171"/>
      <c r="C252" s="172"/>
      <c r="D252" s="172"/>
      <c r="E252" s="227"/>
      <c r="F252" s="154"/>
      <c r="G252" s="327"/>
      <c r="H252" s="164"/>
      <c r="I252" s="162"/>
      <c r="J252" s="129"/>
      <c r="K252" s="79"/>
      <c r="L252" s="79"/>
      <c r="M252" s="79"/>
    </row>
    <row r="253" ht="15.75" customHeight="1">
      <c r="A253" s="261"/>
      <c r="B253" s="171"/>
      <c r="C253" s="172"/>
      <c r="D253" s="172"/>
      <c r="E253" s="227"/>
      <c r="F253" s="154"/>
      <c r="G253" s="327"/>
      <c r="H253" s="164"/>
      <c r="I253" s="162"/>
      <c r="J253" s="129"/>
      <c r="K253" s="79"/>
      <c r="L253" s="79"/>
      <c r="M253" s="79"/>
    </row>
    <row r="254" ht="15.75" customHeight="1">
      <c r="A254" s="261"/>
      <c r="B254" s="171"/>
      <c r="C254" s="172"/>
      <c r="D254" s="172"/>
      <c r="E254" s="227"/>
      <c r="F254" s="154"/>
      <c r="G254" s="327"/>
      <c r="H254" s="164"/>
      <c r="I254" s="162"/>
      <c r="J254" s="129"/>
      <c r="K254" s="79"/>
      <c r="L254" s="79"/>
      <c r="M254" s="79"/>
    </row>
    <row r="255" ht="15.75" customHeight="1">
      <c r="A255" s="261"/>
      <c r="B255" s="171"/>
      <c r="C255" s="172"/>
      <c r="D255" s="172"/>
      <c r="E255" s="227"/>
      <c r="F255" s="154"/>
      <c r="G255" s="327"/>
      <c r="H255" s="164"/>
      <c r="I255" s="162"/>
      <c r="J255" s="129"/>
      <c r="K255" s="79"/>
      <c r="L255" s="79"/>
      <c r="M255" s="79"/>
    </row>
    <row r="256" ht="15.75" customHeight="1">
      <c r="A256" s="261"/>
      <c r="B256" s="171"/>
      <c r="C256" s="172"/>
      <c r="D256" s="172"/>
      <c r="E256" s="227"/>
      <c r="F256" s="154"/>
      <c r="G256" s="327"/>
      <c r="H256" s="164"/>
      <c r="I256" s="162"/>
      <c r="J256" s="129"/>
      <c r="K256" s="79"/>
      <c r="L256" s="79"/>
      <c r="M256" s="79"/>
    </row>
    <row r="257" ht="15.75" customHeight="1">
      <c r="A257" s="261"/>
      <c r="B257" s="171"/>
      <c r="C257" s="172"/>
      <c r="D257" s="172"/>
      <c r="E257" s="227"/>
      <c r="F257" s="154"/>
      <c r="G257" s="327"/>
      <c r="H257" s="164"/>
      <c r="I257" s="162"/>
      <c r="J257" s="129"/>
      <c r="K257" s="79"/>
      <c r="L257" s="79"/>
      <c r="M257" s="79"/>
    </row>
    <row r="258" ht="15.75" customHeight="1">
      <c r="A258" s="261"/>
      <c r="B258" s="171"/>
      <c r="C258" s="172"/>
      <c r="D258" s="172"/>
      <c r="E258" s="227"/>
      <c r="F258" s="154"/>
      <c r="G258" s="327"/>
      <c r="H258" s="164"/>
      <c r="I258" s="162"/>
      <c r="J258" s="129"/>
      <c r="K258" s="79"/>
      <c r="L258" s="79"/>
      <c r="M258" s="79"/>
    </row>
    <row r="259" ht="15.75" customHeight="1">
      <c r="A259" s="261"/>
      <c r="B259" s="171"/>
      <c r="C259" s="172"/>
      <c r="D259" s="172"/>
      <c r="E259" s="227"/>
      <c r="F259" s="154"/>
      <c r="G259" s="327"/>
      <c r="H259" s="164"/>
      <c r="I259" s="162"/>
      <c r="J259" s="129"/>
      <c r="K259" s="79"/>
      <c r="L259" s="79"/>
      <c r="M259" s="79"/>
    </row>
    <row r="260" ht="15.75" customHeight="1">
      <c r="A260" s="261"/>
      <c r="B260" s="171"/>
      <c r="C260" s="172"/>
      <c r="D260" s="172"/>
      <c r="E260" s="227"/>
      <c r="F260" s="154"/>
      <c r="G260" s="327"/>
      <c r="H260" s="164"/>
      <c r="I260" s="162"/>
      <c r="J260" s="129"/>
      <c r="K260" s="79"/>
      <c r="L260" s="79"/>
      <c r="M260" s="79"/>
    </row>
    <row r="261" ht="15.75" customHeight="1">
      <c r="A261" s="261"/>
      <c r="B261" s="171"/>
      <c r="C261" s="172"/>
      <c r="D261" s="172"/>
      <c r="E261" s="227"/>
      <c r="F261" s="154"/>
      <c r="G261" s="327"/>
      <c r="H261" s="164"/>
      <c r="I261" s="162"/>
      <c r="J261" s="129"/>
      <c r="K261" s="79"/>
      <c r="L261" s="79"/>
      <c r="M261" s="79"/>
    </row>
    <row r="262" ht="15.75" customHeight="1">
      <c r="A262" s="261"/>
      <c r="B262" s="171"/>
      <c r="C262" s="172"/>
      <c r="D262" s="172"/>
      <c r="E262" s="227"/>
      <c r="F262" s="154"/>
      <c r="G262" s="327"/>
      <c r="H262" s="164"/>
      <c r="I262" s="162"/>
      <c r="J262" s="129"/>
      <c r="K262" s="79"/>
      <c r="L262" s="79"/>
      <c r="M262" s="79"/>
    </row>
    <row r="263" ht="15.75" customHeight="1">
      <c r="A263" s="261"/>
      <c r="B263" s="171"/>
      <c r="C263" s="172"/>
      <c r="D263" s="172"/>
      <c r="E263" s="227"/>
      <c r="F263" s="154"/>
      <c r="G263" s="327"/>
      <c r="H263" s="164"/>
      <c r="I263" s="162"/>
      <c r="J263" s="129"/>
      <c r="K263" s="79"/>
      <c r="L263" s="79"/>
      <c r="M263" s="79"/>
    </row>
    <row r="264" ht="15.75" customHeight="1">
      <c r="A264" s="261"/>
      <c r="B264" s="171"/>
      <c r="C264" s="172"/>
      <c r="D264" s="172"/>
      <c r="E264" s="227"/>
      <c r="F264" s="154"/>
      <c r="G264" s="327"/>
      <c r="H264" s="164"/>
      <c r="I264" s="162"/>
      <c r="J264" s="129"/>
      <c r="K264" s="79"/>
      <c r="L264" s="79"/>
      <c r="M264" s="79"/>
    </row>
    <row r="265" ht="15.75" customHeight="1">
      <c r="A265" s="261"/>
      <c r="B265" s="171"/>
      <c r="C265" s="172"/>
      <c r="D265" s="172"/>
      <c r="E265" s="227"/>
      <c r="F265" s="154"/>
      <c r="G265" s="327"/>
      <c r="H265" s="164"/>
      <c r="I265" s="162"/>
      <c r="J265" s="129"/>
      <c r="K265" s="79"/>
      <c r="L265" s="79"/>
      <c r="M265" s="79"/>
    </row>
    <row r="266" ht="15.75" customHeight="1">
      <c r="A266" s="261"/>
      <c r="B266" s="171"/>
      <c r="C266" s="172"/>
      <c r="D266" s="172"/>
      <c r="E266" s="227"/>
      <c r="F266" s="154"/>
      <c r="G266" s="327"/>
      <c r="H266" s="164"/>
      <c r="I266" s="162"/>
      <c r="J266" s="129"/>
      <c r="K266" s="79"/>
      <c r="L266" s="79"/>
      <c r="M266" s="79"/>
    </row>
    <row r="267" ht="15.75" customHeight="1">
      <c r="A267" s="261"/>
      <c r="B267" s="171"/>
      <c r="C267" s="172"/>
      <c r="D267" s="172"/>
      <c r="E267" s="227"/>
      <c r="F267" s="154"/>
      <c r="G267" s="327"/>
      <c r="H267" s="164"/>
      <c r="I267" s="162"/>
      <c r="J267" s="129"/>
      <c r="K267" s="79"/>
      <c r="L267" s="79"/>
      <c r="M267" s="79"/>
    </row>
    <row r="268" ht="15.75" customHeight="1">
      <c r="A268" s="261"/>
      <c r="B268" s="171"/>
      <c r="C268" s="172"/>
      <c r="D268" s="172"/>
      <c r="E268" s="227"/>
      <c r="F268" s="154"/>
      <c r="G268" s="327"/>
      <c r="H268" s="164"/>
      <c r="I268" s="162"/>
      <c r="J268" s="129"/>
      <c r="K268" s="79"/>
      <c r="L268" s="79"/>
      <c r="M268" s="79"/>
    </row>
    <row r="269" ht="15.75" customHeight="1">
      <c r="A269" s="261"/>
      <c r="B269" s="171"/>
      <c r="C269" s="172"/>
      <c r="D269" s="172"/>
      <c r="E269" s="227"/>
      <c r="F269" s="154"/>
      <c r="G269" s="327"/>
      <c r="H269" s="164"/>
      <c r="I269" s="162"/>
      <c r="J269" s="129"/>
      <c r="K269" s="79"/>
      <c r="L269" s="79"/>
      <c r="M269" s="79"/>
    </row>
    <row r="270" ht="15.75" customHeight="1">
      <c r="A270" s="261"/>
      <c r="B270" s="171"/>
      <c r="C270" s="172"/>
      <c r="D270" s="172"/>
      <c r="E270" s="227"/>
      <c r="F270" s="154"/>
      <c r="G270" s="327"/>
      <c r="H270" s="164"/>
      <c r="I270" s="162"/>
      <c r="J270" s="129"/>
      <c r="K270" s="79"/>
      <c r="L270" s="79"/>
      <c r="M270" s="79"/>
    </row>
    <row r="271" ht="15.75" customHeight="1">
      <c r="A271" s="261"/>
      <c r="B271" s="171"/>
      <c r="C271" s="172"/>
      <c r="D271" s="172"/>
      <c r="E271" s="227"/>
      <c r="F271" s="154"/>
      <c r="G271" s="327"/>
      <c r="H271" s="164"/>
      <c r="I271" s="162"/>
      <c r="J271" s="129"/>
      <c r="K271" s="79"/>
      <c r="L271" s="79"/>
      <c r="M271" s="79"/>
    </row>
    <row r="272" ht="15.75" customHeight="1">
      <c r="A272" s="261"/>
      <c r="B272" s="171"/>
      <c r="C272" s="172"/>
      <c r="D272" s="172"/>
      <c r="E272" s="227"/>
      <c r="F272" s="154"/>
      <c r="G272" s="327"/>
      <c r="H272" s="164"/>
      <c r="I272" s="162"/>
      <c r="J272" s="129"/>
      <c r="K272" s="79"/>
      <c r="L272" s="79"/>
      <c r="M272" s="79"/>
    </row>
    <row r="273" ht="15.75" customHeight="1">
      <c r="A273" s="261"/>
      <c r="B273" s="171"/>
      <c r="C273" s="172"/>
      <c r="D273" s="172"/>
      <c r="E273" s="227"/>
      <c r="F273" s="154"/>
      <c r="G273" s="327"/>
      <c r="H273" s="164"/>
      <c r="I273" s="162"/>
      <c r="J273" s="129"/>
      <c r="K273" s="79"/>
      <c r="L273" s="79"/>
      <c r="M273" s="79"/>
    </row>
    <row r="274" ht="15.75" customHeight="1">
      <c r="A274" s="261"/>
      <c r="B274" s="171"/>
      <c r="C274" s="172"/>
      <c r="D274" s="172"/>
      <c r="E274" s="227"/>
      <c r="F274" s="154"/>
      <c r="G274" s="327"/>
      <c r="H274" s="164"/>
      <c r="I274" s="162"/>
      <c r="J274" s="129"/>
      <c r="K274" s="79"/>
      <c r="L274" s="79"/>
      <c r="M274" s="79"/>
    </row>
    <row r="275" ht="15.75" customHeight="1">
      <c r="A275" s="261"/>
      <c r="B275" s="171"/>
      <c r="C275" s="172"/>
      <c r="D275" s="172"/>
      <c r="E275" s="227"/>
      <c r="F275" s="154"/>
      <c r="G275" s="327"/>
      <c r="H275" s="164"/>
      <c r="I275" s="162"/>
      <c r="J275" s="129"/>
      <c r="K275" s="79"/>
      <c r="L275" s="79"/>
      <c r="M275" s="79"/>
    </row>
    <row r="276" ht="15.75" customHeight="1">
      <c r="A276" s="261"/>
      <c r="B276" s="171"/>
      <c r="C276" s="172"/>
      <c r="D276" s="172"/>
      <c r="E276" s="227"/>
      <c r="F276" s="154"/>
      <c r="G276" s="327"/>
      <c r="H276" s="164"/>
      <c r="I276" s="162"/>
      <c r="J276" s="129"/>
      <c r="K276" s="79"/>
      <c r="L276" s="79"/>
      <c r="M276" s="79"/>
    </row>
    <row r="277" ht="15.75" customHeight="1">
      <c r="A277" s="261"/>
      <c r="B277" s="171"/>
      <c r="C277" s="172"/>
      <c r="D277" s="172"/>
      <c r="E277" s="227"/>
      <c r="F277" s="154"/>
      <c r="G277" s="327"/>
      <c r="H277" s="164"/>
      <c r="I277" s="162"/>
      <c r="J277" s="129"/>
      <c r="K277" s="79"/>
      <c r="L277" s="79"/>
      <c r="M277" s="79"/>
    </row>
    <row r="278" ht="15.75" customHeight="1">
      <c r="A278" s="261"/>
      <c r="B278" s="171"/>
      <c r="C278" s="172"/>
      <c r="D278" s="172"/>
      <c r="E278" s="227"/>
      <c r="F278" s="154"/>
      <c r="G278" s="327"/>
      <c r="H278" s="164"/>
      <c r="I278" s="162"/>
      <c r="J278" s="129"/>
      <c r="K278" s="79"/>
      <c r="L278" s="79"/>
      <c r="M278" s="79"/>
    </row>
    <row r="279" ht="15.75" customHeight="1">
      <c r="A279" s="261"/>
      <c r="B279" s="171"/>
      <c r="C279" s="172"/>
      <c r="D279" s="172"/>
      <c r="E279" s="227"/>
      <c r="F279" s="154"/>
      <c r="G279" s="327"/>
      <c r="H279" s="164"/>
      <c r="I279" s="162"/>
      <c r="J279" s="129"/>
      <c r="K279" s="79"/>
      <c r="L279" s="79"/>
      <c r="M279" s="79"/>
    </row>
    <row r="280" ht="15.75" customHeight="1">
      <c r="A280" s="261"/>
      <c r="B280" s="171"/>
      <c r="C280" s="172"/>
      <c r="D280" s="172"/>
      <c r="E280" s="227"/>
      <c r="F280" s="154"/>
      <c r="G280" s="327"/>
      <c r="H280" s="164"/>
      <c r="I280" s="162"/>
      <c r="J280" s="129"/>
      <c r="K280" s="79"/>
      <c r="L280" s="79"/>
      <c r="M280" s="79"/>
    </row>
    <row r="281" ht="15.75" customHeight="1">
      <c r="A281" s="261"/>
      <c r="B281" s="171"/>
      <c r="C281" s="172"/>
      <c r="D281" s="172"/>
      <c r="E281" s="227"/>
      <c r="F281" s="154"/>
      <c r="G281" s="327"/>
      <c r="H281" s="164"/>
      <c r="I281" s="162"/>
      <c r="J281" s="129"/>
      <c r="K281" s="79"/>
      <c r="L281" s="79"/>
      <c r="M281" s="79"/>
    </row>
    <row r="282" ht="15.75" customHeight="1">
      <c r="A282" s="261"/>
      <c r="B282" s="171"/>
      <c r="C282" s="172"/>
      <c r="D282" s="172"/>
      <c r="E282" s="227"/>
      <c r="F282" s="154"/>
      <c r="G282" s="327"/>
      <c r="H282" s="164"/>
      <c r="I282" s="162"/>
      <c r="J282" s="129"/>
      <c r="K282" s="79"/>
      <c r="L282" s="79"/>
      <c r="M282" s="79"/>
    </row>
    <row r="283" ht="15.75" customHeight="1">
      <c r="A283" s="261"/>
      <c r="B283" s="171"/>
      <c r="C283" s="172"/>
      <c r="D283" s="172"/>
      <c r="E283" s="227"/>
      <c r="F283" s="154"/>
      <c r="G283" s="327"/>
      <c r="H283" s="164"/>
      <c r="I283" s="162"/>
      <c r="J283" s="129"/>
      <c r="K283" s="79"/>
      <c r="L283" s="79"/>
      <c r="M283" s="79"/>
    </row>
    <row r="284" ht="15.75" customHeight="1">
      <c r="A284" s="261"/>
      <c r="B284" s="171"/>
      <c r="C284" s="172"/>
      <c r="D284" s="172"/>
      <c r="E284" s="227"/>
      <c r="F284" s="154"/>
      <c r="G284" s="327"/>
      <c r="H284" s="164"/>
      <c r="I284" s="162"/>
      <c r="J284" s="129"/>
      <c r="K284" s="79"/>
      <c r="L284" s="79"/>
      <c r="M284" s="79"/>
    </row>
    <row r="285" ht="15.75" customHeight="1">
      <c r="A285" s="261"/>
      <c r="B285" s="171"/>
      <c r="C285" s="172"/>
      <c r="D285" s="172"/>
      <c r="E285" s="227"/>
      <c r="F285" s="154"/>
      <c r="G285" s="327"/>
      <c r="H285" s="164"/>
      <c r="I285" s="162"/>
      <c r="J285" s="129"/>
      <c r="K285" s="79"/>
      <c r="L285" s="79"/>
      <c r="M285" s="79"/>
    </row>
    <row r="286" ht="15.75" customHeight="1">
      <c r="A286" s="261"/>
      <c r="B286" s="171"/>
      <c r="C286" s="172"/>
      <c r="D286" s="172"/>
      <c r="E286" s="227"/>
      <c r="F286" s="154"/>
      <c r="G286" s="327"/>
      <c r="H286" s="164"/>
      <c r="I286" s="162"/>
      <c r="J286" s="129"/>
      <c r="K286" s="79"/>
      <c r="L286" s="79"/>
      <c r="M286" s="79"/>
    </row>
    <row r="287" ht="15.75" customHeight="1">
      <c r="A287" s="261"/>
      <c r="B287" s="171"/>
      <c r="C287" s="172"/>
      <c r="D287" s="172"/>
      <c r="E287" s="227"/>
      <c r="F287" s="154"/>
      <c r="G287" s="327"/>
      <c r="H287" s="164"/>
      <c r="I287" s="162"/>
      <c r="J287" s="129"/>
      <c r="K287" s="79"/>
      <c r="L287" s="79"/>
      <c r="M287" s="79"/>
    </row>
    <row r="288" ht="15.75" customHeight="1">
      <c r="A288" s="261"/>
      <c r="B288" s="171"/>
      <c r="C288" s="172"/>
      <c r="D288" s="172"/>
      <c r="E288" s="227"/>
      <c r="F288" s="154"/>
      <c r="G288" s="327"/>
      <c r="H288" s="164"/>
      <c r="I288" s="162"/>
      <c r="J288" s="129"/>
      <c r="K288" s="79"/>
      <c r="L288" s="79"/>
      <c r="M288" s="79"/>
    </row>
    <row r="289" ht="15.75" customHeight="1">
      <c r="A289" s="261"/>
      <c r="B289" s="171"/>
      <c r="C289" s="172"/>
      <c r="D289" s="172"/>
      <c r="E289" s="227"/>
      <c r="F289" s="154"/>
      <c r="G289" s="327"/>
      <c r="H289" s="164"/>
      <c r="I289" s="162"/>
      <c r="J289" s="129"/>
      <c r="K289" s="79"/>
      <c r="L289" s="79"/>
      <c r="M289" s="79"/>
    </row>
    <row r="290" ht="15.75" customHeight="1">
      <c r="A290" s="261"/>
      <c r="B290" s="171"/>
      <c r="C290" s="172"/>
      <c r="D290" s="172"/>
      <c r="E290" s="227"/>
      <c r="F290" s="154"/>
      <c r="G290" s="327"/>
      <c r="H290" s="164"/>
      <c r="I290" s="162"/>
      <c r="J290" s="129"/>
      <c r="K290" s="79"/>
      <c r="L290" s="79"/>
      <c r="M290" s="79"/>
    </row>
    <row r="291" ht="15.75" customHeight="1">
      <c r="A291" s="261"/>
      <c r="B291" s="171"/>
      <c r="C291" s="172"/>
      <c r="D291" s="172"/>
      <c r="E291" s="227"/>
      <c r="F291" s="154"/>
      <c r="G291" s="327"/>
      <c r="H291" s="164"/>
      <c r="I291" s="162"/>
      <c r="J291" s="129"/>
      <c r="K291" s="79"/>
      <c r="L291" s="79"/>
      <c r="M291" s="79"/>
    </row>
    <row r="292" ht="15.75" customHeight="1">
      <c r="A292" s="261"/>
      <c r="B292" s="171"/>
      <c r="C292" s="172"/>
      <c r="D292" s="172"/>
      <c r="E292" s="227"/>
      <c r="F292" s="154"/>
      <c r="G292" s="327"/>
      <c r="H292" s="164"/>
      <c r="I292" s="162"/>
      <c r="J292" s="129"/>
      <c r="K292" s="79"/>
      <c r="L292" s="79"/>
      <c r="M292" s="79"/>
    </row>
    <row r="293" ht="15.75" customHeight="1">
      <c r="A293" s="261"/>
      <c r="B293" s="171"/>
      <c r="C293" s="172"/>
      <c r="D293" s="172"/>
      <c r="E293" s="227"/>
      <c r="F293" s="154"/>
      <c r="G293" s="327"/>
      <c r="H293" s="164"/>
      <c r="I293" s="162"/>
      <c r="J293" s="129"/>
      <c r="K293" s="79"/>
      <c r="L293" s="79"/>
      <c r="M293" s="79"/>
    </row>
    <row r="294" ht="15.75" customHeight="1">
      <c r="A294" s="261"/>
      <c r="B294" s="171"/>
      <c r="C294" s="172"/>
      <c r="D294" s="172"/>
      <c r="E294" s="227"/>
      <c r="F294" s="154"/>
      <c r="G294" s="327"/>
      <c r="H294" s="164"/>
      <c r="I294" s="162"/>
      <c r="J294" s="129"/>
      <c r="K294" s="79"/>
      <c r="L294" s="79"/>
      <c r="M294" s="79"/>
    </row>
    <row r="295" ht="15.75" customHeight="1">
      <c r="A295" s="261"/>
      <c r="B295" s="171"/>
      <c r="C295" s="172"/>
      <c r="D295" s="172"/>
      <c r="E295" s="227"/>
      <c r="F295" s="154"/>
      <c r="G295" s="327"/>
      <c r="H295" s="164"/>
      <c r="I295" s="162"/>
      <c r="J295" s="129"/>
      <c r="K295" s="79"/>
      <c r="L295" s="79"/>
      <c r="M295" s="79"/>
    </row>
    <row r="296" ht="15.75" customHeight="1">
      <c r="A296" s="261"/>
      <c r="B296" s="171"/>
      <c r="C296" s="172"/>
      <c r="D296" s="172"/>
      <c r="E296" s="227"/>
      <c r="F296" s="154"/>
      <c r="G296" s="327"/>
      <c r="H296" s="164"/>
      <c r="I296" s="162"/>
      <c r="J296" s="129"/>
      <c r="K296" s="79"/>
      <c r="L296" s="79"/>
      <c r="M296" s="79"/>
    </row>
    <row r="297" ht="15.75" customHeight="1">
      <c r="A297" s="261"/>
      <c r="B297" s="171"/>
      <c r="C297" s="172"/>
      <c r="D297" s="172"/>
      <c r="E297" s="227"/>
      <c r="F297" s="154"/>
      <c r="G297" s="327"/>
      <c r="H297" s="164"/>
      <c r="I297" s="162"/>
      <c r="J297" s="129"/>
      <c r="K297" s="79"/>
      <c r="L297" s="79"/>
      <c r="M297" s="79"/>
    </row>
    <row r="298" ht="15.75" customHeight="1">
      <c r="A298" s="261"/>
      <c r="B298" s="171"/>
      <c r="C298" s="172"/>
      <c r="D298" s="172"/>
      <c r="E298" s="227"/>
      <c r="F298" s="154"/>
      <c r="G298" s="327"/>
      <c r="H298" s="164"/>
      <c r="I298" s="162"/>
      <c r="J298" s="129"/>
      <c r="K298" s="79"/>
      <c r="L298" s="79"/>
      <c r="M298" s="79"/>
    </row>
    <row r="299" ht="15.75" customHeight="1">
      <c r="A299" s="261"/>
      <c r="B299" s="171"/>
      <c r="C299" s="172"/>
      <c r="D299" s="172"/>
      <c r="E299" s="227"/>
      <c r="F299" s="154"/>
      <c r="G299" s="327"/>
      <c r="H299" s="164"/>
      <c r="I299" s="162"/>
      <c r="J299" s="129"/>
      <c r="K299" s="79"/>
      <c r="L299" s="79"/>
      <c r="M299" s="79"/>
    </row>
    <row r="300" ht="15.75" customHeight="1">
      <c r="A300" s="261"/>
      <c r="B300" s="171"/>
      <c r="C300" s="172"/>
      <c r="D300" s="172"/>
      <c r="E300" s="227"/>
      <c r="F300" s="154"/>
      <c r="G300" s="327"/>
      <c r="H300" s="164"/>
      <c r="I300" s="162"/>
      <c r="J300" s="129"/>
      <c r="K300" s="79"/>
      <c r="L300" s="79"/>
      <c r="M300" s="79"/>
    </row>
    <row r="301" ht="15.75" customHeight="1">
      <c r="A301" s="261"/>
      <c r="B301" s="171"/>
      <c r="C301" s="172"/>
      <c r="D301" s="172"/>
      <c r="E301" s="227"/>
      <c r="F301" s="154"/>
      <c r="G301" s="327"/>
      <c r="H301" s="164"/>
      <c r="I301" s="162"/>
      <c r="J301" s="129"/>
      <c r="K301" s="79"/>
      <c r="L301" s="79"/>
      <c r="M301" s="79"/>
    </row>
    <row r="302" ht="15.75" customHeight="1">
      <c r="A302" s="261"/>
      <c r="B302" s="171"/>
      <c r="C302" s="172"/>
      <c r="D302" s="172"/>
      <c r="E302" s="227"/>
      <c r="F302" s="154"/>
      <c r="G302" s="327"/>
      <c r="H302" s="164"/>
      <c r="I302" s="162"/>
      <c r="J302" s="129"/>
      <c r="K302" s="79"/>
      <c r="L302" s="79"/>
      <c r="M302" s="79"/>
    </row>
    <row r="303" ht="15.75" customHeight="1">
      <c r="A303" s="261"/>
      <c r="B303" s="171"/>
      <c r="C303" s="172"/>
      <c r="D303" s="172"/>
      <c r="E303" s="227"/>
      <c r="F303" s="154"/>
      <c r="G303" s="327"/>
      <c r="H303" s="164"/>
      <c r="I303" s="162"/>
      <c r="J303" s="129"/>
      <c r="K303" s="79"/>
      <c r="L303" s="79"/>
      <c r="M303" s="79"/>
    </row>
    <row r="304" ht="15.75" customHeight="1">
      <c r="A304" s="261"/>
      <c r="B304" s="171"/>
      <c r="C304" s="172"/>
      <c r="D304" s="172"/>
      <c r="E304" s="227"/>
      <c r="F304" s="154"/>
      <c r="G304" s="327"/>
      <c r="H304" s="164"/>
      <c r="I304" s="162"/>
      <c r="J304" s="129"/>
      <c r="K304" s="79"/>
      <c r="L304" s="79"/>
      <c r="M304" s="79"/>
    </row>
    <row r="305" ht="15.75" customHeight="1">
      <c r="A305" s="261"/>
      <c r="B305" s="171"/>
      <c r="C305" s="172"/>
      <c r="D305" s="172"/>
      <c r="E305" s="227"/>
      <c r="F305" s="154"/>
      <c r="G305" s="327"/>
      <c r="H305" s="164"/>
      <c r="I305" s="162"/>
      <c r="J305" s="129"/>
      <c r="K305" s="79"/>
      <c r="L305" s="79"/>
      <c r="M305" s="79"/>
    </row>
    <row r="306" ht="15.75" customHeight="1">
      <c r="A306" s="261"/>
      <c r="B306" s="171"/>
      <c r="C306" s="172"/>
      <c r="D306" s="172"/>
      <c r="E306" s="227"/>
      <c r="F306" s="154"/>
      <c r="G306" s="327"/>
      <c r="H306" s="164"/>
      <c r="I306" s="162"/>
      <c r="J306" s="129"/>
      <c r="K306" s="79"/>
      <c r="L306" s="79"/>
      <c r="M306" s="79"/>
    </row>
    <row r="307" ht="15.75" customHeight="1">
      <c r="A307" s="261"/>
      <c r="B307" s="171"/>
      <c r="C307" s="172"/>
      <c r="D307" s="172"/>
      <c r="E307" s="227"/>
      <c r="F307" s="154"/>
      <c r="G307" s="327"/>
      <c r="H307" s="164"/>
      <c r="I307" s="162"/>
      <c r="J307" s="129"/>
      <c r="K307" s="79"/>
      <c r="L307" s="79"/>
      <c r="M307" s="79"/>
    </row>
    <row r="308" ht="15.75" customHeight="1">
      <c r="A308" s="261"/>
      <c r="B308" s="171"/>
      <c r="C308" s="172"/>
      <c r="D308" s="172"/>
      <c r="E308" s="227"/>
      <c r="F308" s="154"/>
      <c r="G308" s="327"/>
      <c r="H308" s="164"/>
      <c r="I308" s="162"/>
      <c r="J308" s="129"/>
      <c r="K308" s="79"/>
      <c r="L308" s="79"/>
      <c r="M308" s="79"/>
    </row>
    <row r="309" ht="15.75" customHeight="1">
      <c r="A309" s="261"/>
      <c r="B309" s="171"/>
      <c r="C309" s="172"/>
      <c r="D309" s="172"/>
      <c r="E309" s="227"/>
      <c r="F309" s="154"/>
      <c r="G309" s="327"/>
      <c r="H309" s="164"/>
      <c r="I309" s="162"/>
      <c r="J309" s="129"/>
      <c r="K309" s="79"/>
      <c r="L309" s="79"/>
      <c r="M309" s="79"/>
    </row>
    <row r="310" ht="15.75" customHeight="1">
      <c r="A310" s="261"/>
      <c r="B310" s="171"/>
      <c r="C310" s="172"/>
      <c r="D310" s="172"/>
      <c r="E310" s="227"/>
      <c r="F310" s="154"/>
      <c r="G310" s="327"/>
      <c r="H310" s="164"/>
      <c r="I310" s="162"/>
      <c r="J310" s="129"/>
      <c r="K310" s="79"/>
      <c r="L310" s="79"/>
      <c r="M310" s="79"/>
    </row>
    <row r="311" ht="15.75" customHeight="1">
      <c r="A311" s="261"/>
      <c r="B311" s="171"/>
      <c r="C311" s="172"/>
      <c r="D311" s="172"/>
      <c r="E311" s="227"/>
      <c r="F311" s="154"/>
      <c r="G311" s="327"/>
      <c r="H311" s="164"/>
      <c r="I311" s="162"/>
      <c r="J311" s="129"/>
      <c r="K311" s="79"/>
      <c r="L311" s="79"/>
      <c r="M311" s="79"/>
    </row>
    <row r="312" ht="15.75" customHeight="1">
      <c r="A312" s="261"/>
      <c r="B312" s="171"/>
      <c r="C312" s="172"/>
      <c r="D312" s="172"/>
      <c r="E312" s="227"/>
      <c r="F312" s="154"/>
      <c r="G312" s="327"/>
      <c r="H312" s="164"/>
      <c r="I312" s="162"/>
      <c r="J312" s="129"/>
      <c r="K312" s="79"/>
      <c r="L312" s="79"/>
      <c r="M312" s="79"/>
    </row>
    <row r="313" ht="15.75" customHeight="1">
      <c r="A313" s="261"/>
      <c r="B313" s="171"/>
      <c r="C313" s="172"/>
      <c r="D313" s="172"/>
      <c r="E313" s="227"/>
      <c r="F313" s="154"/>
      <c r="G313" s="327"/>
      <c r="H313" s="164"/>
      <c r="I313" s="162"/>
      <c r="J313" s="129"/>
      <c r="K313" s="79"/>
      <c r="L313" s="79"/>
      <c r="M313" s="79"/>
    </row>
    <row r="314" ht="15.75" customHeight="1">
      <c r="A314" s="261"/>
      <c r="B314" s="171"/>
      <c r="C314" s="172"/>
      <c r="D314" s="172"/>
      <c r="E314" s="227"/>
      <c r="F314" s="154"/>
      <c r="G314" s="327"/>
      <c r="H314" s="164"/>
      <c r="I314" s="162"/>
      <c r="J314" s="129"/>
      <c r="K314" s="79"/>
      <c r="L314" s="79"/>
      <c r="M314" s="79"/>
    </row>
    <row r="315" ht="15.75" customHeight="1">
      <c r="A315" s="261"/>
      <c r="B315" s="171"/>
      <c r="C315" s="172"/>
      <c r="D315" s="172"/>
      <c r="E315" s="227"/>
      <c r="F315" s="154"/>
      <c r="G315" s="327"/>
      <c r="H315" s="164"/>
      <c r="I315" s="162"/>
      <c r="J315" s="129"/>
      <c r="K315" s="79"/>
      <c r="L315" s="79"/>
      <c r="M315" s="79"/>
    </row>
    <row r="316" ht="15.75" customHeight="1">
      <c r="A316" s="261"/>
      <c r="B316" s="171"/>
      <c r="C316" s="172"/>
      <c r="D316" s="172"/>
      <c r="E316" s="227"/>
      <c r="F316" s="154"/>
      <c r="G316" s="327"/>
      <c r="H316" s="164"/>
      <c r="I316" s="162"/>
      <c r="J316" s="129"/>
      <c r="K316" s="79"/>
      <c r="L316" s="79"/>
      <c r="M316" s="79"/>
    </row>
    <row r="317" ht="15.75" customHeight="1">
      <c r="A317" s="261"/>
      <c r="B317" s="171"/>
      <c r="C317" s="172"/>
      <c r="D317" s="172"/>
      <c r="E317" s="227"/>
      <c r="F317" s="154"/>
      <c r="G317" s="327"/>
      <c r="H317" s="164"/>
      <c r="I317" s="162"/>
      <c r="J317" s="129"/>
      <c r="K317" s="79"/>
      <c r="L317" s="79"/>
      <c r="M317" s="79"/>
    </row>
    <row r="318" ht="15.75" customHeight="1">
      <c r="A318" s="261"/>
      <c r="B318" s="171"/>
      <c r="C318" s="172"/>
      <c r="D318" s="172"/>
      <c r="E318" s="227"/>
      <c r="F318" s="154"/>
      <c r="G318" s="327"/>
      <c r="H318" s="164"/>
      <c r="I318" s="162"/>
      <c r="J318" s="129"/>
      <c r="K318" s="79"/>
      <c r="L318" s="79"/>
      <c r="M318" s="79"/>
    </row>
    <row r="319" ht="15.75" customHeight="1">
      <c r="A319" s="261"/>
      <c r="B319" s="171"/>
      <c r="C319" s="172"/>
      <c r="D319" s="172"/>
      <c r="E319" s="227"/>
      <c r="F319" s="154"/>
      <c r="G319" s="327"/>
      <c r="H319" s="164"/>
      <c r="I319" s="162"/>
      <c r="J319" s="129"/>
      <c r="K319" s="79"/>
      <c r="L319" s="79"/>
      <c r="M319" s="79"/>
    </row>
    <row r="320" ht="15.75" customHeight="1">
      <c r="A320" s="261"/>
      <c r="B320" s="171"/>
      <c r="C320" s="172"/>
      <c r="D320" s="172"/>
      <c r="E320" s="227"/>
      <c r="F320" s="154"/>
      <c r="G320" s="327"/>
      <c r="H320" s="164"/>
      <c r="I320" s="162"/>
      <c r="J320" s="129"/>
      <c r="K320" s="79"/>
      <c r="L320" s="79"/>
      <c r="M320" s="79"/>
    </row>
    <row r="321" ht="15.75" customHeight="1">
      <c r="A321" s="261"/>
      <c r="B321" s="171"/>
      <c r="C321" s="172"/>
      <c r="D321" s="172"/>
      <c r="E321" s="227"/>
      <c r="F321" s="154"/>
      <c r="G321" s="327"/>
      <c r="H321" s="164"/>
      <c r="I321" s="162"/>
      <c r="J321" s="129"/>
      <c r="K321" s="79"/>
      <c r="L321" s="79"/>
      <c r="M321" s="79"/>
    </row>
    <row r="322" ht="15.75" customHeight="1">
      <c r="A322" s="261"/>
      <c r="B322" s="171"/>
      <c r="C322" s="172"/>
      <c r="D322" s="172"/>
      <c r="E322" s="227"/>
      <c r="F322" s="154"/>
      <c r="G322" s="327"/>
      <c r="H322" s="164"/>
      <c r="I322" s="162"/>
      <c r="J322" s="129"/>
      <c r="K322" s="79"/>
      <c r="L322" s="79"/>
      <c r="M322" s="79"/>
    </row>
    <row r="323" ht="15.75" customHeight="1">
      <c r="A323" s="261"/>
      <c r="B323" s="171"/>
      <c r="C323" s="172"/>
      <c r="D323" s="172"/>
      <c r="E323" s="227"/>
      <c r="F323" s="154"/>
      <c r="G323" s="327"/>
      <c r="H323" s="164"/>
      <c r="I323" s="162"/>
      <c r="J323" s="129"/>
      <c r="K323" s="79"/>
      <c r="L323" s="79"/>
      <c r="M323" s="79"/>
    </row>
    <row r="324" ht="15.75" customHeight="1">
      <c r="A324" s="261"/>
      <c r="B324" s="171"/>
      <c r="C324" s="172"/>
      <c r="D324" s="172"/>
      <c r="E324" s="227"/>
      <c r="F324" s="154"/>
      <c r="G324" s="327"/>
      <c r="H324" s="164"/>
      <c r="I324" s="162"/>
      <c r="J324" s="129"/>
      <c r="K324" s="79"/>
      <c r="L324" s="79"/>
      <c r="M324" s="79"/>
    </row>
    <row r="325" ht="15.75" customHeight="1">
      <c r="A325" s="261"/>
      <c r="B325" s="171"/>
      <c r="C325" s="172"/>
      <c r="D325" s="172"/>
      <c r="E325" s="227"/>
      <c r="F325" s="154"/>
      <c r="G325" s="327"/>
      <c r="H325" s="164"/>
      <c r="I325" s="162"/>
      <c r="J325" s="129"/>
      <c r="K325" s="79"/>
      <c r="L325" s="79"/>
      <c r="M325" s="79"/>
    </row>
    <row r="326" ht="15.75" customHeight="1">
      <c r="A326" s="261"/>
      <c r="B326" s="171"/>
      <c r="C326" s="172"/>
      <c r="D326" s="172"/>
      <c r="E326" s="227"/>
      <c r="F326" s="154"/>
      <c r="G326" s="327"/>
      <c r="H326" s="164"/>
      <c r="I326" s="162"/>
      <c r="J326" s="129"/>
      <c r="K326" s="79"/>
      <c r="L326" s="79"/>
      <c r="M326" s="79"/>
    </row>
    <row r="327" ht="15.75" customHeight="1">
      <c r="A327" s="261"/>
      <c r="B327" s="171"/>
      <c r="C327" s="172"/>
      <c r="D327" s="172"/>
      <c r="E327" s="227"/>
      <c r="F327" s="154"/>
      <c r="G327" s="327"/>
      <c r="H327" s="164"/>
      <c r="I327" s="162"/>
      <c r="J327" s="129"/>
      <c r="K327" s="79"/>
      <c r="L327" s="79"/>
      <c r="M327" s="79"/>
    </row>
    <row r="328" ht="15.75" customHeight="1">
      <c r="A328" s="261"/>
      <c r="B328" s="171"/>
      <c r="C328" s="172"/>
      <c r="D328" s="172"/>
      <c r="E328" s="227"/>
      <c r="F328" s="154"/>
      <c r="G328" s="327"/>
      <c r="H328" s="164"/>
      <c r="I328" s="162"/>
      <c r="J328" s="129"/>
      <c r="K328" s="79"/>
      <c r="L328" s="79"/>
      <c r="M328" s="79"/>
    </row>
    <row r="329" ht="15.75" customHeight="1">
      <c r="A329" s="261"/>
      <c r="B329" s="171"/>
      <c r="C329" s="172"/>
      <c r="D329" s="172"/>
      <c r="E329" s="227"/>
      <c r="F329" s="154"/>
      <c r="G329" s="327"/>
      <c r="H329" s="164"/>
      <c r="I329" s="162"/>
      <c r="J329" s="129"/>
      <c r="K329" s="79"/>
      <c r="L329" s="79"/>
      <c r="M329" s="79"/>
    </row>
    <row r="330" ht="15.75" customHeight="1">
      <c r="A330" s="261"/>
      <c r="B330" s="171"/>
      <c r="C330" s="172"/>
      <c r="D330" s="172"/>
      <c r="E330" s="227"/>
      <c r="F330" s="154"/>
      <c r="G330" s="327"/>
      <c r="H330" s="164"/>
      <c r="I330" s="162"/>
      <c r="J330" s="129"/>
      <c r="K330" s="79"/>
      <c r="L330" s="79"/>
      <c r="M330" s="79"/>
    </row>
    <row r="331" ht="15.75" customHeight="1">
      <c r="A331" s="261"/>
      <c r="B331" s="171"/>
      <c r="C331" s="172"/>
      <c r="D331" s="172"/>
      <c r="E331" s="227"/>
      <c r="F331" s="154"/>
      <c r="G331" s="327"/>
      <c r="H331" s="164"/>
      <c r="I331" s="162"/>
      <c r="J331" s="129"/>
      <c r="K331" s="79"/>
      <c r="L331" s="79"/>
      <c r="M331" s="79"/>
    </row>
    <row r="332" ht="15.75" customHeight="1">
      <c r="A332" s="261"/>
      <c r="B332" s="171"/>
      <c r="C332" s="172"/>
      <c r="D332" s="172"/>
      <c r="E332" s="227"/>
      <c r="F332" s="154"/>
      <c r="G332" s="327"/>
      <c r="H332" s="164"/>
      <c r="I332" s="162"/>
      <c r="J332" s="129"/>
      <c r="K332" s="79"/>
      <c r="L332" s="79"/>
      <c r="M332" s="79"/>
    </row>
    <row r="333" ht="15.75" customHeight="1">
      <c r="A333" s="261"/>
      <c r="B333" s="171"/>
      <c r="C333" s="172"/>
      <c r="D333" s="172"/>
      <c r="E333" s="227"/>
      <c r="F333" s="154"/>
      <c r="G333" s="327"/>
      <c r="H333" s="164"/>
      <c r="I333" s="162"/>
      <c r="J333" s="129"/>
      <c r="K333" s="79"/>
      <c r="L333" s="79"/>
      <c r="M333" s="79"/>
    </row>
    <row r="334" ht="15.75" customHeight="1">
      <c r="A334" s="261"/>
      <c r="B334" s="171"/>
      <c r="C334" s="172"/>
      <c r="D334" s="172"/>
      <c r="E334" s="227"/>
      <c r="F334" s="154"/>
      <c r="G334" s="327"/>
      <c r="H334" s="164"/>
      <c r="I334" s="162"/>
      <c r="J334" s="129"/>
      <c r="K334" s="79"/>
      <c r="L334" s="79"/>
      <c r="M334" s="79"/>
    </row>
    <row r="335" ht="15.75" customHeight="1">
      <c r="A335" s="261"/>
      <c r="B335" s="171"/>
      <c r="C335" s="172"/>
      <c r="D335" s="172"/>
      <c r="E335" s="227"/>
      <c r="F335" s="154"/>
      <c r="G335" s="327"/>
      <c r="H335" s="164"/>
      <c r="I335" s="162"/>
      <c r="J335" s="129"/>
      <c r="K335" s="79"/>
      <c r="L335" s="79"/>
      <c r="M335" s="79"/>
    </row>
    <row r="336" ht="15.75" customHeight="1">
      <c r="A336" s="261"/>
      <c r="B336" s="171"/>
      <c r="C336" s="172"/>
      <c r="D336" s="172"/>
      <c r="E336" s="227"/>
      <c r="F336" s="154"/>
      <c r="G336" s="327"/>
      <c r="H336" s="164"/>
      <c r="I336" s="162"/>
      <c r="J336" s="129"/>
      <c r="K336" s="79"/>
      <c r="L336" s="79"/>
      <c r="M336" s="79"/>
    </row>
    <row r="337" ht="15.75" customHeight="1">
      <c r="A337" s="261"/>
      <c r="B337" s="171"/>
      <c r="C337" s="172"/>
      <c r="D337" s="172"/>
      <c r="E337" s="227"/>
      <c r="F337" s="154"/>
      <c r="G337" s="327"/>
      <c r="H337" s="164"/>
      <c r="I337" s="162"/>
      <c r="J337" s="129"/>
      <c r="K337" s="79"/>
      <c r="L337" s="79"/>
      <c r="M337" s="79"/>
    </row>
    <row r="338" ht="15.75" customHeight="1">
      <c r="A338" s="261"/>
      <c r="B338" s="171"/>
      <c r="C338" s="172"/>
      <c r="D338" s="172"/>
      <c r="E338" s="227"/>
      <c r="F338" s="154"/>
      <c r="G338" s="327"/>
      <c r="H338" s="164"/>
      <c r="I338" s="162"/>
      <c r="J338" s="129"/>
      <c r="K338" s="79"/>
      <c r="L338" s="79"/>
      <c r="M338" s="79"/>
    </row>
    <row r="339" ht="15.75" customHeight="1">
      <c r="A339" s="261"/>
      <c r="B339" s="171"/>
      <c r="C339" s="172"/>
      <c r="D339" s="172"/>
      <c r="E339" s="227"/>
      <c r="F339" s="154"/>
      <c r="G339" s="327"/>
      <c r="H339" s="164"/>
      <c r="I339" s="162"/>
      <c r="J339" s="129"/>
      <c r="K339" s="79"/>
      <c r="L339" s="79"/>
      <c r="M339" s="79"/>
    </row>
    <row r="340" ht="15.75" customHeight="1">
      <c r="A340" s="261"/>
      <c r="B340" s="171"/>
      <c r="C340" s="172"/>
      <c r="D340" s="172"/>
      <c r="E340" s="227"/>
      <c r="F340" s="154"/>
      <c r="G340" s="327"/>
      <c r="H340" s="164"/>
      <c r="I340" s="162"/>
      <c r="J340" s="129"/>
      <c r="K340" s="79"/>
      <c r="L340" s="79"/>
      <c r="M340" s="79"/>
    </row>
    <row r="341" ht="15.75" customHeight="1">
      <c r="A341" s="261"/>
      <c r="B341" s="171"/>
      <c r="C341" s="172"/>
      <c r="D341" s="172"/>
      <c r="E341" s="227"/>
      <c r="F341" s="154"/>
      <c r="G341" s="327"/>
      <c r="H341" s="164"/>
      <c r="I341" s="162"/>
      <c r="J341" s="129"/>
      <c r="K341" s="79"/>
      <c r="L341" s="79"/>
      <c r="M341" s="79"/>
    </row>
    <row r="342" ht="15.75" customHeight="1">
      <c r="A342" s="261"/>
      <c r="B342" s="171"/>
      <c r="C342" s="172"/>
      <c r="D342" s="172"/>
      <c r="E342" s="227"/>
      <c r="F342" s="154"/>
      <c r="G342" s="327"/>
      <c r="H342" s="164"/>
      <c r="I342" s="162"/>
      <c r="J342" s="129"/>
      <c r="K342" s="79"/>
      <c r="L342" s="79"/>
      <c r="M342" s="79"/>
    </row>
    <row r="343" ht="15.75" customHeight="1">
      <c r="A343" s="261"/>
      <c r="B343" s="171"/>
      <c r="C343" s="172"/>
      <c r="D343" s="172"/>
      <c r="E343" s="227"/>
      <c r="F343" s="154"/>
      <c r="G343" s="327"/>
      <c r="H343" s="164"/>
      <c r="I343" s="162"/>
      <c r="J343" s="129"/>
      <c r="K343" s="79"/>
      <c r="L343" s="79"/>
      <c r="M343" s="79"/>
    </row>
    <row r="344" ht="15.75" customHeight="1">
      <c r="A344" s="261"/>
      <c r="B344" s="171"/>
      <c r="C344" s="172"/>
      <c r="D344" s="172"/>
      <c r="E344" s="227"/>
      <c r="F344" s="154"/>
      <c r="G344" s="327"/>
      <c r="H344" s="164"/>
      <c r="I344" s="162"/>
      <c r="J344" s="129"/>
      <c r="K344" s="79"/>
      <c r="L344" s="79"/>
      <c r="M344" s="79"/>
    </row>
    <row r="345" ht="15.75" customHeight="1">
      <c r="A345" s="261"/>
      <c r="B345" s="171"/>
      <c r="C345" s="172"/>
      <c r="D345" s="172"/>
      <c r="E345" s="227"/>
      <c r="F345" s="154"/>
      <c r="G345" s="327"/>
      <c r="H345" s="164"/>
      <c r="I345" s="162"/>
      <c r="J345" s="129"/>
      <c r="K345" s="79"/>
      <c r="L345" s="79"/>
      <c r="M345" s="79"/>
    </row>
    <row r="346" ht="15.75" customHeight="1">
      <c r="A346" s="261"/>
      <c r="B346" s="171"/>
      <c r="C346" s="172"/>
      <c r="D346" s="172"/>
      <c r="E346" s="227"/>
      <c r="F346" s="154"/>
      <c r="G346" s="327"/>
      <c r="H346" s="164"/>
      <c r="I346" s="162"/>
      <c r="J346" s="129"/>
      <c r="K346" s="79"/>
      <c r="L346" s="79"/>
      <c r="M346" s="79"/>
    </row>
    <row r="347" ht="15.75" customHeight="1">
      <c r="A347" s="261"/>
      <c r="B347" s="171"/>
      <c r="C347" s="172"/>
      <c r="D347" s="172"/>
      <c r="E347" s="227"/>
      <c r="F347" s="154"/>
      <c r="G347" s="327"/>
      <c r="H347" s="164"/>
      <c r="I347" s="162"/>
      <c r="J347" s="129"/>
      <c r="K347" s="79"/>
      <c r="L347" s="79"/>
      <c r="M347" s="79"/>
    </row>
    <row r="348" ht="15.75" customHeight="1">
      <c r="A348" s="261"/>
      <c r="B348" s="171"/>
      <c r="C348" s="172"/>
      <c r="D348" s="172"/>
      <c r="E348" s="227"/>
      <c r="F348" s="154"/>
      <c r="G348" s="327"/>
      <c r="H348" s="164"/>
      <c r="I348" s="162"/>
      <c r="J348" s="129"/>
      <c r="K348" s="79"/>
      <c r="L348" s="79"/>
      <c r="M348" s="79"/>
    </row>
    <row r="349" ht="15.75" customHeight="1">
      <c r="A349" s="261"/>
      <c r="B349" s="171"/>
      <c r="C349" s="172"/>
      <c r="D349" s="172"/>
      <c r="E349" s="227"/>
      <c r="F349" s="154"/>
      <c r="G349" s="327"/>
      <c r="H349" s="164"/>
      <c r="I349" s="162"/>
      <c r="J349" s="129"/>
      <c r="K349" s="79"/>
      <c r="L349" s="79"/>
      <c r="M349" s="79"/>
    </row>
    <row r="350" ht="15.75" customHeight="1">
      <c r="A350" s="261"/>
      <c r="B350" s="171"/>
      <c r="C350" s="172"/>
      <c r="D350" s="172"/>
      <c r="E350" s="227"/>
      <c r="F350" s="154"/>
      <c r="G350" s="327"/>
      <c r="H350" s="164"/>
      <c r="I350" s="162"/>
      <c r="J350" s="129"/>
      <c r="K350" s="79"/>
      <c r="L350" s="79"/>
      <c r="M350" s="79"/>
    </row>
    <row r="351" ht="15.75" customHeight="1">
      <c r="A351" s="261"/>
      <c r="B351" s="171"/>
      <c r="C351" s="172"/>
      <c r="D351" s="172"/>
      <c r="E351" s="227"/>
      <c r="F351" s="154"/>
      <c r="G351" s="327"/>
      <c r="H351" s="164"/>
      <c r="I351" s="162"/>
      <c r="J351" s="129"/>
      <c r="K351" s="79"/>
      <c r="L351" s="79"/>
      <c r="M351" s="79"/>
    </row>
    <row r="352" ht="15.75" customHeight="1">
      <c r="A352" s="261"/>
      <c r="B352" s="171"/>
      <c r="C352" s="172"/>
      <c r="D352" s="172"/>
      <c r="E352" s="227"/>
      <c r="F352" s="154"/>
      <c r="G352" s="327"/>
      <c r="H352" s="164"/>
      <c r="I352" s="162"/>
      <c r="J352" s="129"/>
      <c r="K352" s="79"/>
      <c r="L352" s="79"/>
      <c r="M352" s="79"/>
    </row>
    <row r="353" ht="15.75" customHeight="1">
      <c r="A353" s="261"/>
      <c r="B353" s="171"/>
      <c r="C353" s="172"/>
      <c r="D353" s="172"/>
      <c r="E353" s="227"/>
      <c r="F353" s="154"/>
      <c r="G353" s="327"/>
      <c r="H353" s="164"/>
      <c r="I353" s="162"/>
      <c r="J353" s="129"/>
      <c r="K353" s="79"/>
      <c r="L353" s="79"/>
      <c r="M353" s="79"/>
    </row>
    <row r="354" ht="15.75" customHeight="1">
      <c r="A354" s="261"/>
      <c r="B354" s="171"/>
      <c r="C354" s="172"/>
      <c r="D354" s="172"/>
      <c r="E354" s="227"/>
      <c r="F354" s="154"/>
      <c r="G354" s="327"/>
      <c r="H354" s="164"/>
      <c r="I354" s="162"/>
      <c r="J354" s="129"/>
      <c r="K354" s="79"/>
      <c r="L354" s="79"/>
      <c r="M354" s="79"/>
    </row>
    <row r="355" ht="15.75" customHeight="1">
      <c r="A355" s="261"/>
      <c r="B355" s="171"/>
      <c r="C355" s="172"/>
      <c r="D355" s="172"/>
      <c r="E355" s="227"/>
      <c r="F355" s="154"/>
      <c r="G355" s="327"/>
      <c r="H355" s="164"/>
      <c r="I355" s="162"/>
      <c r="J355" s="129"/>
      <c r="K355" s="79"/>
      <c r="L355" s="79"/>
      <c r="M355" s="79"/>
    </row>
    <row r="356" ht="15.75" customHeight="1">
      <c r="A356" s="261"/>
      <c r="B356" s="171"/>
      <c r="C356" s="172"/>
      <c r="D356" s="172"/>
      <c r="E356" s="227"/>
      <c r="F356" s="154"/>
      <c r="G356" s="327"/>
      <c r="H356" s="164"/>
      <c r="I356" s="162"/>
      <c r="J356" s="129"/>
      <c r="K356" s="79"/>
      <c r="L356" s="79"/>
      <c r="M356" s="79"/>
    </row>
    <row r="357" ht="15.75" customHeight="1">
      <c r="A357" s="261"/>
      <c r="B357" s="171"/>
      <c r="C357" s="172"/>
      <c r="D357" s="172"/>
      <c r="E357" s="227"/>
      <c r="F357" s="154"/>
      <c r="G357" s="327"/>
      <c r="H357" s="164"/>
      <c r="I357" s="162"/>
      <c r="J357" s="129"/>
      <c r="K357" s="79"/>
      <c r="L357" s="79"/>
      <c r="M357" s="79"/>
    </row>
    <row r="358" ht="15.75" customHeight="1">
      <c r="A358" s="261"/>
      <c r="B358" s="171"/>
      <c r="C358" s="172"/>
      <c r="D358" s="172"/>
      <c r="E358" s="227"/>
      <c r="F358" s="154"/>
      <c r="G358" s="327"/>
      <c r="H358" s="164"/>
      <c r="I358" s="162"/>
      <c r="J358" s="129"/>
      <c r="K358" s="79"/>
      <c r="L358" s="79"/>
      <c r="M358" s="79"/>
    </row>
    <row r="359" ht="15.75" customHeight="1">
      <c r="A359" s="261"/>
      <c r="B359" s="171"/>
      <c r="C359" s="172"/>
      <c r="D359" s="172"/>
      <c r="E359" s="227"/>
      <c r="F359" s="154"/>
      <c r="G359" s="327"/>
      <c r="H359" s="164"/>
      <c r="I359" s="162"/>
      <c r="J359" s="129"/>
      <c r="K359" s="79"/>
      <c r="L359" s="79"/>
      <c r="M359" s="79"/>
    </row>
    <row r="360" ht="15.75" customHeight="1">
      <c r="A360" s="261"/>
      <c r="B360" s="171"/>
      <c r="C360" s="172"/>
      <c r="D360" s="172"/>
      <c r="E360" s="227"/>
      <c r="F360" s="154"/>
      <c r="G360" s="327"/>
      <c r="H360" s="164"/>
      <c r="I360" s="162"/>
      <c r="J360" s="129"/>
      <c r="K360" s="79"/>
      <c r="L360" s="79"/>
      <c r="M360" s="79"/>
    </row>
    <row r="361" ht="15.75" customHeight="1">
      <c r="A361" s="261"/>
      <c r="B361" s="171"/>
      <c r="C361" s="172"/>
      <c r="D361" s="172"/>
      <c r="E361" s="227"/>
      <c r="F361" s="154"/>
      <c r="G361" s="327"/>
      <c r="H361" s="164"/>
      <c r="I361" s="162"/>
      <c r="J361" s="129"/>
      <c r="K361" s="79"/>
      <c r="L361" s="79"/>
      <c r="M361" s="79"/>
    </row>
    <row r="362" ht="15.75" customHeight="1">
      <c r="A362" s="261"/>
      <c r="B362" s="171"/>
      <c r="C362" s="172"/>
      <c r="D362" s="172"/>
      <c r="E362" s="227"/>
      <c r="F362" s="154"/>
      <c r="G362" s="327"/>
      <c r="H362" s="164"/>
      <c r="I362" s="162"/>
      <c r="J362" s="129"/>
      <c r="K362" s="79"/>
      <c r="L362" s="79"/>
      <c r="M362" s="79"/>
    </row>
    <row r="363" ht="15.75" customHeight="1">
      <c r="A363" s="261"/>
      <c r="B363" s="171"/>
      <c r="C363" s="172"/>
      <c r="D363" s="172"/>
      <c r="E363" s="227"/>
      <c r="F363" s="154"/>
      <c r="G363" s="327"/>
      <c r="H363" s="164"/>
      <c r="I363" s="162"/>
      <c r="J363" s="129"/>
      <c r="K363" s="79"/>
      <c r="L363" s="79"/>
      <c r="M363" s="79"/>
    </row>
    <row r="364" ht="15.75" customHeight="1">
      <c r="A364" s="261"/>
      <c r="B364" s="171"/>
      <c r="C364" s="172"/>
      <c r="D364" s="172"/>
      <c r="E364" s="227"/>
      <c r="F364" s="154"/>
      <c r="G364" s="327"/>
      <c r="H364" s="164"/>
      <c r="I364" s="162"/>
      <c r="J364" s="129"/>
      <c r="K364" s="79"/>
      <c r="L364" s="79"/>
      <c r="M364" s="79"/>
    </row>
    <row r="365" ht="15.75" customHeight="1">
      <c r="A365" s="261"/>
      <c r="B365" s="171"/>
      <c r="C365" s="172"/>
      <c r="D365" s="172"/>
      <c r="E365" s="227"/>
      <c r="F365" s="154"/>
      <c r="G365" s="327"/>
      <c r="H365" s="164"/>
      <c r="I365" s="162"/>
      <c r="J365" s="129"/>
      <c r="K365" s="79"/>
      <c r="L365" s="79"/>
      <c r="M365" s="79"/>
    </row>
    <row r="366" ht="15.75" customHeight="1">
      <c r="A366" s="261"/>
      <c r="B366" s="171"/>
      <c r="C366" s="172"/>
      <c r="D366" s="172"/>
      <c r="E366" s="227"/>
      <c r="F366" s="154"/>
      <c r="G366" s="327"/>
      <c r="H366" s="164"/>
      <c r="I366" s="162"/>
      <c r="J366" s="129"/>
      <c r="K366" s="79"/>
      <c r="L366" s="79"/>
      <c r="M366" s="79"/>
    </row>
    <row r="367" ht="15.75" customHeight="1">
      <c r="A367" s="261"/>
      <c r="B367" s="171"/>
      <c r="C367" s="172"/>
      <c r="D367" s="172"/>
      <c r="E367" s="227"/>
      <c r="F367" s="154"/>
      <c r="G367" s="327"/>
      <c r="H367" s="164"/>
      <c r="I367" s="162"/>
      <c r="J367" s="129"/>
      <c r="K367" s="79"/>
      <c r="L367" s="79"/>
      <c r="M367" s="79"/>
    </row>
    <row r="368" ht="15.75" customHeight="1">
      <c r="A368" s="261"/>
      <c r="B368" s="171"/>
      <c r="C368" s="172"/>
      <c r="D368" s="172"/>
      <c r="E368" s="227"/>
      <c r="F368" s="154"/>
      <c r="G368" s="327"/>
      <c r="H368" s="164"/>
      <c r="I368" s="162"/>
      <c r="J368" s="129"/>
      <c r="K368" s="79"/>
      <c r="L368" s="79"/>
      <c r="M368" s="79"/>
    </row>
    <row r="369" ht="15.75" customHeight="1">
      <c r="A369" s="261"/>
      <c r="B369" s="171"/>
      <c r="C369" s="172"/>
      <c r="D369" s="172"/>
      <c r="E369" s="227"/>
      <c r="F369" s="154"/>
      <c r="G369" s="327"/>
      <c r="H369" s="164"/>
      <c r="I369" s="162"/>
      <c r="J369" s="129"/>
      <c r="K369" s="79"/>
      <c r="L369" s="79"/>
      <c r="M369" s="79"/>
    </row>
    <row r="370" ht="15.75" customHeight="1">
      <c r="A370" s="261"/>
      <c r="B370" s="171"/>
      <c r="C370" s="172"/>
      <c r="D370" s="172"/>
      <c r="E370" s="227"/>
      <c r="F370" s="154"/>
      <c r="G370" s="327"/>
      <c r="H370" s="164"/>
      <c r="I370" s="162"/>
      <c r="J370" s="129"/>
      <c r="K370" s="79"/>
      <c r="L370" s="79"/>
      <c r="M370" s="79"/>
    </row>
    <row r="371" ht="15.75" customHeight="1">
      <c r="A371" s="261"/>
      <c r="B371" s="171"/>
      <c r="C371" s="172"/>
      <c r="D371" s="172"/>
      <c r="E371" s="227"/>
      <c r="F371" s="154"/>
      <c r="G371" s="327"/>
      <c r="H371" s="164"/>
      <c r="I371" s="162"/>
      <c r="J371" s="129"/>
      <c r="K371" s="79"/>
      <c r="L371" s="79"/>
      <c r="M371" s="79"/>
    </row>
    <row r="372" ht="15.75" customHeight="1">
      <c r="A372" s="261"/>
      <c r="B372" s="171"/>
      <c r="C372" s="172"/>
      <c r="D372" s="172"/>
      <c r="E372" s="227"/>
      <c r="F372" s="154"/>
      <c r="G372" s="327"/>
      <c r="H372" s="164"/>
      <c r="I372" s="162"/>
      <c r="J372" s="129"/>
      <c r="K372" s="79"/>
      <c r="L372" s="79"/>
      <c r="M372" s="79"/>
    </row>
    <row r="373" ht="15.75" customHeight="1">
      <c r="A373" s="261"/>
      <c r="B373" s="171"/>
      <c r="C373" s="172"/>
      <c r="D373" s="172"/>
      <c r="E373" s="227"/>
      <c r="F373" s="154"/>
      <c r="G373" s="327"/>
      <c r="H373" s="164"/>
      <c r="I373" s="162"/>
      <c r="J373" s="129"/>
      <c r="K373" s="79"/>
      <c r="L373" s="79"/>
      <c r="M373" s="79"/>
    </row>
    <row r="374" ht="15.75" customHeight="1">
      <c r="A374" s="261"/>
      <c r="B374" s="171"/>
      <c r="C374" s="172"/>
      <c r="D374" s="172"/>
      <c r="E374" s="227"/>
      <c r="F374" s="154"/>
      <c r="G374" s="327"/>
      <c r="H374" s="164"/>
      <c r="I374" s="162"/>
      <c r="J374" s="129"/>
      <c r="K374" s="79"/>
      <c r="L374" s="79"/>
      <c r="M374" s="79"/>
    </row>
    <row r="375" ht="15.75" customHeight="1">
      <c r="A375" s="261"/>
      <c r="B375" s="171"/>
      <c r="C375" s="172"/>
      <c r="D375" s="172"/>
      <c r="E375" s="227"/>
      <c r="F375" s="154"/>
      <c r="G375" s="327"/>
      <c r="H375" s="164"/>
      <c r="I375" s="162"/>
      <c r="J375" s="129"/>
      <c r="K375" s="79"/>
      <c r="L375" s="79"/>
      <c r="M375" s="79"/>
    </row>
    <row r="376" ht="15.75" customHeight="1">
      <c r="A376" s="261"/>
      <c r="B376" s="171"/>
      <c r="C376" s="172"/>
      <c r="D376" s="172"/>
      <c r="E376" s="227"/>
      <c r="F376" s="154"/>
      <c r="G376" s="327"/>
      <c r="H376" s="164"/>
      <c r="I376" s="162"/>
      <c r="J376" s="129"/>
      <c r="K376" s="79"/>
      <c r="L376" s="79"/>
      <c r="M376" s="79"/>
    </row>
    <row r="377" ht="15.75" customHeight="1">
      <c r="A377" s="261"/>
      <c r="B377" s="171"/>
      <c r="C377" s="172"/>
      <c r="D377" s="172"/>
      <c r="E377" s="227"/>
      <c r="F377" s="154"/>
      <c r="G377" s="327"/>
      <c r="H377" s="164"/>
      <c r="I377" s="162"/>
      <c r="J377" s="129"/>
      <c r="K377" s="79"/>
      <c r="L377" s="79"/>
      <c r="M377" s="79"/>
    </row>
    <row r="378" ht="15.75" customHeight="1">
      <c r="A378" s="261"/>
      <c r="B378" s="171"/>
      <c r="C378" s="172"/>
      <c r="D378" s="172"/>
      <c r="E378" s="227"/>
      <c r="F378" s="154"/>
      <c r="G378" s="327"/>
      <c r="H378" s="164"/>
      <c r="I378" s="162"/>
      <c r="J378" s="129"/>
      <c r="K378" s="79"/>
      <c r="L378" s="79"/>
      <c r="M378" s="79"/>
    </row>
    <row r="379" ht="15.75" customHeight="1">
      <c r="A379" s="261"/>
      <c r="B379" s="171"/>
      <c r="C379" s="172"/>
      <c r="D379" s="172"/>
      <c r="E379" s="227"/>
      <c r="F379" s="154"/>
      <c r="G379" s="327"/>
      <c r="H379" s="164"/>
      <c r="I379" s="162"/>
      <c r="J379" s="129"/>
      <c r="K379" s="79"/>
      <c r="L379" s="79"/>
      <c r="M379" s="79"/>
    </row>
    <row r="380" ht="15.75" customHeight="1">
      <c r="A380" s="261"/>
      <c r="B380" s="171"/>
      <c r="C380" s="172"/>
      <c r="D380" s="172"/>
      <c r="E380" s="227"/>
      <c r="F380" s="154"/>
      <c r="G380" s="327"/>
      <c r="H380" s="164"/>
      <c r="I380" s="162"/>
      <c r="J380" s="129"/>
      <c r="K380" s="79"/>
      <c r="L380" s="79"/>
      <c r="M380" s="79"/>
    </row>
    <row r="381" ht="15.75" customHeight="1">
      <c r="A381" s="261"/>
      <c r="B381" s="171"/>
      <c r="C381" s="172"/>
      <c r="D381" s="172"/>
      <c r="E381" s="227"/>
      <c r="F381" s="154"/>
      <c r="G381" s="327"/>
      <c r="H381" s="164"/>
      <c r="I381" s="162"/>
      <c r="J381" s="129"/>
      <c r="K381" s="79"/>
      <c r="L381" s="79"/>
      <c r="M381" s="79"/>
    </row>
    <row r="382" ht="15.75" customHeight="1">
      <c r="A382" s="261"/>
      <c r="B382" s="171"/>
      <c r="C382" s="172"/>
      <c r="D382" s="172"/>
      <c r="E382" s="227"/>
      <c r="F382" s="154"/>
      <c r="G382" s="327"/>
      <c r="H382" s="164"/>
      <c r="I382" s="162"/>
      <c r="J382" s="129"/>
      <c r="K382" s="79"/>
      <c r="L382" s="79"/>
      <c r="M382" s="79"/>
    </row>
    <row r="383" ht="15.75" customHeight="1">
      <c r="A383" s="261"/>
      <c r="B383" s="171"/>
      <c r="C383" s="172"/>
      <c r="D383" s="172"/>
      <c r="E383" s="227"/>
      <c r="F383" s="154"/>
      <c r="G383" s="327"/>
      <c r="H383" s="164"/>
      <c r="I383" s="162"/>
      <c r="J383" s="129"/>
      <c r="K383" s="79"/>
      <c r="L383" s="79"/>
      <c r="M383" s="79"/>
    </row>
    <row r="384" ht="15.75" customHeight="1">
      <c r="A384" s="261"/>
      <c r="B384" s="171"/>
      <c r="C384" s="172"/>
      <c r="D384" s="172"/>
      <c r="E384" s="227"/>
      <c r="F384" s="154"/>
      <c r="G384" s="327"/>
      <c r="H384" s="164"/>
      <c r="I384" s="162"/>
      <c r="J384" s="129"/>
      <c r="K384" s="79"/>
      <c r="L384" s="79"/>
      <c r="M384" s="79"/>
    </row>
    <row r="385" ht="15.75" customHeight="1">
      <c r="A385" s="261"/>
      <c r="B385" s="171"/>
      <c r="C385" s="172"/>
      <c r="D385" s="172"/>
      <c r="E385" s="227"/>
      <c r="F385" s="154"/>
      <c r="G385" s="327"/>
      <c r="H385" s="164"/>
      <c r="I385" s="162"/>
      <c r="J385" s="129"/>
      <c r="K385" s="79"/>
      <c r="L385" s="79"/>
      <c r="M385" s="79"/>
    </row>
    <row r="386" ht="15.75" customHeight="1">
      <c r="A386" s="261"/>
      <c r="B386" s="171"/>
      <c r="C386" s="172"/>
      <c r="D386" s="172"/>
      <c r="E386" s="227"/>
      <c r="F386" s="154"/>
      <c r="G386" s="327"/>
      <c r="H386" s="164"/>
      <c r="I386" s="162"/>
      <c r="J386" s="129"/>
      <c r="K386" s="79"/>
      <c r="L386" s="79"/>
      <c r="M386" s="79"/>
    </row>
    <row r="387" ht="15.75" customHeight="1">
      <c r="A387" s="261"/>
      <c r="B387" s="171"/>
      <c r="C387" s="172"/>
      <c r="D387" s="172"/>
      <c r="E387" s="227"/>
      <c r="F387" s="154"/>
      <c r="G387" s="327"/>
      <c r="H387" s="164"/>
      <c r="I387" s="162"/>
      <c r="J387" s="129"/>
      <c r="K387" s="79"/>
      <c r="L387" s="79"/>
      <c r="M387" s="79"/>
    </row>
    <row r="388" ht="15.75" customHeight="1">
      <c r="A388" s="261"/>
      <c r="B388" s="171"/>
      <c r="C388" s="172"/>
      <c r="D388" s="172"/>
      <c r="E388" s="227"/>
      <c r="F388" s="154"/>
      <c r="G388" s="327"/>
      <c r="H388" s="164"/>
      <c r="I388" s="162"/>
      <c r="J388" s="129"/>
      <c r="K388" s="79"/>
      <c r="L388" s="79"/>
      <c r="M388" s="79"/>
    </row>
    <row r="389" ht="15.75" customHeight="1">
      <c r="A389" s="261"/>
      <c r="B389" s="171"/>
      <c r="C389" s="172"/>
      <c r="D389" s="172"/>
      <c r="E389" s="227"/>
      <c r="F389" s="154"/>
      <c r="G389" s="327"/>
      <c r="H389" s="164"/>
      <c r="I389" s="162"/>
      <c r="J389" s="129"/>
      <c r="K389" s="79"/>
      <c r="L389" s="79"/>
      <c r="M389" s="79"/>
    </row>
    <row r="390" ht="15.75" customHeight="1">
      <c r="A390" s="261"/>
      <c r="B390" s="171"/>
      <c r="C390" s="172"/>
      <c r="D390" s="172"/>
      <c r="E390" s="227"/>
      <c r="F390" s="154"/>
      <c r="G390" s="327"/>
      <c r="H390" s="164"/>
      <c r="I390" s="162"/>
      <c r="J390" s="129"/>
      <c r="K390" s="79"/>
      <c r="L390" s="79"/>
      <c r="M390" s="79"/>
    </row>
    <row r="391" ht="15.75" customHeight="1">
      <c r="A391" s="261"/>
      <c r="B391" s="171"/>
      <c r="C391" s="172"/>
      <c r="D391" s="172"/>
      <c r="E391" s="227"/>
      <c r="F391" s="154"/>
      <c r="G391" s="327"/>
      <c r="H391" s="164"/>
      <c r="I391" s="162"/>
      <c r="J391" s="129"/>
      <c r="K391" s="79"/>
      <c r="L391" s="79"/>
      <c r="M391" s="79"/>
    </row>
    <row r="392" ht="15.75" customHeight="1">
      <c r="A392" s="261"/>
      <c r="B392" s="171"/>
      <c r="C392" s="172"/>
      <c r="D392" s="172"/>
      <c r="E392" s="227"/>
      <c r="F392" s="154"/>
      <c r="G392" s="327"/>
      <c r="H392" s="164"/>
      <c r="I392" s="162"/>
      <c r="J392" s="129"/>
      <c r="K392" s="79"/>
      <c r="L392" s="79"/>
      <c r="M392" s="79"/>
    </row>
    <row r="393" ht="15.75" customHeight="1">
      <c r="A393" s="261"/>
      <c r="B393" s="171"/>
      <c r="C393" s="172"/>
      <c r="D393" s="172"/>
      <c r="E393" s="227"/>
      <c r="F393" s="154"/>
      <c r="G393" s="327"/>
      <c r="H393" s="164"/>
      <c r="I393" s="162"/>
      <c r="J393" s="129"/>
      <c r="K393" s="79"/>
      <c r="L393" s="79"/>
      <c r="M393" s="79"/>
    </row>
    <row r="394" ht="15.75" customHeight="1">
      <c r="A394" s="261"/>
      <c r="B394" s="171"/>
      <c r="C394" s="172"/>
      <c r="D394" s="172"/>
      <c r="E394" s="227"/>
      <c r="F394" s="154"/>
      <c r="G394" s="327"/>
      <c r="H394" s="164"/>
      <c r="I394" s="162"/>
      <c r="J394" s="129"/>
      <c r="K394" s="79"/>
      <c r="L394" s="79"/>
      <c r="M394" s="79"/>
    </row>
    <row r="395" ht="15.75" customHeight="1">
      <c r="A395" s="261"/>
      <c r="B395" s="171"/>
      <c r="C395" s="172"/>
      <c r="D395" s="172"/>
      <c r="E395" s="227"/>
      <c r="F395" s="154"/>
      <c r="G395" s="327"/>
      <c r="H395" s="164"/>
      <c r="I395" s="162"/>
      <c r="J395" s="129"/>
      <c r="K395" s="79"/>
      <c r="L395" s="79"/>
      <c r="M395" s="79"/>
    </row>
    <row r="396" ht="15.75" customHeight="1">
      <c r="A396" s="261"/>
      <c r="B396" s="171"/>
      <c r="C396" s="172"/>
      <c r="D396" s="172"/>
      <c r="E396" s="227"/>
      <c r="F396" s="154"/>
      <c r="G396" s="327"/>
      <c r="H396" s="164"/>
      <c r="I396" s="162"/>
      <c r="J396" s="129"/>
      <c r="K396" s="79"/>
      <c r="L396" s="79"/>
      <c r="M396" s="79"/>
    </row>
    <row r="397" ht="15.75" customHeight="1">
      <c r="A397" s="261"/>
      <c r="B397" s="171"/>
      <c r="C397" s="172"/>
      <c r="D397" s="172"/>
      <c r="E397" s="227"/>
      <c r="F397" s="154"/>
      <c r="G397" s="327"/>
      <c r="H397" s="164"/>
      <c r="I397" s="162"/>
      <c r="J397" s="129"/>
      <c r="K397" s="79"/>
      <c r="L397" s="79"/>
      <c r="M397" s="79"/>
    </row>
    <row r="398" ht="15.75" customHeight="1">
      <c r="A398" s="261"/>
      <c r="B398" s="171"/>
      <c r="C398" s="172"/>
      <c r="D398" s="172"/>
      <c r="E398" s="227"/>
      <c r="F398" s="154"/>
      <c r="G398" s="327"/>
      <c r="H398" s="164"/>
      <c r="I398" s="162"/>
      <c r="J398" s="129"/>
      <c r="K398" s="79"/>
      <c r="L398" s="79"/>
      <c r="M398" s="79"/>
    </row>
    <row r="399" ht="15.75" customHeight="1">
      <c r="A399" s="261"/>
      <c r="B399" s="171"/>
      <c r="C399" s="172"/>
      <c r="D399" s="172"/>
      <c r="E399" s="227"/>
      <c r="F399" s="154"/>
      <c r="G399" s="327"/>
      <c r="H399" s="164"/>
      <c r="I399" s="162"/>
      <c r="J399" s="129"/>
      <c r="K399" s="79"/>
      <c r="L399" s="79"/>
      <c r="M399" s="79"/>
    </row>
    <row r="400" ht="15.75" customHeight="1">
      <c r="A400" s="261"/>
      <c r="B400" s="171"/>
      <c r="C400" s="172"/>
      <c r="D400" s="172"/>
      <c r="E400" s="227"/>
      <c r="F400" s="154"/>
      <c r="G400" s="327"/>
      <c r="H400" s="164"/>
      <c r="I400" s="162"/>
      <c r="J400" s="129"/>
      <c r="K400" s="79"/>
      <c r="L400" s="79"/>
      <c r="M400" s="79"/>
    </row>
    <row r="401" ht="15.75" customHeight="1">
      <c r="A401" s="261"/>
      <c r="B401" s="171"/>
      <c r="C401" s="172"/>
      <c r="D401" s="172"/>
      <c r="E401" s="227"/>
      <c r="F401" s="154"/>
      <c r="G401" s="327"/>
      <c r="H401" s="164"/>
      <c r="I401" s="162"/>
      <c r="J401" s="129"/>
      <c r="K401" s="79"/>
      <c r="L401" s="79"/>
      <c r="M401" s="79"/>
    </row>
    <row r="402" ht="15.75" customHeight="1">
      <c r="A402" s="261"/>
      <c r="B402" s="171"/>
      <c r="C402" s="172"/>
      <c r="D402" s="172"/>
      <c r="E402" s="227"/>
      <c r="F402" s="154"/>
      <c r="G402" s="327"/>
      <c r="H402" s="164"/>
      <c r="I402" s="162"/>
      <c r="J402" s="129"/>
      <c r="K402" s="79"/>
      <c r="L402" s="79"/>
      <c r="M402" s="79"/>
    </row>
    <row r="403" ht="15.75" customHeight="1">
      <c r="A403" s="261"/>
      <c r="B403" s="171"/>
      <c r="C403" s="172"/>
      <c r="D403" s="172"/>
      <c r="E403" s="227"/>
      <c r="F403" s="154"/>
      <c r="G403" s="327"/>
      <c r="H403" s="164"/>
      <c r="I403" s="162"/>
      <c r="J403" s="129"/>
      <c r="K403" s="79"/>
      <c r="L403" s="79"/>
      <c r="M403" s="79"/>
    </row>
    <row r="404" ht="15.75" customHeight="1">
      <c r="A404" s="261"/>
      <c r="B404" s="171"/>
      <c r="C404" s="172"/>
      <c r="D404" s="172"/>
      <c r="E404" s="227"/>
      <c r="F404" s="154"/>
      <c r="G404" s="327"/>
      <c r="H404" s="164"/>
      <c r="I404" s="162"/>
      <c r="J404" s="129"/>
      <c r="K404" s="79"/>
      <c r="L404" s="79"/>
      <c r="M404" s="79"/>
    </row>
    <row r="405" ht="15.75" customHeight="1">
      <c r="A405" s="261"/>
      <c r="B405" s="171"/>
      <c r="C405" s="172"/>
      <c r="D405" s="172"/>
      <c r="E405" s="227"/>
      <c r="F405" s="154"/>
      <c r="G405" s="327"/>
      <c r="H405" s="164"/>
      <c r="I405" s="162"/>
      <c r="J405" s="129"/>
      <c r="K405" s="79"/>
      <c r="L405" s="79"/>
      <c r="M405" s="79"/>
    </row>
    <row r="406" ht="15.75" customHeight="1">
      <c r="A406" s="261"/>
      <c r="B406" s="171"/>
      <c r="C406" s="172"/>
      <c r="D406" s="172"/>
      <c r="E406" s="227"/>
      <c r="F406" s="154"/>
      <c r="G406" s="327"/>
      <c r="H406" s="164"/>
      <c r="I406" s="162"/>
      <c r="J406" s="129"/>
      <c r="K406" s="79"/>
      <c r="L406" s="79"/>
      <c r="M406" s="79"/>
    </row>
    <row r="407" ht="15.75" customHeight="1">
      <c r="A407" s="261"/>
      <c r="B407" s="171"/>
      <c r="C407" s="172"/>
      <c r="D407" s="172"/>
      <c r="E407" s="227"/>
      <c r="F407" s="154"/>
      <c r="G407" s="327"/>
      <c r="H407" s="164"/>
      <c r="I407" s="162"/>
      <c r="J407" s="129"/>
      <c r="K407" s="79"/>
      <c r="L407" s="79"/>
      <c r="M407" s="79"/>
    </row>
    <row r="408" ht="15.75" customHeight="1">
      <c r="A408" s="261"/>
      <c r="B408" s="171"/>
      <c r="C408" s="172"/>
      <c r="D408" s="172"/>
      <c r="E408" s="227"/>
      <c r="F408" s="154"/>
      <c r="G408" s="327"/>
      <c r="H408" s="164"/>
      <c r="I408" s="162"/>
      <c r="J408" s="129"/>
      <c r="K408" s="79"/>
      <c r="L408" s="79"/>
      <c r="M408" s="79"/>
    </row>
    <row r="409" ht="15.75" customHeight="1">
      <c r="A409" s="261"/>
      <c r="B409" s="171"/>
      <c r="C409" s="172"/>
      <c r="D409" s="172"/>
      <c r="E409" s="227"/>
      <c r="F409" s="154"/>
      <c r="G409" s="327"/>
      <c r="H409" s="164"/>
      <c r="I409" s="162"/>
      <c r="J409" s="129"/>
      <c r="K409" s="79"/>
      <c r="L409" s="79"/>
      <c r="M409" s="79"/>
    </row>
    <row r="410" ht="15.75" customHeight="1">
      <c r="A410" s="261"/>
      <c r="B410" s="171"/>
      <c r="C410" s="172"/>
      <c r="D410" s="172"/>
      <c r="E410" s="227"/>
      <c r="F410" s="154"/>
      <c r="G410" s="327"/>
      <c r="H410" s="164"/>
      <c r="I410" s="162"/>
      <c r="J410" s="129"/>
      <c r="K410" s="79"/>
      <c r="L410" s="79"/>
      <c r="M410" s="79"/>
    </row>
    <row r="411" ht="15.75" customHeight="1">
      <c r="A411" s="261"/>
      <c r="B411" s="171"/>
      <c r="C411" s="172"/>
      <c r="D411" s="172"/>
      <c r="E411" s="227"/>
      <c r="F411" s="154"/>
      <c r="G411" s="327"/>
      <c r="H411" s="164"/>
      <c r="I411" s="162"/>
      <c r="J411" s="129"/>
      <c r="K411" s="79"/>
      <c r="L411" s="79"/>
      <c r="M411" s="79"/>
    </row>
    <row r="412" ht="15.75" customHeight="1">
      <c r="A412" s="261"/>
      <c r="B412" s="171"/>
      <c r="C412" s="172"/>
      <c r="D412" s="172"/>
      <c r="E412" s="227"/>
      <c r="F412" s="154"/>
      <c r="G412" s="327"/>
      <c r="H412" s="164"/>
      <c r="I412" s="162"/>
      <c r="J412" s="129"/>
      <c r="K412" s="79"/>
      <c r="L412" s="79"/>
      <c r="M412" s="79"/>
    </row>
    <row r="413" ht="15.75" customHeight="1">
      <c r="A413" s="261"/>
      <c r="B413" s="171"/>
      <c r="C413" s="172"/>
      <c r="D413" s="172"/>
      <c r="E413" s="227"/>
      <c r="F413" s="154"/>
      <c r="G413" s="327"/>
      <c r="H413" s="164"/>
      <c r="I413" s="162"/>
      <c r="J413" s="129"/>
      <c r="K413" s="79"/>
      <c r="L413" s="79"/>
      <c r="M413" s="79"/>
    </row>
    <row r="414" ht="15.75" customHeight="1">
      <c r="A414" s="261"/>
      <c r="B414" s="171"/>
      <c r="C414" s="172"/>
      <c r="D414" s="172"/>
      <c r="E414" s="227"/>
      <c r="F414" s="154"/>
      <c r="G414" s="327"/>
      <c r="H414" s="164"/>
      <c r="I414" s="162"/>
      <c r="J414" s="129"/>
      <c r="K414" s="79"/>
      <c r="L414" s="79"/>
      <c r="M414" s="79"/>
    </row>
    <row r="415" ht="15.75" customHeight="1">
      <c r="A415" s="261"/>
      <c r="B415" s="171"/>
      <c r="C415" s="172"/>
      <c r="D415" s="172"/>
      <c r="E415" s="227"/>
      <c r="F415" s="154"/>
      <c r="G415" s="327"/>
      <c r="H415" s="164"/>
      <c r="I415" s="162"/>
      <c r="J415" s="129"/>
      <c r="K415" s="79"/>
      <c r="L415" s="79"/>
      <c r="M415" s="79"/>
    </row>
    <row r="416" ht="15.75" customHeight="1">
      <c r="A416" s="261"/>
      <c r="B416" s="171"/>
      <c r="C416" s="172"/>
      <c r="D416" s="172"/>
      <c r="E416" s="227"/>
      <c r="F416" s="154"/>
      <c r="G416" s="327"/>
      <c r="H416" s="164"/>
      <c r="I416" s="162"/>
      <c r="J416" s="129"/>
      <c r="K416" s="79"/>
      <c r="L416" s="79"/>
      <c r="M416" s="79"/>
    </row>
    <row r="417" ht="15.75" customHeight="1">
      <c r="A417" s="261"/>
      <c r="B417" s="171"/>
      <c r="C417" s="172"/>
      <c r="D417" s="172"/>
      <c r="E417" s="227"/>
      <c r="F417" s="154"/>
      <c r="G417" s="327"/>
      <c r="H417" s="164"/>
      <c r="I417" s="162"/>
      <c r="J417" s="129"/>
      <c r="K417" s="79"/>
      <c r="L417" s="79"/>
      <c r="M417" s="79"/>
    </row>
    <row r="418" ht="15.75" customHeight="1">
      <c r="A418" s="261"/>
      <c r="B418" s="171"/>
      <c r="C418" s="172"/>
      <c r="D418" s="172"/>
      <c r="E418" s="227"/>
      <c r="F418" s="154"/>
      <c r="G418" s="327"/>
      <c r="H418" s="164"/>
      <c r="I418" s="162"/>
      <c r="J418" s="129"/>
      <c r="K418" s="79"/>
      <c r="L418" s="79"/>
      <c r="M418" s="79"/>
    </row>
    <row r="419" ht="15.75" customHeight="1">
      <c r="A419" s="261"/>
      <c r="B419" s="171"/>
      <c r="C419" s="172"/>
      <c r="D419" s="172"/>
      <c r="E419" s="227"/>
      <c r="F419" s="154"/>
      <c r="G419" s="327"/>
      <c r="H419" s="164"/>
      <c r="I419" s="162"/>
      <c r="J419" s="129"/>
      <c r="K419" s="79"/>
      <c r="L419" s="79"/>
      <c r="M419" s="79"/>
    </row>
    <row r="420" ht="15.75" customHeight="1">
      <c r="A420" s="261"/>
      <c r="B420" s="171"/>
      <c r="C420" s="172"/>
      <c r="D420" s="172"/>
      <c r="E420" s="227"/>
      <c r="F420" s="154"/>
      <c r="G420" s="327"/>
      <c r="H420" s="164"/>
      <c r="I420" s="162"/>
      <c r="J420" s="129"/>
      <c r="K420" s="79"/>
      <c r="L420" s="79"/>
      <c r="M420" s="79"/>
    </row>
    <row r="421" ht="15.75" customHeight="1">
      <c r="A421" s="261"/>
      <c r="B421" s="171"/>
      <c r="C421" s="172"/>
      <c r="D421" s="172"/>
      <c r="E421" s="227"/>
      <c r="F421" s="154"/>
      <c r="G421" s="327"/>
      <c r="H421" s="164"/>
      <c r="I421" s="162"/>
      <c r="J421" s="129"/>
      <c r="K421" s="79"/>
      <c r="L421" s="79"/>
      <c r="M421" s="79"/>
    </row>
    <row r="422" ht="15.75" customHeight="1">
      <c r="A422" s="261"/>
      <c r="B422" s="171"/>
      <c r="C422" s="172"/>
      <c r="D422" s="172"/>
      <c r="E422" s="227"/>
      <c r="F422" s="154"/>
      <c r="G422" s="327"/>
      <c r="H422" s="164"/>
      <c r="I422" s="162"/>
      <c r="J422" s="129"/>
      <c r="K422" s="79"/>
      <c r="L422" s="79"/>
      <c r="M422" s="79"/>
    </row>
    <row r="423" ht="15.75" customHeight="1">
      <c r="A423" s="261"/>
      <c r="B423" s="171"/>
      <c r="C423" s="172"/>
      <c r="D423" s="172"/>
      <c r="E423" s="227"/>
      <c r="F423" s="154"/>
      <c r="G423" s="327"/>
      <c r="H423" s="164"/>
      <c r="I423" s="162"/>
      <c r="J423" s="129"/>
      <c r="K423" s="79"/>
      <c r="L423" s="79"/>
      <c r="M423" s="79"/>
    </row>
    <row r="424" ht="15.75" customHeight="1">
      <c r="A424" s="261"/>
      <c r="B424" s="171"/>
      <c r="C424" s="172"/>
      <c r="D424" s="172"/>
      <c r="E424" s="227"/>
      <c r="F424" s="154"/>
      <c r="G424" s="327"/>
      <c r="H424" s="164"/>
      <c r="I424" s="162"/>
      <c r="J424" s="129"/>
      <c r="K424" s="79"/>
      <c r="L424" s="79"/>
      <c r="M424" s="79"/>
    </row>
    <row r="425" ht="15.75" customHeight="1">
      <c r="A425" s="261"/>
      <c r="B425" s="171"/>
      <c r="C425" s="172"/>
      <c r="D425" s="172"/>
      <c r="E425" s="227"/>
      <c r="F425" s="154"/>
      <c r="G425" s="327"/>
      <c r="H425" s="164"/>
      <c r="I425" s="162"/>
      <c r="J425" s="129"/>
      <c r="K425" s="79"/>
      <c r="L425" s="79"/>
      <c r="M425" s="79"/>
    </row>
    <row r="426" ht="15.75" customHeight="1">
      <c r="A426" s="261"/>
      <c r="B426" s="171"/>
      <c r="C426" s="172"/>
      <c r="D426" s="172"/>
      <c r="E426" s="227"/>
      <c r="F426" s="154"/>
      <c r="G426" s="327"/>
      <c r="H426" s="164"/>
      <c r="I426" s="162"/>
      <c r="J426" s="129"/>
      <c r="K426" s="79"/>
      <c r="L426" s="79"/>
      <c r="M426" s="79"/>
    </row>
    <row r="427" ht="15.75" customHeight="1">
      <c r="A427" s="261"/>
      <c r="B427" s="171"/>
      <c r="C427" s="172"/>
      <c r="D427" s="172"/>
      <c r="E427" s="227"/>
      <c r="F427" s="154"/>
      <c r="G427" s="327"/>
      <c r="H427" s="164"/>
      <c r="I427" s="162"/>
      <c r="J427" s="129"/>
      <c r="K427" s="79"/>
      <c r="L427" s="79"/>
      <c r="M427" s="79"/>
    </row>
    <row r="428" ht="15.75" customHeight="1">
      <c r="A428" s="261"/>
      <c r="B428" s="171"/>
      <c r="C428" s="172"/>
      <c r="D428" s="172"/>
      <c r="E428" s="227"/>
      <c r="F428" s="154"/>
      <c r="G428" s="327"/>
      <c r="H428" s="164"/>
      <c r="I428" s="162"/>
      <c r="J428" s="129"/>
      <c r="K428" s="79"/>
      <c r="L428" s="79"/>
      <c r="M428" s="79"/>
    </row>
    <row r="429" ht="15.75" customHeight="1">
      <c r="A429" s="261"/>
      <c r="B429" s="171"/>
      <c r="C429" s="172"/>
      <c r="D429" s="172"/>
      <c r="E429" s="227"/>
      <c r="F429" s="154"/>
      <c r="G429" s="327"/>
      <c r="H429" s="164"/>
      <c r="I429" s="162"/>
      <c r="J429" s="129"/>
      <c r="K429" s="79"/>
      <c r="L429" s="79"/>
      <c r="M429" s="79"/>
    </row>
    <row r="430" ht="15.75" customHeight="1">
      <c r="A430" s="261"/>
      <c r="B430" s="171"/>
      <c r="C430" s="172"/>
      <c r="D430" s="172"/>
      <c r="E430" s="227"/>
      <c r="F430" s="154"/>
      <c r="G430" s="327"/>
      <c r="H430" s="164"/>
      <c r="I430" s="162"/>
      <c r="J430" s="129"/>
      <c r="K430" s="79"/>
      <c r="L430" s="79"/>
      <c r="M430" s="79"/>
    </row>
    <row r="431" ht="15.75" customHeight="1">
      <c r="A431" s="261"/>
      <c r="B431" s="171"/>
      <c r="C431" s="172"/>
      <c r="D431" s="172"/>
      <c r="E431" s="227"/>
      <c r="F431" s="154"/>
      <c r="G431" s="327"/>
      <c r="H431" s="164"/>
      <c r="I431" s="162"/>
      <c r="J431" s="129"/>
      <c r="K431" s="79"/>
      <c r="L431" s="79"/>
      <c r="M431" s="79"/>
    </row>
    <row r="432" ht="15.75" customHeight="1">
      <c r="A432" s="261"/>
      <c r="B432" s="171"/>
      <c r="C432" s="172"/>
      <c r="D432" s="172"/>
      <c r="E432" s="227"/>
      <c r="F432" s="154"/>
      <c r="G432" s="327"/>
      <c r="H432" s="164"/>
      <c r="I432" s="162"/>
      <c r="J432" s="129"/>
      <c r="K432" s="79"/>
      <c r="L432" s="79"/>
      <c r="M432" s="79"/>
    </row>
    <row r="433" ht="15.75" customHeight="1">
      <c r="A433" s="261"/>
      <c r="B433" s="171"/>
      <c r="C433" s="172"/>
      <c r="D433" s="172"/>
      <c r="E433" s="227"/>
      <c r="F433" s="154"/>
      <c r="G433" s="327"/>
      <c r="H433" s="164"/>
      <c r="I433" s="162"/>
      <c r="J433" s="129"/>
      <c r="K433" s="79"/>
      <c r="L433" s="79"/>
      <c r="M433" s="79"/>
    </row>
    <row r="434" ht="15.75" customHeight="1">
      <c r="A434" s="261"/>
      <c r="B434" s="171"/>
      <c r="C434" s="172"/>
      <c r="D434" s="172"/>
      <c r="E434" s="227"/>
      <c r="F434" s="154"/>
      <c r="G434" s="327"/>
      <c r="H434" s="164"/>
      <c r="I434" s="162"/>
      <c r="J434" s="129"/>
      <c r="K434" s="79"/>
      <c r="L434" s="79"/>
      <c r="M434" s="79"/>
    </row>
    <row r="435" ht="15.75" customHeight="1">
      <c r="A435" s="261"/>
      <c r="B435" s="171"/>
      <c r="C435" s="172"/>
      <c r="D435" s="172"/>
      <c r="E435" s="227"/>
      <c r="F435" s="154"/>
      <c r="G435" s="327"/>
      <c r="H435" s="164"/>
      <c r="I435" s="162"/>
      <c r="J435" s="129"/>
      <c r="K435" s="79"/>
      <c r="L435" s="79"/>
      <c r="M435" s="79"/>
    </row>
    <row r="436" ht="15.75" customHeight="1">
      <c r="A436" s="261"/>
      <c r="B436" s="171"/>
      <c r="C436" s="172"/>
      <c r="D436" s="172"/>
      <c r="E436" s="227"/>
      <c r="F436" s="154"/>
      <c r="G436" s="327"/>
      <c r="H436" s="164"/>
      <c r="I436" s="162"/>
      <c r="J436" s="129"/>
      <c r="K436" s="79"/>
      <c r="L436" s="79"/>
      <c r="M436" s="79"/>
    </row>
    <row r="437" ht="15.75" customHeight="1">
      <c r="A437" s="261"/>
      <c r="B437" s="171"/>
      <c r="C437" s="172"/>
      <c r="D437" s="172"/>
      <c r="E437" s="227"/>
      <c r="F437" s="154"/>
      <c r="G437" s="327"/>
      <c r="H437" s="164"/>
      <c r="I437" s="162"/>
      <c r="J437" s="129"/>
      <c r="K437" s="79"/>
      <c r="L437" s="79"/>
      <c r="M437" s="79"/>
    </row>
    <row r="438" ht="15.75" customHeight="1">
      <c r="A438" s="261"/>
      <c r="B438" s="171"/>
      <c r="C438" s="172"/>
      <c r="D438" s="172"/>
      <c r="E438" s="227"/>
      <c r="F438" s="154"/>
      <c r="G438" s="327"/>
      <c r="H438" s="164"/>
      <c r="I438" s="162"/>
      <c r="J438" s="129"/>
      <c r="K438" s="79"/>
      <c r="L438" s="79"/>
      <c r="M438" s="79"/>
    </row>
    <row r="439" ht="15.75" customHeight="1">
      <c r="A439" s="261"/>
      <c r="B439" s="171"/>
      <c r="C439" s="172"/>
      <c r="D439" s="172"/>
      <c r="E439" s="227"/>
      <c r="F439" s="154"/>
      <c r="G439" s="327"/>
      <c r="H439" s="164"/>
      <c r="I439" s="162"/>
      <c r="J439" s="129"/>
      <c r="K439" s="79"/>
      <c r="L439" s="79"/>
      <c r="M439" s="79"/>
    </row>
    <row r="440" ht="15.75" customHeight="1">
      <c r="A440" s="261"/>
      <c r="B440" s="171"/>
      <c r="C440" s="172"/>
      <c r="D440" s="172"/>
      <c r="E440" s="227"/>
      <c r="F440" s="154"/>
      <c r="G440" s="327"/>
      <c r="H440" s="164"/>
      <c r="I440" s="162"/>
      <c r="J440" s="129"/>
      <c r="K440" s="79"/>
      <c r="L440" s="79"/>
      <c r="M440" s="79"/>
    </row>
    <row r="441" ht="15.75" customHeight="1">
      <c r="A441" s="261"/>
      <c r="B441" s="171"/>
      <c r="C441" s="172"/>
      <c r="D441" s="172"/>
      <c r="E441" s="227"/>
      <c r="F441" s="154"/>
      <c r="G441" s="327"/>
      <c r="H441" s="164"/>
      <c r="I441" s="162"/>
      <c r="J441" s="129"/>
      <c r="K441" s="79"/>
      <c r="L441" s="79"/>
      <c r="M441" s="79"/>
    </row>
    <row r="442" ht="15.75" customHeight="1">
      <c r="A442" s="261"/>
      <c r="B442" s="171"/>
      <c r="C442" s="172"/>
      <c r="D442" s="172"/>
      <c r="E442" s="227"/>
      <c r="F442" s="154"/>
      <c r="G442" s="327"/>
      <c r="H442" s="164"/>
      <c r="I442" s="162"/>
      <c r="J442" s="129"/>
      <c r="K442" s="79"/>
      <c r="L442" s="79"/>
      <c r="M442" s="79"/>
    </row>
    <row r="443" ht="15.75" customHeight="1">
      <c r="A443" s="261"/>
      <c r="B443" s="171"/>
      <c r="C443" s="172"/>
      <c r="D443" s="172"/>
      <c r="E443" s="227"/>
      <c r="F443" s="154"/>
      <c r="G443" s="327"/>
      <c r="H443" s="164"/>
      <c r="I443" s="162"/>
      <c r="J443" s="129"/>
      <c r="K443" s="79"/>
      <c r="L443" s="79"/>
      <c r="M443" s="79"/>
    </row>
    <row r="444" ht="15.75" customHeight="1">
      <c r="A444" s="261"/>
      <c r="B444" s="171"/>
      <c r="C444" s="172"/>
      <c r="D444" s="172"/>
      <c r="E444" s="227"/>
      <c r="F444" s="154"/>
      <c r="G444" s="327"/>
      <c r="H444" s="164"/>
      <c r="I444" s="162"/>
      <c r="J444" s="129"/>
      <c r="K444" s="79"/>
      <c r="L444" s="79"/>
      <c r="M444" s="79"/>
    </row>
    <row r="445" ht="15.75" customHeight="1">
      <c r="A445" s="261"/>
      <c r="B445" s="171"/>
      <c r="C445" s="172"/>
      <c r="D445" s="172"/>
      <c r="E445" s="227"/>
      <c r="F445" s="154"/>
      <c r="G445" s="327"/>
      <c r="H445" s="164"/>
      <c r="I445" s="162"/>
      <c r="J445" s="129"/>
      <c r="K445" s="79"/>
      <c r="L445" s="79"/>
      <c r="M445" s="79"/>
    </row>
    <row r="446" ht="15.75" customHeight="1">
      <c r="A446" s="261"/>
      <c r="B446" s="171"/>
      <c r="C446" s="172"/>
      <c r="D446" s="172"/>
      <c r="E446" s="227"/>
      <c r="F446" s="154"/>
      <c r="G446" s="327"/>
      <c r="H446" s="164"/>
      <c r="I446" s="162"/>
      <c r="J446" s="129"/>
      <c r="K446" s="79"/>
      <c r="L446" s="79"/>
      <c r="M446" s="79"/>
    </row>
    <row r="447" ht="15.75" customHeight="1">
      <c r="A447" s="261"/>
      <c r="B447" s="171"/>
      <c r="C447" s="172"/>
      <c r="D447" s="172"/>
      <c r="E447" s="227"/>
      <c r="F447" s="154"/>
      <c r="G447" s="327"/>
      <c r="H447" s="164"/>
      <c r="I447" s="162"/>
      <c r="J447" s="129"/>
      <c r="K447" s="79"/>
      <c r="L447" s="79"/>
      <c r="M447" s="79"/>
    </row>
    <row r="448" ht="15.75" customHeight="1">
      <c r="A448" s="261"/>
      <c r="B448" s="171"/>
      <c r="C448" s="172"/>
      <c r="D448" s="172"/>
      <c r="E448" s="227"/>
      <c r="F448" s="154"/>
      <c r="G448" s="327"/>
      <c r="H448" s="164"/>
      <c r="I448" s="162"/>
      <c r="J448" s="129"/>
      <c r="K448" s="79"/>
      <c r="L448" s="79"/>
      <c r="M448" s="79"/>
    </row>
    <row r="449" ht="15.75" customHeight="1">
      <c r="A449" s="261"/>
      <c r="B449" s="171"/>
      <c r="C449" s="172"/>
      <c r="D449" s="172"/>
      <c r="E449" s="227"/>
      <c r="F449" s="154"/>
      <c r="G449" s="327"/>
      <c r="H449" s="164"/>
      <c r="I449" s="162"/>
      <c r="J449" s="129"/>
      <c r="K449" s="79"/>
      <c r="L449" s="79"/>
      <c r="M449" s="79"/>
    </row>
    <row r="450" ht="15.75" customHeight="1">
      <c r="A450" s="261"/>
      <c r="B450" s="171"/>
      <c r="C450" s="172"/>
      <c r="D450" s="172"/>
      <c r="E450" s="227"/>
      <c r="F450" s="154"/>
      <c r="G450" s="327"/>
      <c r="H450" s="164"/>
      <c r="I450" s="162"/>
      <c r="J450" s="129"/>
      <c r="K450" s="79"/>
      <c r="L450" s="79"/>
      <c r="M450" s="79"/>
    </row>
    <row r="451" ht="15.75" customHeight="1">
      <c r="A451" s="261"/>
      <c r="B451" s="171"/>
      <c r="C451" s="172"/>
      <c r="D451" s="172"/>
      <c r="E451" s="227"/>
      <c r="F451" s="154"/>
      <c r="G451" s="327"/>
      <c r="H451" s="164"/>
      <c r="I451" s="162"/>
      <c r="J451" s="129"/>
      <c r="K451" s="79"/>
      <c r="L451" s="79"/>
      <c r="M451" s="79"/>
    </row>
    <row r="452" ht="15.75" customHeight="1">
      <c r="A452" s="261"/>
      <c r="B452" s="171"/>
      <c r="C452" s="172"/>
      <c r="D452" s="172"/>
      <c r="E452" s="227"/>
      <c r="F452" s="154"/>
      <c r="G452" s="327"/>
      <c r="H452" s="164"/>
      <c r="I452" s="162"/>
      <c r="J452" s="129"/>
      <c r="K452" s="79"/>
      <c r="L452" s="79"/>
      <c r="M452" s="79"/>
    </row>
    <row r="453" ht="15.75" customHeight="1">
      <c r="A453" s="261"/>
      <c r="B453" s="171"/>
      <c r="C453" s="172"/>
      <c r="D453" s="172"/>
      <c r="E453" s="227"/>
      <c r="F453" s="154"/>
      <c r="G453" s="327"/>
      <c r="H453" s="164"/>
      <c r="I453" s="162"/>
      <c r="J453" s="129"/>
      <c r="K453" s="79"/>
      <c r="L453" s="79"/>
      <c r="M453" s="79"/>
    </row>
    <row r="454" ht="15.75" customHeight="1">
      <c r="A454" s="261"/>
      <c r="B454" s="171"/>
      <c r="C454" s="172"/>
      <c r="D454" s="172"/>
      <c r="E454" s="227"/>
      <c r="F454" s="154"/>
      <c r="G454" s="327"/>
      <c r="H454" s="164"/>
      <c r="I454" s="162"/>
      <c r="J454" s="129"/>
      <c r="K454" s="79"/>
      <c r="L454" s="79"/>
      <c r="M454" s="79"/>
    </row>
    <row r="455" ht="15.75" customHeight="1">
      <c r="A455" s="261"/>
      <c r="B455" s="171"/>
      <c r="C455" s="172"/>
      <c r="D455" s="172"/>
      <c r="E455" s="227"/>
      <c r="F455" s="154"/>
      <c r="G455" s="327"/>
      <c r="H455" s="164"/>
      <c r="I455" s="162"/>
      <c r="J455" s="129"/>
      <c r="K455" s="79"/>
      <c r="L455" s="79"/>
      <c r="M455" s="79"/>
    </row>
    <row r="456" ht="15.75" customHeight="1">
      <c r="A456" s="261"/>
      <c r="B456" s="171"/>
      <c r="C456" s="172"/>
      <c r="D456" s="172"/>
      <c r="E456" s="227"/>
      <c r="F456" s="154"/>
      <c r="G456" s="327"/>
      <c r="H456" s="164"/>
      <c r="I456" s="162"/>
      <c r="J456" s="129"/>
      <c r="K456" s="79"/>
      <c r="L456" s="79"/>
      <c r="M456" s="79"/>
    </row>
    <row r="457" ht="15.75" customHeight="1">
      <c r="A457" s="261"/>
      <c r="B457" s="171"/>
      <c r="C457" s="172"/>
      <c r="D457" s="172"/>
      <c r="E457" s="227"/>
      <c r="F457" s="154"/>
      <c r="G457" s="327"/>
      <c r="H457" s="164"/>
      <c r="I457" s="162"/>
      <c r="J457" s="129"/>
      <c r="K457" s="79"/>
      <c r="L457" s="79"/>
      <c r="M457" s="79"/>
    </row>
    <row r="458" ht="15.75" customHeight="1">
      <c r="A458" s="261"/>
      <c r="B458" s="171"/>
      <c r="C458" s="172"/>
      <c r="D458" s="172"/>
      <c r="E458" s="227"/>
      <c r="F458" s="154"/>
      <c r="G458" s="327"/>
      <c r="H458" s="164"/>
      <c r="I458" s="162"/>
      <c r="J458" s="129"/>
      <c r="K458" s="79"/>
      <c r="L458" s="79"/>
      <c r="M458" s="79"/>
    </row>
    <row r="459" ht="15.75" customHeight="1">
      <c r="A459" s="261"/>
      <c r="B459" s="171"/>
      <c r="C459" s="172"/>
      <c r="D459" s="172"/>
      <c r="E459" s="227"/>
      <c r="F459" s="154"/>
      <c r="G459" s="327"/>
      <c r="H459" s="164"/>
      <c r="I459" s="162"/>
      <c r="J459" s="129"/>
      <c r="K459" s="79"/>
      <c r="L459" s="79"/>
      <c r="M459" s="79"/>
    </row>
    <row r="460" ht="15.75" customHeight="1">
      <c r="A460" s="261"/>
      <c r="B460" s="171"/>
      <c r="C460" s="172"/>
      <c r="D460" s="172"/>
      <c r="E460" s="227"/>
      <c r="F460" s="154"/>
      <c r="G460" s="327"/>
      <c r="H460" s="164"/>
      <c r="I460" s="162"/>
      <c r="J460" s="129"/>
      <c r="K460" s="79"/>
      <c r="L460" s="79"/>
      <c r="M460" s="79"/>
    </row>
    <row r="461" ht="15.75" customHeight="1">
      <c r="A461" s="261"/>
      <c r="B461" s="171"/>
      <c r="C461" s="172"/>
      <c r="D461" s="172"/>
      <c r="E461" s="227"/>
      <c r="F461" s="154"/>
      <c r="G461" s="327"/>
      <c r="H461" s="164"/>
      <c r="I461" s="162"/>
      <c r="J461" s="129"/>
      <c r="K461" s="79"/>
      <c r="L461" s="79"/>
      <c r="M461" s="79"/>
    </row>
    <row r="462" ht="15.75" customHeight="1">
      <c r="A462" s="261"/>
      <c r="B462" s="171"/>
      <c r="C462" s="172"/>
      <c r="D462" s="172"/>
      <c r="E462" s="227"/>
      <c r="F462" s="154"/>
      <c r="G462" s="327"/>
      <c r="H462" s="164"/>
      <c r="I462" s="162"/>
      <c r="J462" s="129"/>
      <c r="K462" s="79"/>
      <c r="L462" s="79"/>
      <c r="M462" s="79"/>
    </row>
    <row r="463" ht="15.75" customHeight="1">
      <c r="A463" s="261"/>
      <c r="B463" s="171"/>
      <c r="C463" s="172"/>
      <c r="D463" s="172"/>
      <c r="E463" s="227"/>
      <c r="F463" s="154"/>
      <c r="G463" s="327"/>
      <c r="H463" s="164"/>
      <c r="I463" s="162"/>
      <c r="J463" s="129"/>
      <c r="K463" s="79"/>
      <c r="L463" s="79"/>
      <c r="M463" s="79"/>
    </row>
    <row r="464" ht="15.75" customHeight="1">
      <c r="A464" s="261"/>
      <c r="B464" s="171"/>
      <c r="C464" s="172"/>
      <c r="D464" s="172"/>
      <c r="E464" s="227"/>
      <c r="F464" s="154"/>
      <c r="G464" s="327"/>
      <c r="H464" s="164"/>
      <c r="I464" s="162"/>
      <c r="J464" s="129"/>
      <c r="K464" s="79"/>
      <c r="L464" s="79"/>
      <c r="M464" s="79"/>
    </row>
    <row r="465" ht="15.75" customHeight="1">
      <c r="A465" s="261"/>
      <c r="B465" s="171"/>
      <c r="C465" s="172"/>
      <c r="D465" s="172"/>
      <c r="E465" s="227"/>
      <c r="F465" s="154"/>
      <c r="G465" s="327"/>
      <c r="H465" s="164"/>
      <c r="I465" s="162"/>
      <c r="J465" s="129"/>
      <c r="K465" s="79"/>
      <c r="L465" s="79"/>
      <c r="M465" s="79"/>
    </row>
    <row r="466" ht="15.75" customHeight="1">
      <c r="A466" s="261"/>
      <c r="B466" s="171"/>
      <c r="C466" s="172"/>
      <c r="D466" s="172"/>
      <c r="E466" s="227"/>
      <c r="F466" s="154"/>
      <c r="G466" s="327"/>
      <c r="H466" s="164"/>
      <c r="I466" s="162"/>
      <c r="J466" s="129"/>
      <c r="K466" s="79"/>
      <c r="L466" s="79"/>
      <c r="M466" s="79"/>
    </row>
    <row r="467" ht="15.75" customHeight="1">
      <c r="A467" s="261"/>
      <c r="B467" s="171"/>
      <c r="C467" s="172"/>
      <c r="D467" s="172"/>
      <c r="E467" s="227"/>
      <c r="F467" s="154"/>
      <c r="G467" s="327"/>
      <c r="H467" s="164"/>
      <c r="I467" s="162"/>
      <c r="J467" s="129"/>
      <c r="K467" s="79"/>
      <c r="L467" s="79"/>
      <c r="M467" s="79"/>
    </row>
    <row r="468" ht="15.75" customHeight="1">
      <c r="A468" s="261"/>
      <c r="B468" s="171"/>
      <c r="C468" s="172"/>
      <c r="D468" s="172"/>
      <c r="E468" s="227"/>
      <c r="F468" s="154"/>
      <c r="G468" s="327"/>
      <c r="H468" s="164"/>
      <c r="I468" s="162"/>
      <c r="J468" s="129"/>
      <c r="K468" s="79"/>
      <c r="L468" s="79"/>
      <c r="M468" s="79"/>
    </row>
    <row r="469" ht="15.75" customHeight="1">
      <c r="A469" s="261"/>
      <c r="B469" s="171"/>
      <c r="C469" s="172"/>
      <c r="D469" s="172"/>
      <c r="E469" s="227"/>
      <c r="F469" s="154"/>
      <c r="G469" s="327"/>
      <c r="H469" s="164"/>
      <c r="I469" s="162"/>
      <c r="J469" s="129"/>
      <c r="K469" s="79"/>
      <c r="L469" s="79"/>
      <c r="M469" s="79"/>
    </row>
    <row r="470" ht="15.75" customHeight="1">
      <c r="A470" s="261"/>
      <c r="B470" s="171"/>
      <c r="C470" s="172"/>
      <c r="D470" s="172"/>
      <c r="E470" s="227"/>
      <c r="F470" s="154"/>
      <c r="G470" s="327"/>
      <c r="H470" s="164"/>
      <c r="I470" s="162"/>
      <c r="J470" s="129"/>
      <c r="K470" s="79"/>
      <c r="L470" s="79"/>
      <c r="M470" s="79"/>
    </row>
    <row r="471" ht="15.75" customHeight="1">
      <c r="A471" s="261"/>
      <c r="B471" s="171"/>
      <c r="C471" s="172"/>
      <c r="D471" s="172"/>
      <c r="E471" s="227"/>
      <c r="F471" s="154"/>
      <c r="G471" s="327"/>
      <c r="H471" s="164"/>
      <c r="I471" s="162"/>
      <c r="J471" s="129"/>
      <c r="K471" s="79"/>
      <c r="L471" s="79"/>
      <c r="M471" s="79"/>
    </row>
    <row r="472" ht="15.75" customHeight="1">
      <c r="A472" s="261"/>
      <c r="B472" s="171"/>
      <c r="C472" s="172"/>
      <c r="D472" s="172"/>
      <c r="E472" s="227"/>
      <c r="F472" s="154"/>
      <c r="G472" s="327"/>
      <c r="H472" s="164"/>
      <c r="I472" s="162"/>
      <c r="J472" s="129"/>
      <c r="K472" s="79"/>
      <c r="L472" s="79"/>
      <c r="M472" s="79"/>
    </row>
    <row r="473" ht="15.75" customHeight="1">
      <c r="A473" s="261"/>
      <c r="B473" s="171"/>
      <c r="C473" s="172"/>
      <c r="D473" s="172"/>
      <c r="E473" s="227"/>
      <c r="F473" s="154"/>
      <c r="G473" s="327"/>
      <c r="H473" s="164"/>
      <c r="I473" s="162"/>
      <c r="J473" s="129"/>
      <c r="K473" s="79"/>
      <c r="L473" s="79"/>
      <c r="M473" s="79"/>
    </row>
    <row r="474" ht="15.75" customHeight="1">
      <c r="A474" s="261"/>
      <c r="B474" s="171"/>
      <c r="C474" s="172"/>
      <c r="D474" s="172"/>
      <c r="E474" s="227"/>
      <c r="F474" s="154"/>
      <c r="G474" s="327"/>
      <c r="H474" s="164"/>
      <c r="I474" s="162"/>
      <c r="J474" s="129"/>
      <c r="K474" s="79"/>
      <c r="L474" s="79"/>
      <c r="M474" s="79"/>
    </row>
    <row r="475" ht="15.75" customHeight="1">
      <c r="A475" s="261"/>
      <c r="B475" s="171"/>
      <c r="C475" s="172"/>
      <c r="D475" s="172"/>
      <c r="E475" s="227"/>
      <c r="F475" s="154"/>
      <c r="G475" s="327"/>
      <c r="H475" s="164"/>
      <c r="I475" s="162"/>
      <c r="J475" s="129"/>
      <c r="K475" s="79"/>
      <c r="L475" s="79"/>
      <c r="M475" s="79"/>
    </row>
    <row r="476" ht="15.75" customHeight="1">
      <c r="A476" s="261"/>
      <c r="B476" s="171"/>
      <c r="C476" s="172"/>
      <c r="D476" s="172"/>
      <c r="E476" s="227"/>
      <c r="F476" s="154"/>
      <c r="G476" s="327"/>
      <c r="H476" s="164"/>
      <c r="I476" s="162"/>
      <c r="J476" s="129"/>
      <c r="K476" s="79"/>
      <c r="L476" s="79"/>
      <c r="M476" s="79"/>
    </row>
    <row r="477" ht="15.75" customHeight="1">
      <c r="A477" s="261"/>
      <c r="B477" s="171"/>
      <c r="C477" s="172"/>
      <c r="D477" s="172"/>
      <c r="E477" s="227"/>
      <c r="F477" s="154"/>
      <c r="G477" s="327"/>
      <c r="H477" s="164"/>
      <c r="I477" s="162"/>
      <c r="J477" s="129"/>
      <c r="K477" s="79"/>
      <c r="L477" s="79"/>
      <c r="M477" s="79"/>
    </row>
    <row r="478" ht="15.75" customHeight="1">
      <c r="A478" s="261"/>
      <c r="B478" s="171"/>
      <c r="C478" s="172"/>
      <c r="D478" s="172"/>
      <c r="E478" s="227"/>
      <c r="F478" s="154"/>
      <c r="G478" s="327"/>
      <c r="H478" s="164"/>
      <c r="I478" s="162"/>
      <c r="J478" s="129"/>
      <c r="K478" s="79"/>
      <c r="L478" s="79"/>
      <c r="M478" s="79"/>
    </row>
    <row r="479" ht="15.75" customHeight="1">
      <c r="A479" s="261"/>
      <c r="B479" s="171"/>
      <c r="C479" s="172"/>
      <c r="D479" s="172"/>
      <c r="E479" s="227"/>
      <c r="F479" s="154"/>
      <c r="G479" s="327"/>
      <c r="H479" s="164"/>
      <c r="I479" s="162"/>
      <c r="J479" s="129"/>
      <c r="K479" s="79"/>
      <c r="L479" s="79"/>
      <c r="M479" s="79"/>
    </row>
    <row r="480" ht="15.75" customHeight="1">
      <c r="A480" s="261"/>
      <c r="B480" s="171"/>
      <c r="C480" s="172"/>
      <c r="D480" s="172"/>
      <c r="E480" s="227"/>
      <c r="F480" s="154"/>
      <c r="G480" s="327"/>
      <c r="H480" s="164"/>
      <c r="I480" s="162"/>
      <c r="J480" s="129"/>
      <c r="K480" s="79"/>
      <c r="L480" s="79"/>
      <c r="M480" s="79"/>
    </row>
    <row r="481" ht="15.75" customHeight="1">
      <c r="A481" s="261"/>
      <c r="B481" s="171"/>
      <c r="C481" s="172"/>
      <c r="D481" s="172"/>
      <c r="E481" s="227"/>
      <c r="F481" s="154"/>
      <c r="G481" s="327"/>
      <c r="H481" s="164"/>
      <c r="I481" s="162"/>
      <c r="J481" s="129"/>
      <c r="K481" s="79"/>
      <c r="L481" s="79"/>
      <c r="M481" s="79"/>
    </row>
    <row r="482" ht="15.75" customHeight="1">
      <c r="A482" s="261"/>
      <c r="B482" s="171"/>
      <c r="C482" s="172"/>
      <c r="D482" s="172"/>
      <c r="E482" s="227"/>
      <c r="F482" s="154"/>
      <c r="G482" s="327"/>
      <c r="H482" s="164"/>
      <c r="I482" s="162"/>
      <c r="J482" s="129"/>
      <c r="K482" s="79"/>
      <c r="L482" s="79"/>
      <c r="M482" s="79"/>
    </row>
    <row r="483" ht="15.75" customHeight="1">
      <c r="A483" s="261"/>
      <c r="B483" s="171"/>
      <c r="C483" s="172"/>
      <c r="D483" s="172"/>
      <c r="E483" s="227"/>
      <c r="F483" s="154"/>
      <c r="G483" s="327"/>
      <c r="H483" s="164"/>
      <c r="I483" s="162"/>
      <c r="J483" s="129"/>
      <c r="K483" s="79"/>
      <c r="L483" s="79"/>
      <c r="M483" s="79"/>
    </row>
    <row r="484" ht="15.75" customHeight="1">
      <c r="A484" s="261"/>
      <c r="B484" s="171"/>
      <c r="C484" s="172"/>
      <c r="D484" s="172"/>
      <c r="E484" s="227"/>
      <c r="F484" s="154"/>
      <c r="G484" s="327"/>
      <c r="H484" s="164"/>
      <c r="I484" s="162"/>
      <c r="J484" s="129"/>
      <c r="K484" s="79"/>
      <c r="L484" s="79"/>
      <c r="M484" s="79"/>
    </row>
    <row r="485" ht="15.75" customHeight="1">
      <c r="A485" s="261"/>
      <c r="B485" s="171"/>
      <c r="C485" s="172"/>
      <c r="D485" s="172"/>
      <c r="E485" s="227"/>
      <c r="F485" s="154"/>
      <c r="G485" s="327"/>
      <c r="H485" s="164"/>
      <c r="I485" s="162"/>
      <c r="J485" s="129"/>
      <c r="K485" s="79"/>
      <c r="L485" s="79"/>
      <c r="M485" s="79"/>
    </row>
    <row r="486" ht="15.75" customHeight="1">
      <c r="A486" s="261"/>
      <c r="B486" s="171"/>
      <c r="C486" s="172"/>
      <c r="D486" s="172"/>
      <c r="E486" s="227"/>
      <c r="F486" s="154"/>
      <c r="G486" s="327"/>
      <c r="H486" s="164"/>
      <c r="I486" s="162"/>
      <c r="J486" s="129"/>
      <c r="K486" s="79"/>
      <c r="L486" s="79"/>
      <c r="M486" s="79"/>
    </row>
    <row r="487" ht="15.75" customHeight="1">
      <c r="A487" s="261"/>
      <c r="B487" s="171"/>
      <c r="C487" s="172"/>
      <c r="D487" s="172"/>
      <c r="E487" s="227"/>
      <c r="F487" s="154"/>
      <c r="G487" s="327"/>
      <c r="H487" s="164"/>
      <c r="I487" s="162"/>
      <c r="J487" s="129"/>
      <c r="K487" s="79"/>
      <c r="L487" s="79"/>
      <c r="M487" s="79"/>
    </row>
    <row r="488" ht="15.75" customHeight="1">
      <c r="A488" s="261"/>
      <c r="B488" s="171"/>
      <c r="C488" s="172"/>
      <c r="D488" s="172"/>
      <c r="E488" s="227"/>
      <c r="F488" s="154"/>
      <c r="G488" s="327"/>
      <c r="H488" s="164"/>
      <c r="I488" s="162"/>
      <c r="J488" s="129"/>
      <c r="K488" s="79"/>
      <c r="L488" s="79"/>
      <c r="M488" s="79"/>
    </row>
    <row r="489" ht="15.75" customHeight="1">
      <c r="A489" s="261"/>
      <c r="B489" s="171"/>
      <c r="C489" s="172"/>
      <c r="D489" s="172"/>
      <c r="E489" s="227"/>
      <c r="F489" s="154"/>
      <c r="G489" s="327"/>
      <c r="H489" s="164"/>
      <c r="I489" s="162"/>
      <c r="J489" s="129"/>
      <c r="K489" s="79"/>
      <c r="L489" s="79"/>
      <c r="M489" s="79"/>
    </row>
    <row r="490" ht="15.75" customHeight="1">
      <c r="A490" s="261"/>
      <c r="B490" s="171"/>
      <c r="C490" s="172"/>
      <c r="D490" s="172"/>
      <c r="E490" s="227"/>
      <c r="F490" s="154"/>
      <c r="G490" s="327"/>
      <c r="H490" s="164"/>
      <c r="I490" s="162"/>
      <c r="J490" s="129"/>
      <c r="K490" s="79"/>
      <c r="L490" s="79"/>
      <c r="M490" s="79"/>
    </row>
    <row r="491" ht="15.75" customHeight="1">
      <c r="A491" s="261"/>
      <c r="B491" s="171"/>
      <c r="C491" s="172"/>
      <c r="D491" s="172"/>
      <c r="E491" s="227"/>
      <c r="F491" s="154"/>
      <c r="G491" s="327"/>
      <c r="H491" s="164"/>
      <c r="I491" s="162"/>
      <c r="J491" s="129"/>
      <c r="K491" s="79"/>
      <c r="L491" s="79"/>
      <c r="M491" s="79"/>
    </row>
    <row r="492" ht="15.75" customHeight="1">
      <c r="A492" s="261"/>
      <c r="B492" s="171"/>
      <c r="C492" s="172"/>
      <c r="D492" s="172"/>
      <c r="E492" s="227"/>
      <c r="F492" s="154"/>
      <c r="G492" s="327"/>
      <c r="H492" s="164"/>
      <c r="I492" s="162"/>
      <c r="J492" s="129"/>
      <c r="K492" s="79"/>
      <c r="L492" s="79"/>
      <c r="M492" s="79"/>
    </row>
    <row r="493" ht="15.75" customHeight="1">
      <c r="A493" s="261"/>
      <c r="B493" s="171"/>
      <c r="C493" s="172"/>
      <c r="D493" s="172"/>
      <c r="E493" s="227"/>
      <c r="F493" s="154"/>
      <c r="G493" s="327"/>
      <c r="H493" s="164"/>
      <c r="I493" s="162"/>
      <c r="J493" s="129"/>
      <c r="K493" s="79"/>
      <c r="L493" s="79"/>
      <c r="M493" s="79"/>
    </row>
    <row r="494" ht="15.75" customHeight="1">
      <c r="A494" s="261"/>
      <c r="B494" s="171"/>
      <c r="C494" s="172"/>
      <c r="D494" s="172"/>
      <c r="E494" s="227"/>
      <c r="F494" s="154"/>
      <c r="G494" s="327"/>
      <c r="H494" s="164"/>
      <c r="I494" s="162"/>
      <c r="J494" s="129"/>
      <c r="K494" s="79"/>
      <c r="L494" s="79"/>
      <c r="M494" s="79"/>
    </row>
    <row r="495" ht="15.75" customHeight="1">
      <c r="A495" s="261"/>
      <c r="B495" s="171"/>
      <c r="C495" s="172"/>
      <c r="D495" s="172"/>
      <c r="E495" s="227"/>
      <c r="F495" s="154"/>
      <c r="G495" s="327"/>
      <c r="H495" s="164"/>
      <c r="I495" s="162"/>
      <c r="J495" s="129"/>
      <c r="K495" s="79"/>
      <c r="L495" s="79"/>
      <c r="M495" s="79"/>
    </row>
    <row r="496" ht="15.75" customHeight="1">
      <c r="A496" s="261"/>
      <c r="B496" s="171"/>
      <c r="C496" s="172"/>
      <c r="D496" s="172"/>
      <c r="E496" s="227"/>
      <c r="F496" s="154"/>
      <c r="G496" s="327"/>
      <c r="H496" s="164"/>
      <c r="I496" s="162"/>
      <c r="J496" s="129"/>
      <c r="K496" s="79"/>
      <c r="L496" s="79"/>
      <c r="M496" s="79"/>
    </row>
    <row r="497" ht="15.75" customHeight="1">
      <c r="A497" s="261"/>
      <c r="B497" s="171"/>
      <c r="C497" s="172"/>
      <c r="D497" s="172"/>
      <c r="E497" s="227"/>
      <c r="F497" s="154"/>
      <c r="G497" s="327"/>
      <c r="H497" s="164"/>
      <c r="I497" s="162"/>
      <c r="J497" s="129"/>
      <c r="K497" s="79"/>
      <c r="L497" s="79"/>
      <c r="M497" s="79"/>
    </row>
    <row r="498" ht="15.75" customHeight="1">
      <c r="A498" s="261"/>
      <c r="B498" s="171"/>
      <c r="C498" s="172"/>
      <c r="D498" s="172"/>
      <c r="E498" s="227"/>
      <c r="F498" s="154"/>
      <c r="G498" s="327"/>
      <c r="H498" s="164"/>
      <c r="I498" s="162"/>
      <c r="J498" s="129"/>
      <c r="K498" s="79"/>
      <c r="L498" s="79"/>
      <c r="M498" s="79"/>
    </row>
    <row r="499" ht="15.75" customHeight="1">
      <c r="A499" s="261"/>
      <c r="B499" s="171"/>
      <c r="C499" s="172"/>
      <c r="D499" s="172"/>
      <c r="E499" s="227"/>
      <c r="F499" s="154"/>
      <c r="G499" s="327"/>
      <c r="H499" s="164"/>
      <c r="I499" s="162"/>
      <c r="J499" s="129"/>
      <c r="K499" s="79"/>
      <c r="L499" s="79"/>
      <c r="M499" s="79"/>
    </row>
    <row r="500" ht="15.75" customHeight="1">
      <c r="A500" s="261"/>
      <c r="B500" s="171"/>
      <c r="C500" s="172"/>
      <c r="D500" s="172"/>
      <c r="E500" s="227"/>
      <c r="F500" s="154"/>
      <c r="G500" s="327"/>
      <c r="H500" s="164"/>
      <c r="I500" s="162"/>
      <c r="J500" s="129"/>
      <c r="K500" s="79"/>
      <c r="L500" s="79"/>
      <c r="M500" s="79"/>
    </row>
    <row r="501" ht="15.75" customHeight="1">
      <c r="A501" s="261"/>
      <c r="B501" s="171"/>
      <c r="C501" s="172"/>
      <c r="D501" s="172"/>
      <c r="E501" s="227"/>
      <c r="F501" s="154"/>
      <c r="G501" s="327"/>
      <c r="H501" s="164"/>
      <c r="I501" s="162"/>
      <c r="J501" s="129"/>
      <c r="K501" s="79"/>
      <c r="L501" s="79"/>
      <c r="M501" s="79"/>
    </row>
    <row r="502" ht="15.75" customHeight="1">
      <c r="A502" s="261"/>
      <c r="B502" s="171"/>
      <c r="C502" s="172"/>
      <c r="D502" s="172"/>
      <c r="E502" s="227"/>
      <c r="F502" s="154"/>
      <c r="G502" s="327"/>
      <c r="H502" s="164"/>
      <c r="I502" s="162"/>
      <c r="J502" s="129"/>
      <c r="K502" s="79"/>
      <c r="L502" s="79"/>
      <c r="M502" s="79"/>
    </row>
    <row r="503" ht="15.75" customHeight="1">
      <c r="A503" s="261"/>
      <c r="B503" s="171"/>
      <c r="C503" s="172"/>
      <c r="D503" s="172"/>
      <c r="E503" s="227"/>
      <c r="F503" s="154"/>
      <c r="G503" s="327"/>
      <c r="H503" s="164"/>
      <c r="I503" s="162"/>
      <c r="J503" s="129"/>
      <c r="K503" s="79"/>
      <c r="L503" s="79"/>
      <c r="M503" s="79"/>
    </row>
    <row r="504" ht="15.75" customHeight="1">
      <c r="A504" s="261"/>
      <c r="B504" s="171"/>
      <c r="C504" s="172"/>
      <c r="D504" s="172"/>
      <c r="E504" s="227"/>
      <c r="F504" s="154"/>
      <c r="G504" s="327"/>
      <c r="H504" s="164"/>
      <c r="I504" s="162"/>
      <c r="J504" s="129"/>
      <c r="K504" s="79"/>
      <c r="L504" s="79"/>
      <c r="M504" s="79"/>
    </row>
    <row r="505" ht="15.75" customHeight="1">
      <c r="A505" s="261"/>
      <c r="B505" s="171"/>
      <c r="C505" s="172"/>
      <c r="D505" s="172"/>
      <c r="E505" s="227"/>
      <c r="F505" s="154"/>
      <c r="G505" s="327"/>
      <c r="H505" s="164"/>
      <c r="I505" s="162"/>
      <c r="J505" s="129"/>
      <c r="K505" s="79"/>
      <c r="L505" s="79"/>
      <c r="M505" s="79"/>
    </row>
    <row r="506" ht="15.75" customHeight="1">
      <c r="A506" s="261"/>
      <c r="B506" s="171"/>
      <c r="C506" s="172"/>
      <c r="D506" s="172"/>
      <c r="E506" s="227"/>
      <c r="F506" s="154"/>
      <c r="G506" s="327"/>
      <c r="H506" s="164"/>
      <c r="I506" s="162"/>
      <c r="J506" s="129"/>
      <c r="K506" s="79"/>
      <c r="L506" s="79"/>
      <c r="M506" s="79"/>
    </row>
    <row r="507" ht="15.75" customHeight="1">
      <c r="A507" s="261"/>
      <c r="B507" s="171"/>
      <c r="C507" s="172"/>
      <c r="D507" s="172"/>
      <c r="E507" s="227"/>
      <c r="F507" s="154"/>
      <c r="G507" s="327"/>
      <c r="H507" s="164"/>
      <c r="I507" s="162"/>
      <c r="J507" s="129"/>
      <c r="K507" s="79"/>
      <c r="L507" s="79"/>
      <c r="M507" s="79"/>
    </row>
    <row r="508" ht="15.75" customHeight="1">
      <c r="A508" s="261"/>
      <c r="B508" s="171"/>
      <c r="C508" s="172"/>
      <c r="D508" s="172"/>
      <c r="E508" s="227"/>
      <c r="F508" s="154"/>
      <c r="G508" s="327"/>
      <c r="H508" s="164"/>
      <c r="I508" s="162"/>
      <c r="J508" s="129"/>
      <c r="K508" s="79"/>
      <c r="L508" s="79"/>
      <c r="M508" s="79"/>
    </row>
    <row r="509" ht="15.75" customHeight="1">
      <c r="A509" s="261"/>
      <c r="B509" s="171"/>
      <c r="C509" s="172"/>
      <c r="D509" s="172"/>
      <c r="E509" s="227"/>
      <c r="F509" s="154"/>
      <c r="G509" s="327"/>
      <c r="H509" s="164"/>
      <c r="I509" s="162"/>
      <c r="J509" s="129"/>
      <c r="K509" s="79"/>
      <c r="L509" s="79"/>
      <c r="M509" s="79"/>
    </row>
    <row r="510" ht="15.75" customHeight="1">
      <c r="A510" s="261"/>
      <c r="B510" s="171"/>
      <c r="C510" s="172"/>
      <c r="D510" s="172"/>
      <c r="E510" s="227"/>
      <c r="F510" s="154"/>
      <c r="G510" s="327"/>
      <c r="H510" s="164"/>
      <c r="I510" s="162"/>
      <c r="J510" s="129"/>
      <c r="K510" s="79"/>
      <c r="L510" s="79"/>
      <c r="M510" s="79"/>
    </row>
    <row r="511" ht="15.75" customHeight="1">
      <c r="A511" s="261"/>
      <c r="B511" s="171"/>
      <c r="C511" s="172"/>
      <c r="D511" s="172"/>
      <c r="E511" s="227"/>
      <c r="F511" s="154"/>
      <c r="G511" s="327"/>
      <c r="H511" s="164"/>
      <c r="I511" s="162"/>
      <c r="J511" s="129"/>
      <c r="K511" s="79"/>
      <c r="L511" s="79"/>
      <c r="M511" s="79"/>
    </row>
    <row r="512" ht="15.75" customHeight="1">
      <c r="A512" s="261"/>
      <c r="B512" s="171"/>
      <c r="C512" s="172"/>
      <c r="D512" s="172"/>
      <c r="E512" s="227"/>
      <c r="F512" s="154"/>
      <c r="G512" s="327"/>
      <c r="H512" s="164"/>
      <c r="I512" s="162"/>
      <c r="J512" s="129"/>
      <c r="K512" s="79"/>
      <c r="L512" s="79"/>
      <c r="M512" s="79"/>
    </row>
    <row r="513" ht="15.75" customHeight="1">
      <c r="A513" s="261"/>
      <c r="B513" s="171"/>
      <c r="C513" s="172"/>
      <c r="D513" s="172"/>
      <c r="E513" s="227"/>
      <c r="F513" s="154"/>
      <c r="G513" s="327"/>
      <c r="H513" s="164"/>
      <c r="I513" s="162"/>
      <c r="J513" s="129"/>
      <c r="K513" s="79"/>
      <c r="L513" s="79"/>
      <c r="M513" s="79"/>
    </row>
    <row r="514" ht="15.75" customHeight="1">
      <c r="A514" s="261"/>
      <c r="B514" s="171"/>
      <c r="C514" s="172"/>
      <c r="D514" s="172"/>
      <c r="E514" s="227"/>
      <c r="F514" s="154"/>
      <c r="G514" s="327"/>
      <c r="H514" s="164"/>
      <c r="I514" s="162"/>
      <c r="J514" s="129"/>
      <c r="K514" s="79"/>
      <c r="L514" s="79"/>
      <c r="M514" s="79"/>
    </row>
    <row r="515" ht="15.75" customHeight="1">
      <c r="A515" s="261"/>
      <c r="B515" s="171"/>
      <c r="C515" s="172"/>
      <c r="D515" s="172"/>
      <c r="E515" s="227"/>
      <c r="F515" s="154"/>
      <c r="G515" s="327"/>
      <c r="H515" s="164"/>
      <c r="I515" s="162"/>
      <c r="J515" s="129"/>
      <c r="K515" s="79"/>
      <c r="L515" s="79"/>
      <c r="M515" s="79"/>
    </row>
    <row r="516" ht="15.75" customHeight="1">
      <c r="A516" s="261"/>
      <c r="B516" s="171"/>
      <c r="C516" s="172"/>
      <c r="D516" s="172"/>
      <c r="E516" s="227"/>
      <c r="F516" s="154"/>
      <c r="G516" s="327"/>
      <c r="H516" s="164"/>
      <c r="I516" s="162"/>
      <c r="J516" s="129"/>
      <c r="K516" s="79"/>
      <c r="L516" s="79"/>
      <c r="M516" s="79"/>
    </row>
    <row r="517" ht="15.75" customHeight="1">
      <c r="A517" s="261"/>
      <c r="B517" s="171"/>
      <c r="C517" s="172"/>
      <c r="D517" s="172"/>
      <c r="E517" s="227"/>
      <c r="F517" s="154"/>
      <c r="G517" s="327"/>
      <c r="H517" s="164"/>
      <c r="I517" s="162"/>
      <c r="J517" s="129"/>
      <c r="K517" s="79"/>
      <c r="L517" s="79"/>
      <c r="M517" s="79"/>
    </row>
    <row r="518" ht="15.75" customHeight="1">
      <c r="A518" s="261"/>
      <c r="B518" s="171"/>
      <c r="C518" s="172"/>
      <c r="D518" s="172"/>
      <c r="E518" s="227"/>
      <c r="F518" s="154"/>
      <c r="G518" s="327"/>
      <c r="H518" s="164"/>
      <c r="I518" s="162"/>
      <c r="J518" s="129"/>
      <c r="K518" s="79"/>
      <c r="L518" s="79"/>
      <c r="M518" s="79"/>
    </row>
    <row r="519" ht="15.75" customHeight="1">
      <c r="A519" s="261"/>
      <c r="B519" s="171"/>
      <c r="C519" s="172"/>
      <c r="D519" s="172"/>
      <c r="E519" s="227"/>
      <c r="F519" s="154"/>
      <c r="G519" s="327"/>
      <c r="H519" s="164"/>
      <c r="I519" s="162"/>
      <c r="J519" s="129"/>
      <c r="K519" s="79"/>
      <c r="L519" s="79"/>
      <c r="M519" s="79"/>
    </row>
    <row r="520" ht="15.75" customHeight="1">
      <c r="A520" s="261"/>
      <c r="B520" s="171"/>
      <c r="C520" s="172"/>
      <c r="D520" s="172"/>
      <c r="E520" s="227"/>
      <c r="F520" s="154"/>
      <c r="G520" s="327"/>
      <c r="H520" s="164"/>
      <c r="I520" s="162"/>
      <c r="J520" s="129"/>
      <c r="K520" s="79"/>
      <c r="L520" s="79"/>
      <c r="M520" s="79"/>
    </row>
    <row r="521" ht="15.75" customHeight="1">
      <c r="A521" s="261"/>
      <c r="B521" s="171"/>
      <c r="C521" s="172"/>
      <c r="D521" s="172"/>
      <c r="E521" s="227"/>
      <c r="F521" s="154"/>
      <c r="G521" s="327"/>
      <c r="H521" s="164"/>
      <c r="I521" s="162"/>
      <c r="J521" s="129"/>
      <c r="K521" s="79"/>
      <c r="L521" s="79"/>
      <c r="M521" s="79"/>
    </row>
    <row r="522" ht="15.75" customHeight="1">
      <c r="A522" s="261"/>
      <c r="B522" s="171"/>
      <c r="C522" s="172"/>
      <c r="D522" s="172"/>
      <c r="E522" s="227"/>
      <c r="F522" s="154"/>
      <c r="G522" s="327"/>
      <c r="H522" s="164"/>
      <c r="I522" s="162"/>
      <c r="J522" s="129"/>
      <c r="K522" s="79"/>
      <c r="L522" s="79"/>
      <c r="M522" s="79"/>
    </row>
    <row r="523" ht="15.75" customHeight="1">
      <c r="A523" s="261"/>
      <c r="B523" s="171"/>
      <c r="C523" s="172"/>
      <c r="D523" s="172"/>
      <c r="E523" s="227"/>
      <c r="F523" s="154"/>
      <c r="G523" s="327"/>
      <c r="H523" s="164"/>
      <c r="I523" s="162"/>
      <c r="J523" s="129"/>
      <c r="K523" s="79"/>
      <c r="L523" s="79"/>
      <c r="M523" s="79"/>
    </row>
    <row r="524" ht="15.75" customHeight="1">
      <c r="A524" s="261"/>
      <c r="B524" s="171"/>
      <c r="C524" s="172"/>
      <c r="D524" s="172"/>
      <c r="E524" s="227"/>
      <c r="F524" s="154"/>
      <c r="G524" s="327"/>
      <c r="H524" s="164"/>
      <c r="I524" s="162"/>
      <c r="J524" s="129"/>
      <c r="K524" s="79"/>
      <c r="L524" s="79"/>
      <c r="M524" s="79"/>
    </row>
    <row r="525" ht="15.75" customHeight="1">
      <c r="A525" s="261"/>
      <c r="B525" s="171"/>
      <c r="C525" s="172"/>
      <c r="D525" s="172"/>
      <c r="E525" s="227"/>
      <c r="F525" s="154"/>
      <c r="G525" s="327"/>
      <c r="H525" s="164"/>
      <c r="I525" s="162"/>
      <c r="J525" s="129"/>
      <c r="K525" s="79"/>
      <c r="L525" s="79"/>
      <c r="M525" s="79"/>
    </row>
    <row r="526" ht="15.75" customHeight="1">
      <c r="A526" s="261"/>
      <c r="B526" s="171"/>
      <c r="C526" s="172"/>
      <c r="D526" s="172"/>
      <c r="E526" s="227"/>
      <c r="F526" s="154"/>
      <c r="G526" s="327"/>
      <c r="H526" s="164"/>
      <c r="I526" s="162"/>
      <c r="J526" s="129"/>
      <c r="K526" s="79"/>
      <c r="L526" s="79"/>
      <c r="M526" s="79"/>
    </row>
    <row r="527" ht="15.75" customHeight="1">
      <c r="A527" s="261"/>
      <c r="B527" s="171"/>
      <c r="C527" s="172"/>
      <c r="D527" s="172"/>
      <c r="E527" s="227"/>
      <c r="F527" s="154"/>
      <c r="G527" s="327"/>
      <c r="H527" s="164"/>
      <c r="I527" s="162"/>
      <c r="J527" s="129"/>
      <c r="K527" s="79"/>
      <c r="L527" s="79"/>
      <c r="M527" s="79"/>
    </row>
    <row r="528" ht="15.75" customHeight="1">
      <c r="A528" s="261"/>
      <c r="B528" s="171"/>
      <c r="C528" s="172"/>
      <c r="D528" s="172"/>
      <c r="E528" s="227"/>
      <c r="F528" s="154"/>
      <c r="G528" s="327"/>
      <c r="H528" s="164"/>
      <c r="I528" s="162"/>
      <c r="J528" s="129"/>
      <c r="K528" s="79"/>
      <c r="L528" s="79"/>
      <c r="M528" s="79"/>
    </row>
    <row r="529" ht="15.75" customHeight="1">
      <c r="A529" s="261"/>
      <c r="B529" s="171"/>
      <c r="C529" s="172"/>
      <c r="D529" s="172"/>
      <c r="E529" s="227"/>
      <c r="F529" s="154"/>
      <c r="G529" s="327"/>
      <c r="H529" s="164"/>
      <c r="I529" s="162"/>
      <c r="J529" s="129"/>
      <c r="K529" s="79"/>
      <c r="L529" s="79"/>
      <c r="M529" s="79"/>
    </row>
    <row r="530" ht="15.75" customHeight="1">
      <c r="A530" s="261"/>
      <c r="B530" s="171"/>
      <c r="C530" s="172"/>
      <c r="D530" s="172"/>
      <c r="E530" s="227"/>
      <c r="F530" s="154"/>
      <c r="G530" s="327"/>
      <c r="H530" s="164"/>
      <c r="I530" s="162"/>
      <c r="J530" s="129"/>
      <c r="K530" s="79"/>
      <c r="L530" s="79"/>
      <c r="M530" s="79"/>
    </row>
    <row r="531" ht="15.75" customHeight="1">
      <c r="A531" s="261"/>
      <c r="B531" s="171"/>
      <c r="C531" s="172"/>
      <c r="D531" s="172"/>
      <c r="E531" s="227"/>
      <c r="F531" s="154"/>
      <c r="G531" s="327"/>
      <c r="H531" s="164"/>
      <c r="I531" s="162"/>
      <c r="J531" s="129"/>
      <c r="K531" s="79"/>
      <c r="L531" s="79"/>
      <c r="M531" s="79"/>
    </row>
    <row r="532" ht="15.75" customHeight="1">
      <c r="A532" s="261"/>
      <c r="B532" s="171"/>
      <c r="C532" s="172"/>
      <c r="D532" s="172"/>
      <c r="E532" s="227"/>
      <c r="F532" s="154"/>
      <c r="G532" s="327"/>
      <c r="H532" s="164"/>
      <c r="I532" s="162"/>
      <c r="J532" s="129"/>
      <c r="K532" s="79"/>
      <c r="L532" s="79"/>
      <c r="M532" s="79"/>
    </row>
    <row r="533" ht="15.75" customHeight="1">
      <c r="A533" s="261"/>
      <c r="B533" s="171"/>
      <c r="C533" s="172"/>
      <c r="D533" s="172"/>
      <c r="E533" s="227"/>
      <c r="F533" s="154"/>
      <c r="G533" s="327"/>
      <c r="H533" s="164"/>
      <c r="I533" s="162"/>
      <c r="J533" s="129"/>
      <c r="K533" s="79"/>
      <c r="L533" s="79"/>
      <c r="M533" s="79"/>
    </row>
    <row r="534" ht="15.75" customHeight="1">
      <c r="A534" s="261"/>
      <c r="B534" s="171"/>
      <c r="C534" s="172"/>
      <c r="D534" s="172"/>
      <c r="E534" s="227"/>
      <c r="F534" s="154"/>
      <c r="G534" s="327"/>
      <c r="H534" s="164"/>
      <c r="I534" s="162"/>
      <c r="J534" s="129"/>
      <c r="K534" s="79"/>
      <c r="L534" s="79"/>
      <c r="M534" s="79"/>
    </row>
    <row r="535" ht="15.75" customHeight="1">
      <c r="A535" s="261"/>
      <c r="B535" s="171"/>
      <c r="C535" s="172"/>
      <c r="D535" s="172"/>
      <c r="E535" s="227"/>
      <c r="F535" s="154"/>
      <c r="G535" s="327"/>
      <c r="H535" s="164"/>
      <c r="I535" s="162"/>
      <c r="J535" s="129"/>
      <c r="K535" s="79"/>
      <c r="L535" s="79"/>
      <c r="M535" s="79"/>
    </row>
    <row r="536" ht="15.75" customHeight="1">
      <c r="A536" s="261"/>
      <c r="B536" s="171"/>
      <c r="C536" s="172"/>
      <c r="D536" s="172"/>
      <c r="E536" s="227"/>
      <c r="F536" s="154"/>
      <c r="G536" s="327"/>
      <c r="H536" s="164"/>
      <c r="I536" s="162"/>
      <c r="J536" s="129"/>
      <c r="K536" s="79"/>
      <c r="L536" s="79"/>
      <c r="M536" s="79"/>
    </row>
    <row r="537" ht="15.75" customHeight="1">
      <c r="A537" s="261"/>
      <c r="B537" s="171"/>
      <c r="C537" s="172"/>
      <c r="D537" s="172"/>
      <c r="E537" s="227"/>
      <c r="F537" s="154"/>
      <c r="G537" s="327"/>
      <c r="H537" s="164"/>
      <c r="I537" s="162"/>
      <c r="J537" s="129"/>
      <c r="K537" s="79"/>
      <c r="L537" s="79"/>
      <c r="M537" s="79"/>
    </row>
    <row r="538" ht="15.75" customHeight="1">
      <c r="A538" s="261"/>
      <c r="B538" s="171"/>
      <c r="C538" s="172"/>
      <c r="D538" s="172"/>
      <c r="E538" s="227"/>
      <c r="F538" s="154"/>
      <c r="G538" s="327"/>
      <c r="H538" s="164"/>
      <c r="I538" s="162"/>
      <c r="J538" s="129"/>
      <c r="K538" s="79"/>
      <c r="L538" s="79"/>
      <c r="M538" s="79"/>
    </row>
    <row r="539" ht="15.75" customHeight="1">
      <c r="A539" s="261"/>
      <c r="B539" s="171"/>
      <c r="C539" s="172"/>
      <c r="D539" s="172"/>
      <c r="E539" s="227"/>
      <c r="F539" s="154"/>
      <c r="G539" s="327"/>
      <c r="H539" s="164"/>
      <c r="I539" s="162"/>
      <c r="J539" s="129"/>
      <c r="K539" s="79"/>
      <c r="L539" s="79"/>
      <c r="M539" s="79"/>
    </row>
    <row r="540" ht="15.75" customHeight="1">
      <c r="A540" s="261"/>
      <c r="B540" s="171"/>
      <c r="C540" s="172"/>
      <c r="D540" s="172"/>
      <c r="E540" s="227"/>
      <c r="F540" s="154"/>
      <c r="G540" s="327"/>
      <c r="H540" s="164"/>
      <c r="I540" s="162"/>
      <c r="J540" s="129"/>
      <c r="K540" s="79"/>
      <c r="L540" s="79"/>
      <c r="M540" s="79"/>
    </row>
    <row r="541" ht="15.75" customHeight="1">
      <c r="A541" s="261"/>
      <c r="B541" s="171"/>
      <c r="C541" s="172"/>
      <c r="D541" s="172"/>
      <c r="E541" s="227"/>
      <c r="F541" s="154"/>
      <c r="G541" s="327"/>
      <c r="H541" s="164"/>
      <c r="I541" s="162"/>
      <c r="J541" s="129"/>
      <c r="K541" s="79"/>
      <c r="L541" s="79"/>
      <c r="M541" s="79"/>
    </row>
    <row r="542" ht="15.75" customHeight="1">
      <c r="A542" s="261"/>
      <c r="B542" s="171"/>
      <c r="C542" s="172"/>
      <c r="D542" s="172"/>
      <c r="E542" s="227"/>
      <c r="F542" s="154"/>
      <c r="G542" s="327"/>
      <c r="H542" s="164"/>
      <c r="I542" s="162"/>
      <c r="J542" s="129"/>
      <c r="K542" s="79"/>
      <c r="L542" s="79"/>
      <c r="M542" s="79"/>
    </row>
    <row r="543" ht="15.75" customHeight="1">
      <c r="A543" s="261"/>
      <c r="B543" s="171"/>
      <c r="C543" s="172"/>
      <c r="D543" s="172"/>
      <c r="E543" s="227"/>
      <c r="F543" s="154"/>
      <c r="G543" s="327"/>
      <c r="H543" s="164"/>
      <c r="I543" s="162"/>
      <c r="J543" s="129"/>
      <c r="K543" s="79"/>
      <c r="L543" s="79"/>
      <c r="M543" s="79"/>
    </row>
    <row r="544" ht="15.75" customHeight="1">
      <c r="A544" s="261"/>
      <c r="B544" s="171"/>
      <c r="C544" s="172"/>
      <c r="D544" s="172"/>
      <c r="E544" s="227"/>
      <c r="F544" s="154"/>
      <c r="G544" s="327"/>
      <c r="H544" s="164"/>
      <c r="I544" s="162"/>
      <c r="J544" s="129"/>
      <c r="K544" s="79"/>
      <c r="L544" s="79"/>
      <c r="M544" s="79"/>
    </row>
    <row r="545" ht="15.75" customHeight="1">
      <c r="A545" s="261"/>
      <c r="B545" s="171"/>
      <c r="C545" s="172"/>
      <c r="D545" s="172"/>
      <c r="E545" s="227"/>
      <c r="F545" s="154"/>
      <c r="G545" s="327"/>
      <c r="H545" s="164"/>
      <c r="I545" s="162"/>
      <c r="J545" s="129"/>
      <c r="K545" s="79"/>
      <c r="L545" s="79"/>
      <c r="M545" s="79"/>
    </row>
    <row r="546" ht="15.75" customHeight="1">
      <c r="A546" s="261"/>
      <c r="B546" s="171"/>
      <c r="C546" s="172"/>
      <c r="D546" s="172"/>
      <c r="E546" s="227"/>
      <c r="F546" s="154"/>
      <c r="G546" s="327"/>
      <c r="H546" s="164"/>
      <c r="I546" s="162"/>
      <c r="J546" s="129"/>
      <c r="K546" s="79"/>
      <c r="L546" s="79"/>
      <c r="M546" s="79"/>
    </row>
    <row r="547" ht="15.75" customHeight="1">
      <c r="A547" s="261"/>
      <c r="B547" s="171"/>
      <c r="C547" s="172"/>
      <c r="D547" s="172"/>
      <c r="E547" s="227"/>
      <c r="F547" s="154"/>
      <c r="G547" s="327"/>
      <c r="H547" s="164"/>
      <c r="I547" s="162"/>
      <c r="J547" s="129"/>
      <c r="K547" s="79"/>
      <c r="L547" s="79"/>
      <c r="M547" s="79"/>
    </row>
    <row r="548" ht="15.75" customHeight="1">
      <c r="A548" s="261"/>
      <c r="B548" s="171"/>
      <c r="C548" s="172"/>
      <c r="D548" s="172"/>
      <c r="E548" s="227"/>
      <c r="F548" s="154"/>
      <c r="G548" s="327"/>
      <c r="H548" s="164"/>
      <c r="I548" s="162"/>
      <c r="J548" s="129"/>
      <c r="K548" s="79"/>
      <c r="L548" s="79"/>
      <c r="M548" s="79"/>
    </row>
    <row r="549" ht="15.75" customHeight="1">
      <c r="A549" s="261"/>
      <c r="B549" s="171"/>
      <c r="C549" s="172"/>
      <c r="D549" s="172"/>
      <c r="E549" s="227"/>
      <c r="F549" s="154"/>
      <c r="G549" s="327"/>
      <c r="H549" s="164"/>
      <c r="I549" s="162"/>
      <c r="J549" s="129"/>
      <c r="K549" s="79"/>
      <c r="L549" s="79"/>
      <c r="M549" s="79"/>
    </row>
    <row r="550" ht="15.75" customHeight="1">
      <c r="A550" s="261"/>
      <c r="B550" s="171"/>
      <c r="C550" s="172"/>
      <c r="D550" s="172"/>
      <c r="E550" s="227"/>
      <c r="F550" s="154"/>
      <c r="G550" s="327"/>
      <c r="H550" s="164"/>
      <c r="I550" s="162"/>
      <c r="J550" s="129"/>
      <c r="K550" s="79"/>
      <c r="L550" s="79"/>
      <c r="M550" s="79"/>
    </row>
    <row r="551" ht="15.75" customHeight="1">
      <c r="A551" s="261"/>
      <c r="B551" s="171"/>
      <c r="C551" s="172"/>
      <c r="D551" s="172"/>
      <c r="E551" s="227"/>
      <c r="F551" s="154"/>
      <c r="G551" s="327"/>
      <c r="H551" s="164"/>
      <c r="I551" s="162"/>
      <c r="J551" s="129"/>
      <c r="K551" s="79"/>
      <c r="L551" s="79"/>
      <c r="M551" s="79"/>
    </row>
    <row r="552" ht="15.75" customHeight="1">
      <c r="A552" s="261"/>
      <c r="B552" s="171"/>
      <c r="C552" s="172"/>
      <c r="D552" s="172"/>
      <c r="E552" s="227"/>
      <c r="F552" s="154"/>
      <c r="G552" s="327"/>
      <c r="H552" s="164"/>
      <c r="I552" s="162"/>
      <c r="J552" s="129"/>
      <c r="K552" s="79"/>
      <c r="L552" s="79"/>
      <c r="M552" s="79"/>
    </row>
    <row r="553" ht="15.75" customHeight="1">
      <c r="A553" s="261"/>
      <c r="B553" s="171"/>
      <c r="C553" s="172"/>
      <c r="D553" s="172"/>
      <c r="E553" s="227"/>
      <c r="F553" s="154"/>
      <c r="G553" s="327"/>
      <c r="H553" s="164"/>
      <c r="I553" s="162"/>
      <c r="J553" s="129"/>
      <c r="K553" s="79"/>
      <c r="L553" s="79"/>
      <c r="M553" s="79"/>
    </row>
    <row r="554" ht="15.75" customHeight="1">
      <c r="A554" s="261"/>
      <c r="B554" s="171"/>
      <c r="C554" s="172"/>
      <c r="D554" s="172"/>
      <c r="E554" s="227"/>
      <c r="F554" s="154"/>
      <c r="G554" s="327"/>
      <c r="H554" s="164"/>
      <c r="I554" s="162"/>
      <c r="J554" s="129"/>
      <c r="K554" s="79"/>
      <c r="L554" s="79"/>
      <c r="M554" s="79"/>
    </row>
    <row r="555" ht="15.75" customHeight="1">
      <c r="A555" s="261"/>
      <c r="B555" s="171"/>
      <c r="C555" s="172"/>
      <c r="D555" s="172"/>
      <c r="E555" s="227"/>
      <c r="F555" s="154"/>
      <c r="G555" s="327"/>
      <c r="H555" s="164"/>
      <c r="I555" s="162"/>
      <c r="J555" s="129"/>
      <c r="K555" s="79"/>
      <c r="L555" s="79"/>
      <c r="M555" s="79"/>
    </row>
    <row r="556" ht="15.75" customHeight="1">
      <c r="A556" s="261"/>
      <c r="B556" s="171"/>
      <c r="C556" s="172"/>
      <c r="D556" s="172"/>
      <c r="E556" s="227"/>
      <c r="F556" s="154"/>
      <c r="G556" s="327"/>
      <c r="H556" s="164"/>
      <c r="I556" s="162"/>
      <c r="J556" s="129"/>
      <c r="K556" s="79"/>
      <c r="L556" s="79"/>
      <c r="M556" s="79"/>
    </row>
    <row r="557" ht="15.75" customHeight="1">
      <c r="A557" s="261"/>
      <c r="B557" s="171"/>
      <c r="C557" s="172"/>
      <c r="D557" s="172"/>
      <c r="E557" s="227"/>
      <c r="F557" s="154"/>
      <c r="G557" s="327"/>
      <c r="H557" s="164"/>
      <c r="I557" s="162"/>
      <c r="J557" s="129"/>
      <c r="K557" s="79"/>
      <c r="L557" s="79"/>
      <c r="M557" s="79"/>
    </row>
    <row r="558" ht="15.75" customHeight="1">
      <c r="A558" s="261"/>
      <c r="B558" s="171"/>
      <c r="C558" s="172"/>
      <c r="D558" s="172"/>
      <c r="E558" s="227"/>
      <c r="F558" s="154"/>
      <c r="G558" s="327"/>
      <c r="H558" s="164"/>
      <c r="I558" s="162"/>
      <c r="J558" s="129"/>
      <c r="K558" s="79"/>
      <c r="L558" s="79"/>
      <c r="M558" s="79"/>
    </row>
    <row r="559" ht="15.75" customHeight="1">
      <c r="A559" s="261"/>
      <c r="B559" s="171"/>
      <c r="C559" s="172"/>
      <c r="D559" s="172"/>
      <c r="E559" s="227"/>
      <c r="F559" s="154"/>
      <c r="G559" s="327"/>
      <c r="H559" s="164"/>
      <c r="I559" s="162"/>
      <c r="J559" s="129"/>
      <c r="K559" s="79"/>
      <c r="L559" s="79"/>
      <c r="M559" s="79"/>
    </row>
    <row r="560" ht="15.75" customHeight="1">
      <c r="A560" s="261"/>
      <c r="B560" s="171"/>
      <c r="C560" s="172"/>
      <c r="D560" s="172"/>
      <c r="E560" s="227"/>
      <c r="F560" s="154"/>
      <c r="G560" s="327"/>
      <c r="H560" s="164"/>
      <c r="I560" s="162"/>
      <c r="J560" s="129"/>
      <c r="K560" s="79"/>
      <c r="L560" s="79"/>
      <c r="M560" s="79"/>
    </row>
    <row r="561" ht="15.75" customHeight="1">
      <c r="A561" s="261"/>
      <c r="B561" s="171"/>
      <c r="C561" s="172"/>
      <c r="D561" s="172"/>
      <c r="E561" s="227"/>
      <c r="F561" s="154"/>
      <c r="G561" s="327"/>
      <c r="H561" s="164"/>
      <c r="I561" s="162"/>
      <c r="J561" s="129"/>
      <c r="K561" s="79"/>
      <c r="L561" s="79"/>
      <c r="M561" s="79"/>
    </row>
    <row r="562" ht="15.75" customHeight="1">
      <c r="A562" s="261"/>
      <c r="B562" s="171"/>
      <c r="C562" s="172"/>
      <c r="D562" s="172"/>
      <c r="E562" s="227"/>
      <c r="F562" s="154"/>
      <c r="G562" s="327"/>
      <c r="H562" s="164"/>
      <c r="I562" s="162"/>
      <c r="J562" s="129"/>
      <c r="K562" s="79"/>
      <c r="L562" s="79"/>
      <c r="M562" s="79"/>
    </row>
    <row r="563" ht="15.75" customHeight="1">
      <c r="A563" s="261"/>
      <c r="B563" s="171"/>
      <c r="C563" s="172"/>
      <c r="D563" s="172"/>
      <c r="E563" s="227"/>
      <c r="F563" s="154"/>
      <c r="G563" s="327"/>
      <c r="H563" s="164"/>
      <c r="I563" s="162"/>
      <c r="J563" s="129"/>
      <c r="K563" s="79"/>
      <c r="L563" s="79"/>
      <c r="M563" s="79"/>
    </row>
    <row r="564" ht="15.75" customHeight="1">
      <c r="A564" s="261"/>
      <c r="B564" s="171"/>
      <c r="C564" s="172"/>
      <c r="D564" s="172"/>
      <c r="E564" s="227"/>
      <c r="F564" s="154"/>
      <c r="G564" s="327"/>
      <c r="H564" s="164"/>
      <c r="I564" s="162"/>
      <c r="J564" s="129"/>
      <c r="K564" s="79"/>
      <c r="L564" s="79"/>
      <c r="M564" s="79"/>
    </row>
    <row r="565" ht="15.75" customHeight="1">
      <c r="A565" s="261"/>
      <c r="B565" s="171"/>
      <c r="C565" s="172"/>
      <c r="D565" s="172"/>
      <c r="E565" s="227"/>
      <c r="F565" s="154"/>
      <c r="G565" s="327"/>
      <c r="H565" s="164"/>
      <c r="I565" s="162"/>
      <c r="J565" s="129"/>
      <c r="K565" s="79"/>
      <c r="L565" s="79"/>
      <c r="M565" s="79"/>
    </row>
    <row r="566" ht="15.75" customHeight="1">
      <c r="A566" s="261"/>
      <c r="B566" s="171"/>
      <c r="C566" s="172"/>
      <c r="D566" s="172"/>
      <c r="E566" s="227"/>
      <c r="F566" s="154"/>
      <c r="G566" s="327"/>
      <c r="H566" s="164"/>
      <c r="I566" s="162"/>
      <c r="J566" s="129"/>
      <c r="K566" s="79"/>
      <c r="L566" s="79"/>
      <c r="M566" s="79"/>
    </row>
    <row r="567" ht="15.75" customHeight="1">
      <c r="A567" s="261"/>
      <c r="B567" s="171"/>
      <c r="C567" s="172"/>
      <c r="D567" s="172"/>
      <c r="E567" s="227"/>
      <c r="F567" s="154"/>
      <c r="G567" s="327"/>
      <c r="H567" s="164"/>
      <c r="I567" s="162"/>
      <c r="J567" s="129"/>
      <c r="K567" s="79"/>
      <c r="L567" s="79"/>
      <c r="M567" s="79"/>
    </row>
    <row r="568" ht="15.75" customHeight="1">
      <c r="A568" s="261"/>
      <c r="B568" s="171"/>
      <c r="C568" s="172"/>
      <c r="D568" s="172"/>
      <c r="E568" s="227"/>
      <c r="F568" s="154"/>
      <c r="G568" s="327"/>
      <c r="H568" s="164"/>
      <c r="I568" s="162"/>
      <c r="J568" s="129"/>
      <c r="K568" s="79"/>
      <c r="L568" s="79"/>
      <c r="M568" s="79"/>
    </row>
    <row r="569" ht="15.75" customHeight="1">
      <c r="A569" s="261"/>
      <c r="B569" s="171"/>
      <c r="C569" s="172"/>
      <c r="D569" s="172"/>
      <c r="E569" s="227"/>
      <c r="F569" s="154"/>
      <c r="G569" s="327"/>
      <c r="H569" s="164"/>
      <c r="I569" s="162"/>
      <c r="J569" s="129"/>
      <c r="K569" s="79"/>
      <c r="L569" s="79"/>
      <c r="M569" s="79"/>
    </row>
    <row r="570" ht="15.75" customHeight="1">
      <c r="A570" s="261"/>
      <c r="B570" s="171"/>
      <c r="C570" s="172"/>
      <c r="D570" s="172"/>
      <c r="E570" s="227"/>
      <c r="F570" s="154"/>
      <c r="G570" s="327"/>
      <c r="H570" s="164"/>
      <c r="I570" s="162"/>
      <c r="J570" s="129"/>
      <c r="K570" s="79"/>
      <c r="L570" s="79"/>
      <c r="M570" s="79"/>
    </row>
    <row r="571" ht="15.75" customHeight="1">
      <c r="A571" s="261"/>
      <c r="B571" s="171"/>
      <c r="C571" s="172"/>
      <c r="D571" s="172"/>
      <c r="E571" s="227"/>
      <c r="F571" s="154"/>
      <c r="G571" s="327"/>
      <c r="H571" s="164"/>
      <c r="I571" s="162"/>
      <c r="J571" s="129"/>
      <c r="K571" s="79"/>
      <c r="L571" s="79"/>
      <c r="M571" s="79"/>
    </row>
    <row r="572" ht="15.75" customHeight="1">
      <c r="A572" s="261"/>
      <c r="B572" s="171"/>
      <c r="C572" s="172"/>
      <c r="D572" s="172"/>
      <c r="E572" s="227"/>
      <c r="F572" s="154"/>
      <c r="G572" s="327"/>
      <c r="H572" s="164"/>
      <c r="I572" s="162"/>
      <c r="J572" s="129"/>
      <c r="K572" s="79"/>
      <c r="L572" s="79"/>
      <c r="M572" s="79"/>
    </row>
    <row r="573" ht="15.75" customHeight="1">
      <c r="A573" s="261"/>
      <c r="B573" s="171"/>
      <c r="C573" s="172"/>
      <c r="D573" s="172"/>
      <c r="E573" s="227"/>
      <c r="F573" s="154"/>
      <c r="G573" s="327"/>
      <c r="H573" s="164"/>
      <c r="I573" s="162"/>
      <c r="J573" s="129"/>
      <c r="K573" s="79"/>
      <c r="L573" s="79"/>
      <c r="M573" s="79"/>
    </row>
    <row r="574" ht="15.75" customHeight="1">
      <c r="A574" s="261"/>
      <c r="B574" s="171"/>
      <c r="C574" s="172"/>
      <c r="D574" s="172"/>
      <c r="E574" s="227"/>
      <c r="F574" s="154"/>
      <c r="G574" s="327"/>
      <c r="H574" s="164"/>
      <c r="I574" s="162"/>
      <c r="J574" s="129"/>
      <c r="K574" s="79"/>
      <c r="L574" s="79"/>
      <c r="M574" s="79"/>
    </row>
    <row r="575" ht="15.75" customHeight="1">
      <c r="A575" s="261"/>
      <c r="B575" s="171"/>
      <c r="C575" s="172"/>
      <c r="D575" s="172"/>
      <c r="E575" s="227"/>
      <c r="F575" s="154"/>
      <c r="G575" s="327"/>
      <c r="H575" s="164"/>
      <c r="I575" s="162"/>
      <c r="J575" s="129"/>
      <c r="K575" s="79"/>
      <c r="L575" s="79"/>
      <c r="M575" s="79"/>
    </row>
    <row r="576" ht="15.75" customHeight="1">
      <c r="A576" s="261"/>
      <c r="B576" s="171"/>
      <c r="C576" s="172"/>
      <c r="D576" s="172"/>
      <c r="E576" s="227"/>
      <c r="F576" s="154"/>
      <c r="G576" s="327"/>
      <c r="H576" s="164"/>
      <c r="I576" s="162"/>
      <c r="J576" s="129"/>
      <c r="K576" s="79"/>
      <c r="L576" s="79"/>
      <c r="M576" s="79"/>
    </row>
    <row r="577" ht="15.75" customHeight="1">
      <c r="A577" s="261"/>
      <c r="B577" s="171"/>
      <c r="C577" s="172"/>
      <c r="D577" s="172"/>
      <c r="E577" s="227"/>
      <c r="F577" s="154"/>
      <c r="G577" s="327"/>
      <c r="H577" s="164"/>
      <c r="I577" s="162"/>
      <c r="J577" s="129"/>
      <c r="K577" s="79"/>
      <c r="L577" s="79"/>
      <c r="M577" s="79"/>
    </row>
    <row r="578" ht="15.75" customHeight="1">
      <c r="A578" s="261"/>
      <c r="B578" s="171"/>
      <c r="C578" s="172"/>
      <c r="D578" s="172"/>
      <c r="E578" s="227"/>
      <c r="F578" s="154"/>
      <c r="G578" s="327"/>
      <c r="H578" s="164"/>
      <c r="I578" s="162"/>
      <c r="J578" s="129"/>
      <c r="K578" s="79"/>
      <c r="L578" s="79"/>
      <c r="M578" s="79"/>
    </row>
    <row r="579" ht="15.75" customHeight="1">
      <c r="A579" s="261"/>
      <c r="B579" s="171"/>
      <c r="C579" s="172"/>
      <c r="D579" s="172"/>
      <c r="E579" s="227"/>
      <c r="F579" s="154"/>
      <c r="G579" s="327"/>
      <c r="H579" s="164"/>
      <c r="I579" s="162"/>
      <c r="J579" s="129"/>
      <c r="K579" s="79"/>
      <c r="L579" s="79"/>
      <c r="M579" s="79"/>
    </row>
    <row r="580" ht="15.75" customHeight="1">
      <c r="A580" s="261"/>
      <c r="B580" s="171"/>
      <c r="C580" s="172"/>
      <c r="D580" s="172"/>
      <c r="E580" s="227"/>
      <c r="F580" s="154"/>
      <c r="G580" s="327"/>
      <c r="H580" s="164"/>
      <c r="I580" s="162"/>
      <c r="J580" s="129"/>
      <c r="K580" s="79"/>
      <c r="L580" s="79"/>
      <c r="M580" s="79"/>
    </row>
    <row r="581" ht="15.75" customHeight="1">
      <c r="A581" s="261"/>
      <c r="B581" s="171"/>
      <c r="C581" s="172"/>
      <c r="D581" s="172"/>
      <c r="E581" s="227"/>
      <c r="F581" s="154"/>
      <c r="G581" s="327"/>
      <c r="H581" s="164"/>
      <c r="I581" s="162"/>
      <c r="J581" s="129"/>
      <c r="K581" s="79"/>
      <c r="L581" s="79"/>
      <c r="M581" s="79"/>
    </row>
    <row r="582" ht="15.75" customHeight="1">
      <c r="A582" s="261"/>
      <c r="B582" s="171"/>
      <c r="C582" s="172"/>
      <c r="D582" s="172"/>
      <c r="E582" s="227"/>
      <c r="F582" s="154"/>
      <c r="G582" s="327"/>
      <c r="H582" s="164"/>
      <c r="I582" s="162"/>
      <c r="J582" s="129"/>
      <c r="K582" s="79"/>
      <c r="L582" s="79"/>
      <c r="M582" s="79"/>
    </row>
    <row r="583" ht="15.75" customHeight="1">
      <c r="A583" s="261"/>
      <c r="B583" s="171"/>
      <c r="C583" s="172"/>
      <c r="D583" s="172"/>
      <c r="E583" s="227"/>
      <c r="F583" s="154"/>
      <c r="G583" s="327"/>
      <c r="H583" s="164"/>
      <c r="I583" s="162"/>
      <c r="J583" s="129"/>
      <c r="K583" s="79"/>
      <c r="L583" s="79"/>
      <c r="M583" s="79"/>
    </row>
    <row r="584" ht="15.75" customHeight="1">
      <c r="A584" s="261"/>
      <c r="B584" s="171"/>
      <c r="C584" s="172"/>
      <c r="D584" s="172"/>
      <c r="E584" s="227"/>
      <c r="F584" s="154"/>
      <c r="G584" s="327"/>
      <c r="H584" s="164"/>
      <c r="I584" s="162"/>
      <c r="J584" s="129"/>
      <c r="K584" s="79"/>
      <c r="L584" s="79"/>
      <c r="M584" s="79"/>
    </row>
    <row r="585" ht="15.75" customHeight="1">
      <c r="A585" s="261"/>
      <c r="B585" s="171"/>
      <c r="C585" s="172"/>
      <c r="D585" s="172"/>
      <c r="E585" s="227"/>
      <c r="F585" s="154"/>
      <c r="G585" s="327"/>
      <c r="H585" s="164"/>
      <c r="I585" s="162"/>
      <c r="J585" s="129"/>
      <c r="K585" s="79"/>
      <c r="L585" s="79"/>
      <c r="M585" s="79"/>
    </row>
    <row r="586" ht="15.75" customHeight="1">
      <c r="A586" s="261"/>
      <c r="B586" s="171"/>
      <c r="C586" s="172"/>
      <c r="D586" s="172"/>
      <c r="E586" s="227"/>
      <c r="F586" s="154"/>
      <c r="G586" s="327"/>
      <c r="H586" s="164"/>
      <c r="I586" s="162"/>
      <c r="J586" s="129"/>
      <c r="K586" s="79"/>
      <c r="L586" s="79"/>
      <c r="M586" s="79"/>
    </row>
    <row r="587" ht="15.75" customHeight="1">
      <c r="A587" s="261"/>
      <c r="B587" s="171"/>
      <c r="C587" s="172"/>
      <c r="D587" s="172"/>
      <c r="E587" s="227"/>
      <c r="F587" s="154"/>
      <c r="G587" s="327"/>
      <c r="H587" s="164"/>
      <c r="I587" s="162"/>
      <c r="J587" s="129"/>
      <c r="K587" s="79"/>
      <c r="L587" s="79"/>
      <c r="M587" s="79"/>
    </row>
    <row r="588" ht="15.75" customHeight="1">
      <c r="A588" s="261"/>
      <c r="B588" s="171"/>
      <c r="C588" s="172"/>
      <c r="D588" s="172"/>
      <c r="E588" s="227"/>
      <c r="F588" s="154"/>
      <c r="G588" s="327"/>
      <c r="H588" s="164"/>
      <c r="I588" s="162"/>
      <c r="J588" s="129"/>
      <c r="K588" s="79"/>
      <c r="L588" s="79"/>
      <c r="M588" s="79"/>
    </row>
    <row r="589" ht="15.75" customHeight="1">
      <c r="A589" s="261"/>
      <c r="B589" s="171"/>
      <c r="C589" s="172"/>
      <c r="D589" s="172"/>
      <c r="E589" s="227"/>
      <c r="F589" s="154"/>
      <c r="G589" s="327"/>
      <c r="H589" s="164"/>
      <c r="I589" s="162"/>
      <c r="J589" s="129"/>
      <c r="K589" s="79"/>
      <c r="L589" s="79"/>
      <c r="M589" s="79"/>
    </row>
    <row r="590" ht="15.75" customHeight="1">
      <c r="A590" s="261"/>
      <c r="B590" s="171"/>
      <c r="C590" s="172"/>
      <c r="D590" s="172"/>
      <c r="E590" s="227"/>
      <c r="F590" s="154"/>
      <c r="G590" s="327"/>
      <c r="H590" s="164"/>
      <c r="I590" s="162"/>
      <c r="J590" s="129"/>
      <c r="K590" s="79"/>
      <c r="L590" s="79"/>
      <c r="M590" s="79"/>
    </row>
    <row r="591" ht="15.75" customHeight="1">
      <c r="A591" s="261"/>
      <c r="B591" s="171"/>
      <c r="C591" s="172"/>
      <c r="D591" s="172"/>
      <c r="E591" s="227"/>
      <c r="F591" s="154"/>
      <c r="G591" s="327"/>
      <c r="H591" s="164"/>
      <c r="I591" s="162"/>
      <c r="J591" s="129"/>
      <c r="K591" s="79"/>
      <c r="L591" s="79"/>
      <c r="M591" s="79"/>
    </row>
    <row r="592" ht="15.75" customHeight="1">
      <c r="A592" s="261"/>
      <c r="B592" s="171"/>
      <c r="C592" s="172"/>
      <c r="D592" s="172"/>
      <c r="E592" s="227"/>
      <c r="F592" s="154"/>
      <c r="G592" s="327"/>
      <c r="H592" s="164"/>
      <c r="I592" s="162"/>
      <c r="J592" s="129"/>
      <c r="K592" s="79"/>
      <c r="L592" s="79"/>
      <c r="M592" s="79"/>
    </row>
    <row r="593" ht="15.75" customHeight="1">
      <c r="A593" s="261"/>
      <c r="B593" s="171"/>
      <c r="C593" s="172"/>
      <c r="D593" s="172"/>
      <c r="E593" s="227"/>
      <c r="F593" s="154"/>
      <c r="G593" s="327"/>
      <c r="H593" s="164"/>
      <c r="I593" s="162"/>
      <c r="J593" s="129"/>
      <c r="K593" s="79"/>
      <c r="L593" s="79"/>
      <c r="M593" s="79"/>
    </row>
    <row r="594" ht="15.75" customHeight="1">
      <c r="A594" s="261"/>
      <c r="B594" s="171"/>
      <c r="C594" s="172"/>
      <c r="D594" s="172"/>
      <c r="E594" s="227"/>
      <c r="F594" s="154"/>
      <c r="G594" s="327"/>
      <c r="H594" s="164"/>
      <c r="I594" s="162"/>
      <c r="J594" s="129"/>
      <c r="K594" s="79"/>
      <c r="L594" s="79"/>
      <c r="M594" s="79"/>
    </row>
    <row r="595" ht="15.75" customHeight="1">
      <c r="A595" s="261"/>
      <c r="B595" s="171"/>
      <c r="C595" s="172"/>
      <c r="D595" s="172"/>
      <c r="E595" s="227"/>
      <c r="F595" s="154"/>
      <c r="G595" s="327"/>
      <c r="H595" s="164"/>
      <c r="I595" s="162"/>
      <c r="J595" s="129"/>
      <c r="K595" s="79"/>
      <c r="L595" s="79"/>
      <c r="M595" s="79"/>
    </row>
    <row r="596" ht="15.75" customHeight="1">
      <c r="A596" s="261"/>
      <c r="B596" s="171"/>
      <c r="C596" s="172"/>
      <c r="D596" s="172"/>
      <c r="E596" s="227"/>
      <c r="F596" s="154"/>
      <c r="G596" s="327"/>
      <c r="H596" s="164"/>
      <c r="I596" s="162"/>
      <c r="J596" s="129"/>
      <c r="K596" s="79"/>
      <c r="L596" s="79"/>
      <c r="M596" s="79"/>
    </row>
    <row r="597" ht="15.75" customHeight="1">
      <c r="A597" s="261"/>
      <c r="B597" s="171"/>
      <c r="C597" s="172"/>
      <c r="D597" s="172"/>
      <c r="E597" s="227"/>
      <c r="F597" s="154"/>
      <c r="G597" s="327"/>
      <c r="H597" s="164"/>
      <c r="I597" s="162"/>
      <c r="J597" s="129"/>
      <c r="K597" s="79"/>
      <c r="L597" s="79"/>
      <c r="M597" s="79"/>
    </row>
    <row r="598" ht="15.75" customHeight="1">
      <c r="A598" s="261"/>
      <c r="B598" s="171"/>
      <c r="C598" s="172"/>
      <c r="D598" s="172"/>
      <c r="E598" s="227"/>
      <c r="F598" s="154"/>
      <c r="G598" s="327"/>
      <c r="H598" s="164"/>
      <c r="I598" s="162"/>
      <c r="J598" s="129"/>
      <c r="K598" s="79"/>
      <c r="L598" s="79"/>
      <c r="M598" s="79"/>
    </row>
    <row r="599" ht="15.75" customHeight="1">
      <c r="A599" s="261"/>
      <c r="B599" s="171"/>
      <c r="C599" s="172"/>
      <c r="D599" s="172"/>
      <c r="E599" s="227"/>
      <c r="F599" s="154"/>
      <c r="G599" s="327"/>
      <c r="H599" s="164"/>
      <c r="I599" s="162"/>
      <c r="J599" s="129"/>
      <c r="K599" s="79"/>
      <c r="L599" s="79"/>
      <c r="M599" s="79"/>
    </row>
    <row r="600" ht="15.75" customHeight="1">
      <c r="A600" s="261"/>
      <c r="B600" s="171"/>
      <c r="C600" s="172"/>
      <c r="D600" s="172"/>
      <c r="E600" s="227"/>
      <c r="F600" s="154"/>
      <c r="G600" s="327"/>
      <c r="H600" s="164"/>
      <c r="I600" s="162"/>
      <c r="J600" s="129"/>
      <c r="K600" s="79"/>
      <c r="L600" s="79"/>
      <c r="M600" s="79"/>
    </row>
    <row r="601" ht="15.75" customHeight="1">
      <c r="A601" s="261"/>
      <c r="B601" s="171"/>
      <c r="C601" s="172"/>
      <c r="D601" s="172"/>
      <c r="E601" s="227"/>
      <c r="F601" s="154"/>
      <c r="G601" s="327"/>
      <c r="H601" s="164"/>
      <c r="I601" s="162"/>
      <c r="J601" s="129"/>
      <c r="K601" s="79"/>
      <c r="L601" s="79"/>
      <c r="M601" s="79"/>
    </row>
    <row r="602" ht="15.75" customHeight="1">
      <c r="A602" s="261"/>
      <c r="B602" s="171"/>
      <c r="C602" s="172"/>
      <c r="D602" s="172"/>
      <c r="E602" s="227"/>
      <c r="F602" s="154"/>
      <c r="G602" s="327"/>
      <c r="H602" s="164"/>
      <c r="I602" s="162"/>
      <c r="J602" s="129"/>
      <c r="K602" s="79"/>
      <c r="L602" s="79"/>
      <c r="M602" s="79"/>
    </row>
    <row r="603" ht="15.75" customHeight="1">
      <c r="A603" s="261"/>
      <c r="B603" s="171"/>
      <c r="C603" s="172"/>
      <c r="D603" s="172"/>
      <c r="E603" s="227"/>
      <c r="F603" s="154"/>
      <c r="G603" s="327"/>
      <c r="H603" s="164"/>
      <c r="I603" s="162"/>
      <c r="J603" s="129"/>
      <c r="K603" s="79"/>
      <c r="L603" s="79"/>
      <c r="M603" s="79"/>
    </row>
    <row r="604" ht="15.75" customHeight="1">
      <c r="A604" s="261"/>
      <c r="B604" s="171"/>
      <c r="C604" s="172"/>
      <c r="D604" s="172"/>
      <c r="E604" s="227"/>
      <c r="F604" s="154"/>
      <c r="G604" s="327"/>
      <c r="H604" s="164"/>
      <c r="I604" s="162"/>
      <c r="J604" s="129"/>
      <c r="K604" s="79"/>
      <c r="L604" s="79"/>
      <c r="M604" s="79"/>
    </row>
    <row r="605" ht="15.75" customHeight="1">
      <c r="A605" s="261"/>
      <c r="B605" s="171"/>
      <c r="C605" s="172"/>
      <c r="D605" s="172"/>
      <c r="E605" s="227"/>
      <c r="F605" s="154"/>
      <c r="G605" s="327"/>
      <c r="H605" s="164"/>
      <c r="I605" s="162"/>
      <c r="J605" s="129"/>
      <c r="K605" s="79"/>
      <c r="L605" s="79"/>
      <c r="M605" s="79"/>
    </row>
    <row r="606" ht="15.75" customHeight="1">
      <c r="A606" s="261"/>
      <c r="B606" s="171"/>
      <c r="C606" s="172"/>
      <c r="D606" s="172"/>
      <c r="E606" s="227"/>
      <c r="F606" s="154"/>
      <c r="G606" s="327"/>
      <c r="H606" s="164"/>
      <c r="I606" s="162"/>
      <c r="J606" s="129"/>
      <c r="K606" s="79"/>
      <c r="L606" s="79"/>
      <c r="M606" s="79"/>
    </row>
    <row r="607" ht="15.75" customHeight="1">
      <c r="A607" s="261"/>
      <c r="B607" s="171"/>
      <c r="C607" s="172"/>
      <c r="D607" s="172"/>
      <c r="E607" s="227"/>
      <c r="F607" s="154"/>
      <c r="G607" s="327"/>
      <c r="H607" s="164"/>
      <c r="I607" s="162"/>
      <c r="J607" s="129"/>
      <c r="K607" s="79"/>
      <c r="L607" s="79"/>
      <c r="M607" s="79"/>
    </row>
    <row r="608" ht="15.75" customHeight="1">
      <c r="A608" s="261"/>
      <c r="B608" s="171"/>
      <c r="C608" s="172"/>
      <c r="D608" s="172"/>
      <c r="E608" s="227"/>
      <c r="F608" s="154"/>
      <c r="G608" s="327"/>
      <c r="H608" s="164"/>
      <c r="I608" s="162"/>
      <c r="J608" s="129"/>
      <c r="K608" s="79"/>
      <c r="L608" s="79"/>
      <c r="M608" s="79"/>
    </row>
    <row r="609" ht="15.75" customHeight="1">
      <c r="A609" s="261"/>
      <c r="B609" s="171"/>
      <c r="C609" s="172"/>
      <c r="D609" s="172"/>
      <c r="E609" s="227"/>
      <c r="F609" s="154"/>
      <c r="G609" s="327"/>
      <c r="H609" s="164"/>
      <c r="I609" s="162"/>
      <c r="J609" s="129"/>
      <c r="K609" s="79"/>
      <c r="L609" s="79"/>
      <c r="M609" s="79"/>
    </row>
    <row r="610" ht="15.75" customHeight="1">
      <c r="A610" s="261"/>
      <c r="B610" s="171"/>
      <c r="C610" s="172"/>
      <c r="D610" s="172"/>
      <c r="E610" s="227"/>
      <c r="F610" s="154"/>
      <c r="G610" s="327"/>
      <c r="H610" s="164"/>
      <c r="I610" s="162"/>
      <c r="J610" s="129"/>
      <c r="K610" s="79"/>
      <c r="L610" s="79"/>
      <c r="M610" s="79"/>
    </row>
    <row r="611" ht="15.75" customHeight="1">
      <c r="A611" s="261"/>
      <c r="B611" s="171"/>
      <c r="C611" s="172"/>
      <c r="D611" s="172"/>
      <c r="E611" s="227"/>
      <c r="F611" s="154"/>
      <c r="G611" s="327"/>
      <c r="H611" s="164"/>
      <c r="I611" s="162"/>
      <c r="J611" s="129"/>
      <c r="K611" s="79"/>
      <c r="L611" s="79"/>
      <c r="M611" s="79"/>
    </row>
    <row r="612" ht="15.75" customHeight="1">
      <c r="A612" s="261"/>
      <c r="B612" s="171"/>
      <c r="C612" s="172"/>
      <c r="D612" s="172"/>
      <c r="E612" s="227"/>
      <c r="F612" s="154"/>
      <c r="G612" s="327"/>
      <c r="H612" s="164"/>
      <c r="I612" s="162"/>
      <c r="J612" s="129"/>
      <c r="K612" s="79"/>
      <c r="L612" s="79"/>
      <c r="M612" s="79"/>
    </row>
    <row r="613" ht="15.75" customHeight="1">
      <c r="A613" s="261"/>
      <c r="B613" s="171"/>
      <c r="C613" s="172"/>
      <c r="D613" s="172"/>
      <c r="E613" s="227"/>
      <c r="F613" s="154"/>
      <c r="G613" s="327"/>
      <c r="H613" s="164"/>
      <c r="I613" s="162"/>
      <c r="J613" s="129"/>
      <c r="K613" s="79"/>
      <c r="L613" s="79"/>
      <c r="M613" s="79"/>
    </row>
    <row r="614" ht="15.75" customHeight="1">
      <c r="A614" s="261"/>
      <c r="B614" s="171"/>
      <c r="C614" s="172"/>
      <c r="D614" s="172"/>
      <c r="E614" s="227"/>
      <c r="F614" s="154"/>
      <c r="G614" s="327"/>
      <c r="H614" s="164"/>
      <c r="I614" s="162"/>
      <c r="J614" s="129"/>
      <c r="K614" s="79"/>
      <c r="L614" s="79"/>
      <c r="M614" s="79"/>
    </row>
    <row r="615" ht="15.75" customHeight="1">
      <c r="A615" s="261"/>
      <c r="B615" s="171"/>
      <c r="C615" s="172"/>
      <c r="D615" s="172"/>
      <c r="E615" s="227"/>
      <c r="F615" s="154"/>
      <c r="G615" s="327"/>
      <c r="H615" s="164"/>
      <c r="I615" s="162"/>
      <c r="J615" s="129"/>
      <c r="K615" s="79"/>
      <c r="L615" s="79"/>
      <c r="M615" s="79"/>
    </row>
    <row r="616" ht="15.75" customHeight="1">
      <c r="A616" s="261"/>
      <c r="B616" s="171"/>
      <c r="C616" s="172"/>
      <c r="D616" s="172"/>
      <c r="E616" s="227"/>
      <c r="F616" s="154"/>
      <c r="G616" s="327"/>
      <c r="H616" s="164"/>
      <c r="I616" s="162"/>
      <c r="J616" s="129"/>
      <c r="K616" s="79"/>
      <c r="L616" s="79"/>
      <c r="M616" s="79"/>
    </row>
    <row r="617" ht="15.75" customHeight="1">
      <c r="A617" s="261"/>
      <c r="B617" s="171"/>
      <c r="C617" s="172"/>
      <c r="D617" s="172"/>
      <c r="E617" s="227"/>
      <c r="F617" s="154"/>
      <c r="G617" s="327"/>
      <c r="H617" s="164"/>
      <c r="I617" s="162"/>
      <c r="J617" s="129"/>
      <c r="K617" s="79"/>
      <c r="L617" s="79"/>
      <c r="M617" s="79"/>
    </row>
    <row r="618" ht="15.75" customHeight="1">
      <c r="A618" s="261"/>
      <c r="B618" s="171"/>
      <c r="C618" s="172"/>
      <c r="D618" s="172"/>
      <c r="E618" s="227"/>
      <c r="F618" s="154"/>
      <c r="G618" s="327"/>
      <c r="H618" s="164"/>
      <c r="I618" s="162"/>
      <c r="J618" s="129"/>
      <c r="K618" s="79"/>
      <c r="L618" s="79"/>
      <c r="M618" s="79"/>
    </row>
    <row r="619" ht="15.75" customHeight="1">
      <c r="A619" s="261"/>
      <c r="B619" s="171"/>
      <c r="C619" s="172"/>
      <c r="D619" s="172"/>
      <c r="E619" s="227"/>
      <c r="F619" s="154"/>
      <c r="G619" s="327"/>
      <c r="H619" s="164"/>
      <c r="I619" s="162"/>
      <c r="J619" s="129"/>
      <c r="K619" s="79"/>
      <c r="L619" s="79"/>
      <c r="M619" s="79"/>
    </row>
    <row r="620" ht="15.75" customHeight="1">
      <c r="A620" s="261"/>
      <c r="B620" s="171"/>
      <c r="C620" s="172"/>
      <c r="D620" s="172"/>
      <c r="E620" s="227"/>
      <c r="F620" s="154"/>
      <c r="G620" s="327"/>
      <c r="H620" s="164"/>
      <c r="I620" s="162"/>
      <c r="J620" s="129"/>
      <c r="K620" s="79"/>
      <c r="L620" s="79"/>
      <c r="M620" s="79"/>
    </row>
    <row r="621" ht="15.75" customHeight="1">
      <c r="A621" s="261"/>
      <c r="B621" s="171"/>
      <c r="C621" s="172"/>
      <c r="D621" s="172"/>
      <c r="E621" s="227"/>
      <c r="F621" s="154"/>
      <c r="G621" s="327"/>
      <c r="H621" s="164"/>
      <c r="I621" s="162"/>
      <c r="J621" s="129"/>
      <c r="K621" s="79"/>
      <c r="L621" s="79"/>
      <c r="M621" s="79"/>
    </row>
    <row r="622" ht="15.75" customHeight="1">
      <c r="A622" s="261"/>
      <c r="B622" s="171"/>
      <c r="C622" s="172"/>
      <c r="D622" s="172"/>
      <c r="E622" s="227"/>
      <c r="F622" s="154"/>
      <c r="G622" s="327"/>
      <c r="H622" s="164"/>
      <c r="I622" s="162"/>
      <c r="J622" s="129"/>
      <c r="K622" s="79"/>
      <c r="L622" s="79"/>
      <c r="M622" s="79"/>
    </row>
    <row r="623" ht="15.75" customHeight="1">
      <c r="A623" s="261"/>
      <c r="B623" s="171"/>
      <c r="C623" s="172"/>
      <c r="D623" s="172"/>
      <c r="E623" s="227"/>
      <c r="F623" s="154"/>
      <c r="G623" s="327"/>
      <c r="H623" s="164"/>
      <c r="I623" s="162"/>
      <c r="J623" s="129"/>
      <c r="K623" s="79"/>
      <c r="L623" s="79"/>
      <c r="M623" s="79"/>
    </row>
    <row r="624" ht="15.75" customHeight="1">
      <c r="A624" s="261"/>
      <c r="B624" s="171"/>
      <c r="C624" s="172"/>
      <c r="D624" s="172"/>
      <c r="E624" s="227"/>
      <c r="F624" s="154"/>
      <c r="G624" s="327"/>
      <c r="H624" s="164"/>
      <c r="I624" s="162"/>
      <c r="J624" s="129"/>
      <c r="K624" s="79"/>
      <c r="L624" s="79"/>
      <c r="M624" s="79"/>
    </row>
    <row r="625" ht="15.75" customHeight="1">
      <c r="A625" s="261"/>
      <c r="B625" s="171"/>
      <c r="C625" s="172"/>
      <c r="D625" s="172"/>
      <c r="E625" s="227"/>
      <c r="F625" s="154"/>
      <c r="G625" s="327"/>
      <c r="H625" s="164"/>
      <c r="I625" s="162"/>
      <c r="J625" s="129"/>
      <c r="K625" s="79"/>
      <c r="L625" s="79"/>
      <c r="M625" s="79"/>
    </row>
    <row r="626" ht="15.75" customHeight="1">
      <c r="A626" s="261"/>
      <c r="B626" s="171"/>
      <c r="C626" s="172"/>
      <c r="D626" s="172"/>
      <c r="E626" s="227"/>
      <c r="F626" s="154"/>
      <c r="G626" s="327"/>
      <c r="H626" s="164"/>
      <c r="I626" s="162"/>
      <c r="J626" s="129"/>
      <c r="K626" s="79"/>
      <c r="L626" s="79"/>
      <c r="M626" s="79"/>
    </row>
    <row r="627" ht="15.75" customHeight="1">
      <c r="A627" s="261"/>
      <c r="B627" s="171"/>
      <c r="C627" s="172"/>
      <c r="D627" s="172"/>
      <c r="E627" s="227"/>
      <c r="F627" s="154"/>
      <c r="G627" s="327"/>
      <c r="H627" s="164"/>
      <c r="I627" s="162"/>
      <c r="J627" s="129"/>
      <c r="K627" s="79"/>
      <c r="L627" s="79"/>
      <c r="M627" s="79"/>
    </row>
    <row r="628" ht="15.75" customHeight="1">
      <c r="A628" s="261"/>
      <c r="B628" s="171"/>
      <c r="C628" s="172"/>
      <c r="D628" s="172"/>
      <c r="E628" s="227"/>
      <c r="F628" s="154"/>
      <c r="G628" s="327"/>
      <c r="H628" s="164"/>
      <c r="I628" s="162"/>
      <c r="J628" s="129"/>
      <c r="K628" s="79"/>
      <c r="L628" s="79"/>
      <c r="M628" s="79"/>
    </row>
    <row r="629" ht="15.75" customHeight="1">
      <c r="A629" s="261"/>
      <c r="B629" s="171"/>
      <c r="C629" s="172"/>
      <c r="D629" s="172"/>
      <c r="E629" s="227"/>
      <c r="F629" s="154"/>
      <c r="G629" s="327"/>
      <c r="H629" s="164"/>
      <c r="I629" s="162"/>
      <c r="J629" s="129"/>
      <c r="K629" s="79"/>
      <c r="L629" s="79"/>
      <c r="M629" s="79"/>
    </row>
    <row r="630" ht="15.75" customHeight="1">
      <c r="A630" s="261"/>
      <c r="B630" s="171"/>
      <c r="C630" s="172"/>
      <c r="D630" s="172"/>
      <c r="E630" s="227"/>
      <c r="F630" s="154"/>
      <c r="G630" s="327"/>
      <c r="H630" s="164"/>
      <c r="I630" s="162"/>
      <c r="J630" s="129"/>
      <c r="K630" s="79"/>
      <c r="L630" s="79"/>
      <c r="M630" s="79"/>
    </row>
    <row r="631" ht="15.75" customHeight="1">
      <c r="A631" s="261"/>
      <c r="B631" s="171"/>
      <c r="C631" s="172"/>
      <c r="D631" s="172"/>
      <c r="E631" s="227"/>
      <c r="F631" s="154"/>
      <c r="G631" s="327"/>
      <c r="H631" s="164"/>
      <c r="I631" s="162"/>
      <c r="J631" s="129"/>
      <c r="K631" s="79"/>
      <c r="L631" s="79"/>
      <c r="M631" s="79"/>
    </row>
    <row r="632" ht="15.75" customHeight="1">
      <c r="A632" s="261"/>
      <c r="B632" s="171"/>
      <c r="C632" s="172"/>
      <c r="D632" s="172"/>
      <c r="E632" s="227"/>
      <c r="F632" s="154"/>
      <c r="G632" s="327"/>
      <c r="H632" s="164"/>
      <c r="I632" s="162"/>
      <c r="J632" s="129"/>
      <c r="K632" s="79"/>
      <c r="L632" s="79"/>
      <c r="M632" s="79"/>
    </row>
    <row r="633" ht="15.75" customHeight="1">
      <c r="A633" s="261"/>
      <c r="B633" s="171"/>
      <c r="C633" s="172"/>
      <c r="D633" s="172"/>
      <c r="E633" s="227"/>
      <c r="F633" s="154"/>
      <c r="G633" s="327"/>
      <c r="H633" s="164"/>
      <c r="I633" s="162"/>
      <c r="J633" s="129"/>
      <c r="K633" s="79"/>
      <c r="L633" s="79"/>
      <c r="M633" s="79"/>
    </row>
    <row r="634" ht="15.75" customHeight="1">
      <c r="A634" s="261"/>
      <c r="B634" s="171"/>
      <c r="C634" s="172"/>
      <c r="D634" s="172"/>
      <c r="E634" s="227"/>
      <c r="F634" s="154"/>
      <c r="G634" s="327"/>
      <c r="H634" s="164"/>
      <c r="I634" s="162"/>
      <c r="J634" s="129"/>
      <c r="K634" s="79"/>
      <c r="L634" s="79"/>
      <c r="M634" s="79"/>
    </row>
    <row r="635" ht="15.75" customHeight="1">
      <c r="A635" s="261"/>
      <c r="B635" s="171"/>
      <c r="C635" s="172"/>
      <c r="D635" s="172"/>
      <c r="E635" s="227"/>
      <c r="F635" s="154"/>
      <c r="G635" s="327"/>
      <c r="H635" s="164"/>
      <c r="I635" s="162"/>
      <c r="J635" s="129"/>
      <c r="K635" s="79"/>
      <c r="L635" s="79"/>
      <c r="M635" s="79"/>
    </row>
    <row r="636" ht="15.75" customHeight="1">
      <c r="A636" s="261"/>
      <c r="B636" s="171"/>
      <c r="C636" s="172"/>
      <c r="D636" s="172"/>
      <c r="E636" s="227"/>
      <c r="F636" s="154"/>
      <c r="G636" s="327"/>
      <c r="H636" s="164"/>
      <c r="I636" s="162"/>
      <c r="J636" s="129"/>
      <c r="K636" s="79"/>
      <c r="L636" s="79"/>
      <c r="M636" s="79"/>
    </row>
    <row r="637" ht="15.75" customHeight="1">
      <c r="A637" s="261"/>
      <c r="B637" s="171"/>
      <c r="C637" s="172"/>
      <c r="D637" s="172"/>
      <c r="E637" s="227"/>
      <c r="F637" s="154"/>
      <c r="G637" s="327"/>
      <c r="H637" s="164"/>
      <c r="I637" s="162"/>
      <c r="J637" s="129"/>
      <c r="K637" s="79"/>
      <c r="L637" s="79"/>
      <c r="M637" s="79"/>
    </row>
    <row r="638" ht="15.75" customHeight="1">
      <c r="A638" s="261"/>
      <c r="B638" s="171"/>
      <c r="C638" s="172"/>
      <c r="D638" s="172"/>
      <c r="E638" s="227"/>
      <c r="F638" s="154"/>
      <c r="G638" s="327"/>
      <c r="H638" s="164"/>
      <c r="I638" s="162"/>
      <c r="J638" s="129"/>
      <c r="K638" s="79"/>
      <c r="L638" s="79"/>
      <c r="M638" s="79"/>
    </row>
    <row r="639" ht="15.75" customHeight="1">
      <c r="A639" s="261"/>
      <c r="B639" s="171"/>
      <c r="C639" s="172"/>
      <c r="D639" s="172"/>
      <c r="E639" s="227"/>
      <c r="F639" s="154"/>
      <c r="G639" s="327"/>
      <c r="H639" s="164"/>
      <c r="I639" s="162"/>
      <c r="J639" s="129"/>
      <c r="K639" s="79"/>
      <c r="L639" s="79"/>
      <c r="M639" s="79"/>
    </row>
    <row r="640" ht="15.75" customHeight="1">
      <c r="A640" s="261"/>
      <c r="B640" s="171"/>
      <c r="C640" s="172"/>
      <c r="D640" s="172"/>
      <c r="E640" s="227"/>
      <c r="F640" s="154"/>
      <c r="G640" s="327"/>
      <c r="H640" s="164"/>
      <c r="I640" s="162"/>
      <c r="J640" s="129"/>
      <c r="K640" s="79"/>
      <c r="L640" s="79"/>
      <c r="M640" s="79"/>
    </row>
    <row r="641" ht="15.75" customHeight="1">
      <c r="A641" s="261"/>
      <c r="B641" s="171"/>
      <c r="C641" s="172"/>
      <c r="D641" s="172"/>
      <c r="E641" s="227"/>
      <c r="F641" s="154"/>
      <c r="G641" s="327"/>
      <c r="H641" s="164"/>
      <c r="I641" s="162"/>
      <c r="J641" s="129"/>
      <c r="K641" s="79"/>
      <c r="L641" s="79"/>
      <c r="M641" s="79"/>
    </row>
    <row r="642" ht="15.75" customHeight="1">
      <c r="A642" s="261"/>
      <c r="B642" s="171"/>
      <c r="C642" s="172"/>
      <c r="D642" s="172"/>
      <c r="E642" s="227"/>
      <c r="F642" s="154"/>
      <c r="G642" s="327"/>
      <c r="H642" s="164"/>
      <c r="I642" s="162"/>
      <c r="J642" s="129"/>
      <c r="K642" s="79"/>
      <c r="L642" s="79"/>
      <c r="M642" s="79"/>
    </row>
    <row r="643" ht="15.75" customHeight="1">
      <c r="A643" s="261"/>
      <c r="B643" s="171"/>
      <c r="C643" s="172"/>
      <c r="D643" s="172"/>
      <c r="E643" s="227"/>
      <c r="F643" s="154"/>
      <c r="G643" s="327"/>
      <c r="H643" s="164"/>
      <c r="I643" s="162"/>
      <c r="J643" s="129"/>
      <c r="K643" s="79"/>
      <c r="L643" s="79"/>
      <c r="M643" s="79"/>
    </row>
    <row r="644" ht="15.75" customHeight="1">
      <c r="A644" s="261"/>
      <c r="B644" s="171"/>
      <c r="C644" s="172"/>
      <c r="D644" s="172"/>
      <c r="E644" s="227"/>
      <c r="F644" s="154"/>
      <c r="G644" s="327"/>
      <c r="H644" s="164"/>
      <c r="I644" s="162"/>
      <c r="J644" s="129"/>
      <c r="K644" s="79"/>
      <c r="L644" s="79"/>
      <c r="M644" s="79"/>
    </row>
    <row r="645" ht="15.75" customHeight="1">
      <c r="A645" s="261"/>
      <c r="B645" s="171"/>
      <c r="C645" s="172"/>
      <c r="D645" s="172"/>
      <c r="E645" s="227"/>
      <c r="F645" s="154"/>
      <c r="G645" s="327"/>
      <c r="H645" s="164"/>
      <c r="I645" s="162"/>
      <c r="J645" s="129"/>
      <c r="K645" s="79"/>
      <c r="L645" s="79"/>
      <c r="M645" s="79"/>
    </row>
    <row r="646" ht="15.75" customHeight="1">
      <c r="A646" s="261"/>
      <c r="B646" s="171"/>
      <c r="C646" s="172"/>
      <c r="D646" s="172"/>
      <c r="E646" s="227"/>
      <c r="F646" s="154"/>
      <c r="G646" s="327"/>
      <c r="H646" s="164"/>
      <c r="I646" s="162"/>
      <c r="J646" s="129"/>
      <c r="K646" s="79"/>
      <c r="L646" s="79"/>
      <c r="M646" s="79"/>
    </row>
    <row r="647" ht="15.75" customHeight="1">
      <c r="A647" s="261"/>
      <c r="B647" s="171"/>
      <c r="C647" s="172"/>
      <c r="D647" s="172"/>
      <c r="E647" s="227"/>
      <c r="F647" s="154"/>
      <c r="G647" s="327"/>
      <c r="H647" s="164"/>
      <c r="I647" s="162"/>
      <c r="J647" s="129"/>
      <c r="K647" s="79"/>
      <c r="L647" s="79"/>
      <c r="M647" s="79"/>
    </row>
    <row r="648" ht="15.75" customHeight="1">
      <c r="A648" s="261"/>
      <c r="B648" s="171"/>
      <c r="C648" s="172"/>
      <c r="D648" s="172"/>
      <c r="E648" s="227"/>
      <c r="F648" s="154"/>
      <c r="G648" s="327"/>
      <c r="H648" s="164"/>
      <c r="I648" s="162"/>
      <c r="J648" s="129"/>
      <c r="K648" s="79"/>
      <c r="L648" s="79"/>
      <c r="M648" s="79"/>
    </row>
    <row r="649" ht="15.75" customHeight="1">
      <c r="A649" s="261"/>
      <c r="B649" s="171"/>
      <c r="C649" s="172"/>
      <c r="D649" s="172"/>
      <c r="E649" s="227"/>
      <c r="F649" s="154"/>
      <c r="G649" s="327"/>
      <c r="H649" s="164"/>
      <c r="I649" s="162"/>
      <c r="J649" s="129"/>
      <c r="K649" s="79"/>
      <c r="L649" s="79"/>
      <c r="M649" s="79"/>
    </row>
    <row r="650" ht="15.75" customHeight="1">
      <c r="A650" s="261"/>
      <c r="B650" s="171"/>
      <c r="C650" s="172"/>
      <c r="D650" s="172"/>
      <c r="E650" s="227"/>
      <c r="F650" s="154"/>
      <c r="G650" s="327"/>
      <c r="H650" s="164"/>
      <c r="I650" s="162"/>
      <c r="J650" s="129"/>
      <c r="K650" s="79"/>
      <c r="L650" s="79"/>
      <c r="M650" s="79"/>
    </row>
    <row r="651" ht="15.75" customHeight="1">
      <c r="A651" s="261"/>
      <c r="B651" s="171"/>
      <c r="C651" s="172"/>
      <c r="D651" s="172"/>
      <c r="E651" s="227"/>
      <c r="F651" s="154"/>
      <c r="G651" s="327"/>
      <c r="H651" s="164"/>
      <c r="I651" s="162"/>
      <c r="J651" s="129"/>
      <c r="K651" s="79"/>
      <c r="L651" s="79"/>
      <c r="M651" s="79"/>
    </row>
    <row r="652" ht="15.75" customHeight="1">
      <c r="A652" s="261"/>
      <c r="B652" s="171"/>
      <c r="C652" s="172"/>
      <c r="D652" s="172"/>
      <c r="E652" s="227"/>
      <c r="F652" s="154"/>
      <c r="G652" s="327"/>
      <c r="H652" s="164"/>
      <c r="I652" s="162"/>
      <c r="J652" s="129"/>
      <c r="K652" s="79"/>
      <c r="L652" s="79"/>
      <c r="M652" s="79"/>
    </row>
    <row r="653" ht="15.75" customHeight="1">
      <c r="A653" s="261"/>
      <c r="B653" s="171"/>
      <c r="C653" s="172"/>
      <c r="D653" s="172"/>
      <c r="E653" s="227"/>
      <c r="F653" s="154"/>
      <c r="G653" s="327"/>
      <c r="H653" s="164"/>
      <c r="I653" s="162"/>
      <c r="J653" s="129"/>
      <c r="K653" s="79"/>
      <c r="L653" s="79"/>
      <c r="M653" s="79"/>
    </row>
    <row r="654" ht="15.75" customHeight="1">
      <c r="A654" s="261"/>
      <c r="B654" s="171"/>
      <c r="C654" s="172"/>
      <c r="D654" s="172"/>
      <c r="E654" s="227"/>
      <c r="F654" s="154"/>
      <c r="G654" s="327"/>
      <c r="H654" s="164"/>
      <c r="I654" s="162"/>
      <c r="J654" s="129"/>
      <c r="K654" s="79"/>
      <c r="L654" s="79"/>
      <c r="M654" s="79"/>
    </row>
    <row r="655" ht="15.75" customHeight="1">
      <c r="A655" s="261"/>
      <c r="B655" s="171"/>
      <c r="C655" s="172"/>
      <c r="D655" s="172"/>
      <c r="E655" s="227"/>
      <c r="F655" s="154"/>
      <c r="G655" s="327"/>
      <c r="H655" s="164"/>
      <c r="I655" s="162"/>
      <c r="J655" s="129"/>
      <c r="K655" s="79"/>
      <c r="L655" s="79"/>
      <c r="M655" s="79"/>
    </row>
    <row r="656" ht="15.75" customHeight="1">
      <c r="A656" s="261"/>
      <c r="B656" s="171"/>
      <c r="C656" s="172"/>
      <c r="D656" s="172"/>
      <c r="E656" s="227"/>
      <c r="F656" s="154"/>
      <c r="G656" s="327"/>
      <c r="H656" s="164"/>
      <c r="I656" s="162"/>
      <c r="J656" s="129"/>
      <c r="K656" s="79"/>
      <c r="L656" s="79"/>
      <c r="M656" s="79"/>
    </row>
    <row r="657" ht="15.75" customHeight="1">
      <c r="A657" s="261"/>
      <c r="B657" s="171"/>
      <c r="C657" s="172"/>
      <c r="D657" s="172"/>
      <c r="E657" s="227"/>
      <c r="F657" s="154"/>
      <c r="G657" s="327"/>
      <c r="H657" s="164"/>
      <c r="I657" s="162"/>
      <c r="J657" s="129"/>
      <c r="K657" s="79"/>
      <c r="L657" s="79"/>
      <c r="M657" s="79"/>
    </row>
    <row r="658" ht="15.75" customHeight="1">
      <c r="A658" s="261"/>
      <c r="B658" s="171"/>
      <c r="C658" s="172"/>
      <c r="D658" s="172"/>
      <c r="E658" s="227"/>
      <c r="F658" s="154"/>
      <c r="G658" s="327"/>
      <c r="H658" s="164"/>
      <c r="I658" s="162"/>
      <c r="J658" s="129"/>
      <c r="K658" s="79"/>
      <c r="L658" s="79"/>
      <c r="M658" s="79"/>
    </row>
    <row r="659" ht="15.75" customHeight="1">
      <c r="A659" s="261"/>
      <c r="B659" s="171"/>
      <c r="C659" s="172"/>
      <c r="D659" s="172"/>
      <c r="E659" s="227"/>
      <c r="F659" s="154"/>
      <c r="G659" s="327"/>
      <c r="H659" s="164"/>
      <c r="I659" s="162"/>
      <c r="J659" s="129"/>
      <c r="K659" s="79"/>
      <c r="L659" s="79"/>
      <c r="M659" s="79"/>
    </row>
    <row r="660" ht="15.75" customHeight="1">
      <c r="A660" s="261"/>
      <c r="B660" s="171"/>
      <c r="C660" s="172"/>
      <c r="D660" s="172"/>
      <c r="E660" s="227"/>
      <c r="F660" s="154"/>
      <c r="G660" s="327"/>
      <c r="H660" s="164"/>
      <c r="I660" s="162"/>
      <c r="J660" s="129"/>
      <c r="K660" s="79"/>
      <c r="L660" s="79"/>
      <c r="M660" s="79"/>
    </row>
    <row r="661" ht="15.75" customHeight="1">
      <c r="A661" s="261"/>
      <c r="B661" s="171"/>
      <c r="C661" s="172"/>
      <c r="D661" s="172"/>
      <c r="E661" s="227"/>
      <c r="F661" s="154"/>
      <c r="G661" s="327"/>
      <c r="H661" s="164"/>
      <c r="I661" s="162"/>
      <c r="J661" s="129"/>
      <c r="K661" s="79"/>
      <c r="L661" s="79"/>
      <c r="M661" s="79"/>
    </row>
    <row r="662" ht="15.75" customHeight="1">
      <c r="A662" s="261"/>
      <c r="B662" s="171"/>
      <c r="C662" s="172"/>
      <c r="D662" s="172"/>
      <c r="E662" s="227"/>
      <c r="F662" s="154"/>
      <c r="G662" s="327"/>
      <c r="H662" s="164"/>
      <c r="I662" s="162"/>
      <c r="J662" s="129"/>
      <c r="K662" s="79"/>
      <c r="L662" s="79"/>
      <c r="M662" s="79"/>
    </row>
    <row r="663" ht="15.75" customHeight="1">
      <c r="A663" s="261"/>
      <c r="B663" s="171"/>
      <c r="C663" s="172"/>
      <c r="D663" s="172"/>
      <c r="E663" s="227"/>
      <c r="F663" s="154"/>
      <c r="G663" s="327"/>
      <c r="H663" s="164"/>
      <c r="I663" s="162"/>
      <c r="J663" s="129"/>
      <c r="K663" s="79"/>
      <c r="L663" s="79"/>
      <c r="M663" s="79"/>
    </row>
    <row r="664" ht="15.75" customHeight="1">
      <c r="A664" s="261"/>
      <c r="B664" s="171"/>
      <c r="C664" s="172"/>
      <c r="D664" s="172"/>
      <c r="E664" s="227"/>
      <c r="F664" s="154"/>
      <c r="G664" s="327"/>
      <c r="H664" s="164"/>
      <c r="I664" s="162"/>
      <c r="J664" s="129"/>
      <c r="K664" s="79"/>
      <c r="L664" s="79"/>
      <c r="M664" s="79"/>
    </row>
    <row r="665" ht="15.75" customHeight="1">
      <c r="A665" s="261"/>
      <c r="B665" s="171"/>
      <c r="C665" s="172"/>
      <c r="D665" s="172"/>
      <c r="E665" s="227"/>
      <c r="F665" s="154"/>
      <c r="G665" s="327"/>
      <c r="H665" s="164"/>
      <c r="I665" s="162"/>
      <c r="J665" s="129"/>
      <c r="K665" s="79"/>
      <c r="L665" s="79"/>
      <c r="M665" s="79"/>
    </row>
    <row r="666" ht="15.75" customHeight="1">
      <c r="A666" s="261"/>
      <c r="B666" s="171"/>
      <c r="C666" s="172"/>
      <c r="D666" s="172"/>
      <c r="E666" s="227"/>
      <c r="F666" s="154"/>
      <c r="G666" s="327"/>
      <c r="H666" s="164"/>
      <c r="I666" s="162"/>
      <c r="J666" s="129"/>
      <c r="K666" s="79"/>
      <c r="L666" s="79"/>
      <c r="M666" s="79"/>
    </row>
    <row r="667" ht="15.75" customHeight="1">
      <c r="A667" s="261"/>
      <c r="B667" s="171"/>
      <c r="C667" s="172"/>
      <c r="D667" s="172"/>
      <c r="E667" s="227"/>
      <c r="F667" s="154"/>
      <c r="G667" s="327"/>
      <c r="H667" s="164"/>
      <c r="I667" s="162"/>
      <c r="J667" s="129"/>
      <c r="K667" s="79"/>
      <c r="L667" s="79"/>
      <c r="M667" s="79"/>
    </row>
    <row r="668" ht="15.75" customHeight="1">
      <c r="A668" s="261"/>
      <c r="B668" s="171"/>
      <c r="C668" s="172"/>
      <c r="D668" s="172"/>
      <c r="E668" s="227"/>
      <c r="F668" s="154"/>
      <c r="G668" s="327"/>
      <c r="H668" s="164"/>
      <c r="I668" s="162"/>
      <c r="J668" s="129"/>
      <c r="K668" s="79"/>
      <c r="L668" s="79"/>
      <c r="M668" s="79"/>
    </row>
    <row r="669" ht="15.75" customHeight="1">
      <c r="A669" s="261"/>
      <c r="B669" s="171"/>
      <c r="C669" s="172"/>
      <c r="D669" s="172"/>
      <c r="E669" s="227"/>
      <c r="F669" s="154"/>
      <c r="G669" s="327"/>
      <c r="H669" s="164"/>
      <c r="I669" s="162"/>
      <c r="J669" s="129"/>
      <c r="K669" s="79"/>
      <c r="L669" s="79"/>
      <c r="M669" s="79"/>
    </row>
    <row r="670" ht="15.75" customHeight="1">
      <c r="A670" s="261"/>
      <c r="B670" s="171"/>
      <c r="C670" s="172"/>
      <c r="D670" s="172"/>
      <c r="E670" s="227"/>
      <c r="F670" s="154"/>
      <c r="G670" s="327"/>
      <c r="H670" s="164"/>
      <c r="I670" s="162"/>
      <c r="J670" s="129"/>
      <c r="K670" s="79"/>
      <c r="L670" s="79"/>
      <c r="M670" s="79"/>
    </row>
    <row r="671" ht="15.75" customHeight="1">
      <c r="A671" s="261"/>
      <c r="B671" s="171"/>
      <c r="C671" s="172"/>
      <c r="D671" s="172"/>
      <c r="E671" s="227"/>
      <c r="F671" s="154"/>
      <c r="G671" s="327"/>
      <c r="H671" s="164"/>
      <c r="I671" s="162"/>
      <c r="J671" s="129"/>
      <c r="K671" s="79"/>
      <c r="L671" s="79"/>
      <c r="M671" s="79"/>
    </row>
    <row r="672" ht="15.75" customHeight="1">
      <c r="A672" s="261"/>
      <c r="B672" s="171"/>
      <c r="C672" s="172"/>
      <c r="D672" s="172"/>
      <c r="E672" s="227"/>
      <c r="F672" s="154"/>
      <c r="G672" s="327"/>
      <c r="H672" s="164"/>
      <c r="I672" s="162"/>
      <c r="J672" s="129"/>
      <c r="K672" s="79"/>
      <c r="L672" s="79"/>
      <c r="M672" s="79"/>
    </row>
    <row r="673" ht="15.75" customHeight="1">
      <c r="A673" s="261"/>
      <c r="B673" s="171"/>
      <c r="C673" s="172"/>
      <c r="D673" s="172"/>
      <c r="E673" s="227"/>
      <c r="F673" s="154"/>
      <c r="G673" s="327"/>
      <c r="H673" s="164"/>
      <c r="I673" s="162"/>
      <c r="J673" s="129"/>
      <c r="K673" s="79"/>
      <c r="L673" s="79"/>
      <c r="M673" s="79"/>
    </row>
    <row r="674" ht="15.75" customHeight="1">
      <c r="A674" s="261"/>
      <c r="B674" s="171"/>
      <c r="C674" s="172"/>
      <c r="D674" s="172"/>
      <c r="E674" s="227"/>
      <c r="F674" s="154"/>
      <c r="G674" s="327"/>
      <c r="H674" s="164"/>
      <c r="I674" s="162"/>
      <c r="J674" s="129"/>
      <c r="K674" s="79"/>
      <c r="L674" s="79"/>
      <c r="M674" s="79"/>
    </row>
    <row r="675" ht="15.75" customHeight="1">
      <c r="A675" s="261"/>
      <c r="B675" s="171"/>
      <c r="C675" s="172"/>
      <c r="D675" s="172"/>
      <c r="E675" s="227"/>
      <c r="F675" s="154"/>
      <c r="G675" s="327"/>
      <c r="H675" s="164"/>
      <c r="I675" s="162"/>
      <c r="J675" s="129"/>
      <c r="K675" s="79"/>
      <c r="L675" s="79"/>
      <c r="M675" s="79"/>
    </row>
    <row r="676" ht="15.75" customHeight="1">
      <c r="A676" s="261"/>
      <c r="B676" s="171"/>
      <c r="C676" s="172"/>
      <c r="D676" s="172"/>
      <c r="E676" s="227"/>
      <c r="F676" s="154"/>
      <c r="G676" s="327"/>
      <c r="H676" s="164"/>
      <c r="I676" s="162"/>
      <c r="J676" s="129"/>
      <c r="K676" s="79"/>
      <c r="L676" s="79"/>
      <c r="M676" s="79"/>
    </row>
    <row r="677" ht="15.75" customHeight="1">
      <c r="A677" s="261"/>
      <c r="B677" s="171"/>
      <c r="C677" s="172"/>
      <c r="D677" s="172"/>
      <c r="E677" s="227"/>
      <c r="F677" s="154"/>
      <c r="G677" s="327"/>
      <c r="H677" s="164"/>
      <c r="I677" s="162"/>
      <c r="J677" s="129"/>
      <c r="K677" s="79"/>
      <c r="L677" s="79"/>
      <c r="M677" s="79"/>
    </row>
    <row r="678" ht="15.75" customHeight="1">
      <c r="A678" s="261"/>
      <c r="B678" s="171"/>
      <c r="C678" s="172"/>
      <c r="D678" s="172"/>
      <c r="E678" s="227"/>
      <c r="F678" s="154"/>
      <c r="G678" s="327"/>
      <c r="H678" s="164"/>
      <c r="I678" s="162"/>
      <c r="J678" s="129"/>
      <c r="K678" s="79"/>
      <c r="L678" s="79"/>
      <c r="M678" s="79"/>
    </row>
    <row r="679" ht="15.75" customHeight="1">
      <c r="A679" s="261"/>
      <c r="B679" s="171"/>
      <c r="C679" s="172"/>
      <c r="D679" s="172"/>
      <c r="E679" s="227"/>
      <c r="F679" s="154"/>
      <c r="G679" s="327"/>
      <c r="H679" s="164"/>
      <c r="I679" s="162"/>
      <c r="J679" s="129"/>
      <c r="K679" s="79"/>
      <c r="L679" s="79"/>
      <c r="M679" s="79"/>
    </row>
    <row r="680" ht="15.75" customHeight="1">
      <c r="A680" s="261"/>
      <c r="B680" s="171"/>
      <c r="C680" s="172"/>
      <c r="D680" s="172"/>
      <c r="E680" s="227"/>
      <c r="F680" s="154"/>
      <c r="G680" s="327"/>
      <c r="H680" s="164"/>
      <c r="I680" s="162"/>
      <c r="J680" s="129"/>
      <c r="K680" s="79"/>
      <c r="L680" s="79"/>
      <c r="M680" s="79"/>
    </row>
    <row r="681" ht="15.75" customHeight="1">
      <c r="A681" s="261"/>
      <c r="B681" s="171"/>
      <c r="C681" s="172"/>
      <c r="D681" s="172"/>
      <c r="E681" s="227"/>
      <c r="F681" s="154"/>
      <c r="G681" s="327"/>
      <c r="H681" s="164"/>
      <c r="I681" s="162"/>
      <c r="J681" s="129"/>
      <c r="K681" s="79"/>
      <c r="L681" s="79"/>
      <c r="M681" s="79"/>
    </row>
    <row r="682" ht="15.75" customHeight="1">
      <c r="A682" s="261"/>
      <c r="B682" s="171"/>
      <c r="C682" s="172"/>
      <c r="D682" s="172"/>
      <c r="E682" s="227"/>
      <c r="F682" s="154"/>
      <c r="G682" s="327"/>
      <c r="H682" s="164"/>
      <c r="I682" s="162"/>
      <c r="J682" s="129"/>
      <c r="K682" s="79"/>
      <c r="L682" s="79"/>
      <c r="M682" s="79"/>
    </row>
    <row r="683" ht="15.75" customHeight="1">
      <c r="A683" s="261"/>
      <c r="B683" s="171"/>
      <c r="C683" s="172"/>
      <c r="D683" s="172"/>
      <c r="E683" s="227"/>
      <c r="F683" s="154"/>
      <c r="G683" s="327"/>
      <c r="H683" s="164"/>
      <c r="I683" s="162"/>
      <c r="J683" s="129"/>
      <c r="K683" s="79"/>
      <c r="L683" s="79"/>
      <c r="M683" s="79"/>
    </row>
    <row r="684" ht="15.75" customHeight="1">
      <c r="A684" s="261"/>
      <c r="B684" s="171"/>
      <c r="C684" s="172"/>
      <c r="D684" s="172"/>
      <c r="E684" s="227"/>
      <c r="F684" s="154"/>
      <c r="G684" s="327"/>
      <c r="H684" s="164"/>
      <c r="I684" s="162"/>
      <c r="J684" s="129"/>
      <c r="K684" s="79"/>
      <c r="L684" s="79"/>
      <c r="M684" s="79"/>
    </row>
    <row r="685" ht="15.75" customHeight="1">
      <c r="A685" s="261"/>
      <c r="B685" s="171"/>
      <c r="C685" s="172"/>
      <c r="D685" s="172"/>
      <c r="E685" s="227"/>
      <c r="F685" s="154"/>
      <c r="G685" s="327"/>
      <c r="H685" s="164"/>
      <c r="I685" s="162"/>
      <c r="J685" s="129"/>
      <c r="K685" s="79"/>
      <c r="L685" s="79"/>
      <c r="M685" s="79"/>
    </row>
    <row r="686" ht="15.75" customHeight="1">
      <c r="A686" s="261"/>
      <c r="B686" s="171"/>
      <c r="C686" s="172"/>
      <c r="D686" s="172"/>
      <c r="E686" s="227"/>
      <c r="F686" s="154"/>
      <c r="G686" s="327"/>
      <c r="H686" s="164"/>
      <c r="I686" s="162"/>
      <c r="J686" s="129"/>
      <c r="K686" s="79"/>
      <c r="L686" s="79"/>
      <c r="M686" s="79"/>
    </row>
    <row r="687" ht="15.75" customHeight="1">
      <c r="A687" s="261"/>
      <c r="B687" s="171"/>
      <c r="C687" s="172"/>
      <c r="D687" s="172"/>
      <c r="E687" s="227"/>
      <c r="F687" s="154"/>
      <c r="G687" s="327"/>
      <c r="H687" s="164"/>
      <c r="I687" s="162"/>
      <c r="J687" s="129"/>
      <c r="K687" s="79"/>
      <c r="L687" s="79"/>
      <c r="M687" s="79"/>
    </row>
    <row r="688" ht="15.75" customHeight="1">
      <c r="A688" s="261"/>
      <c r="B688" s="171"/>
      <c r="C688" s="172"/>
      <c r="D688" s="172"/>
      <c r="E688" s="227"/>
      <c r="F688" s="154"/>
      <c r="G688" s="327"/>
      <c r="H688" s="164"/>
      <c r="I688" s="162"/>
      <c r="J688" s="129"/>
      <c r="K688" s="79"/>
      <c r="L688" s="79"/>
      <c r="M688" s="79"/>
    </row>
    <row r="689" ht="15.75" customHeight="1">
      <c r="A689" s="261"/>
      <c r="B689" s="171"/>
      <c r="C689" s="172"/>
      <c r="D689" s="172"/>
      <c r="E689" s="227"/>
      <c r="F689" s="154"/>
      <c r="G689" s="327"/>
      <c r="H689" s="164"/>
      <c r="I689" s="162"/>
      <c r="J689" s="129"/>
      <c r="K689" s="79"/>
      <c r="L689" s="79"/>
      <c r="M689" s="79"/>
    </row>
    <row r="690" ht="15.75" customHeight="1">
      <c r="A690" s="261"/>
      <c r="B690" s="171"/>
      <c r="C690" s="172"/>
      <c r="D690" s="172"/>
      <c r="E690" s="227"/>
      <c r="F690" s="154"/>
      <c r="G690" s="327"/>
      <c r="H690" s="164"/>
      <c r="I690" s="162"/>
      <c r="J690" s="129"/>
      <c r="K690" s="79"/>
      <c r="L690" s="79"/>
      <c r="M690" s="79"/>
    </row>
    <row r="691" ht="15.75" customHeight="1">
      <c r="A691" s="261"/>
      <c r="B691" s="171"/>
      <c r="C691" s="172"/>
      <c r="D691" s="172"/>
      <c r="E691" s="227"/>
      <c r="F691" s="154"/>
      <c r="G691" s="327"/>
      <c r="H691" s="164"/>
      <c r="I691" s="162"/>
      <c r="J691" s="129"/>
      <c r="K691" s="79"/>
      <c r="L691" s="79"/>
      <c r="M691" s="79"/>
    </row>
    <row r="692" ht="15.75" customHeight="1">
      <c r="A692" s="261"/>
      <c r="B692" s="171"/>
      <c r="C692" s="172"/>
      <c r="D692" s="172"/>
      <c r="E692" s="227"/>
      <c r="F692" s="154"/>
      <c r="G692" s="327"/>
      <c r="H692" s="164"/>
      <c r="I692" s="162"/>
      <c r="J692" s="129"/>
      <c r="K692" s="79"/>
      <c r="L692" s="79"/>
      <c r="M692" s="79"/>
    </row>
    <row r="693" ht="15.75" customHeight="1">
      <c r="A693" s="261"/>
      <c r="B693" s="171"/>
      <c r="C693" s="172"/>
      <c r="D693" s="172"/>
      <c r="E693" s="227"/>
      <c r="F693" s="154"/>
      <c r="G693" s="327"/>
      <c r="H693" s="164"/>
      <c r="I693" s="162"/>
      <c r="J693" s="129"/>
      <c r="K693" s="79"/>
      <c r="L693" s="79"/>
      <c r="M693" s="79"/>
    </row>
    <row r="694" ht="15.75" customHeight="1">
      <c r="A694" s="261"/>
      <c r="B694" s="171"/>
      <c r="C694" s="172"/>
      <c r="D694" s="172"/>
      <c r="E694" s="227"/>
      <c r="F694" s="154"/>
      <c r="G694" s="327"/>
      <c r="H694" s="164"/>
      <c r="I694" s="162"/>
      <c r="J694" s="129"/>
      <c r="K694" s="79"/>
      <c r="L694" s="79"/>
      <c r="M694" s="79"/>
    </row>
    <row r="695" ht="15.75" customHeight="1">
      <c r="A695" s="261"/>
      <c r="B695" s="171"/>
      <c r="C695" s="172"/>
      <c r="D695" s="172"/>
      <c r="E695" s="227"/>
      <c r="F695" s="154"/>
      <c r="G695" s="327"/>
      <c r="H695" s="164"/>
      <c r="I695" s="162"/>
      <c r="J695" s="129"/>
      <c r="K695" s="79"/>
      <c r="L695" s="79"/>
      <c r="M695" s="79"/>
    </row>
    <row r="696" ht="15.75" customHeight="1">
      <c r="A696" s="261"/>
      <c r="B696" s="171"/>
      <c r="C696" s="172"/>
      <c r="D696" s="172"/>
      <c r="E696" s="227"/>
      <c r="F696" s="154"/>
      <c r="G696" s="327"/>
      <c r="H696" s="164"/>
      <c r="I696" s="162"/>
      <c r="J696" s="129"/>
      <c r="K696" s="79"/>
      <c r="L696" s="79"/>
      <c r="M696" s="79"/>
    </row>
    <row r="697" ht="15.75" customHeight="1">
      <c r="A697" s="261"/>
      <c r="B697" s="171"/>
      <c r="C697" s="172"/>
      <c r="D697" s="172"/>
      <c r="E697" s="227"/>
      <c r="F697" s="154"/>
      <c r="G697" s="327"/>
      <c r="H697" s="164"/>
      <c r="I697" s="162"/>
      <c r="J697" s="129"/>
      <c r="K697" s="79"/>
      <c r="L697" s="79"/>
      <c r="M697" s="79"/>
    </row>
    <row r="698" ht="15.75" customHeight="1">
      <c r="A698" s="261"/>
      <c r="B698" s="171"/>
      <c r="C698" s="172"/>
      <c r="D698" s="172"/>
      <c r="E698" s="227"/>
      <c r="F698" s="154"/>
      <c r="G698" s="327"/>
      <c r="H698" s="164"/>
      <c r="I698" s="162"/>
      <c r="J698" s="129"/>
      <c r="K698" s="79"/>
      <c r="L698" s="79"/>
      <c r="M698" s="79"/>
    </row>
    <row r="699" ht="15.75" customHeight="1">
      <c r="A699" s="261"/>
      <c r="B699" s="171"/>
      <c r="C699" s="172"/>
      <c r="D699" s="172"/>
      <c r="E699" s="227"/>
      <c r="F699" s="154"/>
      <c r="G699" s="327"/>
      <c r="H699" s="164"/>
      <c r="I699" s="162"/>
      <c r="J699" s="129"/>
      <c r="K699" s="79"/>
      <c r="L699" s="79"/>
      <c r="M699" s="79"/>
    </row>
    <row r="700" ht="15.75" customHeight="1">
      <c r="A700" s="261"/>
      <c r="B700" s="171"/>
      <c r="C700" s="172"/>
      <c r="D700" s="172"/>
      <c r="E700" s="227"/>
      <c r="F700" s="154"/>
      <c r="G700" s="327"/>
      <c r="H700" s="164"/>
      <c r="I700" s="162"/>
      <c r="J700" s="129"/>
      <c r="K700" s="79"/>
      <c r="L700" s="79"/>
      <c r="M700" s="79"/>
    </row>
    <row r="701" ht="15.75" customHeight="1">
      <c r="A701" s="261"/>
      <c r="B701" s="171"/>
      <c r="C701" s="172"/>
      <c r="D701" s="172"/>
      <c r="E701" s="227"/>
      <c r="F701" s="154"/>
      <c r="G701" s="327"/>
      <c r="H701" s="164"/>
      <c r="I701" s="162"/>
      <c r="J701" s="129"/>
      <c r="K701" s="79"/>
      <c r="L701" s="79"/>
      <c r="M701" s="79"/>
    </row>
    <row r="702" ht="15.75" customHeight="1">
      <c r="A702" s="261"/>
      <c r="B702" s="171"/>
      <c r="C702" s="172"/>
      <c r="D702" s="172"/>
      <c r="E702" s="227"/>
      <c r="F702" s="154"/>
      <c r="G702" s="327"/>
      <c r="H702" s="164"/>
      <c r="I702" s="162"/>
      <c r="J702" s="129"/>
      <c r="K702" s="79"/>
      <c r="L702" s="79"/>
      <c r="M702" s="79"/>
    </row>
    <row r="703" ht="15.75" customHeight="1">
      <c r="A703" s="261"/>
      <c r="B703" s="171"/>
      <c r="C703" s="172"/>
      <c r="D703" s="172"/>
      <c r="E703" s="227"/>
      <c r="F703" s="154"/>
      <c r="G703" s="327"/>
      <c r="H703" s="164"/>
      <c r="I703" s="162"/>
      <c r="J703" s="129"/>
      <c r="K703" s="79"/>
      <c r="L703" s="79"/>
      <c r="M703" s="79"/>
    </row>
    <row r="704" ht="15.75" customHeight="1">
      <c r="A704" s="261"/>
      <c r="B704" s="171"/>
      <c r="C704" s="172"/>
      <c r="D704" s="172"/>
      <c r="E704" s="227"/>
      <c r="F704" s="154"/>
      <c r="G704" s="327"/>
      <c r="H704" s="164"/>
      <c r="I704" s="162"/>
      <c r="J704" s="129"/>
      <c r="K704" s="79"/>
      <c r="L704" s="79"/>
      <c r="M704" s="79"/>
    </row>
    <row r="705" ht="15.75" customHeight="1">
      <c r="A705" s="261"/>
      <c r="B705" s="171"/>
      <c r="C705" s="172"/>
      <c r="D705" s="172"/>
      <c r="E705" s="227"/>
      <c r="F705" s="154"/>
      <c r="G705" s="327"/>
      <c r="H705" s="164"/>
      <c r="I705" s="162"/>
      <c r="J705" s="129"/>
      <c r="K705" s="79"/>
      <c r="L705" s="79"/>
      <c r="M705" s="79"/>
    </row>
    <row r="706" ht="15.75" customHeight="1">
      <c r="A706" s="261"/>
      <c r="B706" s="171"/>
      <c r="C706" s="172"/>
      <c r="D706" s="172"/>
      <c r="E706" s="227"/>
      <c r="F706" s="154"/>
      <c r="G706" s="327"/>
      <c r="H706" s="164"/>
      <c r="I706" s="162"/>
      <c r="J706" s="129"/>
      <c r="K706" s="79"/>
      <c r="L706" s="79"/>
      <c r="M706" s="79"/>
    </row>
    <row r="707" ht="15.75" customHeight="1">
      <c r="A707" s="261"/>
      <c r="B707" s="171"/>
      <c r="C707" s="172"/>
      <c r="D707" s="172"/>
      <c r="E707" s="227"/>
      <c r="F707" s="154"/>
      <c r="G707" s="327"/>
      <c r="H707" s="164"/>
      <c r="I707" s="162"/>
      <c r="J707" s="129"/>
      <c r="K707" s="79"/>
      <c r="L707" s="79"/>
      <c r="M707" s="79"/>
    </row>
    <row r="708" ht="15.75" customHeight="1">
      <c r="A708" s="261"/>
      <c r="B708" s="171"/>
      <c r="C708" s="172"/>
      <c r="D708" s="172"/>
      <c r="E708" s="227"/>
      <c r="F708" s="154"/>
      <c r="G708" s="327"/>
      <c r="H708" s="164"/>
      <c r="I708" s="162"/>
      <c r="J708" s="129"/>
      <c r="K708" s="79"/>
      <c r="L708" s="79"/>
      <c r="M708" s="79"/>
    </row>
    <row r="709" ht="15.75" customHeight="1">
      <c r="A709" s="261"/>
      <c r="B709" s="171"/>
      <c r="C709" s="172"/>
      <c r="D709" s="172"/>
      <c r="E709" s="227"/>
      <c r="F709" s="154"/>
      <c r="G709" s="327"/>
      <c r="H709" s="164"/>
      <c r="I709" s="162"/>
      <c r="J709" s="129"/>
      <c r="K709" s="79"/>
      <c r="L709" s="79"/>
      <c r="M709" s="79"/>
    </row>
    <row r="710" ht="15.75" customHeight="1">
      <c r="A710" s="261"/>
      <c r="B710" s="171"/>
      <c r="C710" s="172"/>
      <c r="D710" s="172"/>
      <c r="E710" s="227"/>
      <c r="F710" s="154"/>
      <c r="G710" s="327"/>
      <c r="H710" s="164"/>
      <c r="I710" s="162"/>
      <c r="J710" s="129"/>
      <c r="K710" s="79"/>
      <c r="L710" s="79"/>
      <c r="M710" s="79"/>
    </row>
    <row r="711" ht="15.75" customHeight="1">
      <c r="A711" s="261"/>
      <c r="B711" s="171"/>
      <c r="C711" s="172"/>
      <c r="D711" s="172"/>
      <c r="E711" s="227"/>
      <c r="F711" s="154"/>
      <c r="G711" s="327"/>
      <c r="H711" s="164"/>
      <c r="I711" s="162"/>
      <c r="J711" s="129"/>
      <c r="K711" s="79"/>
      <c r="L711" s="79"/>
      <c r="M711" s="79"/>
    </row>
    <row r="712" ht="15.75" customHeight="1">
      <c r="A712" s="261"/>
      <c r="B712" s="171"/>
      <c r="C712" s="172"/>
      <c r="D712" s="172"/>
      <c r="E712" s="227"/>
      <c r="F712" s="154"/>
      <c r="G712" s="327"/>
      <c r="H712" s="164"/>
      <c r="I712" s="162"/>
      <c r="J712" s="129"/>
      <c r="K712" s="79"/>
      <c r="L712" s="79"/>
      <c r="M712" s="79"/>
    </row>
    <row r="713" ht="15.75" customHeight="1">
      <c r="A713" s="261"/>
      <c r="B713" s="171"/>
      <c r="C713" s="172"/>
      <c r="D713" s="172"/>
      <c r="E713" s="227"/>
      <c r="F713" s="154"/>
      <c r="G713" s="327"/>
      <c r="H713" s="164"/>
      <c r="I713" s="162"/>
      <c r="J713" s="129"/>
      <c r="K713" s="79"/>
      <c r="L713" s="79"/>
      <c r="M713" s="79"/>
    </row>
    <row r="714" ht="15.75" customHeight="1">
      <c r="A714" s="261"/>
      <c r="B714" s="171"/>
      <c r="C714" s="172"/>
      <c r="D714" s="172"/>
      <c r="E714" s="227"/>
      <c r="F714" s="154"/>
      <c r="G714" s="327"/>
      <c r="H714" s="164"/>
      <c r="I714" s="162"/>
      <c r="J714" s="129"/>
      <c r="K714" s="79"/>
      <c r="L714" s="79"/>
      <c r="M714" s="79"/>
    </row>
    <row r="715" ht="15.75" customHeight="1">
      <c r="A715" s="261"/>
      <c r="B715" s="171"/>
      <c r="C715" s="172"/>
      <c r="D715" s="172"/>
      <c r="E715" s="227"/>
      <c r="F715" s="154"/>
      <c r="G715" s="327"/>
      <c r="H715" s="164"/>
      <c r="I715" s="162"/>
      <c r="J715" s="129"/>
      <c r="K715" s="79"/>
      <c r="L715" s="79"/>
      <c r="M715" s="79"/>
    </row>
    <row r="716" ht="15.75" customHeight="1">
      <c r="A716" s="261"/>
      <c r="B716" s="171"/>
      <c r="C716" s="172"/>
      <c r="D716" s="172"/>
      <c r="E716" s="227"/>
      <c r="F716" s="154"/>
      <c r="G716" s="327"/>
      <c r="H716" s="164"/>
      <c r="I716" s="162"/>
      <c r="J716" s="129"/>
      <c r="K716" s="79"/>
      <c r="L716" s="79"/>
      <c r="M716" s="79"/>
    </row>
    <row r="717" ht="15.75" customHeight="1">
      <c r="A717" s="261"/>
      <c r="B717" s="171"/>
      <c r="C717" s="172"/>
      <c r="D717" s="172"/>
      <c r="E717" s="227"/>
      <c r="F717" s="154"/>
      <c r="G717" s="327"/>
      <c r="H717" s="164"/>
      <c r="I717" s="162"/>
      <c r="J717" s="129"/>
      <c r="K717" s="79"/>
      <c r="L717" s="79"/>
      <c r="M717" s="79"/>
    </row>
    <row r="718" ht="15.75" customHeight="1">
      <c r="A718" s="261"/>
      <c r="B718" s="171"/>
      <c r="C718" s="172"/>
      <c r="D718" s="172"/>
      <c r="E718" s="227"/>
      <c r="F718" s="154"/>
      <c r="G718" s="327"/>
      <c r="H718" s="164"/>
      <c r="I718" s="162"/>
      <c r="J718" s="129"/>
      <c r="K718" s="79"/>
      <c r="L718" s="79"/>
      <c r="M718" s="79"/>
    </row>
    <row r="719" ht="15.75" customHeight="1">
      <c r="A719" s="261"/>
      <c r="B719" s="171"/>
      <c r="C719" s="172"/>
      <c r="D719" s="172"/>
      <c r="E719" s="227"/>
      <c r="F719" s="154"/>
      <c r="G719" s="327"/>
      <c r="H719" s="164"/>
      <c r="I719" s="162"/>
      <c r="J719" s="129"/>
      <c r="K719" s="79"/>
      <c r="L719" s="79"/>
      <c r="M719" s="79"/>
    </row>
    <row r="720" ht="15.75" customHeight="1">
      <c r="A720" s="261"/>
      <c r="B720" s="171"/>
      <c r="C720" s="172"/>
      <c r="D720" s="172"/>
      <c r="E720" s="227"/>
      <c r="F720" s="154"/>
      <c r="G720" s="327"/>
      <c r="H720" s="164"/>
      <c r="I720" s="162"/>
      <c r="J720" s="129"/>
      <c r="K720" s="79"/>
      <c r="L720" s="79"/>
      <c r="M720" s="79"/>
    </row>
    <row r="721" ht="15.75" customHeight="1">
      <c r="A721" s="261"/>
      <c r="B721" s="171"/>
      <c r="C721" s="172"/>
      <c r="D721" s="172"/>
      <c r="E721" s="227"/>
      <c r="F721" s="154"/>
      <c r="G721" s="327"/>
      <c r="H721" s="164"/>
      <c r="I721" s="162"/>
      <c r="J721" s="129"/>
      <c r="K721" s="79"/>
      <c r="L721" s="79"/>
      <c r="M721" s="79"/>
    </row>
    <row r="722" ht="15.75" customHeight="1">
      <c r="A722" s="261"/>
      <c r="B722" s="171"/>
      <c r="C722" s="172"/>
      <c r="D722" s="172"/>
      <c r="E722" s="227"/>
      <c r="F722" s="154"/>
      <c r="G722" s="327"/>
      <c r="H722" s="164"/>
      <c r="I722" s="162"/>
      <c r="J722" s="129"/>
      <c r="K722" s="79"/>
      <c r="L722" s="79"/>
      <c r="M722" s="79"/>
    </row>
    <row r="723" ht="15.75" customHeight="1">
      <c r="A723" s="261"/>
      <c r="B723" s="171"/>
      <c r="C723" s="172"/>
      <c r="D723" s="172"/>
      <c r="E723" s="227"/>
      <c r="F723" s="154"/>
      <c r="G723" s="327"/>
      <c r="H723" s="164"/>
      <c r="I723" s="162"/>
      <c r="J723" s="129"/>
      <c r="K723" s="79"/>
      <c r="L723" s="79"/>
      <c r="M723" s="79"/>
    </row>
    <row r="724" ht="15.75" customHeight="1">
      <c r="A724" s="261"/>
      <c r="B724" s="171"/>
      <c r="C724" s="172"/>
      <c r="D724" s="172"/>
      <c r="E724" s="227"/>
      <c r="F724" s="154"/>
      <c r="G724" s="327"/>
      <c r="H724" s="164"/>
      <c r="I724" s="162"/>
      <c r="J724" s="129"/>
      <c r="K724" s="79"/>
      <c r="L724" s="79"/>
      <c r="M724" s="79"/>
    </row>
    <row r="725" ht="15.75" customHeight="1">
      <c r="A725" s="261"/>
      <c r="B725" s="171"/>
      <c r="C725" s="172"/>
      <c r="D725" s="172"/>
      <c r="E725" s="227"/>
      <c r="F725" s="154"/>
      <c r="G725" s="327"/>
      <c r="H725" s="164"/>
      <c r="I725" s="162"/>
      <c r="J725" s="129"/>
      <c r="K725" s="79"/>
      <c r="L725" s="79"/>
      <c r="M725" s="79"/>
    </row>
    <row r="726" ht="15.75" customHeight="1">
      <c r="A726" s="261"/>
      <c r="B726" s="171"/>
      <c r="C726" s="172"/>
      <c r="D726" s="172"/>
      <c r="E726" s="227"/>
      <c r="F726" s="154"/>
      <c r="G726" s="327"/>
      <c r="H726" s="164"/>
      <c r="I726" s="162"/>
      <c r="J726" s="129"/>
      <c r="K726" s="79"/>
      <c r="L726" s="79"/>
      <c r="M726" s="79"/>
    </row>
    <row r="727" ht="15.75" customHeight="1">
      <c r="A727" s="261"/>
      <c r="B727" s="171"/>
      <c r="C727" s="172"/>
      <c r="D727" s="172"/>
      <c r="E727" s="227"/>
      <c r="F727" s="154"/>
      <c r="G727" s="327"/>
      <c r="H727" s="164"/>
      <c r="I727" s="162"/>
      <c r="J727" s="129"/>
      <c r="K727" s="79"/>
      <c r="L727" s="79"/>
      <c r="M727" s="79"/>
    </row>
    <row r="728" ht="15.75" customHeight="1">
      <c r="A728" s="261"/>
      <c r="B728" s="171"/>
      <c r="C728" s="172"/>
      <c r="D728" s="172"/>
      <c r="E728" s="227"/>
      <c r="F728" s="154"/>
      <c r="G728" s="327"/>
      <c r="H728" s="164"/>
      <c r="I728" s="162"/>
      <c r="J728" s="129"/>
      <c r="K728" s="79"/>
      <c r="L728" s="79"/>
      <c r="M728" s="79"/>
    </row>
    <row r="729" ht="15.75" customHeight="1">
      <c r="A729" s="261"/>
      <c r="B729" s="171"/>
      <c r="C729" s="172"/>
      <c r="D729" s="172"/>
      <c r="E729" s="227"/>
      <c r="F729" s="154"/>
      <c r="G729" s="327"/>
      <c r="H729" s="164"/>
      <c r="I729" s="162"/>
      <c r="J729" s="129"/>
      <c r="K729" s="79"/>
      <c r="L729" s="79"/>
      <c r="M729" s="79"/>
    </row>
    <row r="730" ht="15.75" customHeight="1">
      <c r="A730" s="261"/>
      <c r="B730" s="171"/>
      <c r="C730" s="172"/>
      <c r="D730" s="172"/>
      <c r="E730" s="227"/>
      <c r="F730" s="154"/>
      <c r="G730" s="327"/>
      <c r="H730" s="164"/>
      <c r="I730" s="162"/>
      <c r="J730" s="129"/>
      <c r="K730" s="79"/>
      <c r="L730" s="79"/>
      <c r="M730" s="79"/>
    </row>
    <row r="731" ht="15.75" customHeight="1">
      <c r="A731" s="261"/>
      <c r="B731" s="171"/>
      <c r="C731" s="172"/>
      <c r="D731" s="172"/>
      <c r="E731" s="227"/>
      <c r="F731" s="154"/>
      <c r="G731" s="327"/>
      <c r="H731" s="164"/>
      <c r="I731" s="162"/>
      <c r="J731" s="129"/>
      <c r="K731" s="79"/>
      <c r="L731" s="79"/>
      <c r="M731" s="79"/>
    </row>
    <row r="732" ht="15.75" customHeight="1">
      <c r="A732" s="261"/>
      <c r="B732" s="171"/>
      <c r="C732" s="172"/>
      <c r="D732" s="172"/>
      <c r="E732" s="227"/>
      <c r="F732" s="154"/>
      <c r="G732" s="327"/>
      <c r="H732" s="164"/>
      <c r="I732" s="162"/>
      <c r="J732" s="129"/>
      <c r="K732" s="79"/>
      <c r="L732" s="79"/>
      <c r="M732" s="79"/>
    </row>
    <row r="733" ht="15.75" customHeight="1">
      <c r="A733" s="261"/>
      <c r="B733" s="171"/>
      <c r="C733" s="172"/>
      <c r="D733" s="172"/>
      <c r="E733" s="227"/>
      <c r="F733" s="154"/>
      <c r="G733" s="327"/>
      <c r="H733" s="164"/>
      <c r="I733" s="162"/>
      <c r="J733" s="129"/>
      <c r="K733" s="79"/>
      <c r="L733" s="79"/>
      <c r="M733" s="79"/>
    </row>
    <row r="734" ht="15.75" customHeight="1">
      <c r="A734" s="261"/>
      <c r="B734" s="171"/>
      <c r="C734" s="172"/>
      <c r="D734" s="172"/>
      <c r="E734" s="227"/>
      <c r="F734" s="154"/>
      <c r="G734" s="327"/>
      <c r="H734" s="164"/>
      <c r="I734" s="162"/>
      <c r="J734" s="129"/>
      <c r="K734" s="79"/>
      <c r="L734" s="79"/>
      <c r="M734" s="79"/>
    </row>
    <row r="735" ht="15.75" customHeight="1">
      <c r="A735" s="261"/>
      <c r="B735" s="171"/>
      <c r="C735" s="172"/>
      <c r="D735" s="172"/>
      <c r="E735" s="227"/>
      <c r="F735" s="154"/>
      <c r="G735" s="327"/>
      <c r="H735" s="164"/>
      <c r="I735" s="162"/>
      <c r="J735" s="129"/>
      <c r="K735" s="79"/>
      <c r="L735" s="79"/>
      <c r="M735" s="79"/>
    </row>
    <row r="736" ht="15.75" customHeight="1">
      <c r="A736" s="261"/>
      <c r="B736" s="171"/>
      <c r="C736" s="172"/>
      <c r="D736" s="172"/>
      <c r="E736" s="227"/>
      <c r="F736" s="154"/>
      <c r="G736" s="327"/>
      <c r="H736" s="164"/>
      <c r="I736" s="162"/>
      <c r="J736" s="129"/>
      <c r="K736" s="79"/>
      <c r="L736" s="79"/>
      <c r="M736" s="79"/>
    </row>
    <row r="737" ht="15.75" customHeight="1">
      <c r="A737" s="261"/>
      <c r="B737" s="171"/>
      <c r="C737" s="172"/>
      <c r="D737" s="172"/>
      <c r="E737" s="227"/>
      <c r="F737" s="154"/>
      <c r="G737" s="327"/>
      <c r="H737" s="164"/>
      <c r="I737" s="162"/>
      <c r="J737" s="129"/>
      <c r="K737" s="79"/>
      <c r="L737" s="79"/>
      <c r="M737" s="79"/>
    </row>
    <row r="738" ht="15.75" customHeight="1">
      <c r="A738" s="261"/>
      <c r="B738" s="171"/>
      <c r="C738" s="172"/>
      <c r="D738" s="172"/>
      <c r="E738" s="227"/>
      <c r="F738" s="154"/>
      <c r="G738" s="327"/>
      <c r="H738" s="164"/>
      <c r="I738" s="162"/>
      <c r="J738" s="129"/>
      <c r="K738" s="79"/>
      <c r="L738" s="79"/>
      <c r="M738" s="79"/>
    </row>
    <row r="739" ht="15.75" customHeight="1">
      <c r="A739" s="261"/>
      <c r="B739" s="171"/>
      <c r="C739" s="172"/>
      <c r="D739" s="172"/>
      <c r="E739" s="227"/>
      <c r="F739" s="154"/>
      <c r="G739" s="327"/>
      <c r="H739" s="164"/>
      <c r="I739" s="162"/>
      <c r="J739" s="129"/>
      <c r="K739" s="79"/>
      <c r="L739" s="79"/>
      <c r="M739" s="79"/>
    </row>
    <row r="740" ht="15.75" customHeight="1">
      <c r="A740" s="261"/>
      <c r="B740" s="171"/>
      <c r="C740" s="172"/>
      <c r="D740" s="172"/>
      <c r="E740" s="227"/>
      <c r="F740" s="154"/>
      <c r="G740" s="327"/>
      <c r="H740" s="164"/>
      <c r="I740" s="162"/>
      <c r="J740" s="129"/>
      <c r="K740" s="79"/>
      <c r="L740" s="79"/>
      <c r="M740" s="79"/>
    </row>
    <row r="741" ht="15.75" customHeight="1">
      <c r="A741" s="261"/>
      <c r="B741" s="171"/>
      <c r="C741" s="172"/>
      <c r="D741" s="172"/>
      <c r="E741" s="227"/>
      <c r="F741" s="154"/>
      <c r="G741" s="327"/>
      <c r="H741" s="164"/>
      <c r="I741" s="162"/>
      <c r="J741" s="129"/>
      <c r="K741" s="79"/>
      <c r="L741" s="79"/>
      <c r="M741" s="79"/>
    </row>
    <row r="742" ht="15.75" customHeight="1">
      <c r="A742" s="261"/>
      <c r="B742" s="171"/>
      <c r="C742" s="172"/>
      <c r="D742" s="172"/>
      <c r="E742" s="227"/>
      <c r="F742" s="154"/>
      <c r="G742" s="327"/>
      <c r="H742" s="164"/>
      <c r="I742" s="162"/>
      <c r="J742" s="129"/>
      <c r="K742" s="79"/>
      <c r="L742" s="79"/>
      <c r="M742" s="79"/>
    </row>
    <row r="743" ht="15.75" customHeight="1">
      <c r="A743" s="261"/>
      <c r="B743" s="171"/>
      <c r="C743" s="172"/>
      <c r="D743" s="172"/>
      <c r="E743" s="227"/>
      <c r="F743" s="154"/>
      <c r="G743" s="327"/>
      <c r="H743" s="164"/>
      <c r="I743" s="162"/>
      <c r="J743" s="129"/>
      <c r="K743" s="79"/>
      <c r="L743" s="79"/>
      <c r="M743" s="79"/>
    </row>
    <row r="744" ht="15.75" customHeight="1">
      <c r="A744" s="261"/>
      <c r="B744" s="171"/>
      <c r="C744" s="172"/>
      <c r="D744" s="172"/>
      <c r="E744" s="227"/>
      <c r="F744" s="154"/>
      <c r="G744" s="327"/>
      <c r="H744" s="164"/>
      <c r="I744" s="162"/>
      <c r="J744" s="129"/>
      <c r="K744" s="79"/>
      <c r="L744" s="79"/>
      <c r="M744" s="79"/>
    </row>
    <row r="745" ht="15.75" customHeight="1">
      <c r="A745" s="261"/>
      <c r="B745" s="171"/>
      <c r="C745" s="172"/>
      <c r="D745" s="172"/>
      <c r="E745" s="227"/>
      <c r="F745" s="154"/>
      <c r="G745" s="327"/>
      <c r="H745" s="164"/>
      <c r="I745" s="162"/>
      <c r="J745" s="129"/>
      <c r="K745" s="79"/>
      <c r="L745" s="79"/>
      <c r="M745" s="79"/>
    </row>
    <row r="746" ht="15.75" customHeight="1">
      <c r="A746" s="261"/>
      <c r="B746" s="171"/>
      <c r="C746" s="172"/>
      <c r="D746" s="172"/>
      <c r="E746" s="227"/>
      <c r="F746" s="154"/>
      <c r="G746" s="327"/>
      <c r="H746" s="164"/>
      <c r="I746" s="162"/>
      <c r="J746" s="129"/>
      <c r="K746" s="79"/>
      <c r="L746" s="79"/>
      <c r="M746" s="79"/>
    </row>
    <row r="747" ht="15.75" customHeight="1">
      <c r="A747" s="261"/>
      <c r="B747" s="171"/>
      <c r="C747" s="172"/>
      <c r="D747" s="172"/>
      <c r="E747" s="227"/>
      <c r="F747" s="154"/>
      <c r="G747" s="327"/>
      <c r="H747" s="164"/>
      <c r="I747" s="162"/>
      <c r="J747" s="129"/>
      <c r="K747" s="79"/>
      <c r="L747" s="79"/>
      <c r="M747" s="79"/>
    </row>
    <row r="748" ht="15.75" customHeight="1">
      <c r="A748" s="261"/>
      <c r="B748" s="171"/>
      <c r="C748" s="172"/>
      <c r="D748" s="172"/>
      <c r="E748" s="227"/>
      <c r="F748" s="154"/>
      <c r="G748" s="327"/>
      <c r="H748" s="164"/>
      <c r="I748" s="162"/>
      <c r="J748" s="129"/>
      <c r="K748" s="79"/>
      <c r="L748" s="79"/>
      <c r="M748" s="79"/>
    </row>
    <row r="749" ht="15.75" customHeight="1">
      <c r="A749" s="261"/>
      <c r="B749" s="171"/>
      <c r="C749" s="172"/>
      <c r="D749" s="172"/>
      <c r="E749" s="227"/>
      <c r="F749" s="154"/>
      <c r="G749" s="327"/>
      <c r="H749" s="164"/>
      <c r="I749" s="162"/>
      <c r="J749" s="129"/>
      <c r="K749" s="79"/>
      <c r="L749" s="79"/>
      <c r="M749" s="79"/>
    </row>
    <row r="750" ht="15.75" customHeight="1">
      <c r="A750" s="261"/>
      <c r="B750" s="171"/>
      <c r="C750" s="172"/>
      <c r="D750" s="172"/>
      <c r="E750" s="227"/>
      <c r="F750" s="154"/>
      <c r="G750" s="327"/>
      <c r="H750" s="164"/>
      <c r="I750" s="162"/>
      <c r="J750" s="129"/>
      <c r="K750" s="79"/>
      <c r="L750" s="79"/>
      <c r="M750" s="79"/>
    </row>
    <row r="751" ht="15.75" customHeight="1">
      <c r="A751" s="261"/>
      <c r="B751" s="171"/>
      <c r="C751" s="172"/>
      <c r="D751" s="172"/>
      <c r="E751" s="227"/>
      <c r="F751" s="154"/>
      <c r="G751" s="327"/>
      <c r="H751" s="164"/>
      <c r="I751" s="162"/>
      <c r="J751" s="129"/>
      <c r="K751" s="79"/>
      <c r="L751" s="79"/>
      <c r="M751" s="79"/>
    </row>
    <row r="752" ht="15.75" customHeight="1">
      <c r="A752" s="261"/>
      <c r="B752" s="171"/>
      <c r="C752" s="172"/>
      <c r="D752" s="172"/>
      <c r="E752" s="227"/>
      <c r="F752" s="154"/>
      <c r="G752" s="327"/>
      <c r="H752" s="164"/>
      <c r="I752" s="162"/>
      <c r="J752" s="129"/>
      <c r="K752" s="79"/>
      <c r="L752" s="79"/>
      <c r="M752" s="79"/>
    </row>
    <row r="753" ht="15.75" customHeight="1">
      <c r="A753" s="261"/>
      <c r="B753" s="171"/>
      <c r="C753" s="172"/>
      <c r="D753" s="172"/>
      <c r="E753" s="227"/>
      <c r="F753" s="154"/>
      <c r="G753" s="327"/>
      <c r="H753" s="164"/>
      <c r="I753" s="162"/>
      <c r="J753" s="129"/>
      <c r="K753" s="79"/>
      <c r="L753" s="79"/>
      <c r="M753" s="79"/>
    </row>
    <row r="754" ht="15.75" customHeight="1">
      <c r="A754" s="261"/>
      <c r="B754" s="171"/>
      <c r="C754" s="172"/>
      <c r="D754" s="172"/>
      <c r="E754" s="227"/>
      <c r="F754" s="154"/>
      <c r="G754" s="327"/>
      <c r="H754" s="164"/>
      <c r="I754" s="162"/>
      <c r="J754" s="129"/>
      <c r="K754" s="79"/>
      <c r="L754" s="79"/>
      <c r="M754" s="79"/>
    </row>
    <row r="755" ht="15.75" customHeight="1">
      <c r="A755" s="261"/>
      <c r="B755" s="171"/>
      <c r="C755" s="172"/>
      <c r="D755" s="172"/>
      <c r="E755" s="227"/>
      <c r="F755" s="154"/>
      <c r="G755" s="327"/>
      <c r="H755" s="164"/>
      <c r="I755" s="162"/>
      <c r="J755" s="129"/>
      <c r="K755" s="79"/>
      <c r="L755" s="79"/>
      <c r="M755" s="79"/>
    </row>
    <row r="756" ht="15.75" customHeight="1">
      <c r="A756" s="261"/>
      <c r="B756" s="171"/>
      <c r="C756" s="172"/>
      <c r="D756" s="172"/>
      <c r="E756" s="227"/>
      <c r="F756" s="154"/>
      <c r="G756" s="327"/>
      <c r="H756" s="164"/>
      <c r="I756" s="162"/>
      <c r="J756" s="129"/>
      <c r="K756" s="79"/>
      <c r="L756" s="79"/>
      <c r="M756" s="79"/>
    </row>
    <row r="757" ht="15.75" customHeight="1">
      <c r="A757" s="261"/>
      <c r="B757" s="171"/>
      <c r="C757" s="172"/>
      <c r="D757" s="172"/>
      <c r="E757" s="227"/>
      <c r="F757" s="154"/>
      <c r="G757" s="327"/>
      <c r="H757" s="164"/>
      <c r="I757" s="162"/>
      <c r="J757" s="129"/>
      <c r="K757" s="79"/>
      <c r="L757" s="79"/>
      <c r="M757" s="79"/>
    </row>
    <row r="758" ht="15.75" customHeight="1">
      <c r="A758" s="261"/>
      <c r="B758" s="171"/>
      <c r="C758" s="172"/>
      <c r="D758" s="172"/>
      <c r="E758" s="227"/>
      <c r="F758" s="154"/>
      <c r="G758" s="327"/>
      <c r="H758" s="164"/>
      <c r="I758" s="162"/>
      <c r="J758" s="129"/>
      <c r="K758" s="79"/>
      <c r="L758" s="79"/>
      <c r="M758" s="79"/>
    </row>
    <row r="759" ht="15.75" customHeight="1">
      <c r="A759" s="261"/>
      <c r="B759" s="171"/>
      <c r="C759" s="172"/>
      <c r="D759" s="172"/>
      <c r="E759" s="227"/>
      <c r="F759" s="154"/>
      <c r="G759" s="327"/>
      <c r="H759" s="164"/>
      <c r="I759" s="162"/>
      <c r="J759" s="129"/>
      <c r="K759" s="79"/>
      <c r="L759" s="79"/>
      <c r="M759" s="79"/>
    </row>
    <row r="760" ht="15.75" customHeight="1">
      <c r="A760" s="261"/>
      <c r="B760" s="171"/>
      <c r="C760" s="172"/>
      <c r="D760" s="172"/>
      <c r="E760" s="227"/>
      <c r="F760" s="154"/>
      <c r="G760" s="327"/>
      <c r="H760" s="164"/>
      <c r="I760" s="162"/>
      <c r="J760" s="129"/>
      <c r="K760" s="79"/>
      <c r="L760" s="79"/>
      <c r="M760" s="79"/>
    </row>
    <row r="761" ht="15.75" customHeight="1">
      <c r="A761" s="261"/>
      <c r="B761" s="171"/>
      <c r="C761" s="172"/>
      <c r="D761" s="172"/>
      <c r="E761" s="227"/>
      <c r="F761" s="154"/>
      <c r="G761" s="327"/>
      <c r="H761" s="164"/>
      <c r="I761" s="162"/>
      <c r="J761" s="129"/>
      <c r="K761" s="79"/>
      <c r="L761" s="79"/>
      <c r="M761" s="79"/>
    </row>
    <row r="762" ht="15.75" customHeight="1">
      <c r="A762" s="261"/>
      <c r="B762" s="171"/>
      <c r="C762" s="172"/>
      <c r="D762" s="172"/>
      <c r="E762" s="227"/>
      <c r="F762" s="154"/>
      <c r="G762" s="327"/>
      <c r="H762" s="164"/>
      <c r="I762" s="162"/>
      <c r="J762" s="129"/>
      <c r="K762" s="79"/>
      <c r="L762" s="79"/>
      <c r="M762" s="79"/>
    </row>
    <row r="763" ht="15.75" customHeight="1">
      <c r="A763" s="261"/>
      <c r="B763" s="171"/>
      <c r="C763" s="172"/>
      <c r="D763" s="172"/>
      <c r="E763" s="227"/>
      <c r="F763" s="154"/>
      <c r="G763" s="327"/>
      <c r="H763" s="164"/>
      <c r="I763" s="162"/>
      <c r="J763" s="129"/>
      <c r="K763" s="79"/>
      <c r="L763" s="79"/>
      <c r="M763" s="79"/>
    </row>
    <row r="764" ht="15.75" customHeight="1">
      <c r="A764" s="261"/>
      <c r="B764" s="171"/>
      <c r="C764" s="172"/>
      <c r="D764" s="172"/>
      <c r="E764" s="227"/>
      <c r="F764" s="154"/>
      <c r="G764" s="327"/>
      <c r="H764" s="164"/>
      <c r="I764" s="162"/>
      <c r="J764" s="129"/>
      <c r="K764" s="79"/>
      <c r="L764" s="79"/>
      <c r="M764" s="79"/>
    </row>
    <row r="765" ht="15.75" customHeight="1">
      <c r="A765" s="261"/>
      <c r="B765" s="171"/>
      <c r="C765" s="172"/>
      <c r="D765" s="172"/>
      <c r="E765" s="227"/>
      <c r="F765" s="154"/>
      <c r="G765" s="327"/>
      <c r="H765" s="164"/>
      <c r="I765" s="162"/>
      <c r="J765" s="129"/>
      <c r="K765" s="79"/>
      <c r="L765" s="79"/>
      <c r="M765" s="79"/>
    </row>
    <row r="766" ht="15.75" customHeight="1">
      <c r="A766" s="261"/>
      <c r="B766" s="171"/>
      <c r="C766" s="172"/>
      <c r="D766" s="172"/>
      <c r="E766" s="227"/>
      <c r="F766" s="154"/>
      <c r="G766" s="327"/>
      <c r="H766" s="164"/>
      <c r="I766" s="162"/>
      <c r="J766" s="129"/>
      <c r="K766" s="79"/>
      <c r="L766" s="79"/>
      <c r="M766" s="79"/>
    </row>
    <row r="767" ht="15.75" customHeight="1">
      <c r="A767" s="261"/>
      <c r="B767" s="171"/>
      <c r="C767" s="172"/>
      <c r="D767" s="172"/>
      <c r="E767" s="227"/>
      <c r="F767" s="154"/>
      <c r="G767" s="327"/>
      <c r="H767" s="164"/>
      <c r="I767" s="162"/>
      <c r="J767" s="129"/>
      <c r="K767" s="79"/>
      <c r="L767" s="79"/>
      <c r="M767" s="79"/>
    </row>
    <row r="768" ht="15.75" customHeight="1">
      <c r="A768" s="261"/>
      <c r="B768" s="171"/>
      <c r="C768" s="172"/>
      <c r="D768" s="172"/>
      <c r="E768" s="227"/>
      <c r="F768" s="154"/>
      <c r="G768" s="327"/>
      <c r="H768" s="164"/>
      <c r="I768" s="162"/>
      <c r="J768" s="129"/>
      <c r="K768" s="79"/>
      <c r="L768" s="79"/>
      <c r="M768" s="79"/>
    </row>
    <row r="769" ht="15.75" customHeight="1">
      <c r="A769" s="261"/>
      <c r="B769" s="171"/>
      <c r="C769" s="172"/>
      <c r="D769" s="172"/>
      <c r="E769" s="227"/>
      <c r="F769" s="154"/>
      <c r="G769" s="327"/>
      <c r="H769" s="164"/>
      <c r="I769" s="162"/>
      <c r="J769" s="129"/>
      <c r="K769" s="79"/>
      <c r="L769" s="79"/>
      <c r="M769" s="79"/>
    </row>
    <row r="770" ht="15.75" customHeight="1">
      <c r="A770" s="261"/>
      <c r="B770" s="171"/>
      <c r="C770" s="172"/>
      <c r="D770" s="172"/>
      <c r="E770" s="227"/>
      <c r="F770" s="154"/>
      <c r="G770" s="327"/>
      <c r="H770" s="164"/>
      <c r="I770" s="162"/>
      <c r="J770" s="129"/>
      <c r="K770" s="79"/>
      <c r="L770" s="79"/>
      <c r="M770" s="79"/>
    </row>
    <row r="771" ht="15.75" customHeight="1">
      <c r="A771" s="261"/>
      <c r="B771" s="171"/>
      <c r="C771" s="172"/>
      <c r="D771" s="172"/>
      <c r="E771" s="227"/>
      <c r="F771" s="154"/>
      <c r="G771" s="327"/>
      <c r="H771" s="164"/>
      <c r="I771" s="162"/>
      <c r="J771" s="129"/>
      <c r="K771" s="79"/>
      <c r="L771" s="79"/>
      <c r="M771" s="79"/>
    </row>
    <row r="772" ht="15.75" customHeight="1">
      <c r="A772" s="261"/>
      <c r="B772" s="171"/>
      <c r="C772" s="172"/>
      <c r="D772" s="172"/>
      <c r="E772" s="227"/>
      <c r="F772" s="154"/>
      <c r="G772" s="327"/>
      <c r="H772" s="164"/>
      <c r="I772" s="162"/>
      <c r="J772" s="129"/>
      <c r="K772" s="79"/>
      <c r="L772" s="79"/>
      <c r="M772" s="79"/>
    </row>
    <row r="773" ht="15.75" customHeight="1">
      <c r="A773" s="261"/>
      <c r="B773" s="171"/>
      <c r="C773" s="172"/>
      <c r="D773" s="172"/>
      <c r="E773" s="227"/>
      <c r="F773" s="154"/>
      <c r="G773" s="327"/>
      <c r="H773" s="164"/>
      <c r="I773" s="162"/>
      <c r="J773" s="129"/>
      <c r="K773" s="79"/>
      <c r="L773" s="79"/>
      <c r="M773" s="79"/>
    </row>
    <row r="774" ht="15.75" customHeight="1">
      <c r="A774" s="261"/>
      <c r="B774" s="171"/>
      <c r="C774" s="172"/>
      <c r="D774" s="172"/>
      <c r="E774" s="227"/>
      <c r="F774" s="154"/>
      <c r="G774" s="327"/>
      <c r="H774" s="164"/>
      <c r="I774" s="162"/>
      <c r="J774" s="129"/>
      <c r="K774" s="79"/>
      <c r="L774" s="79"/>
      <c r="M774" s="79"/>
    </row>
    <row r="775" ht="15.75" customHeight="1">
      <c r="A775" s="261"/>
      <c r="B775" s="171"/>
      <c r="C775" s="172"/>
      <c r="D775" s="172"/>
      <c r="E775" s="227"/>
      <c r="F775" s="154"/>
      <c r="G775" s="327"/>
      <c r="H775" s="164"/>
      <c r="I775" s="162"/>
      <c r="J775" s="129"/>
      <c r="K775" s="79"/>
      <c r="L775" s="79"/>
      <c r="M775" s="79"/>
    </row>
    <row r="776" ht="15.75" customHeight="1">
      <c r="A776" s="261"/>
      <c r="B776" s="171"/>
      <c r="C776" s="172"/>
      <c r="D776" s="172"/>
      <c r="E776" s="227"/>
      <c r="F776" s="154"/>
      <c r="G776" s="327"/>
      <c r="H776" s="164"/>
      <c r="I776" s="162"/>
      <c r="J776" s="129"/>
      <c r="K776" s="79"/>
      <c r="L776" s="79"/>
      <c r="M776" s="79"/>
    </row>
    <row r="777" ht="15.75" customHeight="1">
      <c r="A777" s="261"/>
      <c r="B777" s="171"/>
      <c r="C777" s="172"/>
      <c r="D777" s="172"/>
      <c r="E777" s="227"/>
      <c r="F777" s="154"/>
      <c r="G777" s="327"/>
      <c r="H777" s="164"/>
      <c r="I777" s="162"/>
      <c r="J777" s="129"/>
      <c r="K777" s="79"/>
      <c r="L777" s="79"/>
      <c r="M777" s="79"/>
    </row>
    <row r="778" ht="15.75" customHeight="1">
      <c r="A778" s="261"/>
      <c r="B778" s="171"/>
      <c r="C778" s="172"/>
      <c r="D778" s="172"/>
      <c r="E778" s="227"/>
      <c r="F778" s="154"/>
      <c r="G778" s="327"/>
      <c r="H778" s="164"/>
      <c r="I778" s="162"/>
      <c r="J778" s="129"/>
      <c r="K778" s="79"/>
      <c r="L778" s="79"/>
      <c r="M778" s="79"/>
    </row>
    <row r="779" ht="15.75" customHeight="1">
      <c r="A779" s="261"/>
      <c r="B779" s="171"/>
      <c r="C779" s="172"/>
      <c r="D779" s="172"/>
      <c r="E779" s="227"/>
      <c r="F779" s="154"/>
      <c r="G779" s="327"/>
      <c r="H779" s="164"/>
      <c r="I779" s="162"/>
      <c r="J779" s="129"/>
      <c r="K779" s="79"/>
      <c r="L779" s="79"/>
      <c r="M779" s="79"/>
    </row>
    <row r="780" ht="15.75" customHeight="1">
      <c r="A780" s="261"/>
      <c r="B780" s="171"/>
      <c r="C780" s="172"/>
      <c r="D780" s="172"/>
      <c r="E780" s="227"/>
      <c r="F780" s="154"/>
      <c r="G780" s="327"/>
      <c r="H780" s="164"/>
      <c r="I780" s="162"/>
      <c r="J780" s="129"/>
      <c r="K780" s="79"/>
      <c r="L780" s="79"/>
      <c r="M780" s="79"/>
    </row>
    <row r="781" ht="15.75" customHeight="1">
      <c r="A781" s="261"/>
      <c r="B781" s="171"/>
      <c r="C781" s="172"/>
      <c r="D781" s="172"/>
      <c r="E781" s="227"/>
      <c r="F781" s="154"/>
      <c r="G781" s="327"/>
      <c r="H781" s="164"/>
      <c r="I781" s="162"/>
      <c r="J781" s="129"/>
      <c r="K781" s="79"/>
      <c r="L781" s="79"/>
      <c r="M781" s="79"/>
    </row>
    <row r="782" ht="15.75" customHeight="1">
      <c r="A782" s="261"/>
      <c r="B782" s="171"/>
      <c r="C782" s="172"/>
      <c r="D782" s="172"/>
      <c r="E782" s="227"/>
      <c r="F782" s="154"/>
      <c r="G782" s="327"/>
      <c r="H782" s="164"/>
      <c r="I782" s="162"/>
      <c r="J782" s="129"/>
      <c r="K782" s="79"/>
      <c r="L782" s="79"/>
      <c r="M782" s="79"/>
    </row>
    <row r="783" ht="15.75" customHeight="1">
      <c r="A783" s="261"/>
      <c r="B783" s="171"/>
      <c r="C783" s="172"/>
      <c r="D783" s="172"/>
      <c r="E783" s="227"/>
      <c r="F783" s="154"/>
      <c r="G783" s="327"/>
      <c r="H783" s="164"/>
      <c r="I783" s="162"/>
      <c r="J783" s="129"/>
      <c r="K783" s="79"/>
      <c r="L783" s="79"/>
      <c r="M783" s="79"/>
    </row>
    <row r="784" ht="15.75" customHeight="1">
      <c r="A784" s="261"/>
      <c r="B784" s="171"/>
      <c r="C784" s="172"/>
      <c r="D784" s="172"/>
      <c r="E784" s="227"/>
      <c r="F784" s="154"/>
      <c r="G784" s="327"/>
      <c r="H784" s="164"/>
      <c r="I784" s="162"/>
      <c r="J784" s="129"/>
      <c r="K784" s="79"/>
      <c r="L784" s="79"/>
      <c r="M784" s="79"/>
    </row>
    <row r="785" ht="15.75" customHeight="1">
      <c r="A785" s="261"/>
      <c r="B785" s="171"/>
      <c r="C785" s="172"/>
      <c r="D785" s="172"/>
      <c r="E785" s="227"/>
      <c r="F785" s="154"/>
      <c r="G785" s="327"/>
      <c r="H785" s="164"/>
      <c r="I785" s="162"/>
      <c r="J785" s="129"/>
      <c r="K785" s="79"/>
      <c r="L785" s="79"/>
      <c r="M785" s="79"/>
    </row>
    <row r="786" ht="15.75" customHeight="1">
      <c r="A786" s="261"/>
      <c r="B786" s="171"/>
      <c r="C786" s="172"/>
      <c r="D786" s="172"/>
      <c r="E786" s="227"/>
      <c r="F786" s="154"/>
      <c r="G786" s="327"/>
      <c r="H786" s="164"/>
      <c r="I786" s="162"/>
      <c r="J786" s="129"/>
      <c r="K786" s="79"/>
      <c r="L786" s="79"/>
      <c r="M786" s="79"/>
    </row>
    <row r="787" ht="15.75" customHeight="1">
      <c r="A787" s="261"/>
      <c r="B787" s="171"/>
      <c r="C787" s="172"/>
      <c r="D787" s="172"/>
      <c r="E787" s="227"/>
      <c r="F787" s="154"/>
      <c r="G787" s="327"/>
      <c r="H787" s="164"/>
      <c r="I787" s="162"/>
      <c r="J787" s="129"/>
      <c r="K787" s="79"/>
      <c r="L787" s="79"/>
      <c r="M787" s="79"/>
    </row>
    <row r="788" ht="15.75" customHeight="1">
      <c r="A788" s="261"/>
      <c r="B788" s="171"/>
      <c r="C788" s="172"/>
      <c r="D788" s="172"/>
      <c r="E788" s="227"/>
      <c r="F788" s="154"/>
      <c r="G788" s="327"/>
      <c r="H788" s="164"/>
      <c r="I788" s="162"/>
      <c r="J788" s="129"/>
      <c r="K788" s="79"/>
      <c r="L788" s="79"/>
      <c r="M788" s="79"/>
    </row>
    <row r="789" ht="15.75" customHeight="1">
      <c r="A789" s="261"/>
      <c r="B789" s="171"/>
      <c r="C789" s="172"/>
      <c r="D789" s="172"/>
      <c r="E789" s="227"/>
      <c r="F789" s="154"/>
      <c r="G789" s="327"/>
      <c r="H789" s="164"/>
      <c r="I789" s="162"/>
      <c r="J789" s="129"/>
      <c r="K789" s="79"/>
      <c r="L789" s="79"/>
      <c r="M789" s="79"/>
    </row>
    <row r="790" ht="15.75" customHeight="1">
      <c r="A790" s="261"/>
      <c r="B790" s="171"/>
      <c r="C790" s="172"/>
      <c r="D790" s="172"/>
      <c r="E790" s="227"/>
      <c r="F790" s="154"/>
      <c r="G790" s="327"/>
      <c r="H790" s="164"/>
      <c r="I790" s="162"/>
      <c r="J790" s="129"/>
      <c r="K790" s="79"/>
      <c r="L790" s="79"/>
      <c r="M790" s="79"/>
    </row>
    <row r="791" ht="15.75" customHeight="1">
      <c r="A791" s="261"/>
      <c r="B791" s="171"/>
      <c r="C791" s="172"/>
      <c r="D791" s="172"/>
      <c r="E791" s="227"/>
      <c r="F791" s="154"/>
      <c r="G791" s="327"/>
      <c r="H791" s="164"/>
      <c r="I791" s="162"/>
      <c r="J791" s="129"/>
      <c r="K791" s="79"/>
      <c r="L791" s="79"/>
      <c r="M791" s="79"/>
    </row>
    <row r="792" ht="15.75" customHeight="1">
      <c r="A792" s="261"/>
      <c r="B792" s="171"/>
      <c r="C792" s="172"/>
      <c r="D792" s="172"/>
      <c r="E792" s="227"/>
      <c r="F792" s="154"/>
      <c r="G792" s="327"/>
      <c r="H792" s="164"/>
      <c r="I792" s="162"/>
      <c r="J792" s="129"/>
      <c r="K792" s="79"/>
      <c r="L792" s="79"/>
      <c r="M792" s="79"/>
    </row>
    <row r="793" ht="15.75" customHeight="1">
      <c r="A793" s="261"/>
      <c r="B793" s="171"/>
      <c r="C793" s="172"/>
      <c r="D793" s="172"/>
      <c r="E793" s="227"/>
      <c r="F793" s="154"/>
      <c r="G793" s="327"/>
      <c r="H793" s="164"/>
      <c r="I793" s="162"/>
      <c r="J793" s="129"/>
      <c r="K793" s="79"/>
      <c r="L793" s="79"/>
      <c r="M793" s="79"/>
    </row>
    <row r="794" ht="15.75" customHeight="1">
      <c r="A794" s="261"/>
      <c r="B794" s="171"/>
      <c r="C794" s="172"/>
      <c r="D794" s="172"/>
      <c r="E794" s="227"/>
      <c r="F794" s="154"/>
      <c r="G794" s="327"/>
      <c r="H794" s="164"/>
      <c r="I794" s="162"/>
      <c r="J794" s="129"/>
      <c r="K794" s="79"/>
      <c r="L794" s="79"/>
      <c r="M794" s="79"/>
    </row>
    <row r="795" ht="15.75" customHeight="1">
      <c r="A795" s="261"/>
      <c r="B795" s="171"/>
      <c r="C795" s="172"/>
      <c r="D795" s="172"/>
      <c r="E795" s="227"/>
      <c r="F795" s="154"/>
      <c r="G795" s="327"/>
      <c r="H795" s="164"/>
      <c r="I795" s="162"/>
      <c r="J795" s="129"/>
      <c r="K795" s="79"/>
      <c r="L795" s="79"/>
      <c r="M795" s="79"/>
    </row>
    <row r="796" ht="15.75" customHeight="1">
      <c r="A796" s="261"/>
      <c r="B796" s="171"/>
      <c r="C796" s="172"/>
      <c r="D796" s="172"/>
      <c r="E796" s="227"/>
      <c r="F796" s="154"/>
      <c r="G796" s="327"/>
      <c r="H796" s="164"/>
      <c r="I796" s="162"/>
      <c r="J796" s="129"/>
      <c r="K796" s="79"/>
      <c r="L796" s="79"/>
      <c r="M796" s="79"/>
    </row>
    <row r="797" ht="15.75" customHeight="1">
      <c r="A797" s="261"/>
      <c r="B797" s="171"/>
      <c r="C797" s="172"/>
      <c r="D797" s="172"/>
      <c r="E797" s="227"/>
      <c r="F797" s="154"/>
      <c r="G797" s="327"/>
      <c r="H797" s="164"/>
      <c r="I797" s="162"/>
      <c r="J797" s="129"/>
      <c r="K797" s="79"/>
      <c r="L797" s="79"/>
      <c r="M797" s="79"/>
    </row>
    <row r="798" ht="15.75" customHeight="1">
      <c r="A798" s="261"/>
      <c r="B798" s="171"/>
      <c r="C798" s="172"/>
      <c r="D798" s="172"/>
      <c r="E798" s="227"/>
      <c r="F798" s="154"/>
      <c r="G798" s="327"/>
      <c r="H798" s="164"/>
      <c r="I798" s="162"/>
      <c r="J798" s="129"/>
      <c r="K798" s="79"/>
      <c r="L798" s="79"/>
      <c r="M798" s="79"/>
    </row>
    <row r="799" ht="15.75" customHeight="1">
      <c r="A799" s="261"/>
      <c r="B799" s="171"/>
      <c r="C799" s="172"/>
      <c r="D799" s="172"/>
      <c r="E799" s="227"/>
      <c r="F799" s="154"/>
      <c r="G799" s="327"/>
      <c r="H799" s="164"/>
      <c r="I799" s="162"/>
      <c r="J799" s="129"/>
      <c r="K799" s="79"/>
      <c r="L799" s="79"/>
      <c r="M799" s="79"/>
    </row>
    <row r="800" ht="15.75" customHeight="1">
      <c r="A800" s="261"/>
      <c r="B800" s="171"/>
      <c r="C800" s="172"/>
      <c r="D800" s="172"/>
      <c r="E800" s="227"/>
      <c r="F800" s="154"/>
      <c r="G800" s="327"/>
      <c r="H800" s="164"/>
      <c r="I800" s="162"/>
      <c r="J800" s="129"/>
      <c r="K800" s="79"/>
      <c r="L800" s="79"/>
      <c r="M800" s="79"/>
    </row>
    <row r="801" ht="15.75" customHeight="1">
      <c r="A801" s="261"/>
      <c r="B801" s="171"/>
      <c r="C801" s="172"/>
      <c r="D801" s="172"/>
      <c r="E801" s="227"/>
      <c r="F801" s="154"/>
      <c r="G801" s="327"/>
      <c r="H801" s="164"/>
      <c r="I801" s="162"/>
      <c r="J801" s="129"/>
      <c r="K801" s="79"/>
      <c r="L801" s="79"/>
      <c r="M801" s="79"/>
    </row>
    <row r="802" ht="15.75" customHeight="1">
      <c r="A802" s="261"/>
      <c r="B802" s="171"/>
      <c r="C802" s="172"/>
      <c r="D802" s="172"/>
      <c r="E802" s="227"/>
      <c r="F802" s="154"/>
      <c r="G802" s="327"/>
      <c r="H802" s="164"/>
      <c r="I802" s="162"/>
      <c r="J802" s="129"/>
      <c r="K802" s="79"/>
      <c r="L802" s="79"/>
      <c r="M802" s="79"/>
    </row>
    <row r="803" ht="15.75" customHeight="1">
      <c r="A803" s="261"/>
      <c r="B803" s="171"/>
      <c r="C803" s="172"/>
      <c r="D803" s="172"/>
      <c r="E803" s="227"/>
      <c r="F803" s="154"/>
      <c r="G803" s="327"/>
      <c r="H803" s="164"/>
      <c r="I803" s="162"/>
      <c r="J803" s="129"/>
      <c r="K803" s="79"/>
      <c r="L803" s="79"/>
      <c r="M803" s="79"/>
    </row>
    <row r="804" ht="15.75" customHeight="1">
      <c r="A804" s="261"/>
      <c r="B804" s="171"/>
      <c r="C804" s="172"/>
      <c r="D804" s="172"/>
      <c r="E804" s="227"/>
      <c r="F804" s="154"/>
      <c r="G804" s="327"/>
      <c r="H804" s="164"/>
      <c r="I804" s="162"/>
      <c r="J804" s="129"/>
      <c r="K804" s="79"/>
      <c r="L804" s="79"/>
      <c r="M804" s="79"/>
    </row>
    <row r="805" ht="15.75" customHeight="1">
      <c r="A805" s="261"/>
      <c r="B805" s="171"/>
      <c r="C805" s="172"/>
      <c r="D805" s="172"/>
      <c r="E805" s="227"/>
      <c r="F805" s="154"/>
      <c r="G805" s="327"/>
      <c r="H805" s="164"/>
      <c r="I805" s="162"/>
      <c r="J805" s="129"/>
      <c r="K805" s="79"/>
      <c r="L805" s="79"/>
      <c r="M805" s="79"/>
    </row>
    <row r="806" ht="15.75" customHeight="1">
      <c r="A806" s="261"/>
      <c r="B806" s="171"/>
      <c r="C806" s="172"/>
      <c r="D806" s="172"/>
      <c r="E806" s="227"/>
      <c r="F806" s="154"/>
      <c r="G806" s="327"/>
      <c r="H806" s="164"/>
      <c r="I806" s="162"/>
      <c r="J806" s="129"/>
      <c r="K806" s="79"/>
      <c r="L806" s="79"/>
      <c r="M806" s="79"/>
    </row>
    <row r="807" ht="15.75" customHeight="1">
      <c r="A807" s="261"/>
      <c r="B807" s="171"/>
      <c r="C807" s="172"/>
      <c r="D807" s="172"/>
      <c r="E807" s="227"/>
      <c r="F807" s="154"/>
      <c r="G807" s="327"/>
      <c r="H807" s="164"/>
      <c r="I807" s="162"/>
      <c r="J807" s="129"/>
      <c r="K807" s="79"/>
      <c r="L807" s="79"/>
      <c r="M807" s="79"/>
    </row>
    <row r="808" ht="15.75" customHeight="1">
      <c r="A808" s="261"/>
      <c r="B808" s="171"/>
      <c r="C808" s="172"/>
      <c r="D808" s="172"/>
      <c r="E808" s="227"/>
      <c r="F808" s="154"/>
      <c r="G808" s="327"/>
      <c r="H808" s="164"/>
      <c r="I808" s="162"/>
      <c r="J808" s="129"/>
      <c r="K808" s="79"/>
      <c r="L808" s="79"/>
      <c r="M808" s="79"/>
    </row>
    <row r="809" ht="15.75" customHeight="1">
      <c r="A809" s="261"/>
      <c r="B809" s="171"/>
      <c r="C809" s="172"/>
      <c r="D809" s="172"/>
      <c r="E809" s="227"/>
      <c r="F809" s="154"/>
      <c r="G809" s="327"/>
      <c r="H809" s="164"/>
      <c r="I809" s="162"/>
      <c r="J809" s="129"/>
      <c r="K809" s="79"/>
      <c r="L809" s="79"/>
      <c r="M809" s="79"/>
    </row>
    <row r="810" ht="15.75" customHeight="1">
      <c r="A810" s="261"/>
      <c r="B810" s="171"/>
      <c r="C810" s="172"/>
      <c r="D810" s="172"/>
      <c r="E810" s="227"/>
      <c r="F810" s="154"/>
      <c r="G810" s="327"/>
      <c r="H810" s="164"/>
      <c r="I810" s="162"/>
      <c r="J810" s="129"/>
      <c r="K810" s="79"/>
      <c r="L810" s="79"/>
      <c r="M810" s="79"/>
    </row>
    <row r="811" ht="15.75" customHeight="1">
      <c r="A811" s="261"/>
      <c r="B811" s="171"/>
      <c r="C811" s="172"/>
      <c r="D811" s="172"/>
      <c r="E811" s="227"/>
      <c r="F811" s="154"/>
      <c r="G811" s="327"/>
      <c r="H811" s="164"/>
      <c r="I811" s="162"/>
      <c r="J811" s="129"/>
      <c r="K811" s="79"/>
      <c r="L811" s="79"/>
      <c r="M811" s="79"/>
    </row>
    <row r="812" ht="15.75" customHeight="1">
      <c r="A812" s="261"/>
      <c r="B812" s="171"/>
      <c r="C812" s="172"/>
      <c r="D812" s="172"/>
      <c r="E812" s="227"/>
      <c r="F812" s="154"/>
      <c r="G812" s="327"/>
      <c r="H812" s="164"/>
      <c r="I812" s="162"/>
      <c r="J812" s="129"/>
      <c r="K812" s="79"/>
      <c r="L812" s="79"/>
      <c r="M812" s="79"/>
    </row>
    <row r="813" ht="15.75" customHeight="1">
      <c r="A813" s="261"/>
      <c r="B813" s="171"/>
      <c r="C813" s="172"/>
      <c r="D813" s="172"/>
      <c r="E813" s="227"/>
      <c r="F813" s="154"/>
      <c r="G813" s="327"/>
      <c r="H813" s="164"/>
      <c r="I813" s="162"/>
      <c r="J813" s="129"/>
      <c r="K813" s="79"/>
      <c r="L813" s="79"/>
      <c r="M813" s="79"/>
    </row>
    <row r="814" ht="15.75" customHeight="1">
      <c r="A814" s="261"/>
      <c r="B814" s="171"/>
      <c r="C814" s="172"/>
      <c r="D814" s="172"/>
      <c r="E814" s="227"/>
      <c r="F814" s="154"/>
      <c r="G814" s="327"/>
      <c r="H814" s="164"/>
      <c r="I814" s="162"/>
      <c r="J814" s="129"/>
      <c r="K814" s="79"/>
      <c r="L814" s="79"/>
      <c r="M814" s="79"/>
    </row>
    <row r="815" ht="15.75" customHeight="1">
      <c r="A815" s="261"/>
      <c r="B815" s="171"/>
      <c r="C815" s="172"/>
      <c r="D815" s="172"/>
      <c r="E815" s="227"/>
      <c r="F815" s="154"/>
      <c r="G815" s="327"/>
      <c r="H815" s="164"/>
      <c r="I815" s="162"/>
      <c r="J815" s="129"/>
      <c r="K815" s="79"/>
      <c r="L815" s="79"/>
      <c r="M815" s="79"/>
    </row>
    <row r="816" ht="15.75" customHeight="1">
      <c r="A816" s="261"/>
      <c r="B816" s="171"/>
      <c r="C816" s="172"/>
      <c r="D816" s="172"/>
      <c r="E816" s="227"/>
      <c r="F816" s="154"/>
      <c r="G816" s="327"/>
      <c r="H816" s="164"/>
      <c r="I816" s="162"/>
      <c r="J816" s="129"/>
      <c r="K816" s="79"/>
      <c r="L816" s="79"/>
      <c r="M816" s="79"/>
    </row>
    <row r="817" ht="15.75" customHeight="1">
      <c r="A817" s="261"/>
      <c r="B817" s="171"/>
      <c r="C817" s="172"/>
      <c r="D817" s="172"/>
      <c r="E817" s="227"/>
      <c r="F817" s="154"/>
      <c r="G817" s="327"/>
      <c r="H817" s="164"/>
      <c r="I817" s="162"/>
      <c r="J817" s="129"/>
      <c r="K817" s="79"/>
      <c r="L817" s="79"/>
      <c r="M817" s="79"/>
    </row>
    <row r="818" ht="15.75" customHeight="1">
      <c r="A818" s="261"/>
      <c r="B818" s="171"/>
      <c r="C818" s="172"/>
      <c r="D818" s="172"/>
      <c r="E818" s="227"/>
      <c r="F818" s="154"/>
      <c r="G818" s="327"/>
      <c r="H818" s="164"/>
      <c r="I818" s="162"/>
      <c r="J818" s="129"/>
      <c r="K818" s="79"/>
      <c r="L818" s="79"/>
      <c r="M818" s="79"/>
    </row>
    <row r="819" ht="15.75" customHeight="1">
      <c r="A819" s="261"/>
      <c r="B819" s="171"/>
      <c r="C819" s="172"/>
      <c r="D819" s="172"/>
      <c r="E819" s="227"/>
      <c r="F819" s="154"/>
      <c r="G819" s="327"/>
      <c r="H819" s="164"/>
      <c r="I819" s="162"/>
      <c r="J819" s="129"/>
      <c r="K819" s="79"/>
      <c r="L819" s="79"/>
      <c r="M819" s="79"/>
    </row>
    <row r="820" ht="15.75" customHeight="1">
      <c r="A820" s="261"/>
      <c r="B820" s="171"/>
      <c r="C820" s="172"/>
      <c r="D820" s="172"/>
      <c r="E820" s="227"/>
      <c r="F820" s="154"/>
      <c r="G820" s="327"/>
      <c r="H820" s="164"/>
      <c r="I820" s="162"/>
      <c r="J820" s="129"/>
      <c r="K820" s="79"/>
      <c r="L820" s="79"/>
      <c r="M820" s="79"/>
    </row>
    <row r="821" ht="15.75" customHeight="1">
      <c r="A821" s="261"/>
      <c r="B821" s="171"/>
      <c r="C821" s="172"/>
      <c r="D821" s="172"/>
      <c r="E821" s="227"/>
      <c r="F821" s="154"/>
      <c r="G821" s="327"/>
      <c r="H821" s="164"/>
      <c r="I821" s="162"/>
      <c r="J821" s="129"/>
      <c r="K821" s="79"/>
      <c r="L821" s="79"/>
      <c r="M821" s="79"/>
    </row>
    <row r="822" ht="15.75" customHeight="1">
      <c r="A822" s="261"/>
      <c r="B822" s="171"/>
      <c r="C822" s="172"/>
      <c r="D822" s="172"/>
      <c r="E822" s="227"/>
      <c r="F822" s="154"/>
      <c r="G822" s="327"/>
      <c r="H822" s="164"/>
      <c r="I822" s="162"/>
      <c r="J822" s="129"/>
      <c r="K822" s="79"/>
      <c r="L822" s="79"/>
      <c r="M822" s="79"/>
    </row>
    <row r="823" ht="15.75" customHeight="1">
      <c r="A823" s="261"/>
      <c r="B823" s="171"/>
      <c r="C823" s="172"/>
      <c r="D823" s="172"/>
      <c r="E823" s="227"/>
      <c r="F823" s="154"/>
      <c r="G823" s="327"/>
      <c r="H823" s="164"/>
      <c r="I823" s="162"/>
      <c r="J823" s="129"/>
      <c r="K823" s="79"/>
      <c r="L823" s="79"/>
      <c r="M823" s="79"/>
    </row>
    <row r="824" ht="15.75" customHeight="1">
      <c r="A824" s="261"/>
      <c r="B824" s="171"/>
      <c r="C824" s="172"/>
      <c r="D824" s="172"/>
      <c r="E824" s="227"/>
      <c r="F824" s="154"/>
      <c r="G824" s="327"/>
      <c r="H824" s="164"/>
      <c r="I824" s="162"/>
      <c r="J824" s="129"/>
      <c r="K824" s="79"/>
      <c r="L824" s="79"/>
      <c r="M824" s="79"/>
    </row>
    <row r="825" ht="15.75" customHeight="1">
      <c r="A825" s="261"/>
      <c r="B825" s="171"/>
      <c r="C825" s="172"/>
      <c r="D825" s="172"/>
      <c r="E825" s="227"/>
      <c r="F825" s="154"/>
      <c r="G825" s="327"/>
      <c r="H825" s="164"/>
      <c r="I825" s="162"/>
      <c r="J825" s="129"/>
      <c r="K825" s="79"/>
      <c r="L825" s="79"/>
      <c r="M825" s="79"/>
    </row>
    <row r="826" ht="15.75" customHeight="1">
      <c r="A826" s="261"/>
      <c r="B826" s="171"/>
      <c r="C826" s="172"/>
      <c r="D826" s="172"/>
      <c r="E826" s="227"/>
      <c r="F826" s="154"/>
      <c r="G826" s="327"/>
      <c r="H826" s="164"/>
      <c r="I826" s="162"/>
      <c r="J826" s="129"/>
      <c r="K826" s="79"/>
      <c r="L826" s="79"/>
      <c r="M826" s="79"/>
    </row>
    <row r="827" ht="15.75" customHeight="1">
      <c r="A827" s="261"/>
      <c r="B827" s="171"/>
      <c r="C827" s="172"/>
      <c r="D827" s="172"/>
      <c r="E827" s="227"/>
      <c r="F827" s="154"/>
      <c r="G827" s="327"/>
      <c r="H827" s="164"/>
      <c r="I827" s="162"/>
      <c r="J827" s="129"/>
      <c r="K827" s="79"/>
      <c r="L827" s="79"/>
      <c r="M827" s="79"/>
    </row>
    <row r="828" ht="15.75" customHeight="1">
      <c r="A828" s="261"/>
      <c r="B828" s="171"/>
      <c r="C828" s="172"/>
      <c r="D828" s="172"/>
      <c r="E828" s="227"/>
      <c r="F828" s="154"/>
      <c r="G828" s="327"/>
      <c r="H828" s="164"/>
      <c r="I828" s="162"/>
      <c r="J828" s="129"/>
      <c r="K828" s="79"/>
      <c r="L828" s="79"/>
      <c r="M828" s="79"/>
    </row>
    <row r="829" ht="15.75" customHeight="1">
      <c r="A829" s="261"/>
      <c r="B829" s="171"/>
      <c r="C829" s="172"/>
      <c r="D829" s="172"/>
      <c r="E829" s="227"/>
      <c r="F829" s="154"/>
      <c r="G829" s="327"/>
      <c r="H829" s="164"/>
      <c r="I829" s="162"/>
      <c r="J829" s="129"/>
      <c r="K829" s="79"/>
      <c r="L829" s="79"/>
      <c r="M829" s="79"/>
    </row>
    <row r="830" ht="15.75" customHeight="1">
      <c r="A830" s="261"/>
      <c r="B830" s="171"/>
      <c r="C830" s="172"/>
      <c r="D830" s="172"/>
      <c r="E830" s="227"/>
      <c r="F830" s="154"/>
      <c r="G830" s="327"/>
      <c r="H830" s="164"/>
      <c r="I830" s="162"/>
      <c r="J830" s="129"/>
      <c r="K830" s="79"/>
      <c r="L830" s="79"/>
      <c r="M830" s="79"/>
    </row>
    <row r="831" ht="15.75" customHeight="1">
      <c r="A831" s="261"/>
      <c r="B831" s="171"/>
      <c r="C831" s="172"/>
      <c r="D831" s="172"/>
      <c r="E831" s="227"/>
      <c r="F831" s="154"/>
      <c r="G831" s="327"/>
      <c r="H831" s="164"/>
      <c r="I831" s="162"/>
      <c r="J831" s="129"/>
      <c r="K831" s="79"/>
      <c r="L831" s="79"/>
      <c r="M831" s="79"/>
    </row>
    <row r="832" ht="15.75" customHeight="1">
      <c r="A832" s="261"/>
      <c r="B832" s="171"/>
      <c r="C832" s="172"/>
      <c r="D832" s="172"/>
      <c r="E832" s="227"/>
      <c r="F832" s="154"/>
      <c r="G832" s="327"/>
      <c r="H832" s="164"/>
      <c r="I832" s="162"/>
      <c r="J832" s="129"/>
      <c r="K832" s="79"/>
      <c r="L832" s="79"/>
      <c r="M832" s="79"/>
    </row>
    <row r="833" ht="15.75" customHeight="1">
      <c r="A833" s="261"/>
      <c r="B833" s="171"/>
      <c r="C833" s="172"/>
      <c r="D833" s="172"/>
      <c r="E833" s="227"/>
      <c r="F833" s="154"/>
      <c r="G833" s="327"/>
      <c r="H833" s="164"/>
      <c r="I833" s="162"/>
      <c r="J833" s="129"/>
      <c r="K833" s="79"/>
      <c r="L833" s="79"/>
      <c r="M833" s="79"/>
    </row>
    <row r="834" ht="15.75" customHeight="1">
      <c r="A834" s="261"/>
      <c r="B834" s="171"/>
      <c r="C834" s="172"/>
      <c r="D834" s="172"/>
      <c r="E834" s="227"/>
      <c r="F834" s="154"/>
      <c r="G834" s="327"/>
      <c r="H834" s="164"/>
      <c r="I834" s="162"/>
      <c r="J834" s="129"/>
      <c r="K834" s="79"/>
      <c r="L834" s="79"/>
      <c r="M834" s="79"/>
    </row>
    <row r="835" ht="15.75" customHeight="1">
      <c r="A835" s="261"/>
      <c r="B835" s="171"/>
      <c r="C835" s="172"/>
      <c r="D835" s="172"/>
      <c r="E835" s="227"/>
      <c r="F835" s="154"/>
      <c r="G835" s="327"/>
      <c r="H835" s="164"/>
      <c r="I835" s="162"/>
      <c r="J835" s="129"/>
      <c r="K835" s="79"/>
      <c r="L835" s="79"/>
      <c r="M835" s="79"/>
    </row>
    <row r="836" ht="15.75" customHeight="1">
      <c r="A836" s="261"/>
      <c r="B836" s="171"/>
      <c r="C836" s="172"/>
      <c r="D836" s="172"/>
      <c r="E836" s="227"/>
      <c r="F836" s="154"/>
      <c r="G836" s="327"/>
      <c r="H836" s="164"/>
      <c r="I836" s="162"/>
      <c r="J836" s="129"/>
      <c r="K836" s="79"/>
      <c r="L836" s="79"/>
      <c r="M836" s="79"/>
    </row>
    <row r="837" ht="15.75" customHeight="1">
      <c r="A837" s="261"/>
      <c r="B837" s="171"/>
      <c r="C837" s="172"/>
      <c r="D837" s="172"/>
      <c r="E837" s="227"/>
      <c r="F837" s="154"/>
      <c r="G837" s="327"/>
      <c r="H837" s="164"/>
      <c r="I837" s="162"/>
      <c r="J837" s="129"/>
      <c r="K837" s="79"/>
      <c r="L837" s="79"/>
      <c r="M837" s="79"/>
    </row>
    <row r="838" ht="15.75" customHeight="1">
      <c r="A838" s="261"/>
      <c r="B838" s="171"/>
      <c r="C838" s="172"/>
      <c r="D838" s="172"/>
      <c r="E838" s="227"/>
      <c r="F838" s="154"/>
      <c r="G838" s="327"/>
      <c r="H838" s="164"/>
      <c r="I838" s="162"/>
      <c r="J838" s="129"/>
      <c r="K838" s="79"/>
      <c r="L838" s="79"/>
      <c r="M838" s="79"/>
    </row>
    <row r="839" ht="15.75" customHeight="1">
      <c r="A839" s="261"/>
      <c r="B839" s="171"/>
      <c r="C839" s="172"/>
      <c r="D839" s="172"/>
      <c r="E839" s="227"/>
      <c r="F839" s="154"/>
      <c r="G839" s="327"/>
      <c r="H839" s="164"/>
      <c r="I839" s="162"/>
      <c r="J839" s="129"/>
      <c r="K839" s="79"/>
      <c r="L839" s="79"/>
      <c r="M839" s="79"/>
    </row>
    <row r="840" ht="15.75" customHeight="1">
      <c r="A840" s="261"/>
      <c r="B840" s="171"/>
      <c r="C840" s="172"/>
      <c r="D840" s="172"/>
      <c r="E840" s="227"/>
      <c r="F840" s="154"/>
      <c r="G840" s="327"/>
      <c r="H840" s="164"/>
      <c r="I840" s="162"/>
      <c r="J840" s="129"/>
      <c r="K840" s="79"/>
      <c r="L840" s="79"/>
      <c r="M840" s="79"/>
    </row>
    <row r="841" ht="15.75" customHeight="1">
      <c r="A841" s="261"/>
      <c r="B841" s="171"/>
      <c r="C841" s="172"/>
      <c r="D841" s="172"/>
      <c r="E841" s="227"/>
      <c r="F841" s="154"/>
      <c r="G841" s="327"/>
      <c r="H841" s="164"/>
      <c r="I841" s="162"/>
      <c r="J841" s="129"/>
      <c r="K841" s="79"/>
      <c r="L841" s="79"/>
      <c r="M841" s="79"/>
    </row>
    <row r="842" ht="15.75" customHeight="1">
      <c r="A842" s="261"/>
      <c r="B842" s="171"/>
      <c r="C842" s="172"/>
      <c r="D842" s="172"/>
      <c r="E842" s="227"/>
      <c r="F842" s="154"/>
      <c r="G842" s="327"/>
      <c r="H842" s="164"/>
      <c r="I842" s="162"/>
      <c r="J842" s="129"/>
      <c r="K842" s="79"/>
      <c r="L842" s="79"/>
      <c r="M842" s="79"/>
    </row>
    <row r="843" ht="15.75" customHeight="1">
      <c r="A843" s="261"/>
      <c r="B843" s="171"/>
      <c r="C843" s="172"/>
      <c r="D843" s="172"/>
      <c r="E843" s="227"/>
      <c r="F843" s="154"/>
      <c r="G843" s="327"/>
      <c r="H843" s="164"/>
      <c r="I843" s="162"/>
      <c r="J843" s="129"/>
      <c r="K843" s="79"/>
      <c r="L843" s="79"/>
      <c r="M843" s="79"/>
    </row>
    <row r="844" ht="15.75" customHeight="1">
      <c r="A844" s="261"/>
      <c r="B844" s="171"/>
      <c r="C844" s="172"/>
      <c r="D844" s="172"/>
      <c r="E844" s="227"/>
      <c r="F844" s="154"/>
      <c r="G844" s="327"/>
      <c r="H844" s="164"/>
      <c r="I844" s="162"/>
      <c r="J844" s="129"/>
      <c r="K844" s="79"/>
      <c r="L844" s="79"/>
      <c r="M844" s="79"/>
    </row>
    <row r="845" ht="15.75" customHeight="1">
      <c r="A845" s="261"/>
      <c r="B845" s="171"/>
      <c r="C845" s="172"/>
      <c r="D845" s="172"/>
      <c r="E845" s="227"/>
      <c r="F845" s="154"/>
      <c r="G845" s="327"/>
      <c r="H845" s="164"/>
      <c r="I845" s="162"/>
      <c r="J845" s="129"/>
      <c r="K845" s="79"/>
      <c r="L845" s="79"/>
      <c r="M845" s="79"/>
    </row>
    <row r="846" ht="15.75" customHeight="1">
      <c r="A846" s="261"/>
      <c r="B846" s="171"/>
      <c r="C846" s="172"/>
      <c r="D846" s="172"/>
      <c r="E846" s="227"/>
      <c r="F846" s="154"/>
      <c r="G846" s="327"/>
      <c r="H846" s="164"/>
      <c r="I846" s="162"/>
      <c r="J846" s="129"/>
      <c r="K846" s="79"/>
      <c r="L846" s="79"/>
      <c r="M846" s="79"/>
    </row>
    <row r="847" ht="15.75" customHeight="1">
      <c r="A847" s="261"/>
      <c r="B847" s="171"/>
      <c r="C847" s="172"/>
      <c r="D847" s="172"/>
      <c r="E847" s="227"/>
      <c r="F847" s="154"/>
      <c r="G847" s="327"/>
      <c r="H847" s="164"/>
      <c r="I847" s="162"/>
      <c r="J847" s="129"/>
      <c r="K847" s="79"/>
      <c r="L847" s="79"/>
      <c r="M847" s="79"/>
    </row>
    <row r="848" ht="15.75" customHeight="1">
      <c r="A848" s="261"/>
      <c r="B848" s="171"/>
      <c r="C848" s="172"/>
      <c r="D848" s="172"/>
      <c r="E848" s="227"/>
      <c r="F848" s="154"/>
      <c r="G848" s="327"/>
      <c r="H848" s="164"/>
      <c r="I848" s="162"/>
      <c r="J848" s="129"/>
      <c r="K848" s="79"/>
      <c r="L848" s="79"/>
      <c r="M848" s="79"/>
    </row>
    <row r="849" ht="15.75" customHeight="1">
      <c r="A849" s="261"/>
      <c r="B849" s="171"/>
      <c r="C849" s="172"/>
      <c r="D849" s="172"/>
      <c r="E849" s="227"/>
      <c r="F849" s="154"/>
      <c r="G849" s="327"/>
      <c r="H849" s="164"/>
      <c r="I849" s="162"/>
      <c r="J849" s="129"/>
      <c r="K849" s="79"/>
      <c r="L849" s="79"/>
      <c r="M849" s="79"/>
    </row>
    <row r="850" ht="15.75" customHeight="1">
      <c r="A850" s="261"/>
      <c r="B850" s="171"/>
      <c r="C850" s="172"/>
      <c r="D850" s="172"/>
      <c r="E850" s="227"/>
      <c r="F850" s="154"/>
      <c r="G850" s="327"/>
      <c r="H850" s="164"/>
      <c r="I850" s="162"/>
      <c r="J850" s="129"/>
      <c r="K850" s="79"/>
      <c r="L850" s="79"/>
      <c r="M850" s="79"/>
    </row>
    <row r="851" ht="15.75" customHeight="1">
      <c r="A851" s="261"/>
      <c r="B851" s="171"/>
      <c r="C851" s="172"/>
      <c r="D851" s="172"/>
      <c r="E851" s="227"/>
      <c r="F851" s="154"/>
      <c r="G851" s="327"/>
      <c r="H851" s="164"/>
      <c r="I851" s="162"/>
      <c r="J851" s="129"/>
      <c r="K851" s="79"/>
      <c r="L851" s="79"/>
      <c r="M851" s="79"/>
    </row>
    <row r="852" ht="15.75" customHeight="1">
      <c r="A852" s="261"/>
      <c r="B852" s="171"/>
      <c r="C852" s="172"/>
      <c r="D852" s="172"/>
      <c r="E852" s="227"/>
      <c r="F852" s="154"/>
      <c r="G852" s="327"/>
      <c r="H852" s="164"/>
      <c r="I852" s="162"/>
      <c r="J852" s="129"/>
      <c r="K852" s="79"/>
      <c r="L852" s="79"/>
      <c r="M852" s="79"/>
    </row>
    <row r="853" ht="15.75" customHeight="1">
      <c r="A853" s="261"/>
      <c r="B853" s="171"/>
      <c r="C853" s="172"/>
      <c r="D853" s="172"/>
      <c r="E853" s="227"/>
      <c r="F853" s="154"/>
      <c r="G853" s="327"/>
      <c r="H853" s="164"/>
      <c r="I853" s="162"/>
      <c r="J853" s="129"/>
      <c r="K853" s="79"/>
      <c r="L853" s="79"/>
      <c r="M853" s="79"/>
    </row>
    <row r="854" ht="15.75" customHeight="1">
      <c r="A854" s="261"/>
      <c r="B854" s="171"/>
      <c r="C854" s="172"/>
      <c r="D854" s="172"/>
      <c r="E854" s="227"/>
      <c r="F854" s="154"/>
      <c r="G854" s="327"/>
      <c r="H854" s="164"/>
      <c r="I854" s="162"/>
      <c r="J854" s="129"/>
      <c r="K854" s="79"/>
      <c r="L854" s="79"/>
      <c r="M854" s="79"/>
    </row>
    <row r="855" ht="15.75" customHeight="1">
      <c r="A855" s="261"/>
      <c r="B855" s="171"/>
      <c r="C855" s="172"/>
      <c r="D855" s="172"/>
      <c r="E855" s="227"/>
      <c r="F855" s="154"/>
      <c r="G855" s="327"/>
      <c r="H855" s="164"/>
      <c r="I855" s="162"/>
      <c r="J855" s="129"/>
      <c r="K855" s="79"/>
      <c r="L855" s="79"/>
      <c r="M855" s="79"/>
    </row>
    <row r="856" ht="15.75" customHeight="1">
      <c r="A856" s="261"/>
      <c r="B856" s="171"/>
      <c r="C856" s="172"/>
      <c r="D856" s="172"/>
      <c r="E856" s="227"/>
      <c r="F856" s="154"/>
      <c r="G856" s="327"/>
      <c r="H856" s="164"/>
      <c r="I856" s="162"/>
      <c r="J856" s="129"/>
      <c r="K856" s="79"/>
      <c r="L856" s="79"/>
      <c r="M856" s="79"/>
    </row>
    <row r="857" ht="15.75" customHeight="1">
      <c r="A857" s="261"/>
      <c r="B857" s="171"/>
      <c r="C857" s="172"/>
      <c r="D857" s="172"/>
      <c r="E857" s="227"/>
      <c r="F857" s="154"/>
      <c r="G857" s="327"/>
      <c r="H857" s="164"/>
      <c r="I857" s="162"/>
      <c r="J857" s="129"/>
      <c r="K857" s="79"/>
      <c r="L857" s="79"/>
      <c r="M857" s="79"/>
    </row>
    <row r="858" ht="15.75" customHeight="1">
      <c r="A858" s="261"/>
      <c r="B858" s="171"/>
      <c r="C858" s="172"/>
      <c r="D858" s="172"/>
      <c r="E858" s="227"/>
      <c r="F858" s="154"/>
      <c r="G858" s="327"/>
      <c r="H858" s="164"/>
      <c r="I858" s="162"/>
      <c r="J858" s="129"/>
      <c r="K858" s="79"/>
      <c r="L858" s="79"/>
      <c r="M858" s="79"/>
    </row>
    <row r="859" ht="15.75" customHeight="1">
      <c r="A859" s="261"/>
      <c r="B859" s="171"/>
      <c r="C859" s="172"/>
      <c r="D859" s="172"/>
      <c r="E859" s="227"/>
      <c r="F859" s="154"/>
      <c r="G859" s="327"/>
      <c r="H859" s="164"/>
      <c r="I859" s="162"/>
      <c r="J859" s="129"/>
      <c r="K859" s="79"/>
      <c r="L859" s="79"/>
      <c r="M859" s="79"/>
    </row>
    <row r="860" ht="15.75" customHeight="1">
      <c r="A860" s="261"/>
      <c r="B860" s="171"/>
      <c r="C860" s="172"/>
      <c r="D860" s="172"/>
      <c r="E860" s="227"/>
      <c r="F860" s="154"/>
      <c r="G860" s="327"/>
      <c r="H860" s="164"/>
      <c r="I860" s="162"/>
      <c r="J860" s="129"/>
      <c r="K860" s="79"/>
      <c r="L860" s="79"/>
      <c r="M860" s="79"/>
    </row>
    <row r="861" ht="15.75" customHeight="1">
      <c r="A861" s="261"/>
      <c r="B861" s="171"/>
      <c r="C861" s="172"/>
      <c r="D861" s="172"/>
      <c r="E861" s="227"/>
      <c r="F861" s="154"/>
      <c r="G861" s="327"/>
      <c r="H861" s="164"/>
      <c r="I861" s="162"/>
      <c r="J861" s="129"/>
      <c r="K861" s="79"/>
      <c r="L861" s="79"/>
      <c r="M861" s="79"/>
    </row>
    <row r="862" ht="15.75" customHeight="1">
      <c r="A862" s="261"/>
      <c r="B862" s="171"/>
      <c r="C862" s="172"/>
      <c r="D862" s="172"/>
      <c r="E862" s="227"/>
      <c r="F862" s="154"/>
      <c r="G862" s="327"/>
      <c r="H862" s="164"/>
      <c r="I862" s="162"/>
      <c r="J862" s="129"/>
      <c r="K862" s="79"/>
      <c r="L862" s="79"/>
      <c r="M862" s="79"/>
    </row>
    <row r="863" ht="15.75" customHeight="1">
      <c r="A863" s="261"/>
      <c r="B863" s="171"/>
      <c r="C863" s="172"/>
      <c r="D863" s="172"/>
      <c r="E863" s="227"/>
      <c r="F863" s="154"/>
      <c r="G863" s="327"/>
      <c r="H863" s="164"/>
      <c r="I863" s="162"/>
      <c r="J863" s="129"/>
      <c r="K863" s="79"/>
      <c r="L863" s="79"/>
      <c r="M863" s="79"/>
    </row>
    <row r="864" ht="15.75" customHeight="1">
      <c r="A864" s="261"/>
      <c r="B864" s="171"/>
      <c r="C864" s="172"/>
      <c r="D864" s="172"/>
      <c r="E864" s="227"/>
      <c r="F864" s="154"/>
      <c r="G864" s="327"/>
      <c r="H864" s="164"/>
      <c r="I864" s="162"/>
      <c r="J864" s="129"/>
      <c r="K864" s="79"/>
      <c r="L864" s="79"/>
      <c r="M864" s="79"/>
    </row>
    <row r="865" ht="15.75" customHeight="1">
      <c r="A865" s="261"/>
      <c r="B865" s="171"/>
      <c r="C865" s="172"/>
      <c r="D865" s="172"/>
      <c r="E865" s="227"/>
      <c r="F865" s="154"/>
      <c r="G865" s="327"/>
      <c r="H865" s="164"/>
      <c r="I865" s="162"/>
      <c r="J865" s="129"/>
      <c r="K865" s="79"/>
      <c r="L865" s="79"/>
      <c r="M865" s="79"/>
    </row>
    <row r="866" ht="15.75" customHeight="1">
      <c r="A866" s="261"/>
      <c r="B866" s="171"/>
      <c r="C866" s="172"/>
      <c r="D866" s="172"/>
      <c r="E866" s="227"/>
      <c r="F866" s="154"/>
      <c r="G866" s="327"/>
      <c r="H866" s="164"/>
      <c r="I866" s="162"/>
      <c r="J866" s="129"/>
      <c r="K866" s="79"/>
      <c r="L866" s="79"/>
      <c r="M866" s="79"/>
    </row>
    <row r="867" ht="15.75" customHeight="1">
      <c r="A867" s="261"/>
      <c r="B867" s="171"/>
      <c r="C867" s="172"/>
      <c r="D867" s="172"/>
      <c r="E867" s="227"/>
      <c r="F867" s="154"/>
      <c r="G867" s="327"/>
      <c r="H867" s="164"/>
      <c r="I867" s="162"/>
      <c r="J867" s="129"/>
      <c r="K867" s="79"/>
      <c r="L867" s="79"/>
      <c r="M867" s="79"/>
    </row>
    <row r="868" ht="15.75" customHeight="1">
      <c r="A868" s="261"/>
      <c r="B868" s="171"/>
      <c r="C868" s="172"/>
      <c r="D868" s="172"/>
      <c r="E868" s="227"/>
      <c r="F868" s="154"/>
      <c r="G868" s="327"/>
      <c r="H868" s="164"/>
      <c r="I868" s="162"/>
      <c r="J868" s="129"/>
      <c r="K868" s="79"/>
      <c r="L868" s="79"/>
      <c r="M868" s="79"/>
    </row>
    <row r="869" ht="15.75" customHeight="1">
      <c r="A869" s="261"/>
      <c r="B869" s="171"/>
      <c r="C869" s="172"/>
      <c r="D869" s="172"/>
      <c r="E869" s="227"/>
      <c r="F869" s="154"/>
      <c r="G869" s="327"/>
      <c r="H869" s="164"/>
      <c r="I869" s="162"/>
      <c r="J869" s="129"/>
      <c r="K869" s="79"/>
      <c r="L869" s="79"/>
      <c r="M869" s="79"/>
    </row>
    <row r="870" ht="15.75" customHeight="1">
      <c r="A870" s="261"/>
      <c r="B870" s="171"/>
      <c r="C870" s="172"/>
      <c r="D870" s="172"/>
      <c r="E870" s="227"/>
      <c r="F870" s="154"/>
      <c r="G870" s="327"/>
      <c r="H870" s="164"/>
      <c r="I870" s="162"/>
      <c r="J870" s="129"/>
      <c r="K870" s="79"/>
      <c r="L870" s="79"/>
      <c r="M870" s="79"/>
    </row>
    <row r="871" ht="15.75" customHeight="1">
      <c r="A871" s="261"/>
      <c r="B871" s="171"/>
      <c r="C871" s="172"/>
      <c r="D871" s="172"/>
      <c r="E871" s="227"/>
      <c r="F871" s="154"/>
      <c r="G871" s="327"/>
      <c r="H871" s="164"/>
      <c r="I871" s="162"/>
      <c r="J871" s="129"/>
      <c r="K871" s="79"/>
      <c r="L871" s="79"/>
      <c r="M871" s="79"/>
    </row>
    <row r="872" ht="15.75" customHeight="1">
      <c r="A872" s="261"/>
      <c r="B872" s="171"/>
      <c r="C872" s="172"/>
      <c r="D872" s="172"/>
      <c r="E872" s="227"/>
      <c r="F872" s="154"/>
      <c r="G872" s="327"/>
      <c r="H872" s="164"/>
      <c r="I872" s="162"/>
      <c r="J872" s="129"/>
      <c r="K872" s="79"/>
      <c r="L872" s="79"/>
      <c r="M872" s="79"/>
    </row>
    <row r="873" ht="15.75" customHeight="1">
      <c r="A873" s="261"/>
      <c r="B873" s="171"/>
      <c r="C873" s="172"/>
      <c r="D873" s="172"/>
      <c r="E873" s="227"/>
      <c r="F873" s="154"/>
      <c r="G873" s="327"/>
      <c r="H873" s="164"/>
      <c r="I873" s="162"/>
      <c r="J873" s="129"/>
      <c r="K873" s="79"/>
      <c r="L873" s="79"/>
      <c r="M873" s="79"/>
    </row>
    <row r="874" ht="15.75" customHeight="1">
      <c r="A874" s="261"/>
      <c r="B874" s="171"/>
      <c r="C874" s="172"/>
      <c r="D874" s="172"/>
      <c r="E874" s="227"/>
      <c r="F874" s="154"/>
      <c r="G874" s="327"/>
      <c r="H874" s="164"/>
      <c r="I874" s="162"/>
      <c r="J874" s="129"/>
      <c r="K874" s="79"/>
      <c r="L874" s="79"/>
      <c r="M874" s="79"/>
    </row>
    <row r="875" ht="15.75" customHeight="1">
      <c r="A875" s="261"/>
      <c r="B875" s="171"/>
      <c r="C875" s="172"/>
      <c r="D875" s="172"/>
      <c r="E875" s="227"/>
      <c r="F875" s="154"/>
      <c r="G875" s="327"/>
      <c r="H875" s="164"/>
      <c r="I875" s="162"/>
      <c r="J875" s="129"/>
      <c r="K875" s="79"/>
      <c r="L875" s="79"/>
      <c r="M875" s="79"/>
    </row>
    <row r="876" ht="15.75" customHeight="1">
      <c r="A876" s="261"/>
      <c r="B876" s="171"/>
      <c r="C876" s="172"/>
      <c r="D876" s="172"/>
      <c r="E876" s="227"/>
      <c r="F876" s="154"/>
      <c r="G876" s="327"/>
      <c r="H876" s="164"/>
      <c r="I876" s="162"/>
      <c r="J876" s="129"/>
      <c r="K876" s="79"/>
      <c r="L876" s="79"/>
      <c r="M876" s="79"/>
    </row>
    <row r="877" ht="15.75" customHeight="1">
      <c r="A877" s="261"/>
      <c r="B877" s="171"/>
      <c r="C877" s="172"/>
      <c r="D877" s="172"/>
      <c r="E877" s="227"/>
      <c r="F877" s="154"/>
      <c r="G877" s="327"/>
      <c r="H877" s="164"/>
      <c r="I877" s="162"/>
      <c r="J877" s="129"/>
      <c r="K877" s="79"/>
      <c r="L877" s="79"/>
      <c r="M877" s="79"/>
    </row>
    <row r="878" ht="15.75" customHeight="1">
      <c r="A878" s="261"/>
      <c r="B878" s="171"/>
      <c r="C878" s="172"/>
      <c r="D878" s="172"/>
      <c r="E878" s="227"/>
      <c r="F878" s="154"/>
      <c r="G878" s="327"/>
      <c r="H878" s="164"/>
      <c r="I878" s="162"/>
      <c r="J878" s="129"/>
      <c r="K878" s="79"/>
      <c r="L878" s="79"/>
      <c r="M878" s="79"/>
    </row>
    <row r="879" ht="15.75" customHeight="1">
      <c r="A879" s="261"/>
      <c r="B879" s="171"/>
      <c r="C879" s="172"/>
      <c r="D879" s="172"/>
      <c r="E879" s="227"/>
      <c r="F879" s="154"/>
      <c r="G879" s="327"/>
      <c r="H879" s="164"/>
      <c r="I879" s="162"/>
      <c r="J879" s="129"/>
      <c r="K879" s="79"/>
      <c r="L879" s="79"/>
      <c r="M879" s="79"/>
    </row>
    <row r="880" ht="15.75" customHeight="1">
      <c r="A880" s="261"/>
      <c r="B880" s="171"/>
      <c r="C880" s="172"/>
      <c r="D880" s="172"/>
      <c r="E880" s="227"/>
      <c r="F880" s="154"/>
      <c r="G880" s="327"/>
      <c r="H880" s="164"/>
      <c r="I880" s="162"/>
      <c r="J880" s="129"/>
      <c r="K880" s="79"/>
      <c r="L880" s="79"/>
      <c r="M880" s="79"/>
    </row>
    <row r="881" ht="15.75" customHeight="1">
      <c r="A881" s="261"/>
      <c r="B881" s="171"/>
      <c r="C881" s="172"/>
      <c r="D881" s="172"/>
      <c r="E881" s="227"/>
      <c r="F881" s="154"/>
      <c r="G881" s="327"/>
      <c r="H881" s="164"/>
      <c r="I881" s="162"/>
      <c r="J881" s="129"/>
      <c r="K881" s="79"/>
      <c r="L881" s="79"/>
      <c r="M881" s="79"/>
    </row>
    <row r="882" ht="15.75" customHeight="1">
      <c r="A882" s="261"/>
      <c r="B882" s="171"/>
      <c r="C882" s="172"/>
      <c r="D882" s="172"/>
      <c r="E882" s="227"/>
      <c r="F882" s="154"/>
      <c r="G882" s="327"/>
      <c r="H882" s="164"/>
      <c r="I882" s="162"/>
      <c r="J882" s="129"/>
      <c r="K882" s="79"/>
      <c r="L882" s="79"/>
      <c r="M882" s="79"/>
    </row>
    <row r="883" ht="15.75" customHeight="1">
      <c r="A883" s="261"/>
      <c r="B883" s="171"/>
      <c r="C883" s="172"/>
      <c r="D883" s="172"/>
      <c r="E883" s="227"/>
      <c r="F883" s="154"/>
      <c r="G883" s="327"/>
      <c r="H883" s="164"/>
      <c r="I883" s="162"/>
      <c r="J883" s="129"/>
      <c r="K883" s="79"/>
      <c r="L883" s="79"/>
      <c r="M883" s="79"/>
    </row>
    <row r="884" ht="15.75" customHeight="1">
      <c r="A884" s="261"/>
      <c r="B884" s="171"/>
      <c r="C884" s="172"/>
      <c r="D884" s="172"/>
      <c r="E884" s="227"/>
      <c r="F884" s="154"/>
      <c r="G884" s="327"/>
      <c r="H884" s="164"/>
      <c r="I884" s="162"/>
      <c r="J884" s="129"/>
      <c r="K884" s="79"/>
      <c r="L884" s="79"/>
      <c r="M884" s="79"/>
    </row>
    <row r="885" ht="15.75" customHeight="1">
      <c r="A885" s="261"/>
      <c r="B885" s="171"/>
      <c r="C885" s="172"/>
      <c r="D885" s="172"/>
      <c r="E885" s="227"/>
      <c r="F885" s="154"/>
      <c r="G885" s="327"/>
      <c r="H885" s="164"/>
      <c r="I885" s="162"/>
      <c r="J885" s="129"/>
      <c r="K885" s="79"/>
      <c r="L885" s="79"/>
      <c r="M885" s="79"/>
    </row>
    <row r="886" ht="15.75" customHeight="1">
      <c r="A886" s="261"/>
      <c r="B886" s="171"/>
      <c r="C886" s="172"/>
      <c r="D886" s="172"/>
      <c r="E886" s="227"/>
      <c r="F886" s="154"/>
      <c r="G886" s="327"/>
      <c r="H886" s="164"/>
      <c r="I886" s="162"/>
      <c r="J886" s="129"/>
      <c r="K886" s="79"/>
      <c r="L886" s="79"/>
      <c r="M886" s="79"/>
    </row>
    <row r="887" ht="15.75" customHeight="1">
      <c r="A887" s="261"/>
      <c r="B887" s="171"/>
      <c r="C887" s="172"/>
      <c r="D887" s="172"/>
      <c r="E887" s="227"/>
      <c r="F887" s="154"/>
      <c r="G887" s="327"/>
      <c r="H887" s="164"/>
      <c r="I887" s="162"/>
      <c r="J887" s="129"/>
      <c r="K887" s="79"/>
      <c r="L887" s="79"/>
      <c r="M887" s="79"/>
    </row>
    <row r="888" ht="15.75" customHeight="1">
      <c r="A888" s="261"/>
      <c r="B888" s="171"/>
      <c r="C888" s="172"/>
      <c r="D888" s="172"/>
      <c r="E888" s="227"/>
      <c r="F888" s="154"/>
      <c r="G888" s="327"/>
      <c r="H888" s="164"/>
      <c r="I888" s="162"/>
      <c r="J888" s="129"/>
      <c r="K888" s="79"/>
      <c r="L888" s="79"/>
      <c r="M888" s="79"/>
    </row>
    <row r="889" ht="15.75" customHeight="1">
      <c r="A889" s="261"/>
      <c r="B889" s="171"/>
      <c r="C889" s="172"/>
      <c r="D889" s="172"/>
      <c r="E889" s="227"/>
      <c r="F889" s="154"/>
      <c r="G889" s="327"/>
      <c r="H889" s="164"/>
      <c r="I889" s="162"/>
      <c r="J889" s="129"/>
      <c r="K889" s="79"/>
      <c r="L889" s="79"/>
      <c r="M889" s="79"/>
    </row>
    <row r="890" ht="15.75" customHeight="1">
      <c r="A890" s="261"/>
      <c r="B890" s="171"/>
      <c r="C890" s="172"/>
      <c r="D890" s="172"/>
      <c r="E890" s="227"/>
      <c r="F890" s="154"/>
      <c r="G890" s="327"/>
      <c r="H890" s="164"/>
      <c r="I890" s="162"/>
      <c r="J890" s="129"/>
      <c r="K890" s="79"/>
      <c r="L890" s="79"/>
      <c r="M890" s="79"/>
    </row>
    <row r="891" ht="15.75" customHeight="1">
      <c r="A891" s="261"/>
      <c r="B891" s="171"/>
      <c r="C891" s="172"/>
      <c r="D891" s="172"/>
      <c r="E891" s="227"/>
      <c r="F891" s="154"/>
      <c r="G891" s="327"/>
      <c r="H891" s="164"/>
      <c r="I891" s="162"/>
      <c r="J891" s="129"/>
      <c r="K891" s="79"/>
      <c r="L891" s="79"/>
      <c r="M891" s="79"/>
    </row>
    <row r="892" ht="15.75" customHeight="1">
      <c r="A892" s="261"/>
      <c r="B892" s="171"/>
      <c r="C892" s="172"/>
      <c r="D892" s="172"/>
      <c r="E892" s="227"/>
      <c r="F892" s="154"/>
      <c r="G892" s="327"/>
      <c r="H892" s="164"/>
      <c r="I892" s="162"/>
      <c r="J892" s="129"/>
      <c r="K892" s="79"/>
      <c r="L892" s="79"/>
      <c r="M892" s="79"/>
    </row>
    <row r="893" ht="15.75" customHeight="1">
      <c r="A893" s="261"/>
      <c r="B893" s="171"/>
      <c r="C893" s="172"/>
      <c r="D893" s="172"/>
      <c r="E893" s="227"/>
      <c r="F893" s="154"/>
      <c r="G893" s="327"/>
      <c r="H893" s="164"/>
      <c r="I893" s="162"/>
      <c r="J893" s="129"/>
      <c r="K893" s="79"/>
      <c r="L893" s="79"/>
      <c r="M893" s="79"/>
    </row>
    <row r="894" ht="15.75" customHeight="1">
      <c r="A894" s="261"/>
      <c r="B894" s="171"/>
      <c r="C894" s="172"/>
      <c r="D894" s="172"/>
      <c r="E894" s="227"/>
      <c r="F894" s="154"/>
      <c r="G894" s="327"/>
      <c r="H894" s="164"/>
      <c r="I894" s="162"/>
      <c r="J894" s="129"/>
      <c r="K894" s="79"/>
      <c r="L894" s="79"/>
      <c r="M894" s="79"/>
    </row>
    <row r="895" ht="15.75" customHeight="1">
      <c r="A895" s="261"/>
      <c r="B895" s="171"/>
      <c r="C895" s="172"/>
      <c r="D895" s="172"/>
      <c r="E895" s="227"/>
      <c r="F895" s="154"/>
      <c r="G895" s="327"/>
      <c r="H895" s="164"/>
      <c r="I895" s="162"/>
      <c r="J895" s="129"/>
      <c r="K895" s="79"/>
      <c r="L895" s="79"/>
      <c r="M895" s="79"/>
    </row>
    <row r="896" ht="15.75" customHeight="1">
      <c r="A896" s="261"/>
      <c r="B896" s="171"/>
      <c r="C896" s="172"/>
      <c r="D896" s="172"/>
      <c r="E896" s="227"/>
      <c r="F896" s="154"/>
      <c r="G896" s="327"/>
      <c r="H896" s="164"/>
      <c r="I896" s="162"/>
      <c r="J896" s="129"/>
      <c r="K896" s="79"/>
      <c r="L896" s="79"/>
      <c r="M896" s="79"/>
    </row>
    <row r="897" ht="15.75" customHeight="1">
      <c r="A897" s="261"/>
      <c r="B897" s="171"/>
      <c r="C897" s="172"/>
      <c r="D897" s="172"/>
      <c r="E897" s="227"/>
      <c r="F897" s="154"/>
      <c r="G897" s="327"/>
      <c r="H897" s="164"/>
      <c r="I897" s="162"/>
      <c r="J897" s="129"/>
      <c r="K897" s="79"/>
      <c r="L897" s="79"/>
      <c r="M897" s="79"/>
    </row>
    <row r="898" ht="15.75" customHeight="1">
      <c r="A898" s="261"/>
      <c r="B898" s="171"/>
      <c r="C898" s="172"/>
      <c r="D898" s="172"/>
      <c r="E898" s="227"/>
      <c r="F898" s="154"/>
      <c r="G898" s="327"/>
      <c r="H898" s="164"/>
      <c r="I898" s="162"/>
      <c r="J898" s="129"/>
      <c r="K898" s="79"/>
      <c r="L898" s="79"/>
      <c r="M898" s="79"/>
    </row>
    <row r="899" ht="15.75" customHeight="1">
      <c r="A899" s="261"/>
      <c r="B899" s="171"/>
      <c r="C899" s="172"/>
      <c r="D899" s="172"/>
      <c r="E899" s="227"/>
      <c r="F899" s="154"/>
      <c r="G899" s="327"/>
      <c r="H899" s="164"/>
      <c r="I899" s="162"/>
      <c r="J899" s="129"/>
      <c r="K899" s="79"/>
      <c r="L899" s="79"/>
      <c r="M899" s="79"/>
    </row>
    <row r="900" ht="15.75" customHeight="1">
      <c r="A900" s="261"/>
      <c r="B900" s="171"/>
      <c r="C900" s="172"/>
      <c r="D900" s="172"/>
      <c r="E900" s="227"/>
      <c r="F900" s="154"/>
      <c r="G900" s="327"/>
      <c r="H900" s="164"/>
      <c r="I900" s="162"/>
      <c r="J900" s="129"/>
      <c r="K900" s="79"/>
      <c r="L900" s="79"/>
      <c r="M900" s="79"/>
    </row>
    <row r="901" ht="15.75" customHeight="1">
      <c r="A901" s="261"/>
      <c r="B901" s="171"/>
      <c r="C901" s="172"/>
      <c r="D901" s="172"/>
      <c r="E901" s="227"/>
      <c r="F901" s="154"/>
      <c r="G901" s="327"/>
      <c r="H901" s="164"/>
      <c r="I901" s="162"/>
      <c r="J901" s="129"/>
      <c r="K901" s="79"/>
      <c r="L901" s="79"/>
      <c r="M901" s="79"/>
    </row>
    <row r="902" ht="15.75" customHeight="1">
      <c r="A902" s="261"/>
      <c r="B902" s="171"/>
      <c r="C902" s="172"/>
      <c r="D902" s="172"/>
      <c r="E902" s="227"/>
      <c r="F902" s="154"/>
      <c r="G902" s="327"/>
      <c r="H902" s="164"/>
      <c r="I902" s="162"/>
      <c r="J902" s="129"/>
      <c r="K902" s="79"/>
      <c r="L902" s="79"/>
      <c r="M902" s="79"/>
    </row>
    <row r="903" ht="15.75" customHeight="1">
      <c r="A903" s="261"/>
      <c r="B903" s="171"/>
      <c r="C903" s="172"/>
      <c r="D903" s="172"/>
      <c r="E903" s="227"/>
      <c r="F903" s="154"/>
      <c r="G903" s="327"/>
      <c r="H903" s="164"/>
      <c r="I903" s="162"/>
      <c r="J903" s="129"/>
      <c r="K903" s="79"/>
      <c r="L903" s="79"/>
      <c r="M903" s="79"/>
    </row>
    <row r="904" ht="15.75" customHeight="1">
      <c r="A904" s="261"/>
      <c r="B904" s="171"/>
      <c r="C904" s="172"/>
      <c r="D904" s="172"/>
      <c r="E904" s="227"/>
      <c r="F904" s="154"/>
      <c r="G904" s="327"/>
      <c r="H904" s="164"/>
      <c r="I904" s="162"/>
      <c r="J904" s="129"/>
      <c r="K904" s="79"/>
      <c r="L904" s="79"/>
      <c r="M904" s="79"/>
    </row>
    <row r="905" ht="15.75" customHeight="1">
      <c r="A905" s="261"/>
      <c r="B905" s="171"/>
      <c r="C905" s="172"/>
      <c r="D905" s="172"/>
      <c r="E905" s="227"/>
      <c r="F905" s="154"/>
      <c r="G905" s="327"/>
      <c r="H905" s="164"/>
      <c r="I905" s="162"/>
      <c r="J905" s="129"/>
      <c r="K905" s="79"/>
      <c r="L905" s="79"/>
      <c r="M905" s="79"/>
    </row>
    <row r="906" ht="15.75" customHeight="1">
      <c r="A906" s="261"/>
      <c r="B906" s="171"/>
      <c r="C906" s="172"/>
      <c r="D906" s="172"/>
      <c r="E906" s="227"/>
      <c r="F906" s="154"/>
      <c r="G906" s="327"/>
      <c r="H906" s="164"/>
      <c r="I906" s="162"/>
      <c r="J906" s="129"/>
      <c r="K906" s="79"/>
      <c r="L906" s="79"/>
      <c r="M906" s="79"/>
    </row>
    <row r="907" ht="15.75" customHeight="1">
      <c r="A907" s="261"/>
      <c r="B907" s="171"/>
      <c r="C907" s="172"/>
      <c r="D907" s="172"/>
      <c r="E907" s="227"/>
      <c r="F907" s="154"/>
      <c r="G907" s="327"/>
      <c r="H907" s="164"/>
      <c r="I907" s="162"/>
      <c r="J907" s="129"/>
      <c r="K907" s="79"/>
      <c r="L907" s="79"/>
      <c r="M907" s="79"/>
    </row>
    <row r="908" ht="15.75" customHeight="1">
      <c r="A908" s="261"/>
      <c r="B908" s="171"/>
      <c r="C908" s="172"/>
      <c r="D908" s="172"/>
      <c r="E908" s="227"/>
      <c r="F908" s="154"/>
      <c r="G908" s="327"/>
      <c r="H908" s="164"/>
      <c r="I908" s="162"/>
      <c r="J908" s="129"/>
      <c r="K908" s="79"/>
      <c r="L908" s="79"/>
      <c r="M908" s="79"/>
    </row>
    <row r="909" ht="15.75" customHeight="1">
      <c r="A909" s="261"/>
      <c r="B909" s="171"/>
      <c r="C909" s="172"/>
      <c r="D909" s="172"/>
      <c r="E909" s="227"/>
      <c r="F909" s="154"/>
      <c r="G909" s="327"/>
      <c r="H909" s="164"/>
      <c r="I909" s="162"/>
      <c r="J909" s="129"/>
      <c r="K909" s="79"/>
      <c r="L909" s="79"/>
      <c r="M909" s="79"/>
    </row>
    <row r="910" ht="15.75" customHeight="1">
      <c r="A910" s="261"/>
      <c r="B910" s="171"/>
      <c r="C910" s="172"/>
      <c r="D910" s="172"/>
      <c r="E910" s="227"/>
      <c r="F910" s="154"/>
      <c r="G910" s="327"/>
      <c r="H910" s="164"/>
      <c r="I910" s="162"/>
      <c r="J910" s="129"/>
      <c r="K910" s="79"/>
      <c r="L910" s="79"/>
      <c r="M910" s="79"/>
    </row>
    <row r="911" ht="15.75" customHeight="1">
      <c r="A911" s="261"/>
      <c r="B911" s="171"/>
      <c r="C911" s="172"/>
      <c r="D911" s="172"/>
      <c r="E911" s="227"/>
      <c r="F911" s="154"/>
      <c r="G911" s="327"/>
      <c r="H911" s="164"/>
      <c r="I911" s="162"/>
      <c r="J911" s="129"/>
      <c r="K911" s="79"/>
      <c r="L911" s="79"/>
      <c r="M911" s="79"/>
    </row>
    <row r="912" ht="15.75" customHeight="1">
      <c r="A912" s="261"/>
      <c r="B912" s="171"/>
      <c r="C912" s="172"/>
      <c r="D912" s="172"/>
      <c r="E912" s="227"/>
      <c r="F912" s="154"/>
      <c r="G912" s="327"/>
      <c r="H912" s="164"/>
      <c r="I912" s="162"/>
      <c r="J912" s="129"/>
      <c r="K912" s="79"/>
      <c r="L912" s="79"/>
      <c r="M912" s="79"/>
    </row>
    <row r="913" ht="15.75" customHeight="1">
      <c r="A913" s="261"/>
      <c r="B913" s="171"/>
      <c r="C913" s="172"/>
      <c r="D913" s="172"/>
      <c r="E913" s="227"/>
      <c r="F913" s="154"/>
      <c r="G913" s="327"/>
      <c r="H913" s="164"/>
      <c r="I913" s="162"/>
      <c r="J913" s="129"/>
      <c r="K913" s="79"/>
      <c r="L913" s="79"/>
      <c r="M913" s="79"/>
    </row>
    <row r="914" ht="15.75" customHeight="1">
      <c r="A914" s="261"/>
      <c r="B914" s="171"/>
      <c r="C914" s="172"/>
      <c r="D914" s="172"/>
      <c r="E914" s="227"/>
      <c r="F914" s="154"/>
      <c r="G914" s="327"/>
      <c r="H914" s="164"/>
      <c r="I914" s="162"/>
      <c r="J914" s="129"/>
      <c r="K914" s="79"/>
      <c r="L914" s="79"/>
      <c r="M914" s="79"/>
    </row>
    <row r="915" ht="15.75" customHeight="1">
      <c r="A915" s="261"/>
      <c r="B915" s="171"/>
      <c r="C915" s="172"/>
      <c r="D915" s="172"/>
      <c r="E915" s="227"/>
      <c r="F915" s="154"/>
      <c r="G915" s="327"/>
      <c r="H915" s="164"/>
      <c r="I915" s="162"/>
      <c r="J915" s="129"/>
      <c r="K915" s="79"/>
      <c r="L915" s="79"/>
      <c r="M915" s="79"/>
    </row>
    <row r="916" ht="15.75" customHeight="1">
      <c r="A916" s="261"/>
      <c r="B916" s="171"/>
      <c r="C916" s="172"/>
      <c r="D916" s="172"/>
      <c r="E916" s="227"/>
      <c r="F916" s="154"/>
      <c r="G916" s="327"/>
      <c r="H916" s="164"/>
      <c r="I916" s="162"/>
      <c r="J916" s="129"/>
      <c r="K916" s="79"/>
      <c r="L916" s="79"/>
      <c r="M916" s="79"/>
    </row>
    <row r="917" ht="15.75" customHeight="1">
      <c r="A917" s="261"/>
      <c r="B917" s="171"/>
      <c r="C917" s="172"/>
      <c r="D917" s="172"/>
      <c r="E917" s="227"/>
      <c r="F917" s="154"/>
      <c r="G917" s="327"/>
      <c r="H917" s="164"/>
      <c r="I917" s="162"/>
      <c r="J917" s="129"/>
      <c r="K917" s="79"/>
      <c r="L917" s="79"/>
      <c r="M917" s="79"/>
    </row>
    <row r="918" ht="15.75" customHeight="1">
      <c r="A918" s="261"/>
      <c r="B918" s="171"/>
      <c r="C918" s="172"/>
      <c r="D918" s="172"/>
      <c r="E918" s="227"/>
      <c r="F918" s="154"/>
      <c r="G918" s="327"/>
      <c r="H918" s="164"/>
      <c r="I918" s="162"/>
      <c r="J918" s="129"/>
      <c r="K918" s="79"/>
      <c r="L918" s="79"/>
      <c r="M918" s="79"/>
    </row>
    <row r="919" ht="15.75" customHeight="1">
      <c r="A919" s="261"/>
      <c r="B919" s="171"/>
      <c r="C919" s="172"/>
      <c r="D919" s="172"/>
      <c r="E919" s="227"/>
      <c r="F919" s="154"/>
      <c r="G919" s="327"/>
      <c r="H919" s="164"/>
      <c r="I919" s="162"/>
      <c r="J919" s="129"/>
      <c r="K919" s="79"/>
      <c r="L919" s="79"/>
      <c r="M919" s="79"/>
    </row>
    <row r="920" ht="15.75" customHeight="1">
      <c r="A920" s="261"/>
      <c r="B920" s="171"/>
      <c r="C920" s="172"/>
      <c r="D920" s="172"/>
      <c r="E920" s="227"/>
      <c r="F920" s="154"/>
      <c r="G920" s="327"/>
      <c r="H920" s="164"/>
      <c r="I920" s="162"/>
      <c r="J920" s="129"/>
      <c r="K920" s="79"/>
      <c r="L920" s="79"/>
      <c r="M920" s="79"/>
    </row>
    <row r="921" ht="15.75" customHeight="1">
      <c r="A921" s="261"/>
      <c r="B921" s="171"/>
      <c r="C921" s="172"/>
      <c r="D921" s="172"/>
      <c r="E921" s="227"/>
      <c r="F921" s="154"/>
      <c r="G921" s="327"/>
      <c r="H921" s="164"/>
      <c r="I921" s="162"/>
      <c r="J921" s="129"/>
      <c r="K921" s="79"/>
      <c r="L921" s="79"/>
      <c r="M921" s="79"/>
    </row>
    <row r="922" ht="15.75" customHeight="1">
      <c r="A922" s="261"/>
      <c r="B922" s="171"/>
      <c r="C922" s="172"/>
      <c r="D922" s="172"/>
      <c r="E922" s="227"/>
      <c r="F922" s="154"/>
      <c r="G922" s="327"/>
      <c r="H922" s="164"/>
      <c r="I922" s="162"/>
      <c r="J922" s="129"/>
      <c r="K922" s="79"/>
      <c r="L922" s="79"/>
      <c r="M922" s="79"/>
    </row>
    <row r="923" ht="15.75" customHeight="1">
      <c r="A923" s="261"/>
      <c r="B923" s="171"/>
      <c r="C923" s="172"/>
      <c r="D923" s="172"/>
      <c r="E923" s="227"/>
      <c r="F923" s="154"/>
      <c r="G923" s="327"/>
      <c r="H923" s="164"/>
      <c r="I923" s="162"/>
      <c r="J923" s="129"/>
      <c r="K923" s="79"/>
      <c r="L923" s="79"/>
      <c r="M923" s="79"/>
    </row>
    <row r="924" ht="15.75" customHeight="1">
      <c r="A924" s="261"/>
      <c r="B924" s="171"/>
      <c r="C924" s="172"/>
      <c r="D924" s="172"/>
      <c r="E924" s="227"/>
      <c r="F924" s="154"/>
      <c r="G924" s="327"/>
      <c r="H924" s="164"/>
      <c r="I924" s="162"/>
      <c r="J924" s="129"/>
      <c r="K924" s="79"/>
      <c r="L924" s="79"/>
      <c r="M924" s="79"/>
    </row>
    <row r="925" ht="15.75" customHeight="1">
      <c r="A925" s="261"/>
      <c r="B925" s="171"/>
      <c r="C925" s="172"/>
      <c r="D925" s="172"/>
      <c r="E925" s="227"/>
      <c r="F925" s="154"/>
      <c r="G925" s="327"/>
      <c r="H925" s="164"/>
      <c r="I925" s="162"/>
      <c r="J925" s="129"/>
      <c r="K925" s="79"/>
      <c r="L925" s="79"/>
      <c r="M925" s="79"/>
    </row>
    <row r="926" ht="15.75" customHeight="1">
      <c r="A926" s="261"/>
      <c r="B926" s="171"/>
      <c r="C926" s="172"/>
      <c r="D926" s="172"/>
      <c r="E926" s="227"/>
      <c r="F926" s="154"/>
      <c r="G926" s="327"/>
      <c r="H926" s="164"/>
      <c r="I926" s="162"/>
      <c r="J926" s="129"/>
      <c r="K926" s="79"/>
      <c r="L926" s="79"/>
      <c r="M926" s="79"/>
    </row>
    <row r="927" ht="15.75" customHeight="1">
      <c r="A927" s="261"/>
      <c r="B927" s="171"/>
      <c r="C927" s="172"/>
      <c r="D927" s="172"/>
      <c r="E927" s="227"/>
      <c r="F927" s="154"/>
      <c r="G927" s="327"/>
      <c r="H927" s="164"/>
      <c r="I927" s="162"/>
      <c r="J927" s="129"/>
      <c r="K927" s="79"/>
      <c r="L927" s="79"/>
      <c r="M927" s="79"/>
    </row>
    <row r="928" ht="15.75" customHeight="1">
      <c r="A928" s="261"/>
      <c r="B928" s="171"/>
      <c r="C928" s="172"/>
      <c r="D928" s="172"/>
      <c r="E928" s="227"/>
      <c r="F928" s="154"/>
      <c r="G928" s="327"/>
      <c r="H928" s="164"/>
      <c r="I928" s="162"/>
      <c r="J928" s="129"/>
      <c r="K928" s="79"/>
      <c r="L928" s="79"/>
      <c r="M928" s="79"/>
    </row>
    <row r="929" ht="15.75" customHeight="1">
      <c r="A929" s="261"/>
      <c r="B929" s="171"/>
      <c r="C929" s="172"/>
      <c r="D929" s="172"/>
      <c r="E929" s="227"/>
      <c r="F929" s="154"/>
      <c r="G929" s="327"/>
      <c r="H929" s="164"/>
      <c r="I929" s="162"/>
      <c r="J929" s="129"/>
      <c r="K929" s="79"/>
      <c r="L929" s="79"/>
      <c r="M929" s="79"/>
    </row>
    <row r="930" ht="15.75" customHeight="1">
      <c r="A930" s="261"/>
      <c r="B930" s="171"/>
      <c r="C930" s="172"/>
      <c r="D930" s="172"/>
      <c r="E930" s="227"/>
      <c r="F930" s="154"/>
      <c r="G930" s="327"/>
      <c r="H930" s="164"/>
      <c r="I930" s="162"/>
      <c r="J930" s="129"/>
      <c r="K930" s="79"/>
      <c r="L930" s="79"/>
      <c r="M930" s="79"/>
    </row>
    <row r="931" ht="15.75" customHeight="1">
      <c r="A931" s="261"/>
      <c r="B931" s="171"/>
      <c r="C931" s="172"/>
      <c r="D931" s="172"/>
      <c r="E931" s="227"/>
      <c r="F931" s="154"/>
      <c r="G931" s="327"/>
      <c r="H931" s="164"/>
      <c r="I931" s="162"/>
      <c r="J931" s="129"/>
      <c r="K931" s="79"/>
      <c r="L931" s="79"/>
      <c r="M931" s="79"/>
    </row>
    <row r="932" ht="15.75" customHeight="1">
      <c r="A932" s="261"/>
      <c r="B932" s="171"/>
      <c r="C932" s="172"/>
      <c r="D932" s="172"/>
      <c r="E932" s="227"/>
      <c r="F932" s="154"/>
      <c r="G932" s="327"/>
      <c r="H932" s="164"/>
      <c r="I932" s="162"/>
      <c r="J932" s="129"/>
      <c r="K932" s="79"/>
      <c r="L932" s="79"/>
      <c r="M932" s="79"/>
    </row>
    <row r="933" ht="15.75" customHeight="1">
      <c r="A933" s="261"/>
      <c r="B933" s="171"/>
      <c r="C933" s="172"/>
      <c r="D933" s="172"/>
      <c r="E933" s="227"/>
      <c r="F933" s="154"/>
      <c r="G933" s="327"/>
      <c r="H933" s="164"/>
      <c r="I933" s="162"/>
      <c r="J933" s="129"/>
      <c r="K933" s="79"/>
      <c r="L933" s="79"/>
      <c r="M933" s="79"/>
    </row>
    <row r="934" ht="15.75" customHeight="1">
      <c r="A934" s="261"/>
      <c r="B934" s="171"/>
      <c r="C934" s="172"/>
      <c r="D934" s="172"/>
      <c r="E934" s="227"/>
      <c r="F934" s="154"/>
      <c r="G934" s="327"/>
      <c r="H934" s="164"/>
      <c r="I934" s="162"/>
      <c r="J934" s="129"/>
      <c r="K934" s="79"/>
      <c r="L934" s="79"/>
      <c r="M934" s="79"/>
    </row>
    <row r="935" ht="15.75" customHeight="1">
      <c r="A935" s="261"/>
      <c r="B935" s="171"/>
      <c r="C935" s="172"/>
      <c r="D935" s="172"/>
      <c r="E935" s="227"/>
      <c r="F935" s="154"/>
      <c r="G935" s="327"/>
      <c r="H935" s="164"/>
      <c r="I935" s="162"/>
      <c r="J935" s="129"/>
      <c r="K935" s="79"/>
      <c r="L935" s="79"/>
      <c r="M935" s="79"/>
    </row>
    <row r="936" ht="15.75" customHeight="1">
      <c r="A936" s="261"/>
      <c r="B936" s="171"/>
      <c r="C936" s="172"/>
      <c r="D936" s="172"/>
      <c r="E936" s="227"/>
      <c r="F936" s="154"/>
      <c r="G936" s="327"/>
      <c r="H936" s="164"/>
      <c r="I936" s="162"/>
      <c r="J936" s="129"/>
      <c r="K936" s="79"/>
      <c r="L936" s="79"/>
      <c r="M936" s="79"/>
    </row>
    <row r="937" ht="15.75" customHeight="1">
      <c r="A937" s="261"/>
      <c r="B937" s="171"/>
      <c r="C937" s="172"/>
      <c r="D937" s="172"/>
      <c r="E937" s="227"/>
      <c r="F937" s="154"/>
      <c r="G937" s="327"/>
      <c r="H937" s="164"/>
      <c r="I937" s="162"/>
      <c r="J937" s="129"/>
      <c r="K937" s="79"/>
      <c r="L937" s="79"/>
      <c r="M937" s="79"/>
    </row>
    <row r="938" ht="15.75" customHeight="1">
      <c r="A938" s="261"/>
      <c r="B938" s="171"/>
      <c r="C938" s="172"/>
      <c r="D938" s="172"/>
      <c r="E938" s="227"/>
      <c r="F938" s="154"/>
      <c r="G938" s="327"/>
      <c r="H938" s="164"/>
      <c r="I938" s="162"/>
      <c r="J938" s="129"/>
      <c r="K938" s="79"/>
      <c r="L938" s="79"/>
      <c r="M938" s="79"/>
    </row>
    <row r="939" ht="15.75" customHeight="1">
      <c r="A939" s="261"/>
      <c r="B939" s="171"/>
      <c r="C939" s="172"/>
      <c r="D939" s="172"/>
      <c r="E939" s="227"/>
      <c r="F939" s="154"/>
      <c r="G939" s="327"/>
      <c r="H939" s="164"/>
      <c r="I939" s="162"/>
      <c r="J939" s="129"/>
      <c r="K939" s="79"/>
      <c r="L939" s="79"/>
      <c r="M939" s="79"/>
    </row>
    <row r="940" ht="15.75" customHeight="1">
      <c r="A940" s="261"/>
      <c r="B940" s="171"/>
      <c r="C940" s="172"/>
      <c r="D940" s="172"/>
      <c r="E940" s="227"/>
      <c r="F940" s="154"/>
      <c r="G940" s="327"/>
      <c r="H940" s="164"/>
      <c r="I940" s="162"/>
      <c r="J940" s="129"/>
      <c r="K940" s="79"/>
      <c r="L940" s="79"/>
      <c r="M940" s="79"/>
    </row>
    <row r="941" ht="15.75" customHeight="1">
      <c r="A941" s="261"/>
      <c r="B941" s="171"/>
      <c r="C941" s="172"/>
      <c r="D941" s="172"/>
      <c r="E941" s="227"/>
      <c r="F941" s="154"/>
      <c r="G941" s="327"/>
      <c r="H941" s="164"/>
      <c r="I941" s="162"/>
      <c r="J941" s="129"/>
      <c r="K941" s="79"/>
      <c r="L941" s="79"/>
      <c r="M941" s="79"/>
    </row>
    <row r="942" ht="15.75" customHeight="1">
      <c r="A942" s="261"/>
      <c r="B942" s="171"/>
      <c r="C942" s="172"/>
      <c r="D942" s="172"/>
      <c r="E942" s="227"/>
      <c r="F942" s="154"/>
      <c r="G942" s="327"/>
      <c r="H942" s="164"/>
      <c r="I942" s="162"/>
      <c r="J942" s="129"/>
      <c r="K942" s="79"/>
      <c r="L942" s="79"/>
      <c r="M942" s="79"/>
    </row>
    <row r="943" ht="15.75" customHeight="1">
      <c r="A943" s="261"/>
      <c r="B943" s="171"/>
      <c r="C943" s="172"/>
      <c r="D943" s="172"/>
      <c r="E943" s="227"/>
      <c r="F943" s="154"/>
      <c r="G943" s="327"/>
      <c r="H943" s="164"/>
      <c r="I943" s="162"/>
      <c r="J943" s="129"/>
      <c r="K943" s="79"/>
      <c r="L943" s="79"/>
      <c r="M943" s="79"/>
    </row>
    <row r="944" ht="15.75" customHeight="1">
      <c r="A944" s="261"/>
      <c r="B944" s="171"/>
      <c r="C944" s="172"/>
      <c r="D944" s="172"/>
      <c r="E944" s="227"/>
      <c r="F944" s="154"/>
      <c r="G944" s="327"/>
      <c r="H944" s="164"/>
      <c r="I944" s="162"/>
      <c r="J944" s="129"/>
      <c r="K944" s="79"/>
      <c r="L944" s="79"/>
      <c r="M944" s="79"/>
    </row>
    <row r="945" ht="15.75" customHeight="1">
      <c r="A945" s="261"/>
      <c r="B945" s="171"/>
      <c r="C945" s="172"/>
      <c r="D945" s="172"/>
      <c r="E945" s="227"/>
      <c r="F945" s="154"/>
      <c r="G945" s="327"/>
      <c r="H945" s="164"/>
      <c r="I945" s="162"/>
      <c r="J945" s="129"/>
      <c r="K945" s="79"/>
      <c r="L945" s="79"/>
      <c r="M945" s="79"/>
    </row>
    <row r="946" ht="15.75" customHeight="1">
      <c r="A946" s="261"/>
      <c r="B946" s="171"/>
      <c r="C946" s="172"/>
      <c r="D946" s="172"/>
      <c r="E946" s="227"/>
      <c r="F946" s="154"/>
      <c r="G946" s="327"/>
      <c r="H946" s="164"/>
      <c r="I946" s="162"/>
      <c r="J946" s="129"/>
      <c r="K946" s="79"/>
      <c r="L946" s="79"/>
      <c r="M946" s="79"/>
    </row>
    <row r="947" ht="15.75" customHeight="1">
      <c r="A947" s="261"/>
      <c r="B947" s="171"/>
      <c r="C947" s="172"/>
      <c r="D947" s="172"/>
      <c r="E947" s="227"/>
      <c r="F947" s="154"/>
      <c r="G947" s="327"/>
      <c r="H947" s="164"/>
      <c r="I947" s="162"/>
      <c r="J947" s="129"/>
      <c r="K947" s="79"/>
      <c r="L947" s="79"/>
      <c r="M947" s="79"/>
    </row>
    <row r="948" ht="15.75" customHeight="1">
      <c r="A948" s="261"/>
      <c r="B948" s="171"/>
      <c r="C948" s="172"/>
      <c r="D948" s="172"/>
      <c r="E948" s="227"/>
      <c r="F948" s="154"/>
      <c r="G948" s="327"/>
      <c r="H948" s="164"/>
      <c r="I948" s="162"/>
      <c r="J948" s="129"/>
      <c r="K948" s="79"/>
      <c r="L948" s="79"/>
      <c r="M948" s="79"/>
    </row>
    <row r="949" ht="15.75" customHeight="1">
      <c r="A949" s="261"/>
      <c r="B949" s="171"/>
      <c r="C949" s="172"/>
      <c r="D949" s="172"/>
      <c r="E949" s="227"/>
      <c r="F949" s="154"/>
      <c r="G949" s="327"/>
      <c r="H949" s="164"/>
      <c r="I949" s="162"/>
      <c r="J949" s="129"/>
      <c r="K949" s="79"/>
      <c r="L949" s="79"/>
      <c r="M949" s="79"/>
    </row>
    <row r="950" ht="15.75" customHeight="1">
      <c r="A950" s="261"/>
      <c r="B950" s="171"/>
      <c r="C950" s="172"/>
      <c r="D950" s="172"/>
      <c r="E950" s="227"/>
      <c r="F950" s="154"/>
      <c r="G950" s="327"/>
      <c r="H950" s="164"/>
      <c r="I950" s="162"/>
      <c r="J950" s="129"/>
      <c r="K950" s="79"/>
      <c r="L950" s="79"/>
      <c r="M950" s="79"/>
    </row>
    <row r="951" ht="15.75" customHeight="1">
      <c r="A951" s="261"/>
      <c r="B951" s="171"/>
      <c r="C951" s="172"/>
      <c r="D951" s="172"/>
      <c r="E951" s="227"/>
      <c r="F951" s="154"/>
      <c r="G951" s="327"/>
      <c r="H951" s="164"/>
      <c r="I951" s="162"/>
      <c r="J951" s="129"/>
      <c r="K951" s="79"/>
      <c r="L951" s="79"/>
      <c r="M951" s="79"/>
    </row>
    <row r="952" ht="15.75" customHeight="1">
      <c r="A952" s="261"/>
      <c r="B952" s="171"/>
      <c r="C952" s="172"/>
      <c r="D952" s="172"/>
      <c r="E952" s="227"/>
      <c r="F952" s="154"/>
      <c r="G952" s="327"/>
      <c r="H952" s="164"/>
      <c r="I952" s="162"/>
      <c r="J952" s="129"/>
      <c r="K952" s="79"/>
      <c r="L952" s="79"/>
      <c r="M952" s="79"/>
    </row>
    <row r="953" ht="15.75" customHeight="1">
      <c r="A953" s="261"/>
      <c r="B953" s="171"/>
      <c r="C953" s="172"/>
      <c r="D953" s="172"/>
      <c r="E953" s="227"/>
      <c r="F953" s="154"/>
      <c r="G953" s="327"/>
      <c r="H953" s="164"/>
      <c r="I953" s="162"/>
      <c r="J953" s="129"/>
      <c r="K953" s="79"/>
      <c r="L953" s="79"/>
      <c r="M953" s="79"/>
    </row>
    <row r="954" ht="15.75" customHeight="1">
      <c r="A954" s="261"/>
      <c r="B954" s="171"/>
      <c r="C954" s="172"/>
      <c r="D954" s="172"/>
      <c r="E954" s="227"/>
      <c r="F954" s="154"/>
      <c r="G954" s="327"/>
      <c r="H954" s="164"/>
      <c r="I954" s="162"/>
      <c r="J954" s="129"/>
      <c r="K954" s="79"/>
      <c r="L954" s="79"/>
      <c r="M954" s="79"/>
    </row>
    <row r="955" ht="15.75" customHeight="1">
      <c r="A955" s="261"/>
      <c r="B955" s="171"/>
      <c r="C955" s="172"/>
      <c r="D955" s="172"/>
      <c r="E955" s="227"/>
      <c r="F955" s="154"/>
      <c r="G955" s="327"/>
      <c r="H955" s="164"/>
      <c r="I955" s="162"/>
      <c r="J955" s="129"/>
      <c r="K955" s="79"/>
      <c r="L955" s="79"/>
      <c r="M955" s="79"/>
    </row>
    <row r="956" ht="15.75" customHeight="1">
      <c r="A956" s="261"/>
      <c r="B956" s="171"/>
      <c r="C956" s="172"/>
      <c r="D956" s="172"/>
      <c r="E956" s="227"/>
      <c r="F956" s="154"/>
      <c r="G956" s="327"/>
      <c r="H956" s="164"/>
      <c r="I956" s="162"/>
      <c r="J956" s="129"/>
      <c r="K956" s="79"/>
      <c r="L956" s="79"/>
      <c r="M956" s="79"/>
    </row>
    <row r="957" ht="15.75" customHeight="1">
      <c r="A957" s="261"/>
      <c r="B957" s="171"/>
      <c r="C957" s="172"/>
      <c r="D957" s="172"/>
      <c r="E957" s="227"/>
      <c r="F957" s="154"/>
      <c r="G957" s="327"/>
      <c r="H957" s="164"/>
      <c r="I957" s="162"/>
      <c r="J957" s="129"/>
      <c r="K957" s="79"/>
      <c r="L957" s="79"/>
      <c r="M957" s="79"/>
    </row>
    <row r="958" ht="15.75" customHeight="1">
      <c r="A958" s="261"/>
      <c r="B958" s="171"/>
      <c r="C958" s="172"/>
      <c r="D958" s="172"/>
      <c r="E958" s="227"/>
      <c r="F958" s="154"/>
      <c r="G958" s="327"/>
      <c r="H958" s="164"/>
      <c r="I958" s="162"/>
      <c r="J958" s="129"/>
      <c r="K958" s="79"/>
      <c r="L958" s="79"/>
      <c r="M958" s="79"/>
    </row>
    <row r="959" ht="15.75" customHeight="1">
      <c r="A959" s="261"/>
      <c r="B959" s="171"/>
      <c r="C959" s="172"/>
      <c r="D959" s="172"/>
      <c r="E959" s="227"/>
      <c r="F959" s="154"/>
      <c r="G959" s="327"/>
      <c r="H959" s="164"/>
      <c r="I959" s="162"/>
      <c r="J959" s="129"/>
      <c r="K959" s="79"/>
      <c r="L959" s="79"/>
      <c r="M959" s="79"/>
    </row>
    <row r="960" ht="15.75" customHeight="1">
      <c r="A960" s="261"/>
      <c r="B960" s="171"/>
      <c r="C960" s="172"/>
      <c r="D960" s="172"/>
      <c r="E960" s="227"/>
      <c r="F960" s="154"/>
      <c r="G960" s="327"/>
      <c r="H960" s="164"/>
      <c r="I960" s="162"/>
      <c r="J960" s="129"/>
      <c r="K960" s="79"/>
      <c r="L960" s="79"/>
      <c r="M960" s="79"/>
    </row>
    <row r="961" ht="15.75" customHeight="1">
      <c r="A961" s="261"/>
      <c r="B961" s="171"/>
      <c r="C961" s="172"/>
      <c r="D961" s="172"/>
      <c r="E961" s="227"/>
      <c r="F961" s="154"/>
      <c r="G961" s="327"/>
      <c r="H961" s="164"/>
      <c r="I961" s="162"/>
      <c r="J961" s="129"/>
      <c r="K961" s="79"/>
      <c r="L961" s="79"/>
      <c r="M961" s="79"/>
    </row>
    <row r="962" ht="15.75" customHeight="1">
      <c r="A962" s="261"/>
      <c r="B962" s="171"/>
      <c r="C962" s="172"/>
      <c r="D962" s="172"/>
      <c r="E962" s="227"/>
      <c r="F962" s="154"/>
      <c r="G962" s="327"/>
      <c r="H962" s="164"/>
      <c r="I962" s="162"/>
      <c r="J962" s="129"/>
      <c r="K962" s="79"/>
      <c r="L962" s="79"/>
      <c r="M962" s="79"/>
    </row>
    <row r="963" ht="15.75" customHeight="1">
      <c r="A963" s="261"/>
      <c r="B963" s="171"/>
      <c r="C963" s="172"/>
      <c r="D963" s="172"/>
      <c r="E963" s="227"/>
      <c r="F963" s="154"/>
      <c r="G963" s="327"/>
      <c r="H963" s="164"/>
      <c r="I963" s="162"/>
      <c r="J963" s="129"/>
      <c r="K963" s="79"/>
      <c r="L963" s="79"/>
      <c r="M963" s="79"/>
    </row>
    <row r="964" ht="15.75" customHeight="1">
      <c r="A964" s="261"/>
      <c r="B964" s="171"/>
      <c r="C964" s="172"/>
      <c r="D964" s="172"/>
      <c r="E964" s="227"/>
      <c r="F964" s="154"/>
      <c r="G964" s="327"/>
      <c r="H964" s="164"/>
      <c r="I964" s="162"/>
      <c r="J964" s="129"/>
      <c r="K964" s="79"/>
      <c r="L964" s="79"/>
      <c r="M964" s="79"/>
    </row>
    <row r="965" ht="15.75" customHeight="1">
      <c r="A965" s="261"/>
      <c r="B965" s="171"/>
      <c r="C965" s="172"/>
      <c r="D965" s="172"/>
      <c r="E965" s="227"/>
      <c r="F965" s="154"/>
      <c r="G965" s="327"/>
      <c r="H965" s="164"/>
      <c r="I965" s="162"/>
      <c r="J965" s="129"/>
      <c r="K965" s="79"/>
      <c r="L965" s="79"/>
      <c r="M965" s="79"/>
    </row>
    <row r="966" ht="15.75" customHeight="1">
      <c r="A966" s="261"/>
      <c r="B966" s="171"/>
      <c r="C966" s="172"/>
      <c r="D966" s="172"/>
      <c r="E966" s="227"/>
      <c r="F966" s="154"/>
      <c r="G966" s="327"/>
      <c r="H966" s="164"/>
      <c r="I966" s="162"/>
      <c r="J966" s="129"/>
      <c r="K966" s="79"/>
      <c r="L966" s="79"/>
      <c r="M966" s="79"/>
    </row>
    <row r="967" ht="15.75" customHeight="1">
      <c r="A967" s="261"/>
      <c r="B967" s="171"/>
      <c r="C967" s="172"/>
      <c r="D967" s="172"/>
      <c r="E967" s="227"/>
      <c r="F967" s="154"/>
      <c r="G967" s="327"/>
      <c r="H967" s="164"/>
      <c r="I967" s="162"/>
      <c r="J967" s="129"/>
      <c r="K967" s="79"/>
      <c r="L967" s="79"/>
      <c r="M967" s="79"/>
    </row>
    <row r="968" ht="15.75" customHeight="1">
      <c r="A968" s="261"/>
      <c r="B968" s="171"/>
      <c r="C968" s="172"/>
      <c r="D968" s="172"/>
      <c r="E968" s="227"/>
      <c r="F968" s="154"/>
      <c r="G968" s="327"/>
      <c r="H968" s="164"/>
      <c r="I968" s="162"/>
      <c r="J968" s="129"/>
      <c r="K968" s="79"/>
      <c r="L968" s="79"/>
      <c r="M968" s="79"/>
    </row>
    <row r="969" ht="15.75" customHeight="1">
      <c r="A969" s="261"/>
      <c r="B969" s="171"/>
      <c r="C969" s="172"/>
      <c r="D969" s="172"/>
      <c r="E969" s="227"/>
      <c r="F969" s="154"/>
      <c r="G969" s="327"/>
      <c r="H969" s="164"/>
      <c r="I969" s="162"/>
      <c r="J969" s="129"/>
      <c r="K969" s="79"/>
      <c r="L969" s="79"/>
      <c r="M969" s="79"/>
    </row>
    <row r="970" ht="15.75" customHeight="1">
      <c r="A970" s="261"/>
      <c r="B970" s="171"/>
      <c r="C970" s="172"/>
      <c r="D970" s="172"/>
      <c r="E970" s="227"/>
      <c r="F970" s="154"/>
      <c r="G970" s="327"/>
      <c r="H970" s="164"/>
      <c r="I970" s="162"/>
      <c r="J970" s="129"/>
      <c r="K970" s="79"/>
      <c r="L970" s="79"/>
      <c r="M970" s="79"/>
    </row>
    <row r="971" ht="15.75" customHeight="1">
      <c r="A971" s="261"/>
      <c r="B971" s="171"/>
      <c r="C971" s="172"/>
      <c r="D971" s="172"/>
      <c r="E971" s="227"/>
      <c r="F971" s="154"/>
      <c r="G971" s="327"/>
      <c r="H971" s="164"/>
      <c r="I971" s="162"/>
      <c r="J971" s="129"/>
      <c r="K971" s="79"/>
      <c r="L971" s="79"/>
      <c r="M971" s="79"/>
    </row>
    <row r="972" ht="15.75" customHeight="1">
      <c r="A972" s="261"/>
      <c r="B972" s="171"/>
      <c r="C972" s="172"/>
      <c r="D972" s="172"/>
      <c r="E972" s="227"/>
      <c r="F972" s="154"/>
      <c r="G972" s="327"/>
      <c r="H972" s="164"/>
      <c r="I972" s="162"/>
      <c r="J972" s="129"/>
      <c r="K972" s="79"/>
      <c r="L972" s="79"/>
      <c r="M972" s="79"/>
    </row>
    <row r="973" ht="15.75" customHeight="1">
      <c r="A973" s="261"/>
      <c r="B973" s="171"/>
      <c r="C973" s="172"/>
      <c r="D973" s="172"/>
      <c r="E973" s="227"/>
      <c r="F973" s="154"/>
      <c r="G973" s="327"/>
      <c r="H973" s="164"/>
      <c r="I973" s="162"/>
      <c r="J973" s="129"/>
      <c r="K973" s="79"/>
      <c r="L973" s="79"/>
      <c r="M973" s="79"/>
    </row>
    <row r="974" ht="15.75" customHeight="1">
      <c r="A974" s="261"/>
      <c r="B974" s="171"/>
      <c r="C974" s="172"/>
      <c r="D974" s="172"/>
      <c r="E974" s="227"/>
      <c r="F974" s="154"/>
      <c r="G974" s="327"/>
      <c r="H974" s="164"/>
      <c r="I974" s="162"/>
      <c r="J974" s="129"/>
      <c r="K974" s="79"/>
      <c r="L974" s="79"/>
      <c r="M974" s="79"/>
    </row>
    <row r="975" ht="15.75" customHeight="1">
      <c r="A975" s="261"/>
      <c r="B975" s="171"/>
      <c r="C975" s="172"/>
      <c r="D975" s="172"/>
      <c r="E975" s="227"/>
      <c r="F975" s="154"/>
      <c r="G975" s="327"/>
      <c r="H975" s="164"/>
      <c r="I975" s="162"/>
      <c r="J975" s="129"/>
      <c r="K975" s="79"/>
      <c r="L975" s="79"/>
      <c r="M975" s="79"/>
    </row>
    <row r="976" ht="15.75" customHeight="1">
      <c r="A976" s="261"/>
      <c r="B976" s="171"/>
      <c r="C976" s="172"/>
      <c r="D976" s="172"/>
      <c r="E976" s="227"/>
      <c r="F976" s="154"/>
      <c r="G976" s="327"/>
      <c r="H976" s="164"/>
      <c r="I976" s="162"/>
      <c r="J976" s="129"/>
      <c r="K976" s="79"/>
      <c r="L976" s="79"/>
      <c r="M976" s="79"/>
    </row>
    <row r="977" ht="15.75" customHeight="1">
      <c r="A977" s="261"/>
      <c r="B977" s="171"/>
      <c r="C977" s="172"/>
      <c r="D977" s="172"/>
      <c r="E977" s="227"/>
      <c r="F977" s="154"/>
      <c r="G977" s="327"/>
      <c r="H977" s="164"/>
      <c r="I977" s="162"/>
      <c r="J977" s="129"/>
      <c r="K977" s="79"/>
      <c r="L977" s="79"/>
      <c r="M977" s="79"/>
    </row>
    <row r="978" ht="15.75" customHeight="1">
      <c r="A978" s="261"/>
      <c r="B978" s="171"/>
      <c r="C978" s="172"/>
      <c r="D978" s="172"/>
      <c r="E978" s="227"/>
      <c r="F978" s="154"/>
      <c r="G978" s="327"/>
      <c r="H978" s="164"/>
      <c r="I978" s="162"/>
      <c r="J978" s="129"/>
      <c r="K978" s="79"/>
      <c r="L978" s="79"/>
      <c r="M978" s="79"/>
    </row>
    <row r="979" ht="15.75" customHeight="1">
      <c r="A979" s="261"/>
      <c r="B979" s="171"/>
      <c r="C979" s="172"/>
      <c r="D979" s="172"/>
      <c r="E979" s="227"/>
      <c r="F979" s="154"/>
      <c r="G979" s="327"/>
      <c r="H979" s="164"/>
      <c r="I979" s="162"/>
      <c r="J979" s="129"/>
      <c r="K979" s="79"/>
      <c r="L979" s="79"/>
      <c r="M979" s="79"/>
    </row>
    <row r="980" ht="15.75" customHeight="1">
      <c r="A980" s="261"/>
      <c r="B980" s="171"/>
      <c r="C980" s="172"/>
      <c r="D980" s="172"/>
      <c r="E980" s="227"/>
      <c r="F980" s="154"/>
      <c r="G980" s="327"/>
      <c r="H980" s="164"/>
      <c r="I980" s="162"/>
      <c r="J980" s="129"/>
      <c r="K980" s="79"/>
      <c r="L980" s="79"/>
      <c r="M980" s="79"/>
    </row>
    <row r="981" ht="15.75" customHeight="1">
      <c r="A981" s="261"/>
      <c r="B981" s="171"/>
      <c r="C981" s="172"/>
      <c r="D981" s="172"/>
      <c r="E981" s="227"/>
      <c r="F981" s="154"/>
      <c r="G981" s="327"/>
      <c r="H981" s="164"/>
      <c r="I981" s="162"/>
      <c r="J981" s="129"/>
      <c r="K981" s="79"/>
      <c r="L981" s="79"/>
      <c r="M981" s="79"/>
    </row>
    <row r="982" ht="15.75" customHeight="1">
      <c r="A982" s="261"/>
      <c r="B982" s="171"/>
      <c r="C982" s="172"/>
      <c r="D982" s="172"/>
      <c r="E982" s="227"/>
      <c r="F982" s="154"/>
      <c r="G982" s="327"/>
      <c r="H982" s="164"/>
      <c r="I982" s="162"/>
      <c r="J982" s="129"/>
      <c r="K982" s="79"/>
      <c r="L982" s="79"/>
      <c r="M982" s="79"/>
    </row>
    <row r="983" ht="15.75" customHeight="1">
      <c r="A983" s="261"/>
      <c r="B983" s="171"/>
      <c r="C983" s="172"/>
      <c r="D983" s="172"/>
      <c r="E983" s="227"/>
      <c r="F983" s="154"/>
      <c r="G983" s="327"/>
      <c r="H983" s="164"/>
      <c r="I983" s="162"/>
      <c r="J983" s="129"/>
      <c r="K983" s="79"/>
      <c r="L983" s="79"/>
      <c r="M983" s="79"/>
    </row>
    <row r="984" ht="15.75" customHeight="1">
      <c r="A984" s="261"/>
      <c r="B984" s="171"/>
      <c r="C984" s="172"/>
      <c r="D984" s="172"/>
      <c r="E984" s="227"/>
      <c r="F984" s="154"/>
      <c r="G984" s="327"/>
      <c r="H984" s="164"/>
      <c r="I984" s="162"/>
      <c r="J984" s="129"/>
      <c r="K984" s="79"/>
      <c r="L984" s="79"/>
      <c r="M984" s="79"/>
    </row>
    <row r="985" ht="15.75" customHeight="1">
      <c r="A985" s="261"/>
      <c r="B985" s="171"/>
      <c r="C985" s="172"/>
      <c r="D985" s="172"/>
      <c r="E985" s="227"/>
      <c r="F985" s="154"/>
      <c r="G985" s="327"/>
      <c r="H985" s="164"/>
      <c r="I985" s="162"/>
      <c r="J985" s="129"/>
      <c r="K985" s="79"/>
      <c r="L985" s="79"/>
      <c r="M985" s="79"/>
    </row>
    <row r="986" ht="15.75" customHeight="1">
      <c r="A986" s="261"/>
      <c r="B986" s="171"/>
      <c r="C986" s="172"/>
      <c r="D986" s="172"/>
      <c r="E986" s="227"/>
      <c r="F986" s="154"/>
      <c r="G986" s="327"/>
      <c r="H986" s="164"/>
      <c r="I986" s="162"/>
      <c r="J986" s="129"/>
      <c r="K986" s="79"/>
      <c r="L986" s="79"/>
      <c r="M986" s="79"/>
    </row>
    <row r="987" ht="15.75" customHeight="1">
      <c r="A987" s="261"/>
      <c r="B987" s="171"/>
      <c r="C987" s="172"/>
      <c r="D987" s="172"/>
      <c r="E987" s="227"/>
      <c r="F987" s="154"/>
      <c r="G987" s="327"/>
      <c r="H987" s="164"/>
      <c r="I987" s="162"/>
      <c r="J987" s="129"/>
      <c r="K987" s="79"/>
      <c r="L987" s="79"/>
      <c r="M987" s="79"/>
    </row>
    <row r="988" ht="15.75" customHeight="1">
      <c r="A988" s="261"/>
      <c r="B988" s="171"/>
      <c r="C988" s="172"/>
      <c r="D988" s="172"/>
      <c r="E988" s="227"/>
      <c r="F988" s="154"/>
      <c r="G988" s="327"/>
      <c r="H988" s="164"/>
      <c r="I988" s="162"/>
      <c r="J988" s="129"/>
      <c r="K988" s="79"/>
      <c r="L988" s="79"/>
      <c r="M988" s="79"/>
    </row>
    <row r="989" ht="15.75" customHeight="1">
      <c r="A989" s="261"/>
      <c r="B989" s="171"/>
      <c r="C989" s="172"/>
      <c r="D989" s="172"/>
      <c r="E989" s="227"/>
      <c r="F989" s="154"/>
      <c r="G989" s="327"/>
      <c r="H989" s="164"/>
      <c r="I989" s="162"/>
      <c r="J989" s="129"/>
      <c r="K989" s="79"/>
      <c r="L989" s="79"/>
      <c r="M989" s="79"/>
    </row>
    <row r="990" ht="15.75" customHeight="1">
      <c r="A990" s="261"/>
      <c r="B990" s="171"/>
      <c r="C990" s="172"/>
      <c r="D990" s="172"/>
      <c r="E990" s="227"/>
      <c r="F990" s="154"/>
      <c r="G990" s="327"/>
      <c r="H990" s="164"/>
      <c r="I990" s="162"/>
      <c r="J990" s="129"/>
      <c r="K990" s="79"/>
      <c r="L990" s="79"/>
      <c r="M990" s="79"/>
    </row>
    <row r="991" ht="15.75" customHeight="1">
      <c r="A991" s="261"/>
      <c r="B991" s="171"/>
      <c r="C991" s="172"/>
      <c r="D991" s="172"/>
      <c r="E991" s="227"/>
      <c r="F991" s="154"/>
      <c r="G991" s="327"/>
      <c r="H991" s="164"/>
      <c r="I991" s="162"/>
      <c r="J991" s="129"/>
      <c r="K991" s="79"/>
      <c r="L991" s="79"/>
      <c r="M991" s="79"/>
    </row>
    <row r="992" ht="15.75" customHeight="1">
      <c r="A992" s="261"/>
      <c r="B992" s="171"/>
      <c r="C992" s="172"/>
      <c r="D992" s="172"/>
      <c r="E992" s="227"/>
      <c r="F992" s="154"/>
      <c r="G992" s="327"/>
      <c r="H992" s="164"/>
      <c r="I992" s="162"/>
      <c r="J992" s="129"/>
      <c r="K992" s="79"/>
      <c r="L992" s="79"/>
      <c r="M992" s="79"/>
    </row>
    <row r="993" ht="15.75" customHeight="1">
      <c r="A993" s="261"/>
      <c r="B993" s="171"/>
      <c r="C993" s="172"/>
      <c r="D993" s="172"/>
      <c r="E993" s="227"/>
      <c r="F993" s="154"/>
      <c r="G993" s="327"/>
      <c r="H993" s="164"/>
      <c r="I993" s="162"/>
      <c r="J993" s="129"/>
      <c r="K993" s="79"/>
      <c r="L993" s="79"/>
      <c r="M993" s="79"/>
    </row>
    <row r="994" ht="15.75" customHeight="1">
      <c r="A994" s="261"/>
      <c r="B994" s="171"/>
      <c r="C994" s="172"/>
      <c r="D994" s="172"/>
      <c r="E994" s="227"/>
      <c r="F994" s="154"/>
      <c r="G994" s="327"/>
      <c r="H994" s="164"/>
      <c r="I994" s="162"/>
      <c r="J994" s="129"/>
      <c r="K994" s="79"/>
      <c r="L994" s="79"/>
      <c r="M994" s="79"/>
    </row>
    <row r="995" ht="15.75" customHeight="1">
      <c r="A995" s="261"/>
      <c r="B995" s="171"/>
      <c r="C995" s="172"/>
      <c r="D995" s="172"/>
      <c r="E995" s="227"/>
      <c r="F995" s="154"/>
      <c r="G995" s="327"/>
      <c r="H995" s="164"/>
      <c r="I995" s="162"/>
      <c r="J995" s="129"/>
      <c r="K995" s="79"/>
      <c r="L995" s="79"/>
      <c r="M995" s="79"/>
    </row>
    <row r="996" ht="15.75" customHeight="1">
      <c r="A996" s="261"/>
      <c r="B996" s="171"/>
      <c r="C996" s="172"/>
      <c r="D996" s="172"/>
      <c r="E996" s="227"/>
      <c r="F996" s="154"/>
      <c r="G996" s="327"/>
      <c r="H996" s="164"/>
      <c r="I996" s="162"/>
      <c r="J996" s="129"/>
      <c r="K996" s="79"/>
      <c r="L996" s="79"/>
      <c r="M996" s="79"/>
    </row>
    <row r="997" ht="15.75" customHeight="1">
      <c r="A997" s="261"/>
      <c r="B997" s="171"/>
      <c r="C997" s="172"/>
      <c r="D997" s="172"/>
      <c r="E997" s="227"/>
      <c r="F997" s="154"/>
      <c r="G997" s="327"/>
      <c r="H997" s="164"/>
      <c r="I997" s="162"/>
      <c r="J997" s="129"/>
      <c r="K997" s="79"/>
      <c r="L997" s="79"/>
      <c r="M997" s="79"/>
    </row>
    <row r="998" ht="15.75" customHeight="1">
      <c r="A998" s="261"/>
      <c r="B998" s="171"/>
      <c r="C998" s="172"/>
      <c r="D998" s="172"/>
      <c r="E998" s="227"/>
      <c r="F998" s="154"/>
      <c r="G998" s="327"/>
      <c r="H998" s="164"/>
      <c r="I998" s="162"/>
      <c r="J998" s="129"/>
      <c r="K998" s="79"/>
      <c r="L998" s="79"/>
      <c r="M998" s="79"/>
    </row>
    <row r="999" ht="15.75" customHeight="1">
      <c r="A999" s="261"/>
      <c r="B999" s="171"/>
      <c r="C999" s="172"/>
      <c r="D999" s="172"/>
      <c r="E999" s="227"/>
      <c r="F999" s="154"/>
      <c r="G999" s="327"/>
      <c r="H999" s="164"/>
      <c r="I999" s="162"/>
      <c r="J999" s="129"/>
      <c r="K999" s="79"/>
      <c r="L999" s="79"/>
      <c r="M999" s="79"/>
    </row>
    <row r="1000" ht="15.75" customHeight="1">
      <c r="A1000" s="261"/>
      <c r="B1000" s="171"/>
      <c r="C1000" s="172"/>
      <c r="D1000" s="172"/>
      <c r="E1000" s="227"/>
      <c r="F1000" s="154"/>
      <c r="G1000" s="327"/>
      <c r="H1000" s="164"/>
      <c r="I1000" s="162"/>
      <c r="J1000" s="129"/>
      <c r="K1000" s="79"/>
      <c r="L1000" s="79"/>
      <c r="M1000" s="79"/>
    </row>
  </sheetData>
  <dataValidations>
    <dataValidation type="list" allowBlank="1" showErrorMessage="1" sqref="C3:C10">
      <formula1>"EM FUNCIONAMENTO,EM CONSTRUÇÃO"</formula1>
    </dataValidation>
    <dataValidation type="list" allowBlank="1" showErrorMessage="1" sqref="E3:E10">
      <formula1>"I,II,III,IV,V,VI,VII,VIII,IX,X,XI,XII,Sem informação"</formula1>
    </dataValidation>
  </dataValidations>
  <printOptions gridLines="1"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0"/>
  <cols>
    <col customWidth="1" min="1" max="1" width="1.25"/>
    <col customWidth="1" min="2" max="2" width="29.88"/>
    <col customWidth="1" min="3" max="3" width="24.13"/>
    <col customWidth="1" min="4" max="4" width="9.5"/>
    <col customWidth="1" min="5" max="5" width="27.13"/>
    <col customWidth="1" min="6" max="7" width="10.88"/>
    <col customWidth="1" min="8" max="8" width="32.88"/>
  </cols>
  <sheetData>
    <row r="1" ht="89.25" customHeight="1">
      <c r="A1" s="331"/>
      <c r="B1" s="332"/>
      <c r="C1" s="333"/>
      <c r="D1" s="333"/>
      <c r="E1" s="333"/>
      <c r="F1" s="14"/>
      <c r="G1" s="14"/>
      <c r="H1" s="14"/>
    </row>
    <row r="2" ht="55.5" customHeight="1">
      <c r="A2" s="19"/>
      <c r="B2" s="21" t="s">
        <v>1</v>
      </c>
      <c r="C2" s="334" t="s">
        <v>2</v>
      </c>
      <c r="D2" s="335" t="s">
        <v>5</v>
      </c>
      <c r="E2" s="35" t="s">
        <v>3</v>
      </c>
      <c r="F2" s="27" t="s">
        <v>22</v>
      </c>
      <c r="G2" s="27" t="s">
        <v>24</v>
      </c>
      <c r="H2" s="27" t="s">
        <v>25</v>
      </c>
    </row>
    <row r="3" ht="69.0" customHeight="1">
      <c r="A3" s="36"/>
      <c r="B3" s="45" t="s">
        <v>459</v>
      </c>
      <c r="C3" s="44" t="s">
        <v>63</v>
      </c>
      <c r="D3" s="54"/>
      <c r="E3" s="49" t="s">
        <v>460</v>
      </c>
      <c r="F3" s="54"/>
      <c r="G3" s="54">
        <v>24.0</v>
      </c>
      <c r="H3" s="54" t="s">
        <v>462</v>
      </c>
    </row>
    <row r="4" ht="94.5" customHeight="1">
      <c r="A4" s="36"/>
      <c r="B4" s="45" t="s">
        <v>463</v>
      </c>
      <c r="C4" s="44" t="s">
        <v>63</v>
      </c>
      <c r="D4" s="54"/>
      <c r="E4" s="49" t="s">
        <v>96</v>
      </c>
      <c r="F4" s="54"/>
      <c r="G4" s="54">
        <v>28.0</v>
      </c>
      <c r="H4" s="54" t="s">
        <v>464</v>
      </c>
    </row>
    <row r="5" ht="77.25" customHeight="1">
      <c r="A5" s="36"/>
      <c r="B5" s="45" t="s">
        <v>465</v>
      </c>
      <c r="C5" s="44" t="s">
        <v>63</v>
      </c>
      <c r="D5" s="54"/>
      <c r="E5" s="49" t="s">
        <v>96</v>
      </c>
      <c r="F5" s="54"/>
      <c r="G5" s="54">
        <v>100.0</v>
      </c>
      <c r="H5" s="54" t="s">
        <v>466</v>
      </c>
    </row>
    <row r="6" ht="122.25" customHeight="1">
      <c r="A6" s="36"/>
      <c r="B6" s="45" t="s">
        <v>467</v>
      </c>
      <c r="C6" s="44" t="s">
        <v>63</v>
      </c>
      <c r="D6" s="54"/>
      <c r="E6" s="49" t="s">
        <v>96</v>
      </c>
      <c r="F6" s="54"/>
      <c r="G6" s="54">
        <v>20.0</v>
      </c>
      <c r="H6" s="54" t="s">
        <v>462</v>
      </c>
    </row>
    <row r="7" ht="90.75" customHeight="1">
      <c r="A7" s="36"/>
      <c r="B7" s="45" t="s">
        <v>468</v>
      </c>
      <c r="C7" s="44" t="s">
        <v>63</v>
      </c>
      <c r="D7" s="54"/>
      <c r="E7" s="49" t="s">
        <v>96</v>
      </c>
      <c r="F7" s="54"/>
      <c r="G7" s="54">
        <v>16.0</v>
      </c>
      <c r="H7" s="54" t="s">
        <v>469</v>
      </c>
    </row>
    <row r="8" ht="92.25" customHeight="1">
      <c r="A8" s="36"/>
      <c r="B8" s="116" t="s">
        <v>470</v>
      </c>
      <c r="C8" s="44" t="s">
        <v>63</v>
      </c>
      <c r="D8" s="54"/>
      <c r="E8" s="49" t="s">
        <v>96</v>
      </c>
      <c r="F8" s="54"/>
      <c r="G8" s="54">
        <v>29.0</v>
      </c>
      <c r="H8" s="54" t="s">
        <v>471</v>
      </c>
    </row>
    <row r="9" ht="106.5" customHeight="1">
      <c r="A9" s="36"/>
      <c r="B9" s="116" t="s">
        <v>472</v>
      </c>
      <c r="C9" s="44" t="s">
        <v>63</v>
      </c>
      <c r="D9" s="54"/>
      <c r="E9" s="49" t="s">
        <v>96</v>
      </c>
      <c r="F9" s="54"/>
      <c r="G9" s="54">
        <v>20.0</v>
      </c>
      <c r="H9" s="54" t="s">
        <v>473</v>
      </c>
    </row>
    <row r="10" ht="90.0" customHeight="1">
      <c r="A10" s="36"/>
      <c r="B10" s="116" t="s">
        <v>474</v>
      </c>
      <c r="C10" s="44" t="s">
        <v>63</v>
      </c>
      <c r="D10" s="54"/>
      <c r="E10" s="49" t="s">
        <v>96</v>
      </c>
      <c r="F10" s="54"/>
      <c r="G10" s="54">
        <v>6.0</v>
      </c>
      <c r="H10" s="54" t="s">
        <v>475</v>
      </c>
    </row>
    <row r="11" ht="122.25" customHeight="1">
      <c r="A11" s="36"/>
      <c r="B11" s="116" t="s">
        <v>476</v>
      </c>
      <c r="C11" s="44" t="s">
        <v>63</v>
      </c>
      <c r="D11" s="54"/>
      <c r="E11" s="49" t="s">
        <v>412</v>
      </c>
      <c r="F11" s="54"/>
      <c r="G11" s="54">
        <v>12.0</v>
      </c>
      <c r="H11" s="54" t="s">
        <v>477</v>
      </c>
    </row>
    <row r="12" ht="122.25" customHeight="1">
      <c r="A12" s="36"/>
      <c r="B12" s="116" t="s">
        <v>478</v>
      </c>
      <c r="C12" s="44" t="s">
        <v>63</v>
      </c>
      <c r="D12" s="54"/>
      <c r="E12" s="145" t="s">
        <v>417</v>
      </c>
      <c r="F12" s="54"/>
      <c r="G12" s="54">
        <v>94.0</v>
      </c>
      <c r="H12" s="54" t="s">
        <v>479</v>
      </c>
    </row>
    <row r="13" ht="122.25" customHeight="1">
      <c r="A13" s="36"/>
      <c r="B13" s="116" t="s">
        <v>480</v>
      </c>
      <c r="C13" s="44" t="s">
        <v>63</v>
      </c>
      <c r="D13" s="54"/>
      <c r="E13" s="145" t="s">
        <v>417</v>
      </c>
      <c r="F13" s="54"/>
      <c r="G13" s="54">
        <v>14.0</v>
      </c>
      <c r="H13" s="54" t="s">
        <v>481</v>
      </c>
    </row>
    <row r="14" ht="122.25" customHeight="1">
      <c r="A14" s="36"/>
      <c r="B14" s="116" t="s">
        <v>482</v>
      </c>
      <c r="C14" s="44" t="s">
        <v>63</v>
      </c>
      <c r="D14" s="54"/>
      <c r="E14" s="49" t="s">
        <v>436</v>
      </c>
      <c r="F14" s="54"/>
      <c r="G14" s="54">
        <v>10.0</v>
      </c>
      <c r="H14" s="54" t="s">
        <v>483</v>
      </c>
    </row>
    <row r="15" ht="122.25" customHeight="1">
      <c r="A15" s="36"/>
      <c r="B15" s="116" t="s">
        <v>484</v>
      </c>
      <c r="C15" s="44" t="s">
        <v>63</v>
      </c>
      <c r="D15" s="54"/>
      <c r="E15" s="49" t="s">
        <v>485</v>
      </c>
      <c r="F15" s="54"/>
      <c r="G15" s="54">
        <v>10.0</v>
      </c>
      <c r="H15" s="54" t="s">
        <v>475</v>
      </c>
    </row>
    <row r="16" ht="122.25" customHeight="1">
      <c r="A16" s="36"/>
      <c r="B16" s="116" t="s">
        <v>486</v>
      </c>
      <c r="C16" s="44" t="s">
        <v>63</v>
      </c>
      <c r="D16" s="54"/>
      <c r="E16" s="49" t="s">
        <v>419</v>
      </c>
      <c r="F16" s="54"/>
      <c r="G16" s="54">
        <v>33.0</v>
      </c>
      <c r="H16" s="54" t="s">
        <v>487</v>
      </c>
    </row>
    <row r="17" ht="122.25" customHeight="1">
      <c r="A17" s="36"/>
      <c r="B17" s="116" t="s">
        <v>488</v>
      </c>
      <c r="C17" s="44" t="s">
        <v>63</v>
      </c>
      <c r="D17" s="54"/>
      <c r="E17" s="49" t="s">
        <v>454</v>
      </c>
      <c r="F17" s="54"/>
      <c r="G17" s="54">
        <v>48.0</v>
      </c>
      <c r="H17" s="54" t="s">
        <v>489</v>
      </c>
    </row>
    <row r="18" ht="122.25" customHeight="1">
      <c r="A18" s="36"/>
      <c r="B18" s="116" t="s">
        <v>490</v>
      </c>
      <c r="C18" s="44" t="s">
        <v>63</v>
      </c>
      <c r="D18" s="54"/>
      <c r="E18" s="49" t="s">
        <v>414</v>
      </c>
      <c r="F18" s="54"/>
      <c r="G18" s="54">
        <v>23.0</v>
      </c>
      <c r="H18" s="54" t="s">
        <v>491</v>
      </c>
    </row>
    <row r="19" ht="122.25" customHeight="1">
      <c r="A19" s="36"/>
      <c r="B19" s="116" t="s">
        <v>492</v>
      </c>
      <c r="C19" s="44" t="s">
        <v>63</v>
      </c>
      <c r="D19" s="54"/>
      <c r="E19" s="49" t="s">
        <v>315</v>
      </c>
      <c r="F19" s="54"/>
      <c r="G19" s="54">
        <v>79.0</v>
      </c>
      <c r="H19" s="54" t="s">
        <v>513</v>
      </c>
    </row>
    <row r="20" ht="122.25" customHeight="1">
      <c r="A20" s="36"/>
      <c r="B20" s="116" t="s">
        <v>494</v>
      </c>
      <c r="C20" s="44" t="s">
        <v>63</v>
      </c>
      <c r="D20" s="54"/>
      <c r="E20" s="49" t="s">
        <v>315</v>
      </c>
      <c r="F20" s="54"/>
      <c r="G20" s="54">
        <v>5.0</v>
      </c>
      <c r="H20" s="54" t="s">
        <v>475</v>
      </c>
    </row>
    <row r="21" ht="122.25" customHeight="1">
      <c r="A21" s="36"/>
      <c r="B21" s="116" t="s">
        <v>492</v>
      </c>
      <c r="C21" s="44" t="s">
        <v>63</v>
      </c>
      <c r="D21" s="54"/>
      <c r="E21" s="49" t="s">
        <v>315</v>
      </c>
      <c r="F21" s="54"/>
      <c r="G21" s="54">
        <v>20.0</v>
      </c>
      <c r="H21" s="54" t="s">
        <v>475</v>
      </c>
    </row>
    <row r="22" ht="122.25" customHeight="1">
      <c r="A22" s="36"/>
      <c r="B22" s="116" t="s">
        <v>495</v>
      </c>
      <c r="C22" s="44" t="s">
        <v>63</v>
      </c>
      <c r="D22" s="54"/>
      <c r="E22" s="49" t="s">
        <v>315</v>
      </c>
      <c r="F22" s="54"/>
      <c r="G22" s="54">
        <v>10.0</v>
      </c>
      <c r="H22" s="54" t="s">
        <v>298</v>
      </c>
    </row>
    <row r="23" ht="122.25" customHeight="1">
      <c r="A23" s="36"/>
      <c r="B23" s="116" t="s">
        <v>496</v>
      </c>
      <c r="C23" s="44" t="s">
        <v>63</v>
      </c>
      <c r="D23" s="54"/>
      <c r="E23" s="49" t="s">
        <v>497</v>
      </c>
      <c r="F23" s="54"/>
      <c r="G23" s="54">
        <v>10.0</v>
      </c>
      <c r="H23" s="54" t="s">
        <v>475</v>
      </c>
    </row>
    <row r="24" ht="122.25" customHeight="1">
      <c r="A24" s="36"/>
      <c r="B24" s="116" t="s">
        <v>498</v>
      </c>
      <c r="C24" s="44" t="s">
        <v>63</v>
      </c>
      <c r="D24" s="54"/>
      <c r="E24" s="49" t="s">
        <v>420</v>
      </c>
      <c r="F24" s="54"/>
      <c r="G24" s="54">
        <v>10.0</v>
      </c>
      <c r="H24" s="54" t="s">
        <v>483</v>
      </c>
    </row>
    <row r="25" ht="122.25" customHeight="1">
      <c r="A25" s="36"/>
      <c r="B25" s="116" t="s">
        <v>499</v>
      </c>
      <c r="C25" s="44" t="s">
        <v>63</v>
      </c>
      <c r="D25" s="54"/>
      <c r="E25" s="49" t="s">
        <v>500</v>
      </c>
      <c r="F25" s="183"/>
      <c r="G25" s="183">
        <v>15.0</v>
      </c>
      <c r="H25" s="183" t="s">
        <v>501</v>
      </c>
    </row>
    <row r="26" ht="122.25" customHeight="1">
      <c r="A26" s="36"/>
      <c r="B26" s="116" t="s">
        <v>502</v>
      </c>
      <c r="C26" s="44" t="s">
        <v>63</v>
      </c>
      <c r="D26" s="54"/>
      <c r="E26" s="49" t="s">
        <v>503</v>
      </c>
      <c r="F26" s="191"/>
      <c r="G26" s="54">
        <v>5.0</v>
      </c>
      <c r="H26" s="54" t="s">
        <v>475</v>
      </c>
    </row>
    <row r="27" ht="122.25" customHeight="1">
      <c r="A27" s="36"/>
      <c r="B27" s="116" t="s">
        <v>505</v>
      </c>
      <c r="C27" s="44" t="s">
        <v>63</v>
      </c>
      <c r="D27" s="54"/>
      <c r="E27" s="49" t="s">
        <v>506</v>
      </c>
      <c r="F27" s="54"/>
      <c r="G27" s="54">
        <v>55.0</v>
      </c>
      <c r="H27" s="54" t="s">
        <v>507</v>
      </c>
    </row>
    <row r="28" ht="122.25" customHeight="1">
      <c r="A28" s="36"/>
      <c r="B28" s="116"/>
      <c r="C28" s="45"/>
      <c r="D28" s="45"/>
      <c r="E28" s="49"/>
      <c r="F28" s="54"/>
      <c r="G28" s="54"/>
      <c r="H28" s="54"/>
    </row>
  </sheetData>
  <customSheetViews>
    <customSheetView guid="{8B2F7A20-70CD-4AC8-9CD2-2B3F91660B47}" filter="1" showAutoFilter="1">
      <autoFilter ref="$A$2:$H$28"/>
    </customSheetView>
  </customSheetViews>
  <dataValidations>
    <dataValidation type="list" allowBlank="1" showErrorMessage="1" sqref="C3:C27">
      <formula1>"EM FUNCIONAMENTO,EM CONSTRUÇÃO"</formula1>
    </dataValidation>
    <dataValidation type="list" allowBlank="1" showErrorMessage="1" sqref="D3:D27">
      <formula1>"I,II,III,IV,V,VI,VII,VII,VIII,IX,X,XI,XII,Sem informação"</formula1>
    </dataValidation>
  </dataValidations>
  <printOptions gridLines="1"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0"/>
  <cols>
    <col customWidth="1" min="1" max="1" width="1.25"/>
    <col customWidth="1" min="2" max="3" width="25.25"/>
    <col customWidth="1" min="4" max="4" width="25.0"/>
    <col customWidth="1" min="5" max="5" width="25.38"/>
    <col customWidth="1" min="6" max="7" width="17.75"/>
    <col customWidth="1" min="8" max="8" width="43.5"/>
    <col customWidth="1" min="9" max="9" width="19.25"/>
    <col customWidth="1" min="10" max="10" width="13.75"/>
    <col customWidth="1" min="11" max="11" width="19.25"/>
    <col customWidth="1" min="12" max="12" width="17.13"/>
    <col customWidth="1" min="13" max="13" width="50.63"/>
    <col customWidth="1" min="14" max="14" width="68.88"/>
  </cols>
  <sheetData>
    <row r="1" ht="89.25" customHeight="1">
      <c r="A1" s="1"/>
      <c r="B1" s="4"/>
      <c r="C1" s="7"/>
      <c r="D1" s="7"/>
      <c r="E1" s="336"/>
      <c r="F1" s="336"/>
      <c r="G1" s="303"/>
      <c r="H1" s="333"/>
      <c r="I1" s="14"/>
      <c r="J1" s="9"/>
      <c r="K1" s="7"/>
      <c r="L1" s="16"/>
      <c r="M1" s="16"/>
      <c r="N1" s="16"/>
    </row>
    <row r="2" ht="36.75" customHeight="1">
      <c r="A2" s="304"/>
      <c r="B2" s="305" t="s">
        <v>514</v>
      </c>
      <c r="C2" s="305" t="s">
        <v>515</v>
      </c>
      <c r="D2" s="305" t="s">
        <v>2</v>
      </c>
      <c r="E2" s="307" t="s">
        <v>516</v>
      </c>
      <c r="F2" s="307" t="s">
        <v>517</v>
      </c>
      <c r="G2" s="307" t="s">
        <v>509</v>
      </c>
      <c r="H2" s="305" t="s">
        <v>9</v>
      </c>
      <c r="I2" s="305" t="s">
        <v>518</v>
      </c>
      <c r="J2" s="305" t="s">
        <v>519</v>
      </c>
      <c r="K2" s="305" t="s">
        <v>520</v>
      </c>
      <c r="L2" s="308"/>
      <c r="M2" s="308"/>
      <c r="N2" s="308"/>
    </row>
    <row r="3">
      <c r="A3" s="309"/>
      <c r="B3" s="310" t="s">
        <v>521</v>
      </c>
      <c r="C3" s="44" t="s">
        <v>420</v>
      </c>
      <c r="D3" s="44" t="s">
        <v>106</v>
      </c>
      <c r="E3" s="107" t="s">
        <v>522</v>
      </c>
      <c r="F3" s="337">
        <v>46419.0</v>
      </c>
      <c r="G3" s="252">
        <v>161.0</v>
      </c>
      <c r="H3" s="59" t="s">
        <v>523</v>
      </c>
      <c r="I3" s="259">
        <v>6.873988214E7</v>
      </c>
      <c r="J3" s="259">
        <v>9.48E7</v>
      </c>
      <c r="K3" s="59">
        <f t="shared" ref="K3:K13" si="1">I3+J3</f>
        <v>163539882.1</v>
      </c>
      <c r="L3" s="311"/>
      <c r="M3" s="312"/>
      <c r="N3" s="311"/>
    </row>
    <row r="4">
      <c r="A4" s="313"/>
      <c r="B4" s="310" t="s">
        <v>521</v>
      </c>
      <c r="C4" s="168" t="s">
        <v>426</v>
      </c>
      <c r="D4" s="44" t="s">
        <v>106</v>
      </c>
      <c r="E4" s="107" t="s">
        <v>524</v>
      </c>
      <c r="F4" s="337">
        <v>46447.0</v>
      </c>
      <c r="G4" s="252">
        <v>117.0</v>
      </c>
      <c r="H4" s="59" t="s">
        <v>523</v>
      </c>
      <c r="I4" s="259">
        <v>5.330386318E7</v>
      </c>
      <c r="J4" s="259">
        <v>5.19E7</v>
      </c>
      <c r="K4" s="59">
        <f t="shared" si="1"/>
        <v>105203863.2</v>
      </c>
      <c r="L4" s="315"/>
      <c r="M4" s="315"/>
      <c r="N4" s="315"/>
    </row>
    <row r="5">
      <c r="A5" s="313"/>
      <c r="B5" s="310" t="s">
        <v>521</v>
      </c>
      <c r="C5" s="168" t="s">
        <v>442</v>
      </c>
      <c r="D5" s="44" t="s">
        <v>106</v>
      </c>
      <c r="E5" s="259" t="s">
        <v>525</v>
      </c>
      <c r="F5" s="338">
        <v>46447.0</v>
      </c>
      <c r="G5" s="252">
        <v>161.0</v>
      </c>
      <c r="H5" s="59" t="s">
        <v>523</v>
      </c>
      <c r="I5" s="259">
        <v>5.649E7</v>
      </c>
      <c r="J5" s="259">
        <v>9.66E7</v>
      </c>
      <c r="K5" s="59">
        <f t="shared" si="1"/>
        <v>153090000</v>
      </c>
      <c r="L5" s="317"/>
      <c r="M5" s="318"/>
      <c r="N5" s="319"/>
    </row>
    <row r="6">
      <c r="A6" s="313"/>
      <c r="B6" s="310" t="s">
        <v>521</v>
      </c>
      <c r="C6" s="168" t="s">
        <v>429</v>
      </c>
      <c r="D6" s="44" t="s">
        <v>106</v>
      </c>
      <c r="E6" s="107" t="s">
        <v>526</v>
      </c>
      <c r="F6" s="337">
        <v>46447.0</v>
      </c>
      <c r="G6" s="252">
        <v>161.0</v>
      </c>
      <c r="H6" s="59" t="s">
        <v>523</v>
      </c>
      <c r="I6" s="259">
        <v>6.512E7</v>
      </c>
      <c r="J6" s="259">
        <v>8.79E7</v>
      </c>
      <c r="K6" s="59">
        <f t="shared" si="1"/>
        <v>153020000</v>
      </c>
      <c r="L6" s="315"/>
      <c r="M6" s="315"/>
      <c r="N6" s="315"/>
    </row>
    <row r="7">
      <c r="A7" s="313"/>
      <c r="B7" s="314" t="s">
        <v>449</v>
      </c>
      <c r="C7" s="168" t="s">
        <v>420</v>
      </c>
      <c r="D7" s="44" t="s">
        <v>106</v>
      </c>
      <c r="E7" s="107" t="s">
        <v>527</v>
      </c>
      <c r="F7" s="338">
        <v>46722.0</v>
      </c>
      <c r="G7" s="163">
        <v>246.0</v>
      </c>
      <c r="H7" s="263" t="s">
        <v>528</v>
      </c>
      <c r="I7" s="259">
        <v>1.258E8</v>
      </c>
      <c r="J7" s="259">
        <v>3.96E7</v>
      </c>
      <c r="K7" s="59">
        <f t="shared" si="1"/>
        <v>165400000</v>
      </c>
      <c r="L7" s="315"/>
      <c r="M7" s="315"/>
      <c r="N7" s="315"/>
    </row>
    <row r="8">
      <c r="A8" s="313"/>
      <c r="B8" s="314" t="s">
        <v>529</v>
      </c>
      <c r="C8" s="314" t="s">
        <v>96</v>
      </c>
      <c r="D8" s="314" t="s">
        <v>530</v>
      </c>
      <c r="E8" s="252"/>
      <c r="F8" s="252"/>
      <c r="G8" s="163">
        <v>219.0</v>
      </c>
      <c r="H8" s="263" t="s">
        <v>531</v>
      </c>
      <c r="I8" s="259">
        <v>2.3E8</v>
      </c>
      <c r="J8" s="259"/>
      <c r="K8" s="59">
        <f t="shared" si="1"/>
        <v>230000000</v>
      </c>
      <c r="L8" s="315"/>
      <c r="M8" s="315"/>
      <c r="N8" s="317"/>
    </row>
    <row r="9">
      <c r="A9" s="326"/>
      <c r="B9" s="168" t="s">
        <v>532</v>
      </c>
      <c r="C9" s="168" t="s">
        <v>315</v>
      </c>
      <c r="D9" s="168" t="s">
        <v>106</v>
      </c>
      <c r="E9" s="107" t="s">
        <v>533</v>
      </c>
      <c r="F9" s="337">
        <v>46813.0</v>
      </c>
      <c r="G9" s="339">
        <v>213.0</v>
      </c>
      <c r="H9" s="76" t="s">
        <v>534</v>
      </c>
      <c r="I9" s="259">
        <v>1.1149983346E8</v>
      </c>
      <c r="J9" s="259"/>
      <c r="K9" s="59">
        <f t="shared" si="1"/>
        <v>111499833.5</v>
      </c>
      <c r="L9" s="79"/>
      <c r="M9" s="79"/>
      <c r="N9" s="328"/>
    </row>
    <row r="10">
      <c r="A10" s="326"/>
      <c r="B10" s="168" t="s">
        <v>535</v>
      </c>
      <c r="C10" s="168" t="s">
        <v>96</v>
      </c>
      <c r="D10" s="168" t="s">
        <v>106</v>
      </c>
      <c r="E10" s="107" t="s">
        <v>536</v>
      </c>
      <c r="F10" s="338">
        <v>46508.0</v>
      </c>
      <c r="G10" s="339">
        <v>158.0</v>
      </c>
      <c r="H10" s="76" t="s">
        <v>537</v>
      </c>
      <c r="I10" s="259">
        <v>9.288359845E7</v>
      </c>
      <c r="J10" s="259"/>
      <c r="K10" s="59">
        <f t="shared" si="1"/>
        <v>92883598.45</v>
      </c>
      <c r="L10" s="79"/>
      <c r="M10" s="79"/>
      <c r="N10" s="329"/>
    </row>
    <row r="11">
      <c r="A11" s="326"/>
      <c r="B11" s="168" t="s">
        <v>538</v>
      </c>
      <c r="C11" s="168" t="s">
        <v>432</v>
      </c>
      <c r="D11" s="168" t="s">
        <v>530</v>
      </c>
      <c r="E11" s="107"/>
      <c r="F11" s="107"/>
      <c r="G11" s="339">
        <v>120.0</v>
      </c>
      <c r="H11" s="76" t="s">
        <v>539</v>
      </c>
      <c r="I11" s="76">
        <v>6.0E7</v>
      </c>
      <c r="J11" s="259"/>
      <c r="K11" s="59">
        <f t="shared" si="1"/>
        <v>60000000</v>
      </c>
      <c r="L11" s="79"/>
      <c r="M11" s="79"/>
      <c r="N11" s="328"/>
    </row>
    <row r="12">
      <c r="A12" s="326"/>
      <c r="B12" s="168" t="s">
        <v>540</v>
      </c>
      <c r="C12" s="168" t="s">
        <v>96</v>
      </c>
      <c r="D12" s="168" t="s">
        <v>106</v>
      </c>
      <c r="E12" s="107" t="s">
        <v>541</v>
      </c>
      <c r="F12" s="338">
        <v>46447.0</v>
      </c>
      <c r="G12" s="339">
        <v>115.0</v>
      </c>
      <c r="H12" s="76" t="s">
        <v>542</v>
      </c>
      <c r="I12" s="259">
        <v>4.88E7</v>
      </c>
      <c r="J12" s="259">
        <v>1.64E7</v>
      </c>
      <c r="K12" s="59">
        <f t="shared" si="1"/>
        <v>65200000</v>
      </c>
      <c r="L12" s="79"/>
      <c r="M12" s="79"/>
      <c r="N12" s="329"/>
    </row>
    <row r="13">
      <c r="A13" s="326"/>
      <c r="B13" s="168" t="s">
        <v>543</v>
      </c>
      <c r="C13" s="168" t="s">
        <v>96</v>
      </c>
      <c r="D13" s="168" t="s">
        <v>530</v>
      </c>
      <c r="E13" s="107"/>
      <c r="F13" s="107"/>
      <c r="G13" s="339" t="s">
        <v>68</v>
      </c>
      <c r="H13" s="223"/>
      <c r="I13" s="76">
        <v>3.0E7</v>
      </c>
      <c r="J13" s="259"/>
      <c r="K13" s="59">
        <f t="shared" si="1"/>
        <v>30000000</v>
      </c>
      <c r="L13" s="79"/>
      <c r="M13" s="79"/>
      <c r="N13" s="328"/>
    </row>
    <row r="14" ht="137.25" customHeight="1">
      <c r="A14" s="326"/>
      <c r="B14" s="168"/>
      <c r="C14" s="168"/>
      <c r="D14" s="168"/>
      <c r="E14" s="340"/>
      <c r="F14" s="340"/>
      <c r="G14" s="327"/>
      <c r="H14" s="223"/>
      <c r="I14" s="157"/>
      <c r="J14" s="259"/>
      <c r="K14" s="79"/>
      <c r="L14" s="79"/>
      <c r="M14" s="79"/>
      <c r="N14" s="329"/>
    </row>
    <row r="15" ht="137.25" customHeight="1">
      <c r="A15" s="326"/>
      <c r="B15" s="168"/>
      <c r="C15" s="168"/>
      <c r="D15" s="168"/>
      <c r="E15" s="340"/>
      <c r="F15" s="340"/>
      <c r="G15" s="327"/>
      <c r="H15" s="223"/>
      <c r="I15" s="157"/>
      <c r="J15" s="259"/>
      <c r="K15" s="79"/>
      <c r="L15" s="79"/>
      <c r="M15" s="79"/>
      <c r="N15" s="328"/>
    </row>
    <row r="16" ht="137.25" customHeight="1">
      <c r="A16" s="326"/>
      <c r="B16" s="168"/>
      <c r="C16" s="168"/>
      <c r="D16" s="168"/>
      <c r="E16" s="340"/>
      <c r="F16" s="340"/>
      <c r="G16" s="327"/>
      <c r="H16" s="223"/>
      <c r="I16" s="164"/>
      <c r="J16" s="259"/>
      <c r="K16" s="129"/>
      <c r="L16" s="79"/>
      <c r="M16" s="79"/>
      <c r="N16" s="329"/>
    </row>
    <row r="17" ht="137.25" customHeight="1">
      <c r="A17" s="326"/>
      <c r="B17" s="168"/>
      <c r="C17" s="168"/>
      <c r="D17" s="168"/>
      <c r="E17" s="340"/>
      <c r="F17" s="340"/>
      <c r="G17" s="327"/>
      <c r="H17" s="223"/>
      <c r="I17" s="157"/>
      <c r="J17" s="259"/>
      <c r="K17" s="79"/>
      <c r="L17" s="79"/>
      <c r="M17" s="79"/>
      <c r="N17" s="328"/>
    </row>
    <row r="18" ht="137.25" customHeight="1">
      <c r="A18" s="326"/>
      <c r="B18" s="176"/>
      <c r="C18" s="122"/>
      <c r="D18" s="122"/>
      <c r="E18" s="340"/>
      <c r="F18" s="340"/>
      <c r="G18" s="327"/>
      <c r="H18" s="223"/>
      <c r="I18" s="157"/>
      <c r="J18" s="259"/>
      <c r="K18" s="79"/>
      <c r="L18" s="79"/>
      <c r="M18" s="79"/>
      <c r="N18" s="329"/>
    </row>
    <row r="19" ht="137.25" customHeight="1">
      <c r="A19" s="326"/>
      <c r="B19" s="176"/>
      <c r="C19" s="122"/>
      <c r="D19" s="122"/>
      <c r="E19" s="340"/>
      <c r="F19" s="340"/>
      <c r="G19" s="327"/>
      <c r="H19" s="223"/>
      <c r="I19" s="157"/>
      <c r="J19" s="259"/>
      <c r="K19" s="79"/>
      <c r="L19" s="79"/>
      <c r="M19" s="79"/>
      <c r="N19" s="328"/>
    </row>
    <row r="20" ht="137.25" customHeight="1">
      <c r="A20" s="326"/>
      <c r="B20" s="168"/>
      <c r="C20" s="168"/>
      <c r="D20" s="168"/>
      <c r="E20" s="340"/>
      <c r="F20" s="340"/>
      <c r="G20" s="327"/>
      <c r="H20" s="223"/>
      <c r="I20" s="157"/>
      <c r="J20" s="259"/>
      <c r="K20" s="79"/>
      <c r="L20" s="79"/>
      <c r="M20" s="79"/>
      <c r="N20" s="328"/>
    </row>
    <row r="21" ht="137.25" customHeight="1">
      <c r="A21" s="326"/>
      <c r="B21" s="168"/>
      <c r="C21" s="168"/>
      <c r="D21" s="168"/>
      <c r="E21" s="340"/>
      <c r="F21" s="340"/>
      <c r="G21" s="327"/>
      <c r="H21" s="223"/>
      <c r="I21" s="157"/>
      <c r="J21" s="156"/>
      <c r="K21" s="79"/>
      <c r="L21" s="79"/>
      <c r="M21" s="79"/>
      <c r="N21" s="329"/>
    </row>
    <row r="22" ht="137.25" customHeight="1">
      <c r="A22" s="326"/>
      <c r="B22" s="168"/>
      <c r="C22" s="168"/>
      <c r="D22" s="168"/>
      <c r="E22" s="340"/>
      <c r="F22" s="340"/>
      <c r="G22" s="327"/>
      <c r="H22" s="223"/>
      <c r="I22" s="157"/>
      <c r="J22" s="156"/>
      <c r="K22" s="79"/>
      <c r="L22" s="79"/>
      <c r="M22" s="79"/>
      <c r="N22" s="328"/>
    </row>
    <row r="23" ht="137.25" customHeight="1">
      <c r="A23" s="326"/>
      <c r="B23" s="168"/>
      <c r="C23" s="168"/>
      <c r="D23" s="168"/>
      <c r="E23" s="340"/>
      <c r="F23" s="340"/>
      <c r="G23" s="327"/>
      <c r="H23" s="223"/>
      <c r="I23" s="157"/>
      <c r="J23" s="156"/>
      <c r="K23" s="79"/>
      <c r="L23" s="79"/>
      <c r="M23" s="79"/>
      <c r="N23" s="328"/>
    </row>
    <row r="24" ht="137.25" customHeight="1">
      <c r="A24" s="326"/>
      <c r="B24" s="168"/>
      <c r="C24" s="168"/>
      <c r="D24" s="168"/>
      <c r="E24" s="340"/>
      <c r="F24" s="340"/>
      <c r="G24" s="327"/>
      <c r="H24" s="223"/>
      <c r="I24" s="157"/>
      <c r="J24" s="156"/>
      <c r="K24" s="79"/>
      <c r="L24" s="79"/>
      <c r="M24" s="79"/>
      <c r="N24" s="329"/>
    </row>
    <row r="25" ht="137.25" customHeight="1">
      <c r="A25" s="326"/>
      <c r="B25" s="168"/>
      <c r="C25" s="168"/>
      <c r="D25" s="168"/>
      <c r="E25" s="340"/>
      <c r="F25" s="340"/>
      <c r="G25" s="327"/>
      <c r="H25" s="223"/>
      <c r="I25" s="157"/>
      <c r="J25" s="156"/>
      <c r="K25" s="79"/>
      <c r="L25" s="79"/>
      <c r="M25" s="79"/>
      <c r="N25" s="329"/>
    </row>
    <row r="26" ht="137.25" customHeight="1">
      <c r="A26" s="326"/>
      <c r="B26" s="176"/>
      <c r="C26" s="122"/>
      <c r="D26" s="122"/>
      <c r="E26" s="340"/>
      <c r="F26" s="340"/>
      <c r="G26" s="327"/>
      <c r="H26" s="223"/>
      <c r="I26" s="157"/>
      <c r="J26" s="156"/>
      <c r="K26" s="79"/>
      <c r="L26" s="79"/>
      <c r="M26" s="79"/>
      <c r="N26" s="329"/>
    </row>
    <row r="27" ht="19.5" customHeight="1">
      <c r="A27" s="326"/>
      <c r="B27" s="53"/>
      <c r="C27" s="153"/>
      <c r="D27" s="153"/>
      <c r="E27" s="340"/>
      <c r="F27" s="340"/>
      <c r="G27" s="327"/>
      <c r="H27" s="223"/>
      <c r="I27" s="157"/>
      <c r="J27" s="156"/>
      <c r="K27" s="79"/>
      <c r="L27" s="79"/>
      <c r="M27" s="79"/>
      <c r="N27" s="329"/>
    </row>
    <row r="28" ht="19.5" customHeight="1">
      <c r="A28" s="326"/>
      <c r="B28" s="166"/>
      <c r="C28" s="159"/>
      <c r="D28" s="159"/>
      <c r="E28" s="340"/>
      <c r="F28" s="340"/>
      <c r="G28" s="327"/>
      <c r="H28" s="223"/>
      <c r="I28" s="157"/>
      <c r="J28" s="156"/>
      <c r="K28" s="79"/>
      <c r="L28" s="79"/>
      <c r="M28" s="79"/>
      <c r="N28" s="329"/>
    </row>
    <row r="29" ht="19.5" customHeight="1">
      <c r="A29" s="326"/>
      <c r="B29" s="171"/>
      <c r="C29" s="172"/>
      <c r="D29" s="172"/>
      <c r="E29" s="340"/>
      <c r="F29" s="340"/>
      <c r="G29" s="327"/>
      <c r="H29" s="223"/>
      <c r="I29" s="164"/>
      <c r="J29" s="162"/>
      <c r="K29" s="129"/>
      <c r="L29" s="79"/>
      <c r="M29" s="79"/>
      <c r="N29" s="329"/>
    </row>
    <row r="30" ht="19.5" customHeight="1">
      <c r="A30" s="326"/>
      <c r="B30" s="166"/>
      <c r="C30" s="159"/>
      <c r="D30" s="159"/>
      <c r="E30" s="340"/>
      <c r="F30" s="340"/>
      <c r="G30" s="327"/>
      <c r="H30" s="223"/>
      <c r="I30" s="157"/>
      <c r="J30" s="156"/>
      <c r="K30" s="79"/>
      <c r="L30" s="79"/>
      <c r="M30" s="79"/>
      <c r="N30" s="329"/>
    </row>
    <row r="31" ht="19.5" customHeight="1">
      <c r="A31" s="326"/>
      <c r="B31" s="171"/>
      <c r="C31" s="172"/>
      <c r="D31" s="172"/>
      <c r="E31" s="340"/>
      <c r="F31" s="340"/>
      <c r="G31" s="327"/>
      <c r="H31" s="223"/>
      <c r="I31" s="164"/>
      <c r="J31" s="162"/>
      <c r="K31" s="129"/>
      <c r="L31" s="79"/>
      <c r="M31" s="79"/>
      <c r="N31" s="328"/>
    </row>
    <row r="32" ht="19.5" customHeight="1">
      <c r="A32" s="326"/>
      <c r="B32" s="166"/>
      <c r="C32" s="159"/>
      <c r="D32" s="159"/>
      <c r="E32" s="340"/>
      <c r="F32" s="340"/>
      <c r="G32" s="327"/>
      <c r="H32" s="223"/>
      <c r="I32" s="157"/>
      <c r="J32" s="156"/>
      <c r="K32" s="79"/>
      <c r="L32" s="79"/>
      <c r="M32" s="79"/>
      <c r="N32" s="328"/>
    </row>
    <row r="33" ht="19.5" customHeight="1">
      <c r="A33" s="326"/>
      <c r="B33" s="166"/>
      <c r="C33" s="159"/>
      <c r="D33" s="159"/>
      <c r="E33" s="340"/>
      <c r="F33" s="340"/>
      <c r="G33" s="327"/>
      <c r="H33" s="223"/>
      <c r="I33" s="157"/>
      <c r="J33" s="156"/>
      <c r="K33" s="79"/>
      <c r="L33" s="79"/>
      <c r="M33" s="79"/>
      <c r="N33" s="328"/>
    </row>
    <row r="34" ht="19.5" customHeight="1">
      <c r="A34" s="326"/>
      <c r="B34" s="166"/>
      <c r="C34" s="159"/>
      <c r="D34" s="159"/>
      <c r="E34" s="340"/>
      <c r="F34" s="340"/>
      <c r="G34" s="327"/>
      <c r="H34" s="223"/>
      <c r="I34" s="157"/>
      <c r="J34" s="156"/>
      <c r="K34" s="79"/>
      <c r="L34" s="79"/>
      <c r="M34" s="79"/>
      <c r="N34" s="328"/>
    </row>
    <row r="35" ht="19.5" customHeight="1">
      <c r="A35" s="326"/>
      <c r="B35" s="171"/>
      <c r="C35" s="172"/>
      <c r="D35" s="172"/>
      <c r="E35" s="340"/>
      <c r="F35" s="340"/>
      <c r="G35" s="327"/>
      <c r="H35" s="223"/>
      <c r="I35" s="164"/>
      <c r="J35" s="162"/>
      <c r="K35" s="129"/>
      <c r="L35" s="79"/>
      <c r="M35" s="79"/>
      <c r="N35" s="328"/>
    </row>
    <row r="36" ht="19.5" customHeight="1">
      <c r="A36" s="326"/>
      <c r="B36" s="171"/>
      <c r="C36" s="172"/>
      <c r="D36" s="172"/>
      <c r="E36" s="340"/>
      <c r="F36" s="340"/>
      <c r="G36" s="327"/>
      <c r="H36" s="223"/>
      <c r="I36" s="164"/>
      <c r="J36" s="162"/>
      <c r="K36" s="129"/>
      <c r="L36" s="79"/>
      <c r="M36" s="79"/>
      <c r="N36" s="328"/>
    </row>
    <row r="37" ht="19.5" customHeight="1">
      <c r="A37" s="326"/>
      <c r="B37" s="171"/>
      <c r="C37" s="172"/>
      <c r="D37" s="172"/>
      <c r="E37" s="340"/>
      <c r="F37" s="340"/>
      <c r="G37" s="327"/>
      <c r="H37" s="223"/>
      <c r="I37" s="164"/>
      <c r="J37" s="162"/>
      <c r="K37" s="129"/>
      <c r="L37" s="79"/>
      <c r="M37" s="79"/>
      <c r="N37" s="328"/>
    </row>
    <row r="38" ht="19.5" customHeight="1">
      <c r="A38" s="326"/>
      <c r="B38" s="171"/>
      <c r="C38" s="172"/>
      <c r="D38" s="172"/>
      <c r="E38" s="340"/>
      <c r="F38" s="340"/>
      <c r="G38" s="327"/>
      <c r="H38" s="223"/>
      <c r="I38" s="164"/>
      <c r="J38" s="162"/>
      <c r="K38" s="129"/>
      <c r="L38" s="79"/>
      <c r="M38" s="79"/>
      <c r="N38" s="328"/>
    </row>
    <row r="39" ht="19.5" customHeight="1">
      <c r="A39" s="52"/>
      <c r="B39" s="171"/>
      <c r="C39" s="172"/>
      <c r="D39" s="172"/>
      <c r="E39" s="340"/>
      <c r="F39" s="340"/>
      <c r="G39" s="327"/>
      <c r="H39" s="223"/>
      <c r="I39" s="164"/>
      <c r="J39" s="162"/>
      <c r="K39" s="129"/>
      <c r="L39" s="79"/>
      <c r="M39" s="79"/>
      <c r="N39" s="79"/>
    </row>
    <row r="40" ht="19.5" customHeight="1">
      <c r="A40" s="52"/>
      <c r="B40" s="171"/>
      <c r="C40" s="172"/>
      <c r="D40" s="172"/>
      <c r="E40" s="340"/>
      <c r="F40" s="340"/>
      <c r="G40" s="327"/>
      <c r="H40" s="223"/>
      <c r="I40" s="164"/>
      <c r="J40" s="162"/>
      <c r="K40" s="129"/>
      <c r="L40" s="79"/>
      <c r="M40" s="79"/>
      <c r="N40" s="79"/>
    </row>
    <row r="41" ht="19.5" customHeight="1">
      <c r="A41" s="52"/>
      <c r="B41" s="171"/>
      <c r="C41" s="172"/>
      <c r="D41" s="172"/>
      <c r="E41" s="340"/>
      <c r="F41" s="340"/>
      <c r="G41" s="327"/>
      <c r="H41" s="223"/>
      <c r="I41" s="164"/>
      <c r="J41" s="162"/>
      <c r="K41" s="129"/>
      <c r="L41" s="79"/>
      <c r="M41" s="79"/>
      <c r="N41" s="79"/>
    </row>
    <row r="42" ht="19.5" customHeight="1">
      <c r="A42" s="52"/>
      <c r="B42" s="171"/>
      <c r="C42" s="172"/>
      <c r="D42" s="172"/>
      <c r="E42" s="340"/>
      <c r="F42" s="340"/>
      <c r="G42" s="327"/>
      <c r="H42" s="223"/>
      <c r="I42" s="164"/>
      <c r="J42" s="162"/>
      <c r="K42" s="129"/>
      <c r="L42" s="79"/>
      <c r="M42" s="79"/>
      <c r="N42" s="79"/>
    </row>
    <row r="43" ht="19.5" customHeight="1">
      <c r="A43" s="52"/>
      <c r="B43" s="171"/>
      <c r="C43" s="172"/>
      <c r="D43" s="172"/>
      <c r="E43" s="340"/>
      <c r="F43" s="340"/>
      <c r="G43" s="327"/>
      <c r="H43" s="223"/>
      <c r="I43" s="164"/>
      <c r="J43" s="162"/>
      <c r="K43" s="129"/>
      <c r="L43" s="79"/>
      <c r="M43" s="79"/>
      <c r="N43" s="79"/>
    </row>
    <row r="44" ht="19.5" customHeight="1">
      <c r="A44" s="52"/>
      <c r="B44" s="171"/>
      <c r="C44" s="172"/>
      <c r="D44" s="172"/>
      <c r="E44" s="340"/>
      <c r="F44" s="340"/>
      <c r="G44" s="327"/>
      <c r="H44" s="223"/>
      <c r="I44" s="164"/>
      <c r="J44" s="162"/>
      <c r="K44" s="129"/>
      <c r="L44" s="79"/>
      <c r="M44" s="79"/>
      <c r="N44" s="79"/>
    </row>
    <row r="45" ht="19.5" customHeight="1">
      <c r="A45" s="52"/>
      <c r="B45" s="171"/>
      <c r="C45" s="172"/>
      <c r="D45" s="172"/>
      <c r="E45" s="340"/>
      <c r="F45" s="340"/>
      <c r="G45" s="327"/>
      <c r="H45" s="223"/>
      <c r="I45" s="164"/>
      <c r="J45" s="162"/>
      <c r="K45" s="129"/>
      <c r="L45" s="79"/>
      <c r="M45" s="79"/>
      <c r="N45" s="79"/>
    </row>
    <row r="46" ht="19.5" customHeight="1">
      <c r="A46" s="52"/>
      <c r="B46" s="171"/>
      <c r="C46" s="172"/>
      <c r="D46" s="172"/>
      <c r="E46" s="340"/>
      <c r="F46" s="340"/>
      <c r="G46" s="327"/>
      <c r="H46" s="223"/>
      <c r="I46" s="164"/>
      <c r="J46" s="162"/>
      <c r="K46" s="129"/>
      <c r="L46" s="79"/>
      <c r="M46" s="79"/>
      <c r="N46" s="79"/>
    </row>
    <row r="47" ht="19.5" customHeight="1">
      <c r="A47" s="52"/>
      <c r="B47" s="171"/>
      <c r="C47" s="172"/>
      <c r="D47" s="172"/>
      <c r="E47" s="340"/>
      <c r="F47" s="340"/>
      <c r="G47" s="327"/>
      <c r="H47" s="223"/>
      <c r="I47" s="164"/>
      <c r="J47" s="162"/>
      <c r="K47" s="129"/>
      <c r="L47" s="79"/>
      <c r="M47" s="79"/>
      <c r="N47" s="79"/>
    </row>
    <row r="48" ht="19.5" customHeight="1">
      <c r="A48" s="52"/>
      <c r="B48" s="171"/>
      <c r="C48" s="172"/>
      <c r="D48" s="172"/>
      <c r="E48" s="340"/>
      <c r="F48" s="340"/>
      <c r="G48" s="327"/>
      <c r="H48" s="223"/>
      <c r="I48" s="164"/>
      <c r="J48" s="162"/>
      <c r="K48" s="129"/>
      <c r="L48" s="79"/>
      <c r="M48" s="79"/>
      <c r="N48" s="79"/>
    </row>
    <row r="49" ht="19.5" customHeight="1">
      <c r="A49" s="52"/>
      <c r="B49" s="171"/>
      <c r="C49" s="172"/>
      <c r="D49" s="172"/>
      <c r="E49" s="340"/>
      <c r="F49" s="340"/>
      <c r="G49" s="327"/>
      <c r="H49" s="223"/>
      <c r="I49" s="164"/>
      <c r="J49" s="162"/>
      <c r="K49" s="129"/>
      <c r="L49" s="79"/>
      <c r="M49" s="79"/>
      <c r="N49" s="79"/>
    </row>
    <row r="50" ht="19.5" customHeight="1">
      <c r="A50" s="52"/>
      <c r="B50" s="171"/>
      <c r="C50" s="172"/>
      <c r="D50" s="172"/>
      <c r="E50" s="340"/>
      <c r="F50" s="340"/>
      <c r="G50" s="327"/>
      <c r="H50" s="223"/>
      <c r="I50" s="164"/>
      <c r="J50" s="162"/>
      <c r="K50" s="129"/>
      <c r="L50" s="79"/>
      <c r="M50" s="79"/>
      <c r="N50" s="79"/>
    </row>
    <row r="51" ht="19.5" customHeight="1">
      <c r="A51" s="52"/>
      <c r="B51" s="171"/>
      <c r="C51" s="172"/>
      <c r="D51" s="172"/>
      <c r="E51" s="340"/>
      <c r="F51" s="340"/>
      <c r="G51" s="327"/>
      <c r="H51" s="223"/>
      <c r="I51" s="164"/>
      <c r="J51" s="162"/>
      <c r="K51" s="129"/>
      <c r="L51" s="79"/>
      <c r="M51" s="79"/>
      <c r="N51" s="79"/>
    </row>
    <row r="52" ht="19.5" customHeight="1">
      <c r="A52" s="52"/>
      <c r="B52" s="171"/>
      <c r="C52" s="172"/>
      <c r="D52" s="172"/>
      <c r="E52" s="340"/>
      <c r="F52" s="340"/>
      <c r="G52" s="327"/>
      <c r="H52" s="223"/>
      <c r="I52" s="164"/>
      <c r="J52" s="162"/>
      <c r="K52" s="129"/>
      <c r="L52" s="79"/>
      <c r="M52" s="79"/>
      <c r="N52" s="79"/>
    </row>
    <row r="53" ht="19.5" customHeight="1">
      <c r="A53" s="52"/>
      <c r="B53" s="171"/>
      <c r="C53" s="172"/>
      <c r="D53" s="172"/>
      <c r="E53" s="340"/>
      <c r="F53" s="340"/>
      <c r="G53" s="327"/>
      <c r="H53" s="223"/>
      <c r="I53" s="164"/>
      <c r="J53" s="162"/>
      <c r="K53" s="129"/>
      <c r="L53" s="79"/>
      <c r="M53" s="79"/>
      <c r="N53" s="79"/>
    </row>
    <row r="54" ht="19.5" customHeight="1">
      <c r="A54" s="52"/>
      <c r="B54" s="171"/>
      <c r="C54" s="172"/>
      <c r="D54" s="172"/>
      <c r="E54" s="340"/>
      <c r="F54" s="340"/>
      <c r="G54" s="327"/>
      <c r="H54" s="223"/>
      <c r="I54" s="164"/>
      <c r="J54" s="162"/>
      <c r="K54" s="129"/>
      <c r="L54" s="79"/>
      <c r="M54" s="79"/>
      <c r="N54" s="79"/>
    </row>
    <row r="55" ht="19.5" customHeight="1">
      <c r="A55" s="52"/>
      <c r="B55" s="171"/>
      <c r="C55" s="172"/>
      <c r="D55" s="172"/>
      <c r="E55" s="340"/>
      <c r="F55" s="340"/>
      <c r="G55" s="327"/>
      <c r="H55" s="223"/>
      <c r="I55" s="164"/>
      <c r="J55" s="162"/>
      <c r="K55" s="129"/>
      <c r="L55" s="79"/>
      <c r="M55" s="79"/>
      <c r="N55" s="79"/>
    </row>
    <row r="56" ht="19.5" customHeight="1">
      <c r="A56" s="52"/>
      <c r="B56" s="171"/>
      <c r="C56" s="172"/>
      <c r="D56" s="172"/>
      <c r="E56" s="340"/>
      <c r="F56" s="340"/>
      <c r="G56" s="327"/>
      <c r="H56" s="223"/>
      <c r="I56" s="164"/>
      <c r="J56" s="162"/>
      <c r="K56" s="129"/>
      <c r="L56" s="79"/>
      <c r="M56" s="79"/>
      <c r="N56" s="79"/>
    </row>
    <row r="57" ht="19.5" customHeight="1">
      <c r="A57" s="52"/>
      <c r="B57" s="171"/>
      <c r="C57" s="172"/>
      <c r="D57" s="172"/>
      <c r="E57" s="340"/>
      <c r="F57" s="340"/>
      <c r="G57" s="327"/>
      <c r="H57" s="223"/>
      <c r="I57" s="164"/>
      <c r="J57" s="162"/>
      <c r="K57" s="129"/>
      <c r="L57" s="79"/>
      <c r="M57" s="79"/>
      <c r="N57" s="79"/>
    </row>
    <row r="58" ht="19.5" customHeight="1">
      <c r="A58" s="52"/>
      <c r="B58" s="171"/>
      <c r="C58" s="172"/>
      <c r="D58" s="172"/>
      <c r="E58" s="340"/>
      <c r="F58" s="340"/>
      <c r="G58" s="327"/>
      <c r="H58" s="223"/>
      <c r="I58" s="164"/>
      <c r="J58" s="162"/>
      <c r="K58" s="129"/>
      <c r="L58" s="79"/>
      <c r="M58" s="79"/>
      <c r="N58" s="79"/>
    </row>
    <row r="59" ht="19.5" customHeight="1">
      <c r="A59" s="52"/>
      <c r="B59" s="171"/>
      <c r="C59" s="172"/>
      <c r="D59" s="172"/>
      <c r="E59" s="340"/>
      <c r="F59" s="340"/>
      <c r="G59" s="327"/>
      <c r="H59" s="223"/>
      <c r="I59" s="164"/>
      <c r="J59" s="162"/>
      <c r="K59" s="129"/>
      <c r="L59" s="79"/>
      <c r="M59" s="79"/>
      <c r="N59" s="79"/>
    </row>
    <row r="60" ht="19.5" customHeight="1">
      <c r="A60" s="52"/>
      <c r="B60" s="171"/>
      <c r="C60" s="172"/>
      <c r="D60" s="172"/>
      <c r="E60" s="340"/>
      <c r="F60" s="340"/>
      <c r="G60" s="327"/>
      <c r="H60" s="223"/>
      <c r="I60" s="164"/>
      <c r="J60" s="162"/>
      <c r="K60" s="129"/>
      <c r="L60" s="79"/>
      <c r="M60" s="79"/>
      <c r="N60" s="79"/>
    </row>
    <row r="61" ht="19.5" customHeight="1">
      <c r="A61" s="52"/>
      <c r="B61" s="171"/>
      <c r="C61" s="172"/>
      <c r="D61" s="172"/>
      <c r="E61" s="340"/>
      <c r="F61" s="340"/>
      <c r="G61" s="327"/>
      <c r="H61" s="223"/>
      <c r="I61" s="164"/>
      <c r="J61" s="162"/>
      <c r="K61" s="129"/>
      <c r="L61" s="79"/>
      <c r="M61" s="79"/>
      <c r="N61" s="79"/>
    </row>
    <row r="62" ht="19.5" customHeight="1">
      <c r="A62" s="52"/>
      <c r="B62" s="171"/>
      <c r="C62" s="172"/>
      <c r="D62" s="172"/>
      <c r="E62" s="340"/>
      <c r="F62" s="340"/>
      <c r="G62" s="327"/>
      <c r="H62" s="223"/>
      <c r="I62" s="164"/>
      <c r="J62" s="162"/>
      <c r="K62" s="129"/>
      <c r="L62" s="79"/>
      <c r="M62" s="79"/>
      <c r="N62" s="79"/>
    </row>
    <row r="63" ht="19.5" customHeight="1">
      <c r="A63" s="52"/>
      <c r="B63" s="171"/>
      <c r="C63" s="172"/>
      <c r="D63" s="172"/>
      <c r="E63" s="340"/>
      <c r="F63" s="340"/>
      <c r="G63" s="327"/>
      <c r="H63" s="223"/>
      <c r="I63" s="164"/>
      <c r="J63" s="162"/>
      <c r="K63" s="129"/>
      <c r="L63" s="79"/>
      <c r="M63" s="79"/>
      <c r="N63" s="79"/>
    </row>
    <row r="64" ht="19.5" customHeight="1">
      <c r="A64" s="52"/>
      <c r="B64" s="171"/>
      <c r="C64" s="172"/>
      <c r="D64" s="172"/>
      <c r="E64" s="340"/>
      <c r="F64" s="340"/>
      <c r="G64" s="327"/>
      <c r="H64" s="223"/>
      <c r="I64" s="164"/>
      <c r="J64" s="162"/>
      <c r="K64" s="129"/>
      <c r="L64" s="79"/>
      <c r="M64" s="79"/>
      <c r="N64" s="79"/>
    </row>
    <row r="65" ht="19.5" customHeight="1">
      <c r="A65" s="52"/>
      <c r="B65" s="171"/>
      <c r="C65" s="172"/>
      <c r="D65" s="172"/>
      <c r="E65" s="340"/>
      <c r="F65" s="340"/>
      <c r="G65" s="327"/>
      <c r="H65" s="223"/>
      <c r="I65" s="164"/>
      <c r="J65" s="162"/>
      <c r="K65" s="129"/>
      <c r="L65" s="79"/>
      <c r="M65" s="79"/>
      <c r="N65" s="79"/>
    </row>
    <row r="66" ht="19.5" customHeight="1">
      <c r="A66" s="52"/>
      <c r="B66" s="171"/>
      <c r="C66" s="172"/>
      <c r="D66" s="172"/>
      <c r="E66" s="340"/>
      <c r="F66" s="340"/>
      <c r="G66" s="327"/>
      <c r="H66" s="223"/>
      <c r="I66" s="164"/>
      <c r="J66" s="162"/>
      <c r="K66" s="129"/>
      <c r="L66" s="79"/>
      <c r="M66" s="79"/>
      <c r="N66" s="79"/>
    </row>
    <row r="67" ht="19.5" customHeight="1">
      <c r="A67" s="52"/>
      <c r="B67" s="171"/>
      <c r="C67" s="172"/>
      <c r="D67" s="172"/>
      <c r="E67" s="340"/>
      <c r="F67" s="340"/>
      <c r="G67" s="327"/>
      <c r="H67" s="223"/>
      <c r="I67" s="164"/>
      <c r="J67" s="162"/>
      <c r="K67" s="129"/>
      <c r="L67" s="79"/>
      <c r="M67" s="79"/>
      <c r="N67" s="79"/>
    </row>
    <row r="68" ht="19.5" customHeight="1">
      <c r="A68" s="52"/>
      <c r="B68" s="171"/>
      <c r="C68" s="172"/>
      <c r="D68" s="172"/>
      <c r="E68" s="340"/>
      <c r="F68" s="340"/>
      <c r="G68" s="327"/>
      <c r="H68" s="223"/>
      <c r="I68" s="164"/>
      <c r="J68" s="162"/>
      <c r="K68" s="129"/>
      <c r="L68" s="79"/>
      <c r="M68" s="79"/>
      <c r="N68" s="79"/>
    </row>
    <row r="69" ht="19.5" customHeight="1">
      <c r="A69" s="52"/>
      <c r="B69" s="171"/>
      <c r="C69" s="172"/>
      <c r="D69" s="172"/>
      <c r="E69" s="340"/>
      <c r="F69" s="340"/>
      <c r="G69" s="327"/>
      <c r="H69" s="223"/>
      <c r="I69" s="164"/>
      <c r="J69" s="162"/>
      <c r="K69" s="129"/>
      <c r="L69" s="79"/>
      <c r="M69" s="79"/>
      <c r="N69" s="79"/>
    </row>
    <row r="70" ht="19.5" customHeight="1">
      <c r="A70" s="52"/>
      <c r="B70" s="171"/>
      <c r="C70" s="172"/>
      <c r="D70" s="172"/>
      <c r="E70" s="340"/>
      <c r="F70" s="340"/>
      <c r="G70" s="327"/>
      <c r="H70" s="223"/>
      <c r="I70" s="164"/>
      <c r="J70" s="162"/>
      <c r="K70" s="129"/>
      <c r="L70" s="79"/>
      <c r="M70" s="79"/>
      <c r="N70" s="79"/>
    </row>
    <row r="71" ht="19.5" customHeight="1">
      <c r="A71" s="52"/>
      <c r="B71" s="171"/>
      <c r="C71" s="172"/>
      <c r="D71" s="172"/>
      <c r="E71" s="340"/>
      <c r="F71" s="340"/>
      <c r="G71" s="327"/>
      <c r="H71" s="223"/>
      <c r="I71" s="164"/>
      <c r="J71" s="162"/>
      <c r="K71" s="129"/>
      <c r="L71" s="79"/>
      <c r="M71" s="79"/>
      <c r="N71" s="79"/>
    </row>
    <row r="72" ht="19.5" customHeight="1">
      <c r="A72" s="52"/>
      <c r="B72" s="171"/>
      <c r="C72" s="172"/>
      <c r="D72" s="172"/>
      <c r="E72" s="340"/>
      <c r="F72" s="340"/>
      <c r="G72" s="327"/>
      <c r="H72" s="223"/>
      <c r="I72" s="164"/>
      <c r="J72" s="162"/>
      <c r="K72" s="129"/>
      <c r="L72" s="79"/>
      <c r="M72" s="79"/>
      <c r="N72" s="79"/>
    </row>
    <row r="73" ht="19.5" customHeight="1">
      <c r="A73" s="52"/>
      <c r="B73" s="171"/>
      <c r="C73" s="172"/>
      <c r="D73" s="172"/>
      <c r="E73" s="340"/>
      <c r="F73" s="340"/>
      <c r="G73" s="327"/>
      <c r="H73" s="223"/>
      <c r="I73" s="164"/>
      <c r="J73" s="162"/>
      <c r="K73" s="129"/>
      <c r="L73" s="79"/>
      <c r="M73" s="79"/>
      <c r="N73" s="79"/>
    </row>
    <row r="74" ht="19.5" customHeight="1">
      <c r="A74" s="52"/>
      <c r="B74" s="171"/>
      <c r="C74" s="172"/>
      <c r="D74" s="172"/>
      <c r="E74" s="340"/>
      <c r="F74" s="340"/>
      <c r="G74" s="327"/>
      <c r="H74" s="223"/>
      <c r="I74" s="164"/>
      <c r="J74" s="162"/>
      <c r="K74" s="129"/>
      <c r="L74" s="79"/>
      <c r="M74" s="79"/>
      <c r="N74" s="79"/>
    </row>
    <row r="75" ht="19.5" customHeight="1">
      <c r="A75" s="52"/>
      <c r="B75" s="171"/>
      <c r="C75" s="172"/>
      <c r="D75" s="172"/>
      <c r="E75" s="340"/>
      <c r="F75" s="340"/>
      <c r="G75" s="327"/>
      <c r="H75" s="223"/>
      <c r="I75" s="164"/>
      <c r="J75" s="162"/>
      <c r="K75" s="129"/>
      <c r="L75" s="79"/>
      <c r="M75" s="79"/>
      <c r="N75" s="79"/>
    </row>
    <row r="76" ht="19.5" customHeight="1">
      <c r="A76" s="52"/>
      <c r="B76" s="171"/>
      <c r="C76" s="172"/>
      <c r="D76" s="172"/>
      <c r="E76" s="340"/>
      <c r="F76" s="340"/>
      <c r="G76" s="327"/>
      <c r="H76" s="223"/>
      <c r="I76" s="164"/>
      <c r="J76" s="162"/>
      <c r="K76" s="129"/>
      <c r="L76" s="79"/>
      <c r="M76" s="79"/>
      <c r="N76" s="79"/>
    </row>
    <row r="77" ht="19.5" customHeight="1">
      <c r="A77" s="52"/>
      <c r="B77" s="171"/>
      <c r="C77" s="172"/>
      <c r="D77" s="172"/>
      <c r="E77" s="340"/>
      <c r="F77" s="340"/>
      <c r="G77" s="327"/>
      <c r="H77" s="223"/>
      <c r="I77" s="164"/>
      <c r="J77" s="162"/>
      <c r="K77" s="129"/>
      <c r="L77" s="79"/>
      <c r="M77" s="79"/>
      <c r="N77" s="79"/>
    </row>
    <row r="78" ht="19.5" customHeight="1">
      <c r="A78" s="52"/>
      <c r="B78" s="171"/>
      <c r="C78" s="172"/>
      <c r="D78" s="172"/>
      <c r="E78" s="340"/>
      <c r="F78" s="340"/>
      <c r="G78" s="327"/>
      <c r="H78" s="223"/>
      <c r="I78" s="164"/>
      <c r="J78" s="162"/>
      <c r="K78" s="129"/>
      <c r="L78" s="79"/>
      <c r="M78" s="79"/>
      <c r="N78" s="79"/>
    </row>
    <row r="79" ht="19.5" customHeight="1">
      <c r="A79" s="52"/>
      <c r="B79" s="171"/>
      <c r="C79" s="172"/>
      <c r="D79" s="172"/>
      <c r="E79" s="340"/>
      <c r="F79" s="340"/>
      <c r="G79" s="327"/>
      <c r="H79" s="223"/>
      <c r="I79" s="164"/>
      <c r="J79" s="162"/>
      <c r="K79" s="129"/>
      <c r="L79" s="79"/>
      <c r="M79" s="79"/>
      <c r="N79" s="79"/>
    </row>
    <row r="80" ht="19.5" customHeight="1">
      <c r="A80" s="52"/>
      <c r="B80" s="171"/>
      <c r="C80" s="172"/>
      <c r="D80" s="172"/>
      <c r="E80" s="340"/>
      <c r="F80" s="340"/>
      <c r="G80" s="327"/>
      <c r="H80" s="223"/>
      <c r="I80" s="164"/>
      <c r="J80" s="162"/>
      <c r="K80" s="129"/>
      <c r="L80" s="79"/>
      <c r="M80" s="79"/>
      <c r="N80" s="79"/>
    </row>
    <row r="81" ht="19.5" customHeight="1">
      <c r="A81" s="52"/>
      <c r="B81" s="171"/>
      <c r="C81" s="172"/>
      <c r="D81" s="172"/>
      <c r="E81" s="340"/>
      <c r="F81" s="340"/>
      <c r="G81" s="327"/>
      <c r="H81" s="223"/>
      <c r="I81" s="164"/>
      <c r="J81" s="162"/>
      <c r="K81" s="129"/>
      <c r="L81" s="79"/>
      <c r="M81" s="79"/>
      <c r="N81" s="79"/>
    </row>
    <row r="82" ht="19.5" customHeight="1">
      <c r="A82" s="52"/>
      <c r="B82" s="171"/>
      <c r="C82" s="172"/>
      <c r="D82" s="172"/>
      <c r="E82" s="340"/>
      <c r="F82" s="340"/>
      <c r="G82" s="327"/>
      <c r="H82" s="223"/>
      <c r="I82" s="164"/>
      <c r="J82" s="162"/>
      <c r="K82" s="129"/>
      <c r="L82" s="79"/>
      <c r="M82" s="79"/>
      <c r="N82" s="79"/>
    </row>
    <row r="83" ht="19.5" customHeight="1">
      <c r="A83" s="52"/>
      <c r="B83" s="171"/>
      <c r="C83" s="172"/>
      <c r="D83" s="172"/>
      <c r="E83" s="340"/>
      <c r="F83" s="340"/>
      <c r="G83" s="327"/>
      <c r="H83" s="223"/>
      <c r="I83" s="164"/>
      <c r="J83" s="162"/>
      <c r="K83" s="129"/>
      <c r="L83" s="79"/>
      <c r="M83" s="79"/>
      <c r="N83" s="79"/>
    </row>
    <row r="84" ht="19.5" customHeight="1">
      <c r="A84" s="52"/>
      <c r="B84" s="171"/>
      <c r="C84" s="172"/>
      <c r="D84" s="172"/>
      <c r="E84" s="340"/>
      <c r="F84" s="340"/>
      <c r="G84" s="327"/>
      <c r="H84" s="223"/>
      <c r="I84" s="164"/>
      <c r="J84" s="162"/>
      <c r="K84" s="129"/>
      <c r="L84" s="79"/>
      <c r="M84" s="79"/>
      <c r="N84" s="79"/>
    </row>
    <row r="85" ht="19.5" customHeight="1">
      <c r="A85" s="52"/>
      <c r="B85" s="171"/>
      <c r="C85" s="172"/>
      <c r="D85" s="172"/>
      <c r="E85" s="340"/>
      <c r="F85" s="340"/>
      <c r="G85" s="327"/>
      <c r="H85" s="223"/>
      <c r="I85" s="164"/>
      <c r="J85" s="162"/>
      <c r="K85" s="129"/>
      <c r="L85" s="79"/>
      <c r="M85" s="79"/>
      <c r="N85" s="79"/>
    </row>
    <row r="86" ht="19.5" customHeight="1">
      <c r="A86" s="52"/>
      <c r="B86" s="171"/>
      <c r="C86" s="172"/>
      <c r="D86" s="172"/>
      <c r="E86" s="340"/>
      <c r="F86" s="340"/>
      <c r="G86" s="327"/>
      <c r="H86" s="223"/>
      <c r="I86" s="164"/>
      <c r="J86" s="162"/>
      <c r="K86" s="129"/>
      <c r="L86" s="79"/>
      <c r="M86" s="79"/>
      <c r="N86" s="79"/>
    </row>
    <row r="87" ht="19.5" customHeight="1">
      <c r="A87" s="52"/>
      <c r="B87" s="171"/>
      <c r="C87" s="172"/>
      <c r="D87" s="172"/>
      <c r="E87" s="340"/>
      <c r="F87" s="340"/>
      <c r="G87" s="327"/>
      <c r="H87" s="223"/>
      <c r="I87" s="164"/>
      <c r="J87" s="162"/>
      <c r="K87" s="129"/>
      <c r="L87" s="79"/>
      <c r="M87" s="79"/>
      <c r="N87" s="79"/>
    </row>
    <row r="88" ht="19.5" customHeight="1">
      <c r="A88" s="52"/>
      <c r="B88" s="171"/>
      <c r="C88" s="172"/>
      <c r="D88" s="172"/>
      <c r="E88" s="340"/>
      <c r="F88" s="340"/>
      <c r="G88" s="327"/>
      <c r="H88" s="223"/>
      <c r="I88" s="164"/>
      <c r="J88" s="162"/>
      <c r="K88" s="129"/>
      <c r="L88" s="79"/>
      <c r="M88" s="79"/>
      <c r="N88" s="79"/>
    </row>
    <row r="89" ht="19.5" customHeight="1">
      <c r="A89" s="52"/>
      <c r="B89" s="171"/>
      <c r="C89" s="172"/>
      <c r="D89" s="172"/>
      <c r="E89" s="340"/>
      <c r="F89" s="340"/>
      <c r="G89" s="327"/>
      <c r="H89" s="223"/>
      <c r="I89" s="164"/>
      <c r="J89" s="162"/>
      <c r="K89" s="129"/>
      <c r="L89" s="79"/>
      <c r="M89" s="79"/>
      <c r="N89" s="79"/>
    </row>
    <row r="90" ht="19.5" customHeight="1">
      <c r="A90" s="52"/>
      <c r="B90" s="171"/>
      <c r="C90" s="172"/>
      <c r="D90" s="172"/>
      <c r="E90" s="340"/>
      <c r="F90" s="340"/>
      <c r="G90" s="327"/>
      <c r="H90" s="223"/>
      <c r="I90" s="164"/>
      <c r="J90" s="162"/>
      <c r="K90" s="129"/>
      <c r="L90" s="79"/>
      <c r="M90" s="79"/>
      <c r="N90" s="79"/>
    </row>
    <row r="91" ht="19.5" customHeight="1">
      <c r="A91" s="52"/>
      <c r="B91" s="171"/>
      <c r="C91" s="172"/>
      <c r="D91" s="172"/>
      <c r="E91" s="340"/>
      <c r="F91" s="340"/>
      <c r="G91" s="327"/>
      <c r="H91" s="223"/>
      <c r="I91" s="164"/>
      <c r="J91" s="162"/>
      <c r="K91" s="129"/>
      <c r="L91" s="79"/>
      <c r="M91" s="79"/>
      <c r="N91" s="79"/>
    </row>
    <row r="92" ht="19.5" customHeight="1">
      <c r="A92" s="52"/>
      <c r="B92" s="171"/>
      <c r="C92" s="172"/>
      <c r="D92" s="172"/>
      <c r="E92" s="340"/>
      <c r="F92" s="340"/>
      <c r="G92" s="327"/>
      <c r="H92" s="223"/>
      <c r="I92" s="164"/>
      <c r="J92" s="162"/>
      <c r="K92" s="129"/>
      <c r="L92" s="79"/>
      <c r="M92" s="79"/>
      <c r="N92" s="79"/>
    </row>
    <row r="93" ht="19.5" customHeight="1">
      <c r="A93" s="52"/>
      <c r="B93" s="171"/>
      <c r="C93" s="172"/>
      <c r="D93" s="172"/>
      <c r="E93" s="340"/>
      <c r="F93" s="340"/>
      <c r="G93" s="327"/>
      <c r="H93" s="223"/>
      <c r="I93" s="164"/>
      <c r="J93" s="162"/>
      <c r="K93" s="129"/>
      <c r="L93" s="79"/>
      <c r="M93" s="79"/>
      <c r="N93" s="79"/>
    </row>
    <row r="94" ht="19.5" customHeight="1">
      <c r="A94" s="52"/>
      <c r="B94" s="171"/>
      <c r="C94" s="172"/>
      <c r="D94" s="172"/>
      <c r="E94" s="340"/>
      <c r="F94" s="340"/>
      <c r="G94" s="327"/>
      <c r="H94" s="223"/>
      <c r="I94" s="164"/>
      <c r="J94" s="162"/>
      <c r="K94" s="129"/>
      <c r="L94" s="79"/>
      <c r="M94" s="79"/>
      <c r="N94" s="79"/>
    </row>
    <row r="95" ht="19.5" customHeight="1">
      <c r="A95" s="52"/>
      <c r="B95" s="171"/>
      <c r="C95" s="172"/>
      <c r="D95" s="172"/>
      <c r="E95" s="340"/>
      <c r="F95" s="340"/>
      <c r="G95" s="327"/>
      <c r="H95" s="223"/>
      <c r="I95" s="164"/>
      <c r="J95" s="162"/>
      <c r="K95" s="129"/>
      <c r="L95" s="79"/>
      <c r="M95" s="79"/>
      <c r="N95" s="79"/>
    </row>
    <row r="96" ht="19.5" customHeight="1">
      <c r="A96" s="52"/>
      <c r="B96" s="171"/>
      <c r="C96" s="172"/>
      <c r="D96" s="172"/>
      <c r="E96" s="340"/>
      <c r="F96" s="340"/>
      <c r="G96" s="327"/>
      <c r="H96" s="223"/>
      <c r="I96" s="164"/>
      <c r="J96" s="162"/>
      <c r="K96" s="129"/>
      <c r="L96" s="79"/>
      <c r="M96" s="79"/>
      <c r="N96" s="79"/>
    </row>
    <row r="97" ht="19.5" customHeight="1">
      <c r="A97" s="52"/>
      <c r="B97" s="171"/>
      <c r="C97" s="172"/>
      <c r="D97" s="172"/>
      <c r="E97" s="340"/>
      <c r="F97" s="340"/>
      <c r="G97" s="327"/>
      <c r="H97" s="223"/>
      <c r="I97" s="164"/>
      <c r="J97" s="162"/>
      <c r="K97" s="129"/>
      <c r="L97" s="79"/>
      <c r="M97" s="79"/>
      <c r="N97" s="79"/>
    </row>
    <row r="98" ht="19.5" customHeight="1">
      <c r="A98" s="52"/>
      <c r="B98" s="171"/>
      <c r="C98" s="172"/>
      <c r="D98" s="172"/>
      <c r="E98" s="340"/>
      <c r="F98" s="340"/>
      <c r="G98" s="327"/>
      <c r="H98" s="223"/>
      <c r="I98" s="164"/>
      <c r="J98" s="162"/>
      <c r="K98" s="129"/>
      <c r="L98" s="79"/>
      <c r="M98" s="79"/>
      <c r="N98" s="79"/>
    </row>
    <row r="99" ht="19.5" customHeight="1">
      <c r="A99" s="52"/>
      <c r="B99" s="171"/>
      <c r="C99" s="172"/>
      <c r="D99" s="172"/>
      <c r="E99" s="340"/>
      <c r="F99" s="340"/>
      <c r="G99" s="327"/>
      <c r="H99" s="223"/>
      <c r="I99" s="164"/>
      <c r="J99" s="162"/>
      <c r="K99" s="129"/>
      <c r="L99" s="79"/>
      <c r="M99" s="79"/>
      <c r="N99" s="79"/>
    </row>
    <row r="100" ht="19.5" customHeight="1">
      <c r="A100" s="52"/>
      <c r="B100" s="171"/>
      <c r="C100" s="172"/>
      <c r="D100" s="172"/>
      <c r="E100" s="340"/>
      <c r="F100" s="340"/>
      <c r="G100" s="327"/>
      <c r="H100" s="223"/>
      <c r="I100" s="164"/>
      <c r="J100" s="162"/>
      <c r="K100" s="129"/>
      <c r="L100" s="79"/>
      <c r="M100" s="79"/>
      <c r="N100" s="79"/>
    </row>
    <row r="101" ht="19.5" customHeight="1">
      <c r="A101" s="52"/>
      <c r="B101" s="171"/>
      <c r="C101" s="172"/>
      <c r="D101" s="172"/>
      <c r="E101" s="340"/>
      <c r="F101" s="340"/>
      <c r="G101" s="327"/>
      <c r="H101" s="223"/>
      <c r="I101" s="164"/>
      <c r="J101" s="162"/>
      <c r="K101" s="129"/>
      <c r="L101" s="79"/>
      <c r="M101" s="79"/>
      <c r="N101" s="79"/>
    </row>
    <row r="102" ht="19.5" customHeight="1">
      <c r="A102" s="52"/>
      <c r="B102" s="171"/>
      <c r="C102" s="172"/>
      <c r="D102" s="172"/>
      <c r="E102" s="340"/>
      <c r="F102" s="340"/>
      <c r="G102" s="327"/>
      <c r="H102" s="223"/>
      <c r="I102" s="164"/>
      <c r="J102" s="162"/>
      <c r="K102" s="129"/>
      <c r="L102" s="79"/>
      <c r="M102" s="79"/>
      <c r="N102" s="79"/>
    </row>
    <row r="103" ht="19.5" customHeight="1">
      <c r="A103" s="52"/>
      <c r="B103" s="171"/>
      <c r="C103" s="172"/>
      <c r="D103" s="172"/>
      <c r="E103" s="340"/>
      <c r="F103" s="340"/>
      <c r="G103" s="327"/>
      <c r="H103" s="223"/>
      <c r="I103" s="164"/>
      <c r="J103" s="162"/>
      <c r="K103" s="129"/>
      <c r="L103" s="79"/>
      <c r="M103" s="79"/>
      <c r="N103" s="79"/>
    </row>
    <row r="104" ht="19.5" customHeight="1">
      <c r="A104" s="52"/>
      <c r="B104" s="171"/>
      <c r="C104" s="172"/>
      <c r="D104" s="172"/>
      <c r="E104" s="340"/>
      <c r="F104" s="340"/>
      <c r="G104" s="327"/>
      <c r="H104" s="223"/>
      <c r="I104" s="164"/>
      <c r="J104" s="162"/>
      <c r="K104" s="129"/>
      <c r="L104" s="79"/>
      <c r="M104" s="79"/>
      <c r="N104" s="79"/>
    </row>
    <row r="105" ht="19.5" customHeight="1">
      <c r="A105" s="52"/>
      <c r="B105" s="171"/>
      <c r="C105" s="172"/>
      <c r="D105" s="172"/>
      <c r="E105" s="340"/>
      <c r="F105" s="340"/>
      <c r="G105" s="327"/>
      <c r="H105" s="223"/>
      <c r="I105" s="164"/>
      <c r="J105" s="162"/>
      <c r="K105" s="129"/>
      <c r="L105" s="79"/>
      <c r="M105" s="79"/>
      <c r="N105" s="79"/>
    </row>
    <row r="106" ht="19.5" customHeight="1">
      <c r="A106" s="52"/>
      <c r="B106" s="171"/>
      <c r="C106" s="172"/>
      <c r="D106" s="172"/>
      <c r="E106" s="340"/>
      <c r="F106" s="340"/>
      <c r="G106" s="327"/>
      <c r="H106" s="223"/>
      <c r="I106" s="164"/>
      <c r="J106" s="162"/>
      <c r="K106" s="129"/>
      <c r="L106" s="79"/>
      <c r="M106" s="79"/>
      <c r="N106" s="79"/>
    </row>
    <row r="107" ht="19.5" customHeight="1">
      <c r="A107" s="52"/>
      <c r="B107" s="171"/>
      <c r="C107" s="172"/>
      <c r="D107" s="172"/>
      <c r="E107" s="340"/>
      <c r="F107" s="340"/>
      <c r="G107" s="327"/>
      <c r="H107" s="223"/>
      <c r="I107" s="164"/>
      <c r="J107" s="162"/>
      <c r="K107" s="129"/>
      <c r="L107" s="79"/>
      <c r="M107" s="79"/>
      <c r="N107" s="79"/>
    </row>
    <row r="108" ht="19.5" customHeight="1">
      <c r="A108" s="52"/>
      <c r="B108" s="171"/>
      <c r="C108" s="172"/>
      <c r="D108" s="172"/>
      <c r="E108" s="340"/>
      <c r="F108" s="340"/>
      <c r="G108" s="327"/>
      <c r="H108" s="223"/>
      <c r="I108" s="164"/>
      <c r="J108" s="162"/>
      <c r="K108" s="129"/>
      <c r="L108" s="79"/>
      <c r="M108" s="79"/>
      <c r="N108" s="79"/>
    </row>
    <row r="109" ht="19.5" customHeight="1">
      <c r="A109" s="52"/>
      <c r="B109" s="171"/>
      <c r="C109" s="172"/>
      <c r="D109" s="172"/>
      <c r="E109" s="340"/>
      <c r="F109" s="340"/>
      <c r="G109" s="327"/>
      <c r="H109" s="223"/>
      <c r="I109" s="164"/>
      <c r="J109" s="162"/>
      <c r="K109" s="129"/>
      <c r="L109" s="79"/>
      <c r="M109" s="79"/>
      <c r="N109" s="79"/>
    </row>
    <row r="110" ht="19.5" customHeight="1">
      <c r="A110" s="52"/>
      <c r="B110" s="171"/>
      <c r="C110" s="172"/>
      <c r="D110" s="172"/>
      <c r="E110" s="340"/>
      <c r="F110" s="340"/>
      <c r="G110" s="327"/>
      <c r="H110" s="223"/>
      <c r="I110" s="164"/>
      <c r="J110" s="162"/>
      <c r="K110" s="129"/>
      <c r="L110" s="79"/>
      <c r="M110" s="79"/>
      <c r="N110" s="79"/>
    </row>
    <row r="111" ht="19.5" customHeight="1">
      <c r="A111" s="52"/>
      <c r="B111" s="171"/>
      <c r="C111" s="172"/>
      <c r="D111" s="172"/>
      <c r="E111" s="340"/>
      <c r="F111" s="340"/>
      <c r="G111" s="327"/>
      <c r="H111" s="223"/>
      <c r="I111" s="164"/>
      <c r="J111" s="162"/>
      <c r="K111" s="129"/>
      <c r="L111" s="79"/>
      <c r="M111" s="79"/>
      <c r="N111" s="79"/>
    </row>
    <row r="112" ht="19.5" customHeight="1">
      <c r="A112" s="52"/>
      <c r="B112" s="171"/>
      <c r="C112" s="172"/>
      <c r="D112" s="172"/>
      <c r="E112" s="340"/>
      <c r="F112" s="340"/>
      <c r="G112" s="327"/>
      <c r="H112" s="223"/>
      <c r="I112" s="164"/>
      <c r="J112" s="162"/>
      <c r="K112" s="129"/>
      <c r="L112" s="79"/>
      <c r="M112" s="79"/>
      <c r="N112" s="79"/>
    </row>
    <row r="113" ht="19.5" customHeight="1">
      <c r="A113" s="52"/>
      <c r="B113" s="171"/>
      <c r="C113" s="172"/>
      <c r="D113" s="172"/>
      <c r="E113" s="340"/>
      <c r="F113" s="340"/>
      <c r="G113" s="327"/>
      <c r="H113" s="223"/>
      <c r="I113" s="164"/>
      <c r="J113" s="162"/>
      <c r="K113" s="129"/>
      <c r="L113" s="79"/>
      <c r="M113" s="79"/>
      <c r="N113" s="79"/>
    </row>
    <row r="114" ht="19.5" customHeight="1">
      <c r="A114" s="52"/>
      <c r="B114" s="171"/>
      <c r="C114" s="172"/>
      <c r="D114" s="172"/>
      <c r="E114" s="340"/>
      <c r="F114" s="340"/>
      <c r="G114" s="327"/>
      <c r="H114" s="223"/>
      <c r="I114" s="164"/>
      <c r="J114" s="162"/>
      <c r="K114" s="129"/>
      <c r="L114" s="79"/>
      <c r="M114" s="79"/>
      <c r="N114" s="79"/>
    </row>
    <row r="115" ht="19.5" customHeight="1">
      <c r="A115" s="52"/>
      <c r="B115" s="171"/>
      <c r="C115" s="172"/>
      <c r="D115" s="172"/>
      <c r="E115" s="340"/>
      <c r="F115" s="340"/>
      <c r="G115" s="327"/>
      <c r="H115" s="223"/>
      <c r="I115" s="164"/>
      <c r="J115" s="162"/>
      <c r="K115" s="129"/>
      <c r="L115" s="79"/>
      <c r="M115" s="79"/>
      <c r="N115" s="79"/>
    </row>
    <row r="116" ht="19.5" customHeight="1">
      <c r="A116" s="52"/>
      <c r="B116" s="171"/>
      <c r="C116" s="172"/>
      <c r="D116" s="172"/>
      <c r="E116" s="340"/>
      <c r="F116" s="340"/>
      <c r="G116" s="327"/>
      <c r="H116" s="223"/>
      <c r="I116" s="164"/>
      <c r="J116" s="162"/>
      <c r="K116" s="129"/>
      <c r="L116" s="79"/>
      <c r="M116" s="79"/>
      <c r="N116" s="79"/>
    </row>
    <row r="117" ht="19.5" customHeight="1">
      <c r="A117" s="52"/>
      <c r="B117" s="171"/>
      <c r="C117" s="172"/>
      <c r="D117" s="172"/>
      <c r="E117" s="340"/>
      <c r="F117" s="340"/>
      <c r="G117" s="327"/>
      <c r="H117" s="223"/>
      <c r="I117" s="164"/>
      <c r="J117" s="162"/>
      <c r="K117" s="129"/>
      <c r="L117" s="79"/>
      <c r="M117" s="79"/>
      <c r="N117" s="79"/>
    </row>
    <row r="118" ht="19.5" customHeight="1">
      <c r="A118" s="52"/>
      <c r="B118" s="171"/>
      <c r="C118" s="172"/>
      <c r="D118" s="172"/>
      <c r="E118" s="340"/>
      <c r="F118" s="340"/>
      <c r="G118" s="327"/>
      <c r="H118" s="223"/>
      <c r="I118" s="164"/>
      <c r="J118" s="162"/>
      <c r="K118" s="129"/>
      <c r="L118" s="79"/>
      <c r="M118" s="79"/>
      <c r="N118" s="79"/>
    </row>
    <row r="119" ht="19.5" customHeight="1">
      <c r="A119" s="52"/>
      <c r="B119" s="171"/>
      <c r="C119" s="172"/>
      <c r="D119" s="172"/>
      <c r="E119" s="340"/>
      <c r="F119" s="340"/>
      <c r="G119" s="327"/>
      <c r="H119" s="223"/>
      <c r="I119" s="164"/>
      <c r="J119" s="162"/>
      <c r="K119" s="129"/>
      <c r="L119" s="79"/>
      <c r="M119" s="79"/>
      <c r="N119" s="79"/>
    </row>
    <row r="120" ht="19.5" customHeight="1">
      <c r="A120" s="52"/>
      <c r="B120" s="171"/>
      <c r="C120" s="172"/>
      <c r="D120" s="172"/>
      <c r="E120" s="340"/>
      <c r="F120" s="340"/>
      <c r="G120" s="327"/>
      <c r="H120" s="223"/>
      <c r="I120" s="164"/>
      <c r="J120" s="162"/>
      <c r="K120" s="129"/>
      <c r="L120" s="79"/>
      <c r="M120" s="79"/>
      <c r="N120" s="79"/>
    </row>
    <row r="121" ht="19.5" customHeight="1">
      <c r="A121" s="52"/>
      <c r="B121" s="171"/>
      <c r="C121" s="172"/>
      <c r="D121" s="172"/>
      <c r="E121" s="340"/>
      <c r="F121" s="340"/>
      <c r="G121" s="327"/>
      <c r="H121" s="223"/>
      <c r="I121" s="164"/>
      <c r="J121" s="162"/>
      <c r="K121" s="129"/>
      <c r="L121" s="79"/>
      <c r="M121" s="79"/>
      <c r="N121" s="79"/>
    </row>
    <row r="122" ht="19.5" customHeight="1">
      <c r="A122" s="52"/>
      <c r="B122" s="171"/>
      <c r="C122" s="172"/>
      <c r="D122" s="172"/>
      <c r="E122" s="340"/>
      <c r="F122" s="340"/>
      <c r="G122" s="327"/>
      <c r="H122" s="223"/>
      <c r="I122" s="164"/>
      <c r="J122" s="162"/>
      <c r="K122" s="129"/>
      <c r="L122" s="79"/>
      <c r="M122" s="79"/>
      <c r="N122" s="79"/>
    </row>
    <row r="123" ht="19.5" customHeight="1">
      <c r="A123" s="52"/>
      <c r="B123" s="171"/>
      <c r="C123" s="172"/>
      <c r="D123" s="172"/>
      <c r="E123" s="340"/>
      <c r="F123" s="340"/>
      <c r="G123" s="327"/>
      <c r="H123" s="223"/>
      <c r="I123" s="164"/>
      <c r="J123" s="162"/>
      <c r="K123" s="129"/>
      <c r="L123" s="79"/>
      <c r="M123" s="79"/>
      <c r="N123" s="79"/>
    </row>
    <row r="124" ht="19.5" customHeight="1">
      <c r="A124" s="52"/>
      <c r="B124" s="171"/>
      <c r="C124" s="172"/>
      <c r="D124" s="172"/>
      <c r="E124" s="340"/>
      <c r="F124" s="340"/>
      <c r="G124" s="327"/>
      <c r="H124" s="223"/>
      <c r="I124" s="164"/>
      <c r="J124" s="162"/>
      <c r="K124" s="129"/>
      <c r="L124" s="79"/>
      <c r="M124" s="79"/>
      <c r="N124" s="79"/>
    </row>
    <row r="125" ht="19.5" customHeight="1">
      <c r="A125" s="52"/>
      <c r="B125" s="171"/>
      <c r="C125" s="172"/>
      <c r="D125" s="172"/>
      <c r="E125" s="340"/>
      <c r="F125" s="340"/>
      <c r="G125" s="327"/>
      <c r="H125" s="223"/>
      <c r="I125" s="164"/>
      <c r="J125" s="162"/>
      <c r="K125" s="129"/>
      <c r="L125" s="79"/>
      <c r="M125" s="79"/>
      <c r="N125" s="79"/>
    </row>
    <row r="126" ht="19.5" customHeight="1">
      <c r="A126" s="52"/>
      <c r="B126" s="171"/>
      <c r="C126" s="172"/>
      <c r="D126" s="172"/>
      <c r="E126" s="340"/>
      <c r="F126" s="340"/>
      <c r="G126" s="327"/>
      <c r="H126" s="223"/>
      <c r="I126" s="164"/>
      <c r="J126" s="162"/>
      <c r="K126" s="129"/>
      <c r="L126" s="79"/>
      <c r="M126" s="79"/>
      <c r="N126" s="79"/>
    </row>
    <row r="127" ht="19.5" customHeight="1">
      <c r="A127" s="52"/>
      <c r="B127" s="171"/>
      <c r="C127" s="172"/>
      <c r="D127" s="172"/>
      <c r="E127" s="340"/>
      <c r="F127" s="340"/>
      <c r="G127" s="327"/>
      <c r="H127" s="223"/>
      <c r="I127" s="164"/>
      <c r="J127" s="162"/>
      <c r="K127" s="129"/>
      <c r="L127" s="79"/>
      <c r="M127" s="79"/>
      <c r="N127" s="79"/>
    </row>
    <row r="128" ht="19.5" customHeight="1">
      <c r="A128" s="52"/>
      <c r="B128" s="171"/>
      <c r="C128" s="172"/>
      <c r="D128" s="172"/>
      <c r="E128" s="340"/>
      <c r="F128" s="340"/>
      <c r="G128" s="327"/>
      <c r="H128" s="223"/>
      <c r="I128" s="164"/>
      <c r="J128" s="162"/>
      <c r="K128" s="129"/>
      <c r="L128" s="79"/>
      <c r="M128" s="79"/>
      <c r="N128" s="79"/>
    </row>
    <row r="129" ht="19.5" customHeight="1">
      <c r="A129" s="52"/>
      <c r="B129" s="171"/>
      <c r="C129" s="172"/>
      <c r="D129" s="172"/>
      <c r="E129" s="340"/>
      <c r="F129" s="340"/>
      <c r="G129" s="327"/>
      <c r="H129" s="223"/>
      <c r="I129" s="164"/>
      <c r="J129" s="162"/>
      <c r="K129" s="129"/>
      <c r="L129" s="79"/>
      <c r="M129" s="79"/>
      <c r="N129" s="79"/>
    </row>
    <row r="130" ht="19.5" customHeight="1">
      <c r="A130" s="52"/>
      <c r="B130" s="171"/>
      <c r="C130" s="172"/>
      <c r="D130" s="172"/>
      <c r="E130" s="340"/>
      <c r="F130" s="340"/>
      <c r="G130" s="327"/>
      <c r="H130" s="223"/>
      <c r="I130" s="164"/>
      <c r="J130" s="162"/>
      <c r="K130" s="129"/>
      <c r="L130" s="79"/>
      <c r="M130" s="79"/>
      <c r="N130" s="79"/>
    </row>
    <row r="131" ht="19.5" customHeight="1">
      <c r="A131" s="52"/>
      <c r="B131" s="171"/>
      <c r="C131" s="172"/>
      <c r="D131" s="172"/>
      <c r="E131" s="340"/>
      <c r="F131" s="340"/>
      <c r="G131" s="327"/>
      <c r="H131" s="223"/>
      <c r="I131" s="164"/>
      <c r="J131" s="162"/>
      <c r="K131" s="129"/>
      <c r="L131" s="79"/>
      <c r="M131" s="79"/>
      <c r="N131" s="79"/>
    </row>
    <row r="132" ht="19.5" customHeight="1">
      <c r="A132" s="52"/>
      <c r="B132" s="171"/>
      <c r="C132" s="172"/>
      <c r="D132" s="172"/>
      <c r="E132" s="340"/>
      <c r="F132" s="340"/>
      <c r="G132" s="327"/>
      <c r="H132" s="223"/>
      <c r="I132" s="164"/>
      <c r="J132" s="162"/>
      <c r="K132" s="129"/>
      <c r="L132" s="79"/>
      <c r="M132" s="79"/>
      <c r="N132" s="79"/>
    </row>
    <row r="133" ht="19.5" customHeight="1">
      <c r="A133" s="52"/>
      <c r="B133" s="171"/>
      <c r="C133" s="172"/>
      <c r="D133" s="172"/>
      <c r="E133" s="340"/>
      <c r="F133" s="340"/>
      <c r="G133" s="327"/>
      <c r="H133" s="223"/>
      <c r="I133" s="164"/>
      <c r="J133" s="162"/>
      <c r="K133" s="129"/>
      <c r="L133" s="79"/>
      <c r="M133" s="79"/>
      <c r="N133" s="79"/>
    </row>
    <row r="134" ht="19.5" customHeight="1">
      <c r="A134" s="52"/>
      <c r="B134" s="171"/>
      <c r="C134" s="172"/>
      <c r="D134" s="172"/>
      <c r="E134" s="340"/>
      <c r="F134" s="340"/>
      <c r="G134" s="327"/>
      <c r="H134" s="223"/>
      <c r="I134" s="164"/>
      <c r="J134" s="162"/>
      <c r="K134" s="129"/>
      <c r="L134" s="79"/>
      <c r="M134" s="79"/>
      <c r="N134" s="79"/>
    </row>
    <row r="135" ht="19.5" customHeight="1">
      <c r="A135" s="52"/>
      <c r="B135" s="171"/>
      <c r="C135" s="172"/>
      <c r="D135" s="172"/>
      <c r="E135" s="340"/>
      <c r="F135" s="340"/>
      <c r="G135" s="327"/>
      <c r="H135" s="223"/>
      <c r="I135" s="164"/>
      <c r="J135" s="162"/>
      <c r="K135" s="129"/>
      <c r="L135" s="79"/>
      <c r="M135" s="79"/>
      <c r="N135" s="79"/>
    </row>
    <row r="136" ht="19.5" customHeight="1">
      <c r="A136" s="52"/>
      <c r="B136" s="171"/>
      <c r="C136" s="172"/>
      <c r="D136" s="172"/>
      <c r="E136" s="340"/>
      <c r="F136" s="340"/>
      <c r="G136" s="327"/>
      <c r="H136" s="223"/>
      <c r="I136" s="164"/>
      <c r="J136" s="162"/>
      <c r="K136" s="129"/>
      <c r="L136" s="79"/>
      <c r="M136" s="79"/>
      <c r="N136" s="79"/>
    </row>
    <row r="137" ht="19.5" customHeight="1">
      <c r="A137" s="52"/>
      <c r="B137" s="171"/>
      <c r="C137" s="172"/>
      <c r="D137" s="172"/>
      <c r="E137" s="340"/>
      <c r="F137" s="340"/>
      <c r="G137" s="327"/>
      <c r="H137" s="223"/>
      <c r="I137" s="164"/>
      <c r="J137" s="162"/>
      <c r="K137" s="129"/>
      <c r="L137" s="79"/>
      <c r="M137" s="79"/>
      <c r="N137" s="79"/>
    </row>
    <row r="138" ht="19.5" customHeight="1">
      <c r="A138" s="52"/>
      <c r="B138" s="171"/>
      <c r="C138" s="172"/>
      <c r="D138" s="172"/>
      <c r="E138" s="340"/>
      <c r="F138" s="340"/>
      <c r="G138" s="327"/>
      <c r="H138" s="223"/>
      <c r="I138" s="164"/>
      <c r="J138" s="162"/>
      <c r="K138" s="129"/>
      <c r="L138" s="79"/>
      <c r="M138" s="79"/>
      <c r="N138" s="79"/>
    </row>
    <row r="139" ht="19.5" customHeight="1">
      <c r="A139" s="52"/>
      <c r="B139" s="171"/>
      <c r="C139" s="172"/>
      <c r="D139" s="172"/>
      <c r="E139" s="340"/>
      <c r="F139" s="340"/>
      <c r="G139" s="327"/>
      <c r="H139" s="223"/>
      <c r="I139" s="164"/>
      <c r="J139" s="162"/>
      <c r="K139" s="129"/>
      <c r="L139" s="79"/>
      <c r="M139" s="79"/>
      <c r="N139" s="79"/>
    </row>
    <row r="140" ht="19.5" customHeight="1">
      <c r="A140" s="52"/>
      <c r="B140" s="171"/>
      <c r="C140" s="172"/>
      <c r="D140" s="172"/>
      <c r="E140" s="340"/>
      <c r="F140" s="340"/>
      <c r="G140" s="327"/>
      <c r="H140" s="223"/>
      <c r="I140" s="164"/>
      <c r="J140" s="162"/>
      <c r="K140" s="129"/>
      <c r="L140" s="79"/>
      <c r="M140" s="79"/>
      <c r="N140" s="79"/>
    </row>
    <row r="141" ht="19.5" customHeight="1">
      <c r="A141" s="52"/>
      <c r="B141" s="171"/>
      <c r="C141" s="172"/>
      <c r="D141" s="172"/>
      <c r="E141" s="340"/>
      <c r="F141" s="340"/>
      <c r="G141" s="327"/>
      <c r="H141" s="223"/>
      <c r="I141" s="164"/>
      <c r="J141" s="162"/>
      <c r="K141" s="129"/>
      <c r="L141" s="79"/>
      <c r="M141" s="79"/>
      <c r="N141" s="79"/>
    </row>
    <row r="142" ht="19.5" customHeight="1">
      <c r="A142" s="52"/>
      <c r="B142" s="171"/>
      <c r="C142" s="172"/>
      <c r="D142" s="172"/>
      <c r="E142" s="340"/>
      <c r="F142" s="340"/>
      <c r="G142" s="327"/>
      <c r="H142" s="223"/>
      <c r="I142" s="164"/>
      <c r="J142" s="162"/>
      <c r="K142" s="129"/>
      <c r="L142" s="79"/>
      <c r="M142" s="79"/>
      <c r="N142" s="79"/>
    </row>
    <row r="143" ht="19.5" customHeight="1">
      <c r="A143" s="52"/>
      <c r="B143" s="171"/>
      <c r="C143" s="172"/>
      <c r="D143" s="172"/>
      <c r="E143" s="340"/>
      <c r="F143" s="340"/>
      <c r="G143" s="327"/>
      <c r="H143" s="223"/>
      <c r="I143" s="164"/>
      <c r="J143" s="162"/>
      <c r="K143" s="129"/>
      <c r="L143" s="79"/>
      <c r="M143" s="79"/>
      <c r="N143" s="79"/>
    </row>
    <row r="144" ht="19.5" customHeight="1">
      <c r="A144" s="52"/>
      <c r="B144" s="171"/>
      <c r="C144" s="172"/>
      <c r="D144" s="172"/>
      <c r="E144" s="340"/>
      <c r="F144" s="340"/>
      <c r="G144" s="327"/>
      <c r="H144" s="223"/>
      <c r="I144" s="164"/>
      <c r="J144" s="162"/>
      <c r="K144" s="129"/>
      <c r="L144" s="79"/>
      <c r="M144" s="79"/>
      <c r="N144" s="79"/>
    </row>
    <row r="145" ht="19.5" customHeight="1">
      <c r="A145" s="52"/>
      <c r="B145" s="171"/>
      <c r="C145" s="172"/>
      <c r="D145" s="172"/>
      <c r="E145" s="340"/>
      <c r="F145" s="340"/>
      <c r="G145" s="327"/>
      <c r="H145" s="223"/>
      <c r="I145" s="164"/>
      <c r="J145" s="162"/>
      <c r="K145" s="129"/>
      <c r="L145" s="79"/>
      <c r="M145" s="79"/>
      <c r="N145" s="79"/>
    </row>
    <row r="146" ht="19.5" customHeight="1">
      <c r="A146" s="52"/>
      <c r="B146" s="171"/>
      <c r="C146" s="172"/>
      <c r="D146" s="172"/>
      <c r="E146" s="340"/>
      <c r="F146" s="340"/>
      <c r="G146" s="327"/>
      <c r="H146" s="223"/>
      <c r="I146" s="164"/>
      <c r="J146" s="162"/>
      <c r="K146" s="129"/>
      <c r="L146" s="79"/>
      <c r="M146" s="79"/>
      <c r="N146" s="79"/>
    </row>
    <row r="147" ht="19.5" customHeight="1">
      <c r="A147" s="52"/>
      <c r="B147" s="171"/>
      <c r="C147" s="172"/>
      <c r="D147" s="172"/>
      <c r="E147" s="340"/>
      <c r="F147" s="340"/>
      <c r="G147" s="327"/>
      <c r="H147" s="223"/>
      <c r="I147" s="164"/>
      <c r="J147" s="162"/>
      <c r="K147" s="129"/>
      <c r="L147" s="79"/>
      <c r="M147" s="79"/>
      <c r="N147" s="79"/>
    </row>
    <row r="148" ht="19.5" customHeight="1">
      <c r="A148" s="52"/>
      <c r="B148" s="171"/>
      <c r="C148" s="172"/>
      <c r="D148" s="172"/>
      <c r="E148" s="340"/>
      <c r="F148" s="340"/>
      <c r="G148" s="327"/>
      <c r="H148" s="223"/>
      <c r="I148" s="164"/>
      <c r="J148" s="162"/>
      <c r="K148" s="129"/>
      <c r="L148" s="79"/>
      <c r="M148" s="79"/>
      <c r="N148" s="79"/>
    </row>
    <row r="149" ht="19.5" customHeight="1">
      <c r="A149" s="52"/>
      <c r="B149" s="171"/>
      <c r="C149" s="172"/>
      <c r="D149" s="172"/>
      <c r="E149" s="340"/>
      <c r="F149" s="340"/>
      <c r="G149" s="327"/>
      <c r="H149" s="223"/>
      <c r="I149" s="164"/>
      <c r="J149" s="162"/>
      <c r="K149" s="129"/>
      <c r="L149" s="79"/>
      <c r="M149" s="79"/>
      <c r="N149" s="79"/>
    </row>
    <row r="150" ht="19.5" customHeight="1">
      <c r="A150" s="52"/>
      <c r="B150" s="171"/>
      <c r="C150" s="172"/>
      <c r="D150" s="172"/>
      <c r="E150" s="340"/>
      <c r="F150" s="340"/>
      <c r="G150" s="327"/>
      <c r="H150" s="223"/>
      <c r="I150" s="164"/>
      <c r="J150" s="162"/>
      <c r="K150" s="129"/>
      <c r="L150" s="79"/>
      <c r="M150" s="79"/>
      <c r="N150" s="79"/>
    </row>
    <row r="151" ht="19.5" customHeight="1">
      <c r="A151" s="52"/>
      <c r="B151" s="171"/>
      <c r="C151" s="172"/>
      <c r="D151" s="172"/>
      <c r="E151" s="340"/>
      <c r="F151" s="340"/>
      <c r="G151" s="327"/>
      <c r="H151" s="223"/>
      <c r="I151" s="164"/>
      <c r="J151" s="162"/>
      <c r="K151" s="129"/>
      <c r="L151" s="79"/>
      <c r="M151" s="79"/>
      <c r="N151" s="79"/>
    </row>
    <row r="152" ht="19.5" customHeight="1">
      <c r="A152" s="52"/>
      <c r="B152" s="171"/>
      <c r="C152" s="172"/>
      <c r="D152" s="172"/>
      <c r="E152" s="340"/>
      <c r="F152" s="340"/>
      <c r="G152" s="327"/>
      <c r="H152" s="223"/>
      <c r="I152" s="164"/>
      <c r="J152" s="162"/>
      <c r="K152" s="129"/>
      <c r="L152" s="79"/>
      <c r="M152" s="79"/>
      <c r="N152" s="79"/>
    </row>
    <row r="153" ht="19.5" customHeight="1">
      <c r="A153" s="52"/>
      <c r="B153" s="171"/>
      <c r="C153" s="172"/>
      <c r="D153" s="172"/>
      <c r="E153" s="340"/>
      <c r="F153" s="340"/>
      <c r="G153" s="327"/>
      <c r="H153" s="223"/>
      <c r="I153" s="164"/>
      <c r="J153" s="162"/>
      <c r="K153" s="129"/>
      <c r="L153" s="79"/>
      <c r="M153" s="79"/>
      <c r="N153" s="79"/>
    </row>
    <row r="154" ht="19.5" customHeight="1">
      <c r="A154" s="52"/>
      <c r="B154" s="171"/>
      <c r="C154" s="172"/>
      <c r="D154" s="172"/>
      <c r="E154" s="340"/>
      <c r="F154" s="340"/>
      <c r="G154" s="327"/>
      <c r="H154" s="223"/>
      <c r="I154" s="164"/>
      <c r="J154" s="162"/>
      <c r="K154" s="129"/>
      <c r="L154" s="79"/>
      <c r="M154" s="79"/>
      <c r="N154" s="79"/>
    </row>
    <row r="155" ht="19.5" customHeight="1">
      <c r="A155" s="52"/>
      <c r="B155" s="171"/>
      <c r="C155" s="172"/>
      <c r="D155" s="172"/>
      <c r="E155" s="340"/>
      <c r="F155" s="340"/>
      <c r="G155" s="327"/>
      <c r="H155" s="223"/>
      <c r="I155" s="164"/>
      <c r="J155" s="162"/>
      <c r="K155" s="129"/>
      <c r="L155" s="79"/>
      <c r="M155" s="79"/>
      <c r="N155" s="79"/>
    </row>
    <row r="156" ht="19.5" customHeight="1">
      <c r="A156" s="52"/>
      <c r="B156" s="171"/>
      <c r="C156" s="172"/>
      <c r="D156" s="172"/>
      <c r="E156" s="340"/>
      <c r="F156" s="340"/>
      <c r="G156" s="327"/>
      <c r="H156" s="223"/>
      <c r="I156" s="164"/>
      <c r="J156" s="162"/>
      <c r="K156" s="129"/>
      <c r="L156" s="79"/>
      <c r="M156" s="79"/>
      <c r="N156" s="79"/>
    </row>
    <row r="157" ht="19.5" customHeight="1">
      <c r="A157" s="52"/>
      <c r="B157" s="171"/>
      <c r="C157" s="172"/>
      <c r="D157" s="172"/>
      <c r="E157" s="340"/>
      <c r="F157" s="340"/>
      <c r="G157" s="327"/>
      <c r="H157" s="223"/>
      <c r="I157" s="164"/>
      <c r="J157" s="162"/>
      <c r="K157" s="129"/>
      <c r="L157" s="79"/>
      <c r="M157" s="79"/>
      <c r="N157" s="79"/>
    </row>
    <row r="158" ht="19.5" customHeight="1">
      <c r="A158" s="52"/>
      <c r="B158" s="171"/>
      <c r="C158" s="172"/>
      <c r="D158" s="172"/>
      <c r="E158" s="340"/>
      <c r="F158" s="340"/>
      <c r="G158" s="327"/>
      <c r="H158" s="223"/>
      <c r="I158" s="164"/>
      <c r="J158" s="162"/>
      <c r="K158" s="129"/>
      <c r="L158" s="79"/>
      <c r="M158" s="79"/>
      <c r="N158" s="79"/>
    </row>
    <row r="159" ht="19.5" customHeight="1">
      <c r="A159" s="52"/>
      <c r="B159" s="171"/>
      <c r="C159" s="172"/>
      <c r="D159" s="172"/>
      <c r="E159" s="340"/>
      <c r="F159" s="340"/>
      <c r="G159" s="327"/>
      <c r="H159" s="223"/>
      <c r="I159" s="164"/>
      <c r="J159" s="162"/>
      <c r="K159" s="129"/>
      <c r="L159" s="79"/>
      <c r="M159" s="79"/>
      <c r="N159" s="79"/>
    </row>
    <row r="160" ht="19.5" customHeight="1">
      <c r="A160" s="52"/>
      <c r="B160" s="171"/>
      <c r="C160" s="172"/>
      <c r="D160" s="172"/>
      <c r="E160" s="340"/>
      <c r="F160" s="340"/>
      <c r="G160" s="327"/>
      <c r="H160" s="223"/>
      <c r="I160" s="164"/>
      <c r="J160" s="162"/>
      <c r="K160" s="129"/>
      <c r="L160" s="79"/>
      <c r="M160" s="79"/>
      <c r="N160" s="79"/>
    </row>
    <row r="161" ht="19.5" customHeight="1">
      <c r="A161" s="52"/>
      <c r="B161" s="171"/>
      <c r="C161" s="172"/>
      <c r="D161" s="172"/>
      <c r="E161" s="340"/>
      <c r="F161" s="340"/>
      <c r="G161" s="327"/>
      <c r="H161" s="223"/>
      <c r="I161" s="164"/>
      <c r="J161" s="162"/>
      <c r="K161" s="129"/>
      <c r="L161" s="79"/>
      <c r="M161" s="79"/>
      <c r="N161" s="79"/>
    </row>
    <row r="162" ht="19.5" customHeight="1">
      <c r="A162" s="52"/>
      <c r="B162" s="171"/>
      <c r="C162" s="172"/>
      <c r="D162" s="172"/>
      <c r="E162" s="340"/>
      <c r="F162" s="340"/>
      <c r="G162" s="327"/>
      <c r="H162" s="223"/>
      <c r="I162" s="164"/>
      <c r="J162" s="162"/>
      <c r="K162" s="129"/>
      <c r="L162" s="79"/>
      <c r="M162" s="79"/>
      <c r="N162" s="79"/>
    </row>
    <row r="163" ht="19.5" customHeight="1">
      <c r="A163" s="52"/>
      <c r="B163" s="171"/>
      <c r="C163" s="172"/>
      <c r="D163" s="172"/>
      <c r="E163" s="340"/>
      <c r="F163" s="340"/>
      <c r="G163" s="327"/>
      <c r="H163" s="223"/>
      <c r="I163" s="164"/>
      <c r="J163" s="162"/>
      <c r="K163" s="129"/>
      <c r="L163" s="79"/>
      <c r="M163" s="79"/>
      <c r="N163" s="79"/>
    </row>
    <row r="164" ht="19.5" customHeight="1">
      <c r="A164" s="52"/>
      <c r="B164" s="171"/>
      <c r="C164" s="172"/>
      <c r="D164" s="172"/>
      <c r="E164" s="340"/>
      <c r="F164" s="340"/>
      <c r="G164" s="327"/>
      <c r="H164" s="223"/>
      <c r="I164" s="164"/>
      <c r="J164" s="162"/>
      <c r="K164" s="129"/>
      <c r="L164" s="79"/>
      <c r="M164" s="79"/>
      <c r="N164" s="79"/>
    </row>
    <row r="165" ht="19.5" customHeight="1">
      <c r="A165" s="52"/>
      <c r="B165" s="171"/>
      <c r="C165" s="172"/>
      <c r="D165" s="172"/>
      <c r="E165" s="340"/>
      <c r="F165" s="340"/>
      <c r="G165" s="327"/>
      <c r="H165" s="223"/>
      <c r="I165" s="164"/>
      <c r="J165" s="162"/>
      <c r="K165" s="129"/>
      <c r="L165" s="79"/>
      <c r="M165" s="79"/>
      <c r="N165" s="79"/>
    </row>
    <row r="166" ht="19.5" customHeight="1">
      <c r="A166" s="52"/>
      <c r="B166" s="171"/>
      <c r="C166" s="172"/>
      <c r="D166" s="172"/>
      <c r="E166" s="340"/>
      <c r="F166" s="340"/>
      <c r="G166" s="327"/>
      <c r="H166" s="223"/>
      <c r="I166" s="164"/>
      <c r="J166" s="162"/>
      <c r="K166" s="129"/>
      <c r="L166" s="79"/>
      <c r="M166" s="79"/>
      <c r="N166" s="79"/>
    </row>
    <row r="167" ht="19.5" customHeight="1">
      <c r="A167" s="52"/>
      <c r="B167" s="171"/>
      <c r="C167" s="172"/>
      <c r="D167" s="172"/>
      <c r="E167" s="340"/>
      <c r="F167" s="340"/>
      <c r="G167" s="327"/>
      <c r="H167" s="223"/>
      <c r="I167" s="164"/>
      <c r="J167" s="162"/>
      <c r="K167" s="129"/>
      <c r="L167" s="79"/>
      <c r="M167" s="79"/>
      <c r="N167" s="79"/>
    </row>
    <row r="168" ht="19.5" customHeight="1">
      <c r="A168" s="52"/>
      <c r="B168" s="171"/>
      <c r="C168" s="172"/>
      <c r="D168" s="172"/>
      <c r="E168" s="340"/>
      <c r="F168" s="340"/>
      <c r="G168" s="327"/>
      <c r="H168" s="223"/>
      <c r="I168" s="164"/>
      <c r="J168" s="162"/>
      <c r="K168" s="129"/>
      <c r="L168" s="79"/>
      <c r="M168" s="79"/>
      <c r="N168" s="79"/>
    </row>
    <row r="169" ht="19.5" customHeight="1">
      <c r="A169" s="52"/>
      <c r="B169" s="171"/>
      <c r="C169" s="172"/>
      <c r="D169" s="172"/>
      <c r="E169" s="340"/>
      <c r="F169" s="340"/>
      <c r="G169" s="327"/>
      <c r="H169" s="223"/>
      <c r="I169" s="164"/>
      <c r="J169" s="162"/>
      <c r="K169" s="129"/>
      <c r="L169" s="79"/>
      <c r="M169" s="79"/>
      <c r="N169" s="79"/>
    </row>
    <row r="170" ht="19.5" customHeight="1">
      <c r="A170" s="52"/>
      <c r="B170" s="171"/>
      <c r="C170" s="172"/>
      <c r="D170" s="172"/>
      <c r="E170" s="340"/>
      <c r="F170" s="340"/>
      <c r="G170" s="327"/>
      <c r="H170" s="223"/>
      <c r="I170" s="164"/>
      <c r="J170" s="162"/>
      <c r="K170" s="129"/>
      <c r="L170" s="79"/>
      <c r="M170" s="79"/>
      <c r="N170" s="79"/>
    </row>
    <row r="171" ht="19.5" customHeight="1">
      <c r="A171" s="52"/>
      <c r="B171" s="171"/>
      <c r="C171" s="172"/>
      <c r="D171" s="172"/>
      <c r="E171" s="340"/>
      <c r="F171" s="340"/>
      <c r="G171" s="327"/>
      <c r="H171" s="223"/>
      <c r="I171" s="164"/>
      <c r="J171" s="162"/>
      <c r="K171" s="129"/>
      <c r="L171" s="79"/>
      <c r="M171" s="79"/>
      <c r="N171" s="79"/>
    </row>
    <row r="172" ht="19.5" customHeight="1">
      <c r="A172" s="52"/>
      <c r="B172" s="171"/>
      <c r="C172" s="172"/>
      <c r="D172" s="172"/>
      <c r="E172" s="340"/>
      <c r="F172" s="340"/>
      <c r="G172" s="327"/>
      <c r="H172" s="223"/>
      <c r="I172" s="164"/>
      <c r="J172" s="162"/>
      <c r="K172" s="129"/>
      <c r="L172" s="79"/>
      <c r="M172" s="79"/>
      <c r="N172" s="79"/>
    </row>
    <row r="173" ht="19.5" customHeight="1">
      <c r="A173" s="52"/>
      <c r="B173" s="171"/>
      <c r="C173" s="172"/>
      <c r="D173" s="172"/>
      <c r="E173" s="340"/>
      <c r="F173" s="340"/>
      <c r="G173" s="327"/>
      <c r="H173" s="223"/>
      <c r="I173" s="164"/>
      <c r="J173" s="162"/>
      <c r="K173" s="129"/>
      <c r="L173" s="79"/>
      <c r="M173" s="79"/>
      <c r="N173" s="79"/>
    </row>
    <row r="174" ht="19.5" customHeight="1">
      <c r="A174" s="52"/>
      <c r="B174" s="171"/>
      <c r="C174" s="172"/>
      <c r="D174" s="172"/>
      <c r="E174" s="340"/>
      <c r="F174" s="340"/>
      <c r="G174" s="327"/>
      <c r="H174" s="223"/>
      <c r="I174" s="164"/>
      <c r="J174" s="162"/>
      <c r="K174" s="129"/>
      <c r="L174" s="79"/>
      <c r="M174" s="79"/>
      <c r="N174" s="79"/>
    </row>
    <row r="175" ht="19.5" customHeight="1">
      <c r="A175" s="52"/>
      <c r="B175" s="171"/>
      <c r="C175" s="172"/>
      <c r="D175" s="172"/>
      <c r="E175" s="340"/>
      <c r="F175" s="340"/>
      <c r="G175" s="327"/>
      <c r="H175" s="223"/>
      <c r="I175" s="164"/>
      <c r="J175" s="162"/>
      <c r="K175" s="129"/>
      <c r="L175" s="79"/>
      <c r="M175" s="79"/>
      <c r="N175" s="79"/>
    </row>
    <row r="176" ht="19.5" customHeight="1">
      <c r="A176" s="52"/>
      <c r="B176" s="171"/>
      <c r="C176" s="172"/>
      <c r="D176" s="172"/>
      <c r="E176" s="340"/>
      <c r="F176" s="340"/>
      <c r="G176" s="327"/>
      <c r="H176" s="223"/>
      <c r="I176" s="164"/>
      <c r="J176" s="162"/>
      <c r="K176" s="129"/>
      <c r="L176" s="79"/>
      <c r="M176" s="79"/>
      <c r="N176" s="79"/>
    </row>
    <row r="177" ht="19.5" customHeight="1">
      <c r="A177" s="52"/>
      <c r="B177" s="171"/>
      <c r="C177" s="172"/>
      <c r="D177" s="172"/>
      <c r="E177" s="340"/>
      <c r="F177" s="340"/>
      <c r="G177" s="327"/>
      <c r="H177" s="223"/>
      <c r="I177" s="164"/>
      <c r="J177" s="162"/>
      <c r="K177" s="129"/>
      <c r="L177" s="79"/>
      <c r="M177" s="79"/>
      <c r="N177" s="79"/>
    </row>
    <row r="178" ht="19.5" customHeight="1">
      <c r="A178" s="52"/>
      <c r="B178" s="171"/>
      <c r="C178" s="172"/>
      <c r="D178" s="172"/>
      <c r="E178" s="340"/>
      <c r="F178" s="340"/>
      <c r="G178" s="327"/>
      <c r="H178" s="223"/>
      <c r="I178" s="164"/>
      <c r="J178" s="162"/>
      <c r="K178" s="129"/>
      <c r="L178" s="79"/>
      <c r="M178" s="79"/>
      <c r="N178" s="79"/>
    </row>
    <row r="179" ht="19.5" customHeight="1">
      <c r="A179" s="52"/>
      <c r="B179" s="171"/>
      <c r="C179" s="172"/>
      <c r="D179" s="172"/>
      <c r="E179" s="340"/>
      <c r="F179" s="340"/>
      <c r="G179" s="327"/>
      <c r="H179" s="223"/>
      <c r="I179" s="164"/>
      <c r="J179" s="162"/>
      <c r="K179" s="129"/>
      <c r="L179" s="79"/>
      <c r="M179" s="79"/>
      <c r="N179" s="79"/>
    </row>
    <row r="180" ht="19.5" customHeight="1">
      <c r="A180" s="52"/>
      <c r="B180" s="171"/>
      <c r="C180" s="172"/>
      <c r="D180" s="172"/>
      <c r="E180" s="340"/>
      <c r="F180" s="340"/>
      <c r="G180" s="327"/>
      <c r="H180" s="223"/>
      <c r="I180" s="164"/>
      <c r="J180" s="162"/>
      <c r="K180" s="129"/>
      <c r="L180" s="79"/>
      <c r="M180" s="79"/>
      <c r="N180" s="79"/>
    </row>
    <row r="181" ht="19.5" customHeight="1">
      <c r="A181" s="52"/>
      <c r="B181" s="171"/>
      <c r="C181" s="172"/>
      <c r="D181" s="172"/>
      <c r="E181" s="340"/>
      <c r="F181" s="340"/>
      <c r="G181" s="327"/>
      <c r="H181" s="223"/>
      <c r="I181" s="164"/>
      <c r="J181" s="162"/>
      <c r="K181" s="129"/>
      <c r="L181" s="79"/>
      <c r="M181" s="79"/>
      <c r="N181" s="79"/>
    </row>
    <row r="182" ht="19.5" customHeight="1">
      <c r="A182" s="52"/>
      <c r="B182" s="171"/>
      <c r="C182" s="172"/>
      <c r="D182" s="172"/>
      <c r="E182" s="340"/>
      <c r="F182" s="340"/>
      <c r="G182" s="327"/>
      <c r="H182" s="223"/>
      <c r="I182" s="164"/>
      <c r="J182" s="162"/>
      <c r="K182" s="129"/>
      <c r="L182" s="79"/>
      <c r="M182" s="79"/>
      <c r="N182" s="79"/>
    </row>
    <row r="183" ht="19.5" customHeight="1">
      <c r="A183" s="52"/>
      <c r="B183" s="171"/>
      <c r="C183" s="172"/>
      <c r="D183" s="172"/>
      <c r="E183" s="340"/>
      <c r="F183" s="340"/>
      <c r="G183" s="327"/>
      <c r="H183" s="223"/>
      <c r="I183" s="164"/>
      <c r="J183" s="162"/>
      <c r="K183" s="129"/>
      <c r="L183" s="79"/>
      <c r="M183" s="79"/>
      <c r="N183" s="79"/>
    </row>
    <row r="184" ht="19.5" customHeight="1">
      <c r="A184" s="52"/>
      <c r="B184" s="171"/>
      <c r="C184" s="172"/>
      <c r="D184" s="172"/>
      <c r="E184" s="340"/>
      <c r="F184" s="340"/>
      <c r="G184" s="327"/>
      <c r="H184" s="223"/>
      <c r="I184" s="164"/>
      <c r="J184" s="162"/>
      <c r="K184" s="129"/>
      <c r="L184" s="79"/>
      <c r="M184" s="79"/>
      <c r="N184" s="79"/>
    </row>
    <row r="185" ht="19.5" customHeight="1">
      <c r="A185" s="52"/>
      <c r="B185" s="171"/>
      <c r="C185" s="172"/>
      <c r="D185" s="172"/>
      <c r="E185" s="340"/>
      <c r="F185" s="340"/>
      <c r="G185" s="327"/>
      <c r="H185" s="223"/>
      <c r="I185" s="164"/>
      <c r="J185" s="162"/>
      <c r="K185" s="129"/>
      <c r="L185" s="79"/>
      <c r="M185" s="79"/>
      <c r="N185" s="79"/>
    </row>
    <row r="186" ht="19.5" customHeight="1">
      <c r="A186" s="52"/>
      <c r="B186" s="171"/>
      <c r="C186" s="172"/>
      <c r="D186" s="172"/>
      <c r="E186" s="340"/>
      <c r="F186" s="340"/>
      <c r="G186" s="327"/>
      <c r="H186" s="223"/>
      <c r="I186" s="164"/>
      <c r="J186" s="162"/>
      <c r="K186" s="129"/>
      <c r="L186" s="79"/>
      <c r="M186" s="79"/>
      <c r="N186" s="79"/>
    </row>
    <row r="187" ht="19.5" customHeight="1">
      <c r="A187" s="52"/>
      <c r="B187" s="171"/>
      <c r="C187" s="172"/>
      <c r="D187" s="172"/>
      <c r="E187" s="340"/>
      <c r="F187" s="340"/>
      <c r="G187" s="327"/>
      <c r="H187" s="223"/>
      <c r="I187" s="164"/>
      <c r="J187" s="162"/>
      <c r="K187" s="129"/>
      <c r="L187" s="79"/>
      <c r="M187" s="79"/>
      <c r="N187" s="79"/>
    </row>
    <row r="188" ht="19.5" customHeight="1">
      <c r="A188" s="52"/>
      <c r="B188" s="171"/>
      <c r="C188" s="172"/>
      <c r="D188" s="172"/>
      <c r="E188" s="340"/>
      <c r="F188" s="340"/>
      <c r="G188" s="327"/>
      <c r="H188" s="223"/>
      <c r="I188" s="164"/>
      <c r="J188" s="162"/>
      <c r="K188" s="129"/>
      <c r="L188" s="79"/>
      <c r="M188" s="79"/>
      <c r="N188" s="79"/>
    </row>
    <row r="189" ht="19.5" customHeight="1">
      <c r="A189" s="52"/>
      <c r="B189" s="171"/>
      <c r="C189" s="172"/>
      <c r="D189" s="172"/>
      <c r="E189" s="340"/>
      <c r="F189" s="340"/>
      <c r="G189" s="327"/>
      <c r="H189" s="223"/>
      <c r="I189" s="164"/>
      <c r="J189" s="162"/>
      <c r="K189" s="129"/>
      <c r="L189" s="79"/>
      <c r="M189" s="79"/>
      <c r="N189" s="79"/>
    </row>
    <row r="190" ht="19.5" customHeight="1">
      <c r="A190" s="52"/>
      <c r="B190" s="171"/>
      <c r="C190" s="172"/>
      <c r="D190" s="172"/>
      <c r="E190" s="340"/>
      <c r="F190" s="340"/>
      <c r="G190" s="327"/>
      <c r="H190" s="223"/>
      <c r="I190" s="164"/>
      <c r="J190" s="162"/>
      <c r="K190" s="129"/>
      <c r="L190" s="79"/>
      <c r="M190" s="79"/>
      <c r="N190" s="79"/>
    </row>
    <row r="191" ht="19.5" customHeight="1">
      <c r="A191" s="52"/>
      <c r="B191" s="171"/>
      <c r="C191" s="172"/>
      <c r="D191" s="172"/>
      <c r="E191" s="340"/>
      <c r="F191" s="340"/>
      <c r="G191" s="327"/>
      <c r="H191" s="223"/>
      <c r="I191" s="164"/>
      <c r="J191" s="162"/>
      <c r="K191" s="129"/>
      <c r="L191" s="79"/>
      <c r="M191" s="79"/>
      <c r="N191" s="79"/>
    </row>
    <row r="192" ht="19.5" customHeight="1">
      <c r="A192" s="52"/>
      <c r="B192" s="171"/>
      <c r="C192" s="172"/>
      <c r="D192" s="172"/>
      <c r="E192" s="340"/>
      <c r="F192" s="340"/>
      <c r="G192" s="327"/>
      <c r="H192" s="223"/>
      <c r="I192" s="164"/>
      <c r="J192" s="162"/>
      <c r="K192" s="129"/>
      <c r="L192" s="79"/>
      <c r="M192" s="79"/>
      <c r="N192" s="79"/>
    </row>
    <row r="193" ht="19.5" customHeight="1">
      <c r="A193" s="52"/>
      <c r="B193" s="171"/>
      <c r="C193" s="172"/>
      <c r="D193" s="172"/>
      <c r="E193" s="340"/>
      <c r="F193" s="340"/>
      <c r="G193" s="327"/>
      <c r="H193" s="223"/>
      <c r="I193" s="164"/>
      <c r="J193" s="162"/>
      <c r="K193" s="129"/>
      <c r="L193" s="79"/>
      <c r="M193" s="79"/>
      <c r="N193" s="79"/>
    </row>
    <row r="194" ht="19.5" customHeight="1">
      <c r="A194" s="52"/>
      <c r="B194" s="171"/>
      <c r="C194" s="172"/>
      <c r="D194" s="172"/>
      <c r="E194" s="340"/>
      <c r="F194" s="340"/>
      <c r="G194" s="327"/>
      <c r="H194" s="223"/>
      <c r="I194" s="164"/>
      <c r="J194" s="162"/>
      <c r="K194" s="129"/>
      <c r="L194" s="79"/>
      <c r="M194" s="79"/>
      <c r="N194" s="79"/>
    </row>
    <row r="195" ht="19.5" customHeight="1">
      <c r="A195" s="52"/>
      <c r="B195" s="171"/>
      <c r="C195" s="172"/>
      <c r="D195" s="172"/>
      <c r="E195" s="340"/>
      <c r="F195" s="340"/>
      <c r="G195" s="327"/>
      <c r="H195" s="223"/>
      <c r="I195" s="164"/>
      <c r="J195" s="162"/>
      <c r="K195" s="129"/>
      <c r="L195" s="79"/>
      <c r="M195" s="79"/>
      <c r="N195" s="79"/>
    </row>
    <row r="196" ht="19.5" customHeight="1">
      <c r="A196" s="52"/>
      <c r="B196" s="171"/>
      <c r="C196" s="172"/>
      <c r="D196" s="172"/>
      <c r="E196" s="340"/>
      <c r="F196" s="340"/>
      <c r="G196" s="327"/>
      <c r="H196" s="223"/>
      <c r="I196" s="164"/>
      <c r="J196" s="162"/>
      <c r="K196" s="129"/>
      <c r="L196" s="79"/>
      <c r="M196" s="79"/>
      <c r="N196" s="79"/>
    </row>
    <row r="197" ht="19.5" customHeight="1">
      <c r="A197" s="52"/>
      <c r="B197" s="171"/>
      <c r="C197" s="172"/>
      <c r="D197" s="172"/>
      <c r="E197" s="340"/>
      <c r="F197" s="340"/>
      <c r="G197" s="327"/>
      <c r="H197" s="223"/>
      <c r="I197" s="164"/>
      <c r="J197" s="162"/>
      <c r="K197" s="129"/>
      <c r="L197" s="79"/>
      <c r="M197" s="79"/>
      <c r="N197" s="79"/>
    </row>
    <row r="198" ht="19.5" customHeight="1">
      <c r="A198" s="52"/>
      <c r="B198" s="171"/>
      <c r="C198" s="172"/>
      <c r="D198" s="172"/>
      <c r="E198" s="340"/>
      <c r="F198" s="340"/>
      <c r="G198" s="327"/>
      <c r="H198" s="223"/>
      <c r="I198" s="164"/>
      <c r="J198" s="162"/>
      <c r="K198" s="129"/>
      <c r="L198" s="79"/>
      <c r="M198" s="79"/>
      <c r="N198" s="79"/>
    </row>
    <row r="199" ht="19.5" customHeight="1">
      <c r="A199" s="52"/>
      <c r="B199" s="171"/>
      <c r="C199" s="172"/>
      <c r="D199" s="172"/>
      <c r="E199" s="340"/>
      <c r="F199" s="340"/>
      <c r="G199" s="327"/>
      <c r="H199" s="223"/>
      <c r="I199" s="164"/>
      <c r="J199" s="162"/>
      <c r="K199" s="129"/>
      <c r="L199" s="79"/>
      <c r="M199" s="79"/>
      <c r="N199" s="79"/>
    </row>
    <row r="200" ht="19.5" customHeight="1">
      <c r="A200" s="52"/>
      <c r="B200" s="171"/>
      <c r="C200" s="172"/>
      <c r="D200" s="172"/>
      <c r="E200" s="340"/>
      <c r="F200" s="340"/>
      <c r="G200" s="327"/>
      <c r="H200" s="223"/>
      <c r="I200" s="164"/>
      <c r="J200" s="162"/>
      <c r="K200" s="129"/>
      <c r="L200" s="79"/>
      <c r="M200" s="79"/>
      <c r="N200" s="79"/>
    </row>
    <row r="201" ht="19.5" customHeight="1">
      <c r="A201" s="52"/>
      <c r="B201" s="171"/>
      <c r="C201" s="172"/>
      <c r="D201" s="172"/>
      <c r="E201" s="340"/>
      <c r="F201" s="340"/>
      <c r="G201" s="327"/>
      <c r="H201" s="223"/>
      <c r="I201" s="164"/>
      <c r="J201" s="162"/>
      <c r="K201" s="129"/>
      <c r="L201" s="79"/>
      <c r="M201" s="79"/>
      <c r="N201" s="79"/>
    </row>
    <row r="202" ht="19.5" customHeight="1">
      <c r="A202" s="52"/>
      <c r="B202" s="171"/>
      <c r="C202" s="172"/>
      <c r="D202" s="172"/>
      <c r="E202" s="340"/>
      <c r="F202" s="340"/>
      <c r="G202" s="327"/>
      <c r="H202" s="223"/>
      <c r="I202" s="164"/>
      <c r="J202" s="162"/>
      <c r="K202" s="129"/>
      <c r="L202" s="79"/>
      <c r="M202" s="79"/>
      <c r="N202" s="79"/>
    </row>
    <row r="203" ht="19.5" customHeight="1">
      <c r="A203" s="52"/>
      <c r="B203" s="171"/>
      <c r="C203" s="172"/>
      <c r="D203" s="172"/>
      <c r="E203" s="340"/>
      <c r="F203" s="340"/>
      <c r="G203" s="327"/>
      <c r="H203" s="223"/>
      <c r="I203" s="164"/>
      <c r="J203" s="162"/>
      <c r="K203" s="129"/>
      <c r="L203" s="79"/>
      <c r="M203" s="79"/>
      <c r="N203" s="79"/>
    </row>
    <row r="204" ht="19.5" customHeight="1">
      <c r="A204" s="52"/>
      <c r="B204" s="171"/>
      <c r="C204" s="172"/>
      <c r="D204" s="172"/>
      <c r="E204" s="340"/>
      <c r="F204" s="340"/>
      <c r="G204" s="327"/>
      <c r="H204" s="223"/>
      <c r="I204" s="164"/>
      <c r="J204" s="162"/>
      <c r="K204" s="129"/>
      <c r="L204" s="79"/>
      <c r="M204" s="79"/>
      <c r="N204" s="79"/>
    </row>
    <row r="205" ht="19.5" customHeight="1">
      <c r="A205" s="52"/>
      <c r="B205" s="171"/>
      <c r="C205" s="172"/>
      <c r="D205" s="172"/>
      <c r="E205" s="340"/>
      <c r="F205" s="340"/>
      <c r="G205" s="327"/>
      <c r="H205" s="223"/>
      <c r="I205" s="164"/>
      <c r="J205" s="162"/>
      <c r="K205" s="129"/>
      <c r="L205" s="79"/>
      <c r="M205" s="79"/>
      <c r="N205" s="79"/>
    </row>
    <row r="206" ht="19.5" customHeight="1">
      <c r="A206" s="52"/>
      <c r="B206" s="171"/>
      <c r="C206" s="172"/>
      <c r="D206" s="172"/>
      <c r="E206" s="340"/>
      <c r="F206" s="340"/>
      <c r="G206" s="327"/>
      <c r="H206" s="223"/>
      <c r="I206" s="164"/>
      <c r="J206" s="162"/>
      <c r="K206" s="129"/>
      <c r="L206" s="79"/>
      <c r="M206" s="79"/>
      <c r="N206" s="79"/>
    </row>
    <row r="207" ht="19.5" customHeight="1">
      <c r="A207" s="52"/>
      <c r="B207" s="171"/>
      <c r="C207" s="172"/>
      <c r="D207" s="172"/>
      <c r="E207" s="340"/>
      <c r="F207" s="340"/>
      <c r="G207" s="327"/>
      <c r="H207" s="223"/>
      <c r="I207" s="164"/>
      <c r="J207" s="162"/>
      <c r="K207" s="129"/>
      <c r="L207" s="79"/>
      <c r="M207" s="79"/>
      <c r="N207" s="79"/>
    </row>
    <row r="208" ht="19.5" customHeight="1">
      <c r="A208" s="52"/>
      <c r="B208" s="171"/>
      <c r="C208" s="172"/>
      <c r="D208" s="172"/>
      <c r="E208" s="340"/>
      <c r="F208" s="340"/>
      <c r="G208" s="327"/>
      <c r="H208" s="223"/>
      <c r="I208" s="164"/>
      <c r="J208" s="162"/>
      <c r="K208" s="129"/>
      <c r="L208" s="79"/>
      <c r="M208" s="79"/>
      <c r="N208" s="79"/>
    </row>
    <row r="209" ht="19.5" customHeight="1">
      <c r="A209" s="52"/>
      <c r="B209" s="171"/>
      <c r="C209" s="172"/>
      <c r="D209" s="172"/>
      <c r="E209" s="340"/>
      <c r="F209" s="340"/>
      <c r="G209" s="327"/>
      <c r="H209" s="223"/>
      <c r="I209" s="164"/>
      <c r="J209" s="162"/>
      <c r="K209" s="129"/>
      <c r="L209" s="79"/>
      <c r="M209" s="79"/>
      <c r="N209" s="79"/>
    </row>
    <row r="210" ht="19.5" customHeight="1">
      <c r="A210" s="52"/>
      <c r="B210" s="171"/>
      <c r="C210" s="172"/>
      <c r="D210" s="172"/>
      <c r="E210" s="340"/>
      <c r="F210" s="340"/>
      <c r="G210" s="327"/>
      <c r="H210" s="223"/>
      <c r="I210" s="164"/>
      <c r="J210" s="162"/>
      <c r="K210" s="129"/>
      <c r="L210" s="79"/>
      <c r="M210" s="79"/>
      <c r="N210" s="79"/>
    </row>
    <row r="211" ht="19.5" customHeight="1">
      <c r="A211" s="52"/>
      <c r="B211" s="171"/>
      <c r="C211" s="172"/>
      <c r="D211" s="172"/>
      <c r="E211" s="340"/>
      <c r="F211" s="340"/>
      <c r="G211" s="327"/>
      <c r="H211" s="223"/>
      <c r="I211" s="164"/>
      <c r="J211" s="162"/>
      <c r="K211" s="129"/>
      <c r="L211" s="79"/>
      <c r="M211" s="79"/>
      <c r="N211" s="79"/>
    </row>
    <row r="212" ht="19.5" customHeight="1">
      <c r="A212" s="52"/>
      <c r="B212" s="171"/>
      <c r="C212" s="172"/>
      <c r="D212" s="172"/>
      <c r="E212" s="340"/>
      <c r="F212" s="340"/>
      <c r="G212" s="327"/>
      <c r="H212" s="223"/>
      <c r="I212" s="164"/>
      <c r="J212" s="162"/>
      <c r="K212" s="129"/>
      <c r="L212" s="79"/>
      <c r="M212" s="79"/>
      <c r="N212" s="79"/>
    </row>
    <row r="213" ht="19.5" customHeight="1">
      <c r="A213" s="52"/>
      <c r="B213" s="171"/>
      <c r="C213" s="172"/>
      <c r="D213" s="172"/>
      <c r="E213" s="340"/>
      <c r="F213" s="340"/>
      <c r="G213" s="327"/>
      <c r="H213" s="223"/>
      <c r="I213" s="164"/>
      <c r="J213" s="162"/>
      <c r="K213" s="129"/>
      <c r="L213" s="79"/>
      <c r="M213" s="79"/>
      <c r="N213" s="79"/>
    </row>
    <row r="214" ht="19.5" customHeight="1">
      <c r="A214" s="52"/>
      <c r="B214" s="171"/>
      <c r="C214" s="172"/>
      <c r="D214" s="172"/>
      <c r="E214" s="340"/>
      <c r="F214" s="340"/>
      <c r="G214" s="327"/>
      <c r="H214" s="223"/>
      <c r="I214" s="164"/>
      <c r="J214" s="162"/>
      <c r="K214" s="129"/>
      <c r="L214" s="79"/>
      <c r="M214" s="79"/>
      <c r="N214" s="79"/>
    </row>
    <row r="215" ht="19.5" customHeight="1">
      <c r="A215" s="52"/>
      <c r="B215" s="171"/>
      <c r="C215" s="172"/>
      <c r="D215" s="172"/>
      <c r="E215" s="340"/>
      <c r="F215" s="340"/>
      <c r="G215" s="327"/>
      <c r="H215" s="223"/>
      <c r="I215" s="164"/>
      <c r="J215" s="162"/>
      <c r="K215" s="129"/>
      <c r="L215" s="79"/>
      <c r="M215" s="79"/>
      <c r="N215" s="79"/>
    </row>
    <row r="216" ht="19.5" customHeight="1">
      <c r="A216" s="52"/>
      <c r="B216" s="171"/>
      <c r="C216" s="172"/>
      <c r="D216" s="172"/>
      <c r="E216" s="340"/>
      <c r="F216" s="340"/>
      <c r="G216" s="327"/>
      <c r="H216" s="223"/>
      <c r="I216" s="164"/>
      <c r="J216" s="162"/>
      <c r="K216" s="129"/>
      <c r="L216" s="79"/>
      <c r="M216" s="79"/>
      <c r="N216" s="79"/>
    </row>
    <row r="217" ht="19.5" customHeight="1">
      <c r="A217" s="52"/>
      <c r="B217" s="171"/>
      <c r="C217" s="172"/>
      <c r="D217" s="172"/>
      <c r="E217" s="340"/>
      <c r="F217" s="340"/>
      <c r="G217" s="327"/>
      <c r="H217" s="223"/>
      <c r="I217" s="164"/>
      <c r="J217" s="162"/>
      <c r="K217" s="129"/>
      <c r="L217" s="79"/>
      <c r="M217" s="79"/>
      <c r="N217" s="79"/>
    </row>
    <row r="218" ht="15.75" customHeight="1">
      <c r="A218" s="261"/>
      <c r="B218" s="171"/>
      <c r="C218" s="172"/>
      <c r="D218" s="172"/>
      <c r="E218" s="340"/>
      <c r="F218" s="340"/>
      <c r="G218" s="327"/>
      <c r="H218" s="223"/>
      <c r="I218" s="164"/>
      <c r="J218" s="162"/>
      <c r="K218" s="129"/>
      <c r="L218" s="79"/>
      <c r="M218" s="79"/>
      <c r="N218" s="79"/>
    </row>
    <row r="219" ht="15.75" customHeight="1">
      <c r="A219" s="261"/>
      <c r="B219" s="171"/>
      <c r="C219" s="172"/>
      <c r="D219" s="172"/>
      <c r="E219" s="340"/>
      <c r="F219" s="340"/>
      <c r="G219" s="327"/>
      <c r="H219" s="223"/>
      <c r="I219" s="164"/>
      <c r="J219" s="162"/>
      <c r="K219" s="129"/>
      <c r="L219" s="79"/>
      <c r="M219" s="79"/>
      <c r="N219" s="79"/>
    </row>
    <row r="220" ht="15.75" customHeight="1">
      <c r="A220" s="261"/>
      <c r="B220" s="171"/>
      <c r="C220" s="172"/>
      <c r="D220" s="172"/>
      <c r="E220" s="340"/>
      <c r="F220" s="340"/>
      <c r="G220" s="327"/>
      <c r="H220" s="223"/>
      <c r="I220" s="164"/>
      <c r="J220" s="162"/>
      <c r="K220" s="129"/>
      <c r="L220" s="79"/>
      <c r="M220" s="79"/>
      <c r="N220" s="79"/>
    </row>
    <row r="221" ht="15.75" customHeight="1">
      <c r="A221" s="261"/>
      <c r="B221" s="171"/>
      <c r="C221" s="172"/>
      <c r="D221" s="172"/>
      <c r="E221" s="340"/>
      <c r="F221" s="340"/>
      <c r="G221" s="327"/>
      <c r="H221" s="223"/>
      <c r="I221" s="164"/>
      <c r="J221" s="162"/>
      <c r="K221" s="129"/>
      <c r="L221" s="79"/>
      <c r="M221" s="79"/>
      <c r="N221" s="79"/>
    </row>
    <row r="222" ht="15.75" customHeight="1">
      <c r="A222" s="261"/>
      <c r="B222" s="171"/>
      <c r="C222" s="172"/>
      <c r="D222" s="172"/>
      <c r="E222" s="340"/>
      <c r="F222" s="340"/>
      <c r="G222" s="327"/>
      <c r="H222" s="223"/>
      <c r="I222" s="164"/>
      <c r="J222" s="162"/>
      <c r="K222" s="129"/>
      <c r="L222" s="79"/>
      <c r="M222" s="79"/>
      <c r="N222" s="79"/>
    </row>
    <row r="223" ht="15.75" customHeight="1">
      <c r="A223" s="261"/>
      <c r="B223" s="171"/>
      <c r="C223" s="172"/>
      <c r="D223" s="172"/>
      <c r="E223" s="340"/>
      <c r="F223" s="340"/>
      <c r="G223" s="327"/>
      <c r="H223" s="223"/>
      <c r="I223" s="164"/>
      <c r="J223" s="162"/>
      <c r="K223" s="129"/>
      <c r="L223" s="79"/>
      <c r="M223" s="79"/>
      <c r="N223" s="79"/>
    </row>
    <row r="224" ht="15.75" customHeight="1">
      <c r="A224" s="261"/>
      <c r="B224" s="171"/>
      <c r="C224" s="172"/>
      <c r="D224" s="172"/>
      <c r="E224" s="340"/>
      <c r="F224" s="340"/>
      <c r="G224" s="327"/>
      <c r="H224" s="223"/>
      <c r="I224" s="164"/>
      <c r="J224" s="162"/>
      <c r="K224" s="129"/>
      <c r="L224" s="79"/>
      <c r="M224" s="79"/>
      <c r="N224" s="79"/>
    </row>
    <row r="225" ht="15.75" customHeight="1">
      <c r="A225" s="261"/>
      <c r="B225" s="171"/>
      <c r="C225" s="172"/>
      <c r="D225" s="172"/>
      <c r="E225" s="340"/>
      <c r="F225" s="340"/>
      <c r="G225" s="327"/>
      <c r="H225" s="223"/>
      <c r="I225" s="164"/>
      <c r="J225" s="162"/>
      <c r="K225" s="129"/>
      <c r="L225" s="79"/>
      <c r="M225" s="79"/>
      <c r="N225" s="79"/>
    </row>
    <row r="226" ht="15.75" customHeight="1">
      <c r="A226" s="261"/>
      <c r="B226" s="171"/>
      <c r="C226" s="172"/>
      <c r="D226" s="172"/>
      <c r="E226" s="340"/>
      <c r="F226" s="340"/>
      <c r="G226" s="327"/>
      <c r="H226" s="223"/>
      <c r="I226" s="164"/>
      <c r="J226" s="162"/>
      <c r="K226" s="129"/>
      <c r="L226" s="79"/>
      <c r="M226" s="79"/>
      <c r="N226" s="79"/>
    </row>
    <row r="227" ht="15.75" customHeight="1">
      <c r="A227" s="261"/>
      <c r="B227" s="171"/>
      <c r="C227" s="172"/>
      <c r="D227" s="172"/>
      <c r="E227" s="340"/>
      <c r="F227" s="340"/>
      <c r="G227" s="327"/>
      <c r="H227" s="223"/>
      <c r="I227" s="164"/>
      <c r="J227" s="162"/>
      <c r="K227" s="129"/>
      <c r="L227" s="79"/>
      <c r="M227" s="79"/>
      <c r="N227" s="79"/>
    </row>
    <row r="228" ht="15.75" customHeight="1">
      <c r="A228" s="261"/>
      <c r="B228" s="171"/>
      <c r="C228" s="172"/>
      <c r="D228" s="172"/>
      <c r="E228" s="340"/>
      <c r="F228" s="340"/>
      <c r="G228" s="327"/>
      <c r="H228" s="223"/>
      <c r="I228" s="164"/>
      <c r="J228" s="162"/>
      <c r="K228" s="129"/>
      <c r="L228" s="79"/>
      <c r="M228" s="79"/>
      <c r="N228" s="79"/>
    </row>
    <row r="229" ht="15.75" customHeight="1">
      <c r="A229" s="261"/>
      <c r="B229" s="171"/>
      <c r="C229" s="172"/>
      <c r="D229" s="172"/>
      <c r="E229" s="340"/>
      <c r="F229" s="340"/>
      <c r="G229" s="327"/>
      <c r="H229" s="223"/>
      <c r="I229" s="164"/>
      <c r="J229" s="162"/>
      <c r="K229" s="129"/>
      <c r="L229" s="79"/>
      <c r="M229" s="79"/>
      <c r="N229" s="79"/>
    </row>
    <row r="230" ht="15.75" customHeight="1">
      <c r="A230" s="261"/>
      <c r="B230" s="171"/>
      <c r="C230" s="172"/>
      <c r="D230" s="172"/>
      <c r="E230" s="340"/>
      <c r="F230" s="340"/>
      <c r="G230" s="327"/>
      <c r="H230" s="223"/>
      <c r="I230" s="164"/>
      <c r="J230" s="162"/>
      <c r="K230" s="129"/>
      <c r="L230" s="79"/>
      <c r="M230" s="79"/>
      <c r="N230" s="79"/>
    </row>
    <row r="231" ht="15.75" customHeight="1">
      <c r="A231" s="261"/>
      <c r="B231" s="171"/>
      <c r="C231" s="172"/>
      <c r="D231" s="172"/>
      <c r="E231" s="340"/>
      <c r="F231" s="340"/>
      <c r="G231" s="327"/>
      <c r="H231" s="223"/>
      <c r="I231" s="164"/>
      <c r="J231" s="162"/>
      <c r="K231" s="129"/>
      <c r="L231" s="79"/>
      <c r="M231" s="79"/>
      <c r="N231" s="79"/>
    </row>
    <row r="232" ht="15.75" customHeight="1">
      <c r="A232" s="261"/>
      <c r="B232" s="171"/>
      <c r="C232" s="172"/>
      <c r="D232" s="172"/>
      <c r="E232" s="340"/>
      <c r="F232" s="340"/>
      <c r="G232" s="327"/>
      <c r="H232" s="223"/>
      <c r="I232" s="164"/>
      <c r="J232" s="162"/>
      <c r="K232" s="129"/>
      <c r="L232" s="79"/>
      <c r="M232" s="79"/>
      <c r="N232" s="79"/>
    </row>
    <row r="233" ht="15.75" customHeight="1">
      <c r="A233" s="261"/>
      <c r="B233" s="171"/>
      <c r="C233" s="172"/>
      <c r="D233" s="172"/>
      <c r="E233" s="340"/>
      <c r="F233" s="340"/>
      <c r="G233" s="327"/>
      <c r="H233" s="223"/>
      <c r="I233" s="164"/>
      <c r="J233" s="162"/>
      <c r="K233" s="129"/>
      <c r="L233" s="79"/>
      <c r="M233" s="79"/>
      <c r="N233" s="79"/>
    </row>
    <row r="234" ht="15.75" customHeight="1">
      <c r="A234" s="261"/>
      <c r="B234" s="171"/>
      <c r="C234" s="172"/>
      <c r="D234" s="172"/>
      <c r="E234" s="340"/>
      <c r="F234" s="340"/>
      <c r="G234" s="327"/>
      <c r="H234" s="223"/>
      <c r="I234" s="164"/>
      <c r="J234" s="162"/>
      <c r="K234" s="129"/>
      <c r="L234" s="79"/>
      <c r="M234" s="79"/>
      <c r="N234" s="79"/>
    </row>
    <row r="235" ht="15.75" customHeight="1">
      <c r="A235" s="261"/>
      <c r="B235" s="171"/>
      <c r="C235" s="172"/>
      <c r="D235" s="172"/>
      <c r="E235" s="340"/>
      <c r="F235" s="340"/>
      <c r="G235" s="327"/>
      <c r="H235" s="223"/>
      <c r="I235" s="164"/>
      <c r="J235" s="162"/>
      <c r="K235" s="129"/>
      <c r="L235" s="79"/>
      <c r="M235" s="79"/>
      <c r="N235" s="79"/>
    </row>
    <row r="236" ht="15.75" customHeight="1">
      <c r="A236" s="261"/>
      <c r="B236" s="171"/>
      <c r="C236" s="172"/>
      <c r="D236" s="172"/>
      <c r="E236" s="340"/>
      <c r="F236" s="340"/>
      <c r="G236" s="327"/>
      <c r="H236" s="223"/>
      <c r="I236" s="164"/>
      <c r="J236" s="162"/>
      <c r="K236" s="129"/>
      <c r="L236" s="79"/>
      <c r="M236" s="79"/>
      <c r="N236" s="79"/>
    </row>
    <row r="237" ht="15.75" customHeight="1">
      <c r="A237" s="261"/>
      <c r="B237" s="171"/>
      <c r="C237" s="172"/>
      <c r="D237" s="172"/>
      <c r="E237" s="340"/>
      <c r="F237" s="340"/>
      <c r="G237" s="327"/>
      <c r="H237" s="223"/>
      <c r="I237" s="164"/>
      <c r="J237" s="162"/>
      <c r="K237" s="129"/>
      <c r="L237" s="79"/>
      <c r="M237" s="79"/>
      <c r="N237" s="79"/>
    </row>
    <row r="238" ht="15.75" customHeight="1">
      <c r="A238" s="261"/>
      <c r="B238" s="171"/>
      <c r="C238" s="172"/>
      <c r="D238" s="172"/>
      <c r="E238" s="340"/>
      <c r="F238" s="340"/>
      <c r="G238" s="327"/>
      <c r="H238" s="223"/>
      <c r="I238" s="164"/>
      <c r="J238" s="162"/>
      <c r="K238" s="129"/>
      <c r="L238" s="79"/>
      <c r="M238" s="79"/>
      <c r="N238" s="79"/>
    </row>
    <row r="239" ht="15.75" customHeight="1">
      <c r="A239" s="261"/>
      <c r="B239" s="171"/>
      <c r="C239" s="172"/>
      <c r="D239" s="172"/>
      <c r="E239" s="340"/>
      <c r="F239" s="340"/>
      <c r="G239" s="327"/>
      <c r="H239" s="223"/>
      <c r="I239" s="164"/>
      <c r="J239" s="162"/>
      <c r="K239" s="129"/>
      <c r="L239" s="79"/>
      <c r="M239" s="79"/>
      <c r="N239" s="79"/>
    </row>
    <row r="240" ht="15.75" customHeight="1">
      <c r="A240" s="261"/>
      <c r="B240" s="171"/>
      <c r="C240" s="172"/>
      <c r="D240" s="172"/>
      <c r="E240" s="340"/>
      <c r="F240" s="340"/>
      <c r="G240" s="327"/>
      <c r="H240" s="223"/>
      <c r="I240" s="164"/>
      <c r="J240" s="162"/>
      <c r="K240" s="129"/>
      <c r="L240" s="79"/>
      <c r="M240" s="79"/>
      <c r="N240" s="79"/>
    </row>
    <row r="241" ht="15.75" customHeight="1">
      <c r="A241" s="261"/>
      <c r="B241" s="171"/>
      <c r="C241" s="172"/>
      <c r="D241" s="172"/>
      <c r="E241" s="340"/>
      <c r="F241" s="340"/>
      <c r="G241" s="327"/>
      <c r="H241" s="223"/>
      <c r="I241" s="164"/>
      <c r="J241" s="162"/>
      <c r="K241" s="129"/>
      <c r="L241" s="79"/>
      <c r="M241" s="79"/>
      <c r="N241" s="79"/>
    </row>
    <row r="242" ht="15.75" customHeight="1">
      <c r="A242" s="261"/>
      <c r="B242" s="171"/>
      <c r="C242" s="172"/>
      <c r="D242" s="172"/>
      <c r="E242" s="340"/>
      <c r="F242" s="340"/>
      <c r="G242" s="327"/>
      <c r="H242" s="223"/>
      <c r="I242" s="164"/>
      <c r="J242" s="162"/>
      <c r="K242" s="129"/>
      <c r="L242" s="79"/>
      <c r="M242" s="79"/>
      <c r="N242" s="79"/>
    </row>
    <row r="243" ht="15.75" customHeight="1">
      <c r="A243" s="261"/>
      <c r="B243" s="171"/>
      <c r="C243" s="172"/>
      <c r="D243" s="172"/>
      <c r="E243" s="340"/>
      <c r="F243" s="340"/>
      <c r="G243" s="327"/>
      <c r="H243" s="223"/>
      <c r="I243" s="164"/>
      <c r="J243" s="162"/>
      <c r="K243" s="129"/>
      <c r="L243" s="79"/>
      <c r="M243" s="79"/>
      <c r="N243" s="79"/>
    </row>
    <row r="244" ht="15.75" customHeight="1">
      <c r="A244" s="261"/>
      <c r="B244" s="171"/>
      <c r="C244" s="172"/>
      <c r="D244" s="172"/>
      <c r="E244" s="340"/>
      <c r="F244" s="340"/>
      <c r="G244" s="327"/>
      <c r="H244" s="223"/>
      <c r="I244" s="164"/>
      <c r="J244" s="162"/>
      <c r="K244" s="129"/>
      <c r="L244" s="79"/>
      <c r="M244" s="79"/>
      <c r="N244" s="79"/>
    </row>
    <row r="245" ht="15.75" customHeight="1">
      <c r="A245" s="261"/>
      <c r="B245" s="171"/>
      <c r="C245" s="172"/>
      <c r="D245" s="172"/>
      <c r="E245" s="340"/>
      <c r="F245" s="340"/>
      <c r="G245" s="327"/>
      <c r="H245" s="223"/>
      <c r="I245" s="164"/>
      <c r="J245" s="162"/>
      <c r="K245" s="129"/>
      <c r="L245" s="79"/>
      <c r="M245" s="79"/>
      <c r="N245" s="79"/>
    </row>
    <row r="246" ht="15.75" customHeight="1">
      <c r="A246" s="261"/>
      <c r="B246" s="171"/>
      <c r="C246" s="172"/>
      <c r="D246" s="172"/>
      <c r="E246" s="340"/>
      <c r="F246" s="340"/>
      <c r="G246" s="327"/>
      <c r="H246" s="223"/>
      <c r="I246" s="164"/>
      <c r="J246" s="162"/>
      <c r="K246" s="129"/>
      <c r="L246" s="79"/>
      <c r="M246" s="79"/>
      <c r="N246" s="79"/>
    </row>
    <row r="247" ht="15.75" customHeight="1">
      <c r="A247" s="261"/>
      <c r="B247" s="171"/>
      <c r="C247" s="172"/>
      <c r="D247" s="172"/>
      <c r="E247" s="340"/>
      <c r="F247" s="340"/>
      <c r="G247" s="327"/>
      <c r="H247" s="223"/>
      <c r="I247" s="164"/>
      <c r="J247" s="162"/>
      <c r="K247" s="129"/>
      <c r="L247" s="79"/>
      <c r="M247" s="79"/>
      <c r="N247" s="79"/>
    </row>
    <row r="248" ht="15.75" customHeight="1">
      <c r="A248" s="261"/>
      <c r="B248" s="171"/>
      <c r="C248" s="172"/>
      <c r="D248" s="172"/>
      <c r="E248" s="340"/>
      <c r="F248" s="340"/>
      <c r="G248" s="327"/>
      <c r="H248" s="223"/>
      <c r="I248" s="164"/>
      <c r="J248" s="162"/>
      <c r="K248" s="129"/>
      <c r="L248" s="79"/>
      <c r="M248" s="79"/>
      <c r="N248" s="79"/>
    </row>
    <row r="249" ht="15.75" customHeight="1">
      <c r="A249" s="261"/>
      <c r="B249" s="171"/>
      <c r="C249" s="172"/>
      <c r="D249" s="172"/>
      <c r="E249" s="340"/>
      <c r="F249" s="340"/>
      <c r="G249" s="327"/>
      <c r="H249" s="223"/>
      <c r="I249" s="164"/>
      <c r="J249" s="162"/>
      <c r="K249" s="129"/>
      <c r="L249" s="79"/>
      <c r="M249" s="79"/>
      <c r="N249" s="79"/>
    </row>
    <row r="250" ht="15.75" customHeight="1">
      <c r="A250" s="261"/>
      <c r="B250" s="171"/>
      <c r="C250" s="172"/>
      <c r="D250" s="172"/>
      <c r="E250" s="340"/>
      <c r="F250" s="340"/>
      <c r="G250" s="327"/>
      <c r="H250" s="223"/>
      <c r="I250" s="164"/>
      <c r="J250" s="162"/>
      <c r="K250" s="129"/>
      <c r="L250" s="79"/>
      <c r="M250" s="79"/>
      <c r="N250" s="79"/>
    </row>
    <row r="251" ht="15.75" customHeight="1">
      <c r="A251" s="261"/>
      <c r="B251" s="171"/>
      <c r="C251" s="172"/>
      <c r="D251" s="172"/>
      <c r="E251" s="340"/>
      <c r="F251" s="340"/>
      <c r="G251" s="327"/>
      <c r="H251" s="223"/>
      <c r="I251" s="164"/>
      <c r="J251" s="162"/>
      <c r="K251" s="129"/>
      <c r="L251" s="79"/>
      <c r="M251" s="79"/>
      <c r="N251" s="79"/>
    </row>
    <row r="252" ht="15.75" customHeight="1">
      <c r="A252" s="261"/>
      <c r="B252" s="171"/>
      <c r="C252" s="172"/>
      <c r="D252" s="172"/>
      <c r="E252" s="340"/>
      <c r="F252" s="340"/>
      <c r="G252" s="327"/>
      <c r="H252" s="223"/>
      <c r="I252" s="164"/>
      <c r="J252" s="162"/>
      <c r="K252" s="129"/>
      <c r="L252" s="79"/>
      <c r="M252" s="79"/>
      <c r="N252" s="79"/>
    </row>
    <row r="253" ht="15.75" customHeight="1">
      <c r="A253" s="261"/>
      <c r="B253" s="171"/>
      <c r="C253" s="172"/>
      <c r="D253" s="172"/>
      <c r="E253" s="340"/>
      <c r="F253" s="340"/>
      <c r="G253" s="327"/>
      <c r="H253" s="223"/>
      <c r="I253" s="164"/>
      <c r="J253" s="162"/>
      <c r="K253" s="129"/>
      <c r="L253" s="79"/>
      <c r="M253" s="79"/>
      <c r="N253" s="79"/>
    </row>
    <row r="254" ht="15.75" customHeight="1">
      <c r="A254" s="261"/>
      <c r="B254" s="171"/>
      <c r="C254" s="172"/>
      <c r="D254" s="172"/>
      <c r="E254" s="340"/>
      <c r="F254" s="340"/>
      <c r="G254" s="327"/>
      <c r="H254" s="223"/>
      <c r="I254" s="164"/>
      <c r="J254" s="162"/>
      <c r="K254" s="129"/>
      <c r="L254" s="79"/>
      <c r="M254" s="79"/>
      <c r="N254" s="79"/>
    </row>
    <row r="255" ht="15.75" customHeight="1">
      <c r="A255" s="261"/>
      <c r="B255" s="171"/>
      <c r="C255" s="172"/>
      <c r="D255" s="172"/>
      <c r="E255" s="340"/>
      <c r="F255" s="340"/>
      <c r="G255" s="327"/>
      <c r="H255" s="223"/>
      <c r="I255" s="164"/>
      <c r="J255" s="162"/>
      <c r="K255" s="129"/>
      <c r="L255" s="79"/>
      <c r="M255" s="79"/>
      <c r="N255" s="79"/>
    </row>
    <row r="256" ht="15.75" customHeight="1">
      <c r="A256" s="261"/>
      <c r="B256" s="171"/>
      <c r="C256" s="172"/>
      <c r="D256" s="172"/>
      <c r="E256" s="340"/>
      <c r="F256" s="340"/>
      <c r="G256" s="327"/>
      <c r="H256" s="223"/>
      <c r="I256" s="164"/>
      <c r="J256" s="162"/>
      <c r="K256" s="129"/>
      <c r="L256" s="79"/>
      <c r="M256" s="79"/>
      <c r="N256" s="79"/>
    </row>
    <row r="257" ht="15.75" customHeight="1">
      <c r="A257" s="261"/>
      <c r="B257" s="171"/>
      <c r="C257" s="172"/>
      <c r="D257" s="172"/>
      <c r="E257" s="340"/>
      <c r="F257" s="340"/>
      <c r="G257" s="327"/>
      <c r="H257" s="223"/>
      <c r="I257" s="164"/>
      <c r="J257" s="162"/>
      <c r="K257" s="129"/>
      <c r="L257" s="79"/>
      <c r="M257" s="79"/>
      <c r="N257" s="79"/>
    </row>
    <row r="258" ht="15.75" customHeight="1">
      <c r="A258" s="261"/>
      <c r="B258" s="171"/>
      <c r="C258" s="172"/>
      <c r="D258" s="172"/>
      <c r="E258" s="340"/>
      <c r="F258" s="340"/>
      <c r="G258" s="327"/>
      <c r="H258" s="223"/>
      <c r="I258" s="164"/>
      <c r="J258" s="162"/>
      <c r="K258" s="129"/>
      <c r="L258" s="79"/>
      <c r="M258" s="79"/>
      <c r="N258" s="79"/>
    </row>
    <row r="259" ht="15.75" customHeight="1">
      <c r="A259" s="261"/>
      <c r="B259" s="171"/>
      <c r="C259" s="172"/>
      <c r="D259" s="172"/>
      <c r="E259" s="340"/>
      <c r="F259" s="340"/>
      <c r="G259" s="327"/>
      <c r="H259" s="223"/>
      <c r="I259" s="164"/>
      <c r="J259" s="162"/>
      <c r="K259" s="129"/>
      <c r="L259" s="79"/>
      <c r="M259" s="79"/>
      <c r="N259" s="79"/>
    </row>
    <row r="260" ht="15.75" customHeight="1">
      <c r="A260" s="261"/>
      <c r="B260" s="171"/>
      <c r="C260" s="172"/>
      <c r="D260" s="172"/>
      <c r="E260" s="340"/>
      <c r="F260" s="340"/>
      <c r="G260" s="327"/>
      <c r="H260" s="223"/>
      <c r="I260" s="164"/>
      <c r="J260" s="162"/>
      <c r="K260" s="129"/>
      <c r="L260" s="79"/>
      <c r="M260" s="79"/>
      <c r="N260" s="79"/>
    </row>
    <row r="261" ht="15.75" customHeight="1">
      <c r="A261" s="261"/>
      <c r="B261" s="171"/>
      <c r="C261" s="172"/>
      <c r="D261" s="172"/>
      <c r="E261" s="340"/>
      <c r="F261" s="340"/>
      <c r="G261" s="327"/>
      <c r="H261" s="223"/>
      <c r="I261" s="164"/>
      <c r="J261" s="162"/>
      <c r="K261" s="129"/>
      <c r="L261" s="79"/>
      <c r="M261" s="79"/>
      <c r="N261" s="79"/>
    </row>
    <row r="262" ht="15.75" customHeight="1">
      <c r="A262" s="261"/>
      <c r="B262" s="171"/>
      <c r="C262" s="172"/>
      <c r="D262" s="172"/>
      <c r="E262" s="340"/>
      <c r="F262" s="340"/>
      <c r="G262" s="327"/>
      <c r="H262" s="223"/>
      <c r="I262" s="164"/>
      <c r="J262" s="162"/>
      <c r="K262" s="129"/>
      <c r="L262" s="79"/>
      <c r="M262" s="79"/>
      <c r="N262" s="79"/>
    </row>
    <row r="263" ht="15.75" customHeight="1">
      <c r="A263" s="261"/>
      <c r="B263" s="171"/>
      <c r="C263" s="172"/>
      <c r="D263" s="172"/>
      <c r="E263" s="340"/>
      <c r="F263" s="340"/>
      <c r="G263" s="327"/>
      <c r="H263" s="223"/>
      <c r="I263" s="164"/>
      <c r="J263" s="162"/>
      <c r="K263" s="129"/>
      <c r="L263" s="79"/>
      <c r="M263" s="79"/>
      <c r="N263" s="79"/>
    </row>
    <row r="264" ht="15.75" customHeight="1">
      <c r="A264" s="261"/>
      <c r="B264" s="171"/>
      <c r="C264" s="172"/>
      <c r="D264" s="172"/>
      <c r="E264" s="340"/>
      <c r="F264" s="340"/>
      <c r="G264" s="327"/>
      <c r="H264" s="223"/>
      <c r="I264" s="164"/>
      <c r="J264" s="162"/>
      <c r="K264" s="129"/>
      <c r="L264" s="79"/>
      <c r="M264" s="79"/>
      <c r="N264" s="79"/>
    </row>
    <row r="265" ht="15.75" customHeight="1">
      <c r="A265" s="261"/>
      <c r="B265" s="171"/>
      <c r="C265" s="172"/>
      <c r="D265" s="172"/>
      <c r="E265" s="340"/>
      <c r="F265" s="340"/>
      <c r="G265" s="327"/>
      <c r="H265" s="223"/>
      <c r="I265" s="164"/>
      <c r="J265" s="162"/>
      <c r="K265" s="129"/>
      <c r="L265" s="79"/>
      <c r="M265" s="79"/>
      <c r="N265" s="79"/>
    </row>
    <row r="266" ht="15.75" customHeight="1">
      <c r="A266" s="261"/>
      <c r="B266" s="171"/>
      <c r="C266" s="172"/>
      <c r="D266" s="172"/>
      <c r="E266" s="340"/>
      <c r="F266" s="340"/>
      <c r="G266" s="327"/>
      <c r="H266" s="223"/>
      <c r="I266" s="164"/>
      <c r="J266" s="162"/>
      <c r="K266" s="129"/>
      <c r="L266" s="79"/>
      <c r="M266" s="79"/>
      <c r="N266" s="79"/>
    </row>
    <row r="267" ht="15.75" customHeight="1">
      <c r="A267" s="261"/>
      <c r="B267" s="171"/>
      <c r="C267" s="172"/>
      <c r="D267" s="172"/>
      <c r="E267" s="340"/>
      <c r="F267" s="340"/>
      <c r="G267" s="327"/>
      <c r="H267" s="223"/>
      <c r="I267" s="164"/>
      <c r="J267" s="162"/>
      <c r="K267" s="129"/>
      <c r="L267" s="79"/>
      <c r="M267" s="79"/>
      <c r="N267" s="79"/>
    </row>
    <row r="268" ht="15.75" customHeight="1">
      <c r="A268" s="261"/>
      <c r="B268" s="171"/>
      <c r="C268" s="172"/>
      <c r="D268" s="172"/>
      <c r="E268" s="340"/>
      <c r="F268" s="340"/>
      <c r="G268" s="327"/>
      <c r="H268" s="223"/>
      <c r="I268" s="164"/>
      <c r="J268" s="162"/>
      <c r="K268" s="129"/>
      <c r="L268" s="79"/>
      <c r="M268" s="79"/>
      <c r="N268" s="79"/>
    </row>
    <row r="269" ht="15.75" customHeight="1">
      <c r="A269" s="261"/>
      <c r="B269" s="171"/>
      <c r="C269" s="172"/>
      <c r="D269" s="172"/>
      <c r="E269" s="340"/>
      <c r="F269" s="340"/>
      <c r="G269" s="327"/>
      <c r="H269" s="223"/>
      <c r="I269" s="164"/>
      <c r="J269" s="162"/>
      <c r="K269" s="129"/>
      <c r="L269" s="79"/>
      <c r="M269" s="79"/>
      <c r="N269" s="79"/>
    </row>
    <row r="270" ht="15.75" customHeight="1">
      <c r="A270" s="261"/>
      <c r="B270" s="171"/>
      <c r="C270" s="172"/>
      <c r="D270" s="172"/>
      <c r="E270" s="340"/>
      <c r="F270" s="340"/>
      <c r="G270" s="327"/>
      <c r="H270" s="223"/>
      <c r="I270" s="164"/>
      <c r="J270" s="162"/>
      <c r="K270" s="129"/>
      <c r="L270" s="79"/>
      <c r="M270" s="79"/>
      <c r="N270" s="79"/>
    </row>
    <row r="271" ht="15.75" customHeight="1">
      <c r="A271" s="261"/>
      <c r="B271" s="171"/>
      <c r="C271" s="172"/>
      <c r="D271" s="172"/>
      <c r="E271" s="340"/>
      <c r="F271" s="340"/>
      <c r="G271" s="327"/>
      <c r="H271" s="223"/>
      <c r="I271" s="164"/>
      <c r="J271" s="162"/>
      <c r="K271" s="129"/>
      <c r="L271" s="79"/>
      <c r="M271" s="79"/>
      <c r="N271" s="79"/>
    </row>
    <row r="272" ht="15.75" customHeight="1">
      <c r="A272" s="261"/>
      <c r="B272" s="171"/>
      <c r="C272" s="172"/>
      <c r="D272" s="172"/>
      <c r="E272" s="340"/>
      <c r="F272" s="340"/>
      <c r="G272" s="327"/>
      <c r="H272" s="223"/>
      <c r="I272" s="164"/>
      <c r="J272" s="162"/>
      <c r="K272" s="129"/>
      <c r="L272" s="79"/>
      <c r="M272" s="79"/>
      <c r="N272" s="79"/>
    </row>
    <row r="273" ht="15.75" customHeight="1">
      <c r="A273" s="261"/>
      <c r="B273" s="171"/>
      <c r="C273" s="172"/>
      <c r="D273" s="172"/>
      <c r="E273" s="340"/>
      <c r="F273" s="340"/>
      <c r="G273" s="327"/>
      <c r="H273" s="223"/>
      <c r="I273" s="164"/>
      <c r="J273" s="162"/>
      <c r="K273" s="129"/>
      <c r="L273" s="79"/>
      <c r="M273" s="79"/>
      <c r="N273" s="79"/>
    </row>
    <row r="274" ht="15.75" customHeight="1">
      <c r="A274" s="261"/>
      <c r="B274" s="171"/>
      <c r="C274" s="172"/>
      <c r="D274" s="172"/>
      <c r="E274" s="340"/>
      <c r="F274" s="340"/>
      <c r="G274" s="327"/>
      <c r="H274" s="223"/>
      <c r="I274" s="164"/>
      <c r="J274" s="162"/>
      <c r="K274" s="129"/>
      <c r="L274" s="79"/>
      <c r="M274" s="79"/>
      <c r="N274" s="79"/>
    </row>
    <row r="275" ht="15.75" customHeight="1">
      <c r="A275" s="261"/>
      <c r="B275" s="171"/>
      <c r="C275" s="172"/>
      <c r="D275" s="172"/>
      <c r="E275" s="340"/>
      <c r="F275" s="340"/>
      <c r="G275" s="327"/>
      <c r="H275" s="223"/>
      <c r="I275" s="164"/>
      <c r="J275" s="162"/>
      <c r="K275" s="129"/>
      <c r="L275" s="79"/>
      <c r="M275" s="79"/>
      <c r="N275" s="79"/>
    </row>
    <row r="276" ht="15.75" customHeight="1">
      <c r="A276" s="261"/>
      <c r="B276" s="171"/>
      <c r="C276" s="172"/>
      <c r="D276" s="172"/>
      <c r="E276" s="340"/>
      <c r="F276" s="340"/>
      <c r="G276" s="327"/>
      <c r="H276" s="223"/>
      <c r="I276" s="164"/>
      <c r="J276" s="162"/>
      <c r="K276" s="129"/>
      <c r="L276" s="79"/>
      <c r="M276" s="79"/>
      <c r="N276" s="79"/>
    </row>
    <row r="277" ht="15.75" customHeight="1">
      <c r="A277" s="261"/>
      <c r="B277" s="171"/>
      <c r="C277" s="172"/>
      <c r="D277" s="172"/>
      <c r="E277" s="340"/>
      <c r="F277" s="340"/>
      <c r="G277" s="327"/>
      <c r="H277" s="223"/>
      <c r="I277" s="164"/>
      <c r="J277" s="162"/>
      <c r="K277" s="129"/>
      <c r="L277" s="79"/>
      <c r="M277" s="79"/>
      <c r="N277" s="79"/>
    </row>
    <row r="278" ht="15.75" customHeight="1">
      <c r="A278" s="261"/>
      <c r="B278" s="171"/>
      <c r="C278" s="172"/>
      <c r="D278" s="172"/>
      <c r="E278" s="340"/>
      <c r="F278" s="340"/>
      <c r="G278" s="327"/>
      <c r="H278" s="223"/>
      <c r="I278" s="164"/>
      <c r="J278" s="162"/>
      <c r="K278" s="129"/>
      <c r="L278" s="79"/>
      <c r="M278" s="79"/>
      <c r="N278" s="79"/>
    </row>
    <row r="279" ht="15.75" customHeight="1">
      <c r="A279" s="261"/>
      <c r="B279" s="171"/>
      <c r="C279" s="172"/>
      <c r="D279" s="172"/>
      <c r="E279" s="340"/>
      <c r="F279" s="340"/>
      <c r="G279" s="327"/>
      <c r="H279" s="223"/>
      <c r="I279" s="164"/>
      <c r="J279" s="162"/>
      <c r="K279" s="129"/>
      <c r="L279" s="79"/>
      <c r="M279" s="79"/>
      <c r="N279" s="79"/>
    </row>
    <row r="280" ht="15.75" customHeight="1">
      <c r="A280" s="261"/>
      <c r="B280" s="171"/>
      <c r="C280" s="172"/>
      <c r="D280" s="172"/>
      <c r="E280" s="340"/>
      <c r="F280" s="340"/>
      <c r="G280" s="327"/>
      <c r="H280" s="223"/>
      <c r="I280" s="164"/>
      <c r="J280" s="162"/>
      <c r="K280" s="129"/>
      <c r="L280" s="79"/>
      <c r="M280" s="79"/>
      <c r="N280" s="79"/>
    </row>
    <row r="281" ht="15.75" customHeight="1">
      <c r="A281" s="261"/>
      <c r="B281" s="171"/>
      <c r="C281" s="172"/>
      <c r="D281" s="172"/>
      <c r="E281" s="340"/>
      <c r="F281" s="340"/>
      <c r="G281" s="327"/>
      <c r="H281" s="223"/>
      <c r="I281" s="164"/>
      <c r="J281" s="162"/>
      <c r="K281" s="129"/>
      <c r="L281" s="79"/>
      <c r="M281" s="79"/>
      <c r="N281" s="79"/>
    </row>
    <row r="282" ht="15.75" customHeight="1">
      <c r="A282" s="261"/>
      <c r="B282" s="171"/>
      <c r="C282" s="172"/>
      <c r="D282" s="172"/>
      <c r="E282" s="340"/>
      <c r="F282" s="340"/>
      <c r="G282" s="327"/>
      <c r="H282" s="223"/>
      <c r="I282" s="164"/>
      <c r="J282" s="162"/>
      <c r="K282" s="129"/>
      <c r="L282" s="79"/>
      <c r="M282" s="79"/>
      <c r="N282" s="79"/>
    </row>
    <row r="283" ht="15.75" customHeight="1">
      <c r="A283" s="261"/>
      <c r="B283" s="171"/>
      <c r="C283" s="172"/>
      <c r="D283" s="172"/>
      <c r="E283" s="340"/>
      <c r="F283" s="340"/>
      <c r="G283" s="327"/>
      <c r="H283" s="223"/>
      <c r="I283" s="164"/>
      <c r="J283" s="162"/>
      <c r="K283" s="129"/>
      <c r="L283" s="79"/>
      <c r="M283" s="79"/>
      <c r="N283" s="79"/>
    </row>
    <row r="284" ht="15.75" customHeight="1">
      <c r="A284" s="261"/>
      <c r="B284" s="171"/>
      <c r="C284" s="172"/>
      <c r="D284" s="172"/>
      <c r="E284" s="340"/>
      <c r="F284" s="340"/>
      <c r="G284" s="327"/>
      <c r="H284" s="223"/>
      <c r="I284" s="164"/>
      <c r="J284" s="162"/>
      <c r="K284" s="129"/>
      <c r="L284" s="79"/>
      <c r="M284" s="79"/>
      <c r="N284" s="79"/>
    </row>
    <row r="285" ht="15.75" customHeight="1">
      <c r="A285" s="261"/>
      <c r="B285" s="171"/>
      <c r="C285" s="172"/>
      <c r="D285" s="172"/>
      <c r="E285" s="340"/>
      <c r="F285" s="340"/>
      <c r="G285" s="327"/>
      <c r="H285" s="223"/>
      <c r="I285" s="164"/>
      <c r="J285" s="162"/>
      <c r="K285" s="129"/>
      <c r="L285" s="79"/>
      <c r="M285" s="79"/>
      <c r="N285" s="79"/>
    </row>
    <row r="286" ht="15.75" customHeight="1">
      <c r="A286" s="261"/>
      <c r="B286" s="171"/>
      <c r="C286" s="172"/>
      <c r="D286" s="172"/>
      <c r="E286" s="340"/>
      <c r="F286" s="340"/>
      <c r="G286" s="327"/>
      <c r="H286" s="223"/>
      <c r="I286" s="164"/>
      <c r="J286" s="162"/>
      <c r="K286" s="129"/>
      <c r="L286" s="79"/>
      <c r="M286" s="79"/>
      <c r="N286" s="79"/>
    </row>
    <row r="287" ht="15.75" customHeight="1">
      <c r="A287" s="261"/>
      <c r="B287" s="171"/>
      <c r="C287" s="172"/>
      <c r="D287" s="172"/>
      <c r="E287" s="340"/>
      <c r="F287" s="340"/>
      <c r="G287" s="327"/>
      <c r="H287" s="223"/>
      <c r="I287" s="164"/>
      <c r="J287" s="162"/>
      <c r="K287" s="129"/>
      <c r="L287" s="79"/>
      <c r="M287" s="79"/>
      <c r="N287" s="79"/>
    </row>
    <row r="288" ht="15.75" customHeight="1">
      <c r="A288" s="261"/>
      <c r="B288" s="171"/>
      <c r="C288" s="172"/>
      <c r="D288" s="172"/>
      <c r="E288" s="340"/>
      <c r="F288" s="340"/>
      <c r="G288" s="327"/>
      <c r="H288" s="223"/>
      <c r="I288" s="164"/>
      <c r="J288" s="162"/>
      <c r="K288" s="129"/>
      <c r="L288" s="79"/>
      <c r="M288" s="79"/>
      <c r="N288" s="79"/>
    </row>
    <row r="289" ht="15.75" customHeight="1">
      <c r="A289" s="261"/>
      <c r="B289" s="171"/>
      <c r="C289" s="172"/>
      <c r="D289" s="172"/>
      <c r="E289" s="340"/>
      <c r="F289" s="340"/>
      <c r="G289" s="327"/>
      <c r="H289" s="223"/>
      <c r="I289" s="164"/>
      <c r="J289" s="162"/>
      <c r="K289" s="129"/>
      <c r="L289" s="79"/>
      <c r="M289" s="79"/>
      <c r="N289" s="79"/>
    </row>
    <row r="290" ht="15.75" customHeight="1">
      <c r="A290" s="261"/>
      <c r="B290" s="171"/>
      <c r="C290" s="172"/>
      <c r="D290" s="172"/>
      <c r="E290" s="340"/>
      <c r="F290" s="340"/>
      <c r="G290" s="327"/>
      <c r="H290" s="223"/>
      <c r="I290" s="164"/>
      <c r="J290" s="162"/>
      <c r="K290" s="129"/>
      <c r="L290" s="79"/>
      <c r="M290" s="79"/>
      <c r="N290" s="79"/>
    </row>
    <row r="291" ht="15.75" customHeight="1">
      <c r="A291" s="261"/>
      <c r="B291" s="171"/>
      <c r="C291" s="172"/>
      <c r="D291" s="172"/>
      <c r="E291" s="340"/>
      <c r="F291" s="340"/>
      <c r="G291" s="327"/>
      <c r="H291" s="223"/>
      <c r="I291" s="164"/>
      <c r="J291" s="162"/>
      <c r="K291" s="129"/>
      <c r="L291" s="79"/>
      <c r="M291" s="79"/>
      <c r="N291" s="79"/>
    </row>
    <row r="292" ht="15.75" customHeight="1">
      <c r="A292" s="261"/>
      <c r="B292" s="171"/>
      <c r="C292" s="172"/>
      <c r="D292" s="172"/>
      <c r="E292" s="340"/>
      <c r="F292" s="340"/>
      <c r="G292" s="327"/>
      <c r="H292" s="223"/>
      <c r="I292" s="164"/>
      <c r="J292" s="162"/>
      <c r="K292" s="129"/>
      <c r="L292" s="79"/>
      <c r="M292" s="79"/>
      <c r="N292" s="79"/>
    </row>
    <row r="293" ht="15.75" customHeight="1">
      <c r="A293" s="261"/>
      <c r="B293" s="171"/>
      <c r="C293" s="172"/>
      <c r="D293" s="172"/>
      <c r="E293" s="340"/>
      <c r="F293" s="340"/>
      <c r="G293" s="327"/>
      <c r="H293" s="223"/>
      <c r="I293" s="164"/>
      <c r="J293" s="162"/>
      <c r="K293" s="129"/>
      <c r="L293" s="79"/>
      <c r="M293" s="79"/>
      <c r="N293" s="79"/>
    </row>
    <row r="294" ht="15.75" customHeight="1">
      <c r="A294" s="261"/>
      <c r="B294" s="171"/>
      <c r="C294" s="172"/>
      <c r="D294" s="172"/>
      <c r="E294" s="340"/>
      <c r="F294" s="340"/>
      <c r="G294" s="327"/>
      <c r="H294" s="223"/>
      <c r="I294" s="164"/>
      <c r="J294" s="162"/>
      <c r="K294" s="129"/>
      <c r="L294" s="79"/>
      <c r="M294" s="79"/>
      <c r="N294" s="79"/>
    </row>
    <row r="295" ht="15.75" customHeight="1">
      <c r="A295" s="261"/>
      <c r="B295" s="171"/>
      <c r="C295" s="172"/>
      <c r="D295" s="172"/>
      <c r="E295" s="340"/>
      <c r="F295" s="340"/>
      <c r="G295" s="327"/>
      <c r="H295" s="223"/>
      <c r="I295" s="164"/>
      <c r="J295" s="162"/>
      <c r="K295" s="129"/>
      <c r="L295" s="79"/>
      <c r="M295" s="79"/>
      <c r="N295" s="79"/>
    </row>
    <row r="296" ht="15.75" customHeight="1">
      <c r="A296" s="261"/>
      <c r="B296" s="171"/>
      <c r="C296" s="172"/>
      <c r="D296" s="172"/>
      <c r="E296" s="340"/>
      <c r="F296" s="340"/>
      <c r="G296" s="327"/>
      <c r="H296" s="223"/>
      <c r="I296" s="164"/>
      <c r="J296" s="162"/>
      <c r="K296" s="129"/>
      <c r="L296" s="79"/>
      <c r="M296" s="79"/>
      <c r="N296" s="79"/>
    </row>
    <row r="297" ht="15.75" customHeight="1">
      <c r="A297" s="261"/>
      <c r="B297" s="171"/>
      <c r="C297" s="172"/>
      <c r="D297" s="172"/>
      <c r="E297" s="340"/>
      <c r="F297" s="340"/>
      <c r="G297" s="327"/>
      <c r="H297" s="223"/>
      <c r="I297" s="164"/>
      <c r="J297" s="162"/>
      <c r="K297" s="129"/>
      <c r="L297" s="79"/>
      <c r="M297" s="79"/>
      <c r="N297" s="79"/>
    </row>
    <row r="298" ht="15.75" customHeight="1">
      <c r="A298" s="261"/>
      <c r="B298" s="171"/>
      <c r="C298" s="172"/>
      <c r="D298" s="172"/>
      <c r="E298" s="340"/>
      <c r="F298" s="340"/>
      <c r="G298" s="327"/>
      <c r="H298" s="223"/>
      <c r="I298" s="164"/>
      <c r="J298" s="162"/>
      <c r="K298" s="129"/>
      <c r="L298" s="79"/>
      <c r="M298" s="79"/>
      <c r="N298" s="79"/>
    </row>
    <row r="299" ht="15.75" customHeight="1">
      <c r="A299" s="261"/>
      <c r="B299" s="171"/>
      <c r="C299" s="172"/>
      <c r="D299" s="172"/>
      <c r="E299" s="340"/>
      <c r="F299" s="340"/>
      <c r="G299" s="327"/>
      <c r="H299" s="223"/>
      <c r="I299" s="164"/>
      <c r="J299" s="162"/>
      <c r="K299" s="129"/>
      <c r="L299" s="79"/>
      <c r="M299" s="79"/>
      <c r="N299" s="79"/>
    </row>
    <row r="300" ht="15.75" customHeight="1">
      <c r="A300" s="261"/>
      <c r="B300" s="171"/>
      <c r="C300" s="172"/>
      <c r="D300" s="172"/>
      <c r="E300" s="340"/>
      <c r="F300" s="340"/>
      <c r="G300" s="327"/>
      <c r="H300" s="223"/>
      <c r="I300" s="164"/>
      <c r="J300" s="162"/>
      <c r="K300" s="129"/>
      <c r="L300" s="79"/>
      <c r="M300" s="79"/>
      <c r="N300" s="79"/>
    </row>
    <row r="301" ht="15.75" customHeight="1">
      <c r="A301" s="261"/>
      <c r="B301" s="171"/>
      <c r="C301" s="172"/>
      <c r="D301" s="172"/>
      <c r="E301" s="340"/>
      <c r="F301" s="340"/>
      <c r="G301" s="327"/>
      <c r="H301" s="223"/>
      <c r="I301" s="164"/>
      <c r="J301" s="162"/>
      <c r="K301" s="129"/>
      <c r="L301" s="79"/>
      <c r="M301" s="79"/>
      <c r="N301" s="79"/>
    </row>
    <row r="302" ht="15.75" customHeight="1">
      <c r="A302" s="261"/>
      <c r="B302" s="171"/>
      <c r="C302" s="172"/>
      <c r="D302" s="172"/>
      <c r="E302" s="340"/>
      <c r="F302" s="340"/>
      <c r="G302" s="327"/>
      <c r="H302" s="223"/>
      <c r="I302" s="164"/>
      <c r="J302" s="162"/>
      <c r="K302" s="129"/>
      <c r="L302" s="79"/>
      <c r="M302" s="79"/>
      <c r="N302" s="79"/>
    </row>
    <row r="303" ht="15.75" customHeight="1">
      <c r="A303" s="261"/>
      <c r="B303" s="171"/>
      <c r="C303" s="172"/>
      <c r="D303" s="172"/>
      <c r="E303" s="340"/>
      <c r="F303" s="340"/>
      <c r="G303" s="327"/>
      <c r="H303" s="223"/>
      <c r="I303" s="164"/>
      <c r="J303" s="162"/>
      <c r="K303" s="129"/>
      <c r="L303" s="79"/>
      <c r="M303" s="79"/>
      <c r="N303" s="79"/>
    </row>
    <row r="304" ht="15.75" customHeight="1">
      <c r="A304" s="261"/>
      <c r="B304" s="171"/>
      <c r="C304" s="172"/>
      <c r="D304" s="172"/>
      <c r="E304" s="340"/>
      <c r="F304" s="340"/>
      <c r="G304" s="327"/>
      <c r="H304" s="223"/>
      <c r="I304" s="164"/>
      <c r="J304" s="162"/>
      <c r="K304" s="129"/>
      <c r="L304" s="79"/>
      <c r="M304" s="79"/>
      <c r="N304" s="79"/>
    </row>
    <row r="305" ht="15.75" customHeight="1">
      <c r="A305" s="261"/>
      <c r="B305" s="171"/>
      <c r="C305" s="172"/>
      <c r="D305" s="172"/>
      <c r="E305" s="340"/>
      <c r="F305" s="340"/>
      <c r="G305" s="327"/>
      <c r="H305" s="223"/>
      <c r="I305" s="164"/>
      <c r="J305" s="162"/>
      <c r="K305" s="129"/>
      <c r="L305" s="79"/>
      <c r="M305" s="79"/>
      <c r="N305" s="79"/>
    </row>
    <row r="306" ht="15.75" customHeight="1">
      <c r="A306" s="261"/>
      <c r="B306" s="171"/>
      <c r="C306" s="172"/>
      <c r="D306" s="172"/>
      <c r="E306" s="340"/>
      <c r="F306" s="340"/>
      <c r="G306" s="327"/>
      <c r="H306" s="223"/>
      <c r="I306" s="164"/>
      <c r="J306" s="162"/>
      <c r="K306" s="129"/>
      <c r="L306" s="79"/>
      <c r="M306" s="79"/>
      <c r="N306" s="79"/>
    </row>
    <row r="307" ht="15.75" customHeight="1">
      <c r="A307" s="261"/>
      <c r="B307" s="171"/>
      <c r="C307" s="172"/>
      <c r="D307" s="172"/>
      <c r="E307" s="340"/>
      <c r="F307" s="340"/>
      <c r="G307" s="327"/>
      <c r="H307" s="223"/>
      <c r="I307" s="164"/>
      <c r="J307" s="162"/>
      <c r="K307" s="129"/>
      <c r="L307" s="79"/>
      <c r="M307" s="79"/>
      <c r="N307" s="79"/>
    </row>
    <row r="308" ht="15.75" customHeight="1">
      <c r="A308" s="261"/>
      <c r="B308" s="171"/>
      <c r="C308" s="172"/>
      <c r="D308" s="172"/>
      <c r="E308" s="340"/>
      <c r="F308" s="340"/>
      <c r="G308" s="327"/>
      <c r="H308" s="223"/>
      <c r="I308" s="164"/>
      <c r="J308" s="162"/>
      <c r="K308" s="129"/>
      <c r="L308" s="79"/>
      <c r="M308" s="79"/>
      <c r="N308" s="79"/>
    </row>
    <row r="309" ht="15.75" customHeight="1">
      <c r="A309" s="261"/>
      <c r="B309" s="171"/>
      <c r="C309" s="172"/>
      <c r="D309" s="172"/>
      <c r="E309" s="340"/>
      <c r="F309" s="340"/>
      <c r="G309" s="327"/>
      <c r="H309" s="223"/>
      <c r="I309" s="164"/>
      <c r="J309" s="162"/>
      <c r="K309" s="129"/>
      <c r="L309" s="79"/>
      <c r="M309" s="79"/>
      <c r="N309" s="79"/>
    </row>
    <row r="310" ht="15.75" customHeight="1">
      <c r="A310" s="261"/>
      <c r="B310" s="171"/>
      <c r="C310" s="172"/>
      <c r="D310" s="172"/>
      <c r="E310" s="340"/>
      <c r="F310" s="340"/>
      <c r="G310" s="327"/>
      <c r="H310" s="223"/>
      <c r="I310" s="164"/>
      <c r="J310" s="162"/>
      <c r="K310" s="129"/>
      <c r="L310" s="79"/>
      <c r="M310" s="79"/>
      <c r="N310" s="79"/>
    </row>
    <row r="311" ht="15.75" customHeight="1">
      <c r="A311" s="261"/>
      <c r="B311" s="171"/>
      <c r="C311" s="172"/>
      <c r="D311" s="172"/>
      <c r="E311" s="340"/>
      <c r="F311" s="340"/>
      <c r="G311" s="327"/>
      <c r="H311" s="223"/>
      <c r="I311" s="164"/>
      <c r="J311" s="162"/>
      <c r="K311" s="129"/>
      <c r="L311" s="79"/>
      <c r="M311" s="79"/>
      <c r="N311" s="79"/>
    </row>
    <row r="312" ht="15.75" customHeight="1">
      <c r="A312" s="261"/>
      <c r="B312" s="171"/>
      <c r="C312" s="172"/>
      <c r="D312" s="172"/>
      <c r="E312" s="340"/>
      <c r="F312" s="340"/>
      <c r="G312" s="327"/>
      <c r="H312" s="223"/>
      <c r="I312" s="164"/>
      <c r="J312" s="162"/>
      <c r="K312" s="129"/>
      <c r="L312" s="79"/>
      <c r="M312" s="79"/>
      <c r="N312" s="79"/>
    </row>
    <row r="313" ht="15.75" customHeight="1">
      <c r="A313" s="261"/>
      <c r="B313" s="171"/>
      <c r="C313" s="172"/>
      <c r="D313" s="172"/>
      <c r="E313" s="340"/>
      <c r="F313" s="340"/>
      <c r="G313" s="327"/>
      <c r="H313" s="223"/>
      <c r="I313" s="164"/>
      <c r="J313" s="162"/>
      <c r="K313" s="129"/>
      <c r="L313" s="79"/>
      <c r="M313" s="79"/>
      <c r="N313" s="79"/>
    </row>
    <row r="314" ht="15.75" customHeight="1">
      <c r="A314" s="261"/>
      <c r="B314" s="171"/>
      <c r="C314" s="172"/>
      <c r="D314" s="172"/>
      <c r="E314" s="340"/>
      <c r="F314" s="340"/>
      <c r="G314" s="327"/>
      <c r="H314" s="223"/>
      <c r="I314" s="164"/>
      <c r="J314" s="162"/>
      <c r="K314" s="129"/>
      <c r="L314" s="79"/>
      <c r="M314" s="79"/>
      <c r="N314" s="79"/>
    </row>
    <row r="315" ht="15.75" customHeight="1">
      <c r="A315" s="261"/>
      <c r="B315" s="171"/>
      <c r="C315" s="172"/>
      <c r="D315" s="172"/>
      <c r="E315" s="340"/>
      <c r="F315" s="340"/>
      <c r="G315" s="327"/>
      <c r="H315" s="223"/>
      <c r="I315" s="164"/>
      <c r="J315" s="162"/>
      <c r="K315" s="129"/>
      <c r="L315" s="79"/>
      <c r="M315" s="79"/>
      <c r="N315" s="79"/>
    </row>
    <row r="316" ht="15.75" customHeight="1">
      <c r="A316" s="261"/>
      <c r="B316" s="171"/>
      <c r="C316" s="172"/>
      <c r="D316" s="172"/>
      <c r="E316" s="340"/>
      <c r="F316" s="340"/>
      <c r="G316" s="327"/>
      <c r="H316" s="223"/>
      <c r="I316" s="164"/>
      <c r="J316" s="162"/>
      <c r="K316" s="129"/>
      <c r="L316" s="79"/>
      <c r="M316" s="79"/>
      <c r="N316" s="79"/>
    </row>
    <row r="317" ht="15.75" customHeight="1">
      <c r="A317" s="261"/>
      <c r="B317" s="171"/>
      <c r="C317" s="172"/>
      <c r="D317" s="172"/>
      <c r="E317" s="340"/>
      <c r="F317" s="340"/>
      <c r="G317" s="327"/>
      <c r="H317" s="223"/>
      <c r="I317" s="164"/>
      <c r="J317" s="162"/>
      <c r="K317" s="129"/>
      <c r="L317" s="79"/>
      <c r="M317" s="79"/>
      <c r="N317" s="79"/>
    </row>
    <row r="318" ht="15.75" customHeight="1">
      <c r="A318" s="261"/>
      <c r="B318" s="171"/>
      <c r="C318" s="172"/>
      <c r="D318" s="172"/>
      <c r="E318" s="340"/>
      <c r="F318" s="340"/>
      <c r="G318" s="327"/>
      <c r="H318" s="223"/>
      <c r="I318" s="164"/>
      <c r="J318" s="162"/>
      <c r="K318" s="129"/>
      <c r="L318" s="79"/>
      <c r="M318" s="79"/>
      <c r="N318" s="79"/>
    </row>
    <row r="319" ht="15.75" customHeight="1">
      <c r="A319" s="261"/>
      <c r="B319" s="171"/>
      <c r="C319" s="172"/>
      <c r="D319" s="172"/>
      <c r="E319" s="340"/>
      <c r="F319" s="340"/>
      <c r="G319" s="327"/>
      <c r="H319" s="223"/>
      <c r="I319" s="164"/>
      <c r="J319" s="162"/>
      <c r="K319" s="129"/>
      <c r="L319" s="79"/>
      <c r="M319" s="79"/>
      <c r="N319" s="79"/>
    </row>
    <row r="320" ht="15.75" customHeight="1">
      <c r="A320" s="261"/>
      <c r="B320" s="171"/>
      <c r="C320" s="172"/>
      <c r="D320" s="172"/>
      <c r="E320" s="340"/>
      <c r="F320" s="340"/>
      <c r="G320" s="327"/>
      <c r="H320" s="223"/>
      <c r="I320" s="164"/>
      <c r="J320" s="162"/>
      <c r="K320" s="129"/>
      <c r="L320" s="79"/>
      <c r="M320" s="79"/>
      <c r="N320" s="79"/>
    </row>
    <row r="321" ht="15.75" customHeight="1">
      <c r="A321" s="261"/>
      <c r="B321" s="171"/>
      <c r="C321" s="172"/>
      <c r="D321" s="172"/>
      <c r="E321" s="340"/>
      <c r="F321" s="340"/>
      <c r="G321" s="327"/>
      <c r="H321" s="223"/>
      <c r="I321" s="164"/>
      <c r="J321" s="162"/>
      <c r="K321" s="129"/>
      <c r="L321" s="79"/>
      <c r="M321" s="79"/>
      <c r="N321" s="79"/>
    </row>
    <row r="322" ht="15.75" customHeight="1">
      <c r="A322" s="261"/>
      <c r="B322" s="171"/>
      <c r="C322" s="172"/>
      <c r="D322" s="172"/>
      <c r="E322" s="340"/>
      <c r="F322" s="340"/>
      <c r="G322" s="327"/>
      <c r="H322" s="223"/>
      <c r="I322" s="164"/>
      <c r="J322" s="162"/>
      <c r="K322" s="129"/>
      <c r="L322" s="79"/>
      <c r="M322" s="79"/>
      <c r="N322" s="79"/>
    </row>
    <row r="323" ht="15.75" customHeight="1">
      <c r="A323" s="261"/>
      <c r="B323" s="171"/>
      <c r="C323" s="172"/>
      <c r="D323" s="172"/>
      <c r="E323" s="340"/>
      <c r="F323" s="340"/>
      <c r="G323" s="327"/>
      <c r="H323" s="223"/>
      <c r="I323" s="164"/>
      <c r="J323" s="162"/>
      <c r="K323" s="129"/>
      <c r="L323" s="79"/>
      <c r="M323" s="79"/>
      <c r="N323" s="79"/>
    </row>
    <row r="324" ht="15.75" customHeight="1">
      <c r="A324" s="261"/>
      <c r="B324" s="171"/>
      <c r="C324" s="172"/>
      <c r="D324" s="172"/>
      <c r="E324" s="340"/>
      <c r="F324" s="340"/>
      <c r="G324" s="327"/>
      <c r="H324" s="223"/>
      <c r="I324" s="164"/>
      <c r="J324" s="162"/>
      <c r="K324" s="129"/>
      <c r="L324" s="79"/>
      <c r="M324" s="79"/>
      <c r="N324" s="79"/>
    </row>
    <row r="325" ht="15.75" customHeight="1">
      <c r="A325" s="261"/>
      <c r="B325" s="171"/>
      <c r="C325" s="172"/>
      <c r="D325" s="172"/>
      <c r="E325" s="340"/>
      <c r="F325" s="340"/>
      <c r="G325" s="327"/>
      <c r="H325" s="223"/>
      <c r="I325" s="164"/>
      <c r="J325" s="162"/>
      <c r="K325" s="129"/>
      <c r="L325" s="79"/>
      <c r="M325" s="79"/>
      <c r="N325" s="79"/>
    </row>
    <row r="326" ht="15.75" customHeight="1">
      <c r="A326" s="261"/>
      <c r="B326" s="171"/>
      <c r="C326" s="172"/>
      <c r="D326" s="172"/>
      <c r="E326" s="340"/>
      <c r="F326" s="340"/>
      <c r="G326" s="327"/>
      <c r="H326" s="223"/>
      <c r="I326" s="164"/>
      <c r="J326" s="162"/>
      <c r="K326" s="129"/>
      <c r="L326" s="79"/>
      <c r="M326" s="79"/>
      <c r="N326" s="79"/>
    </row>
    <row r="327" ht="15.75" customHeight="1">
      <c r="A327" s="261"/>
      <c r="B327" s="171"/>
      <c r="C327" s="172"/>
      <c r="D327" s="172"/>
      <c r="E327" s="340"/>
      <c r="F327" s="340"/>
      <c r="G327" s="327"/>
      <c r="H327" s="223"/>
      <c r="I327" s="164"/>
      <c r="J327" s="162"/>
      <c r="K327" s="129"/>
      <c r="L327" s="79"/>
      <c r="M327" s="79"/>
      <c r="N327" s="79"/>
    </row>
    <row r="328" ht="15.75" customHeight="1">
      <c r="A328" s="261"/>
      <c r="B328" s="171"/>
      <c r="C328" s="172"/>
      <c r="D328" s="172"/>
      <c r="E328" s="340"/>
      <c r="F328" s="340"/>
      <c r="G328" s="327"/>
      <c r="H328" s="223"/>
      <c r="I328" s="164"/>
      <c r="J328" s="162"/>
      <c r="K328" s="129"/>
      <c r="L328" s="79"/>
      <c r="M328" s="79"/>
      <c r="N328" s="79"/>
    </row>
    <row r="329" ht="15.75" customHeight="1">
      <c r="A329" s="261"/>
      <c r="B329" s="171"/>
      <c r="C329" s="172"/>
      <c r="D329" s="172"/>
      <c r="E329" s="340"/>
      <c r="F329" s="340"/>
      <c r="G329" s="327"/>
      <c r="H329" s="223"/>
      <c r="I329" s="164"/>
      <c r="J329" s="162"/>
      <c r="K329" s="129"/>
      <c r="L329" s="79"/>
      <c r="M329" s="79"/>
      <c r="N329" s="79"/>
    </row>
    <row r="330" ht="15.75" customHeight="1">
      <c r="A330" s="261"/>
      <c r="B330" s="171"/>
      <c r="C330" s="172"/>
      <c r="D330" s="172"/>
      <c r="E330" s="340"/>
      <c r="F330" s="340"/>
      <c r="G330" s="327"/>
      <c r="H330" s="223"/>
      <c r="I330" s="164"/>
      <c r="J330" s="162"/>
      <c r="K330" s="129"/>
      <c r="L330" s="79"/>
      <c r="M330" s="79"/>
      <c r="N330" s="79"/>
    </row>
    <row r="331" ht="15.75" customHeight="1">
      <c r="A331" s="261"/>
      <c r="B331" s="171"/>
      <c r="C331" s="172"/>
      <c r="D331" s="172"/>
      <c r="E331" s="340"/>
      <c r="F331" s="340"/>
      <c r="G331" s="327"/>
      <c r="H331" s="223"/>
      <c r="I331" s="164"/>
      <c r="J331" s="162"/>
      <c r="K331" s="129"/>
      <c r="L331" s="79"/>
      <c r="M331" s="79"/>
      <c r="N331" s="79"/>
    </row>
    <row r="332" ht="15.75" customHeight="1">
      <c r="A332" s="261"/>
      <c r="B332" s="171"/>
      <c r="C332" s="172"/>
      <c r="D332" s="172"/>
      <c r="E332" s="340"/>
      <c r="F332" s="340"/>
      <c r="G332" s="327"/>
      <c r="H332" s="223"/>
      <c r="I332" s="164"/>
      <c r="J332" s="162"/>
      <c r="K332" s="129"/>
      <c r="L332" s="79"/>
      <c r="M332" s="79"/>
      <c r="N332" s="79"/>
    </row>
    <row r="333" ht="15.75" customHeight="1">
      <c r="A333" s="261"/>
      <c r="B333" s="171"/>
      <c r="C333" s="172"/>
      <c r="D333" s="172"/>
      <c r="E333" s="340"/>
      <c r="F333" s="340"/>
      <c r="G333" s="327"/>
      <c r="H333" s="223"/>
      <c r="I333" s="164"/>
      <c r="J333" s="162"/>
      <c r="K333" s="129"/>
      <c r="L333" s="79"/>
      <c r="M333" s="79"/>
      <c r="N333" s="79"/>
    </row>
    <row r="334" ht="15.75" customHeight="1">
      <c r="A334" s="261"/>
      <c r="B334" s="171"/>
      <c r="C334" s="172"/>
      <c r="D334" s="172"/>
      <c r="E334" s="340"/>
      <c r="F334" s="340"/>
      <c r="G334" s="327"/>
      <c r="H334" s="223"/>
      <c r="I334" s="164"/>
      <c r="J334" s="162"/>
      <c r="K334" s="129"/>
      <c r="L334" s="79"/>
      <c r="M334" s="79"/>
      <c r="N334" s="79"/>
    </row>
    <row r="335" ht="15.75" customHeight="1">
      <c r="A335" s="261"/>
      <c r="B335" s="171"/>
      <c r="C335" s="172"/>
      <c r="D335" s="172"/>
      <c r="E335" s="340"/>
      <c r="F335" s="340"/>
      <c r="G335" s="327"/>
      <c r="H335" s="223"/>
      <c r="I335" s="164"/>
      <c r="J335" s="162"/>
      <c r="K335" s="129"/>
      <c r="L335" s="79"/>
      <c r="M335" s="79"/>
      <c r="N335" s="79"/>
    </row>
    <row r="336" ht="15.75" customHeight="1">
      <c r="A336" s="261"/>
      <c r="B336" s="171"/>
      <c r="C336" s="172"/>
      <c r="D336" s="172"/>
      <c r="E336" s="340"/>
      <c r="F336" s="340"/>
      <c r="G336" s="327"/>
      <c r="H336" s="223"/>
      <c r="I336" s="164"/>
      <c r="J336" s="162"/>
      <c r="K336" s="129"/>
      <c r="L336" s="79"/>
      <c r="M336" s="79"/>
      <c r="N336" s="79"/>
    </row>
    <row r="337" ht="15.75" customHeight="1">
      <c r="A337" s="261"/>
      <c r="B337" s="171"/>
      <c r="C337" s="172"/>
      <c r="D337" s="172"/>
      <c r="E337" s="340"/>
      <c r="F337" s="340"/>
      <c r="G337" s="327"/>
      <c r="H337" s="223"/>
      <c r="I337" s="164"/>
      <c r="J337" s="162"/>
      <c r="K337" s="129"/>
      <c r="L337" s="79"/>
      <c r="M337" s="79"/>
      <c r="N337" s="79"/>
    </row>
    <row r="338" ht="15.75" customHeight="1">
      <c r="A338" s="261"/>
      <c r="B338" s="171"/>
      <c r="C338" s="172"/>
      <c r="D338" s="172"/>
      <c r="E338" s="340"/>
      <c r="F338" s="340"/>
      <c r="G338" s="327"/>
      <c r="H338" s="223"/>
      <c r="I338" s="164"/>
      <c r="J338" s="162"/>
      <c r="K338" s="129"/>
      <c r="L338" s="79"/>
      <c r="M338" s="79"/>
      <c r="N338" s="79"/>
    </row>
    <row r="339" ht="15.75" customHeight="1">
      <c r="A339" s="261"/>
      <c r="B339" s="171"/>
      <c r="C339" s="172"/>
      <c r="D339" s="172"/>
      <c r="E339" s="340"/>
      <c r="F339" s="340"/>
      <c r="G339" s="327"/>
      <c r="H339" s="223"/>
      <c r="I339" s="164"/>
      <c r="J339" s="162"/>
      <c r="K339" s="129"/>
      <c r="L339" s="79"/>
      <c r="M339" s="79"/>
      <c r="N339" s="79"/>
    </row>
    <row r="340" ht="15.75" customHeight="1">
      <c r="A340" s="261"/>
      <c r="B340" s="171"/>
      <c r="C340" s="172"/>
      <c r="D340" s="172"/>
      <c r="E340" s="340"/>
      <c r="F340" s="340"/>
      <c r="G340" s="327"/>
      <c r="H340" s="223"/>
      <c r="I340" s="164"/>
      <c r="J340" s="162"/>
      <c r="K340" s="129"/>
      <c r="L340" s="79"/>
      <c r="M340" s="79"/>
      <c r="N340" s="79"/>
    </row>
    <row r="341" ht="15.75" customHeight="1">
      <c r="A341" s="261"/>
      <c r="B341" s="171"/>
      <c r="C341" s="172"/>
      <c r="D341" s="172"/>
      <c r="E341" s="340"/>
      <c r="F341" s="340"/>
      <c r="G341" s="327"/>
      <c r="H341" s="223"/>
      <c r="I341" s="164"/>
      <c r="J341" s="162"/>
      <c r="K341" s="129"/>
      <c r="L341" s="79"/>
      <c r="M341" s="79"/>
      <c r="N341" s="79"/>
    </row>
    <row r="342" ht="15.75" customHeight="1">
      <c r="A342" s="261"/>
      <c r="B342" s="171"/>
      <c r="C342" s="172"/>
      <c r="D342" s="172"/>
      <c r="E342" s="340"/>
      <c r="F342" s="340"/>
      <c r="G342" s="327"/>
      <c r="H342" s="223"/>
      <c r="I342" s="164"/>
      <c r="J342" s="162"/>
      <c r="K342" s="129"/>
      <c r="L342" s="79"/>
      <c r="M342" s="79"/>
      <c r="N342" s="79"/>
    </row>
    <row r="343" ht="15.75" customHeight="1">
      <c r="A343" s="261"/>
      <c r="B343" s="171"/>
      <c r="C343" s="172"/>
      <c r="D343" s="172"/>
      <c r="E343" s="340"/>
      <c r="F343" s="340"/>
      <c r="G343" s="327"/>
      <c r="H343" s="223"/>
      <c r="I343" s="164"/>
      <c r="J343" s="162"/>
      <c r="K343" s="129"/>
      <c r="L343" s="79"/>
      <c r="M343" s="79"/>
      <c r="N343" s="79"/>
    </row>
    <row r="344" ht="15.75" customHeight="1">
      <c r="A344" s="261"/>
      <c r="B344" s="171"/>
      <c r="C344" s="172"/>
      <c r="D344" s="172"/>
      <c r="E344" s="340"/>
      <c r="F344" s="340"/>
      <c r="G344" s="327"/>
      <c r="H344" s="223"/>
      <c r="I344" s="164"/>
      <c r="J344" s="162"/>
      <c r="K344" s="129"/>
      <c r="L344" s="79"/>
      <c r="M344" s="79"/>
      <c r="N344" s="79"/>
    </row>
    <row r="345" ht="15.75" customHeight="1">
      <c r="A345" s="261"/>
      <c r="B345" s="171"/>
      <c r="C345" s="172"/>
      <c r="D345" s="172"/>
      <c r="E345" s="340"/>
      <c r="F345" s="340"/>
      <c r="G345" s="327"/>
      <c r="H345" s="223"/>
      <c r="I345" s="164"/>
      <c r="J345" s="162"/>
      <c r="K345" s="129"/>
      <c r="L345" s="79"/>
      <c r="M345" s="79"/>
      <c r="N345" s="79"/>
    </row>
    <row r="346" ht="15.75" customHeight="1">
      <c r="A346" s="261"/>
      <c r="B346" s="171"/>
      <c r="C346" s="172"/>
      <c r="D346" s="172"/>
      <c r="E346" s="340"/>
      <c r="F346" s="340"/>
      <c r="G346" s="327"/>
      <c r="H346" s="223"/>
      <c r="I346" s="164"/>
      <c r="J346" s="162"/>
      <c r="K346" s="129"/>
      <c r="L346" s="79"/>
      <c r="M346" s="79"/>
      <c r="N346" s="79"/>
    </row>
    <row r="347" ht="15.75" customHeight="1">
      <c r="A347" s="261"/>
      <c r="B347" s="171"/>
      <c r="C347" s="172"/>
      <c r="D347" s="172"/>
      <c r="E347" s="340"/>
      <c r="F347" s="340"/>
      <c r="G347" s="327"/>
      <c r="H347" s="223"/>
      <c r="I347" s="164"/>
      <c r="J347" s="162"/>
      <c r="K347" s="129"/>
      <c r="L347" s="79"/>
      <c r="M347" s="79"/>
      <c r="N347" s="79"/>
    </row>
    <row r="348" ht="15.75" customHeight="1">
      <c r="A348" s="261"/>
      <c r="B348" s="171"/>
      <c r="C348" s="172"/>
      <c r="D348" s="172"/>
      <c r="E348" s="340"/>
      <c r="F348" s="340"/>
      <c r="G348" s="327"/>
      <c r="H348" s="223"/>
      <c r="I348" s="164"/>
      <c r="J348" s="162"/>
      <c r="K348" s="129"/>
      <c r="L348" s="79"/>
      <c r="M348" s="79"/>
      <c r="N348" s="79"/>
    </row>
    <row r="349" ht="15.75" customHeight="1">
      <c r="A349" s="261"/>
      <c r="B349" s="171"/>
      <c r="C349" s="172"/>
      <c r="D349" s="172"/>
      <c r="E349" s="340"/>
      <c r="F349" s="340"/>
      <c r="G349" s="327"/>
      <c r="H349" s="223"/>
      <c r="I349" s="164"/>
      <c r="J349" s="162"/>
      <c r="K349" s="129"/>
      <c r="L349" s="79"/>
      <c r="M349" s="79"/>
      <c r="N349" s="79"/>
    </row>
    <row r="350" ht="15.75" customHeight="1">
      <c r="A350" s="261"/>
      <c r="B350" s="171"/>
      <c r="C350" s="172"/>
      <c r="D350" s="172"/>
      <c r="E350" s="340"/>
      <c r="F350" s="340"/>
      <c r="G350" s="327"/>
      <c r="H350" s="223"/>
      <c r="I350" s="164"/>
      <c r="J350" s="162"/>
      <c r="K350" s="129"/>
      <c r="L350" s="79"/>
      <c r="M350" s="79"/>
      <c r="N350" s="79"/>
    </row>
    <row r="351" ht="15.75" customHeight="1">
      <c r="A351" s="261"/>
      <c r="B351" s="171"/>
      <c r="C351" s="172"/>
      <c r="D351" s="172"/>
      <c r="E351" s="340"/>
      <c r="F351" s="340"/>
      <c r="G351" s="327"/>
      <c r="H351" s="223"/>
      <c r="I351" s="164"/>
      <c r="J351" s="162"/>
      <c r="K351" s="129"/>
      <c r="L351" s="79"/>
      <c r="M351" s="79"/>
      <c r="N351" s="79"/>
    </row>
    <row r="352" ht="15.75" customHeight="1">
      <c r="A352" s="261"/>
      <c r="B352" s="171"/>
      <c r="C352" s="172"/>
      <c r="D352" s="172"/>
      <c r="E352" s="340"/>
      <c r="F352" s="340"/>
      <c r="G352" s="327"/>
      <c r="H352" s="223"/>
      <c r="I352" s="164"/>
      <c r="J352" s="162"/>
      <c r="K352" s="129"/>
      <c r="L352" s="79"/>
      <c r="M352" s="79"/>
      <c r="N352" s="79"/>
    </row>
    <row r="353" ht="15.75" customHeight="1">
      <c r="A353" s="261"/>
      <c r="B353" s="171"/>
      <c r="C353" s="172"/>
      <c r="D353" s="172"/>
      <c r="E353" s="340"/>
      <c r="F353" s="340"/>
      <c r="G353" s="327"/>
      <c r="H353" s="223"/>
      <c r="I353" s="164"/>
      <c r="J353" s="162"/>
      <c r="K353" s="129"/>
      <c r="L353" s="79"/>
      <c r="M353" s="79"/>
      <c r="N353" s="79"/>
    </row>
    <row r="354" ht="15.75" customHeight="1">
      <c r="A354" s="261"/>
      <c r="B354" s="171"/>
      <c r="C354" s="172"/>
      <c r="D354" s="172"/>
      <c r="E354" s="340"/>
      <c r="F354" s="340"/>
      <c r="G354" s="327"/>
      <c r="H354" s="223"/>
      <c r="I354" s="164"/>
      <c r="J354" s="162"/>
      <c r="K354" s="129"/>
      <c r="L354" s="79"/>
      <c r="M354" s="79"/>
      <c r="N354" s="79"/>
    </row>
    <row r="355" ht="15.75" customHeight="1">
      <c r="A355" s="261"/>
      <c r="B355" s="171"/>
      <c r="C355" s="172"/>
      <c r="D355" s="172"/>
      <c r="E355" s="340"/>
      <c r="F355" s="340"/>
      <c r="G355" s="327"/>
      <c r="H355" s="223"/>
      <c r="I355" s="164"/>
      <c r="J355" s="162"/>
      <c r="K355" s="129"/>
      <c r="L355" s="79"/>
      <c r="M355" s="79"/>
      <c r="N355" s="79"/>
    </row>
    <row r="356" ht="15.75" customHeight="1">
      <c r="A356" s="261"/>
      <c r="B356" s="171"/>
      <c r="C356" s="172"/>
      <c r="D356" s="172"/>
      <c r="E356" s="340"/>
      <c r="F356" s="340"/>
      <c r="G356" s="327"/>
      <c r="H356" s="223"/>
      <c r="I356" s="164"/>
      <c r="J356" s="162"/>
      <c r="K356" s="129"/>
      <c r="L356" s="79"/>
      <c r="M356" s="79"/>
      <c r="N356" s="79"/>
    </row>
    <row r="357" ht="15.75" customHeight="1">
      <c r="A357" s="261"/>
      <c r="B357" s="171"/>
      <c r="C357" s="172"/>
      <c r="D357" s="172"/>
      <c r="E357" s="340"/>
      <c r="F357" s="340"/>
      <c r="G357" s="327"/>
      <c r="H357" s="223"/>
      <c r="I357" s="164"/>
      <c r="J357" s="162"/>
      <c r="K357" s="129"/>
      <c r="L357" s="79"/>
      <c r="M357" s="79"/>
      <c r="N357" s="79"/>
    </row>
    <row r="358" ht="15.75" customHeight="1">
      <c r="A358" s="261"/>
      <c r="B358" s="171"/>
      <c r="C358" s="172"/>
      <c r="D358" s="172"/>
      <c r="E358" s="340"/>
      <c r="F358" s="340"/>
      <c r="G358" s="327"/>
      <c r="H358" s="223"/>
      <c r="I358" s="164"/>
      <c r="J358" s="162"/>
      <c r="K358" s="129"/>
      <c r="L358" s="79"/>
      <c r="M358" s="79"/>
      <c r="N358" s="79"/>
    </row>
    <row r="359" ht="15.75" customHeight="1">
      <c r="A359" s="261"/>
      <c r="B359" s="171"/>
      <c r="C359" s="172"/>
      <c r="D359" s="172"/>
      <c r="E359" s="340"/>
      <c r="F359" s="340"/>
      <c r="G359" s="327"/>
      <c r="H359" s="223"/>
      <c r="I359" s="164"/>
      <c r="J359" s="162"/>
      <c r="K359" s="129"/>
      <c r="L359" s="79"/>
      <c r="M359" s="79"/>
      <c r="N359" s="79"/>
    </row>
    <row r="360" ht="15.75" customHeight="1">
      <c r="A360" s="261"/>
      <c r="B360" s="171"/>
      <c r="C360" s="172"/>
      <c r="D360" s="172"/>
      <c r="E360" s="340"/>
      <c r="F360" s="340"/>
      <c r="G360" s="327"/>
      <c r="H360" s="223"/>
      <c r="I360" s="164"/>
      <c r="J360" s="162"/>
      <c r="K360" s="129"/>
      <c r="L360" s="79"/>
      <c r="M360" s="79"/>
      <c r="N360" s="79"/>
    </row>
    <row r="361" ht="15.75" customHeight="1">
      <c r="A361" s="261"/>
      <c r="B361" s="171"/>
      <c r="C361" s="172"/>
      <c r="D361" s="172"/>
      <c r="E361" s="340"/>
      <c r="F361" s="340"/>
      <c r="G361" s="327"/>
      <c r="H361" s="223"/>
      <c r="I361" s="164"/>
      <c r="J361" s="162"/>
      <c r="K361" s="129"/>
      <c r="L361" s="79"/>
      <c r="M361" s="79"/>
      <c r="N361" s="79"/>
    </row>
    <row r="362" ht="15.75" customHeight="1">
      <c r="A362" s="261"/>
      <c r="B362" s="171"/>
      <c r="C362" s="172"/>
      <c r="D362" s="172"/>
      <c r="E362" s="340"/>
      <c r="F362" s="340"/>
      <c r="G362" s="327"/>
      <c r="H362" s="223"/>
      <c r="I362" s="164"/>
      <c r="J362" s="162"/>
      <c r="K362" s="129"/>
      <c r="L362" s="79"/>
      <c r="M362" s="79"/>
      <c r="N362" s="79"/>
    </row>
    <row r="363" ht="15.75" customHeight="1">
      <c r="A363" s="261"/>
      <c r="B363" s="171"/>
      <c r="C363" s="172"/>
      <c r="D363" s="172"/>
      <c r="E363" s="340"/>
      <c r="F363" s="340"/>
      <c r="G363" s="327"/>
      <c r="H363" s="223"/>
      <c r="I363" s="164"/>
      <c r="J363" s="162"/>
      <c r="K363" s="129"/>
      <c r="L363" s="79"/>
      <c r="M363" s="79"/>
      <c r="N363" s="79"/>
    </row>
    <row r="364" ht="15.75" customHeight="1">
      <c r="A364" s="261"/>
      <c r="B364" s="171"/>
      <c r="C364" s="172"/>
      <c r="D364" s="172"/>
      <c r="E364" s="340"/>
      <c r="F364" s="340"/>
      <c r="G364" s="327"/>
      <c r="H364" s="223"/>
      <c r="I364" s="164"/>
      <c r="J364" s="162"/>
      <c r="K364" s="129"/>
      <c r="L364" s="79"/>
      <c r="M364" s="79"/>
      <c r="N364" s="79"/>
    </row>
    <row r="365" ht="15.75" customHeight="1">
      <c r="A365" s="261"/>
      <c r="B365" s="171"/>
      <c r="C365" s="172"/>
      <c r="D365" s="172"/>
      <c r="E365" s="340"/>
      <c r="F365" s="340"/>
      <c r="G365" s="327"/>
      <c r="H365" s="223"/>
      <c r="I365" s="164"/>
      <c r="J365" s="162"/>
      <c r="K365" s="129"/>
      <c r="L365" s="79"/>
      <c r="M365" s="79"/>
      <c r="N365" s="79"/>
    </row>
    <row r="366" ht="15.75" customHeight="1">
      <c r="A366" s="261"/>
      <c r="B366" s="171"/>
      <c r="C366" s="172"/>
      <c r="D366" s="172"/>
      <c r="E366" s="340"/>
      <c r="F366" s="340"/>
      <c r="G366" s="327"/>
      <c r="H366" s="223"/>
      <c r="I366" s="164"/>
      <c r="J366" s="162"/>
      <c r="K366" s="129"/>
      <c r="L366" s="79"/>
      <c r="M366" s="79"/>
      <c r="N366" s="79"/>
    </row>
    <row r="367" ht="15.75" customHeight="1">
      <c r="A367" s="261"/>
      <c r="B367" s="171"/>
      <c r="C367" s="172"/>
      <c r="D367" s="172"/>
      <c r="E367" s="340"/>
      <c r="F367" s="340"/>
      <c r="G367" s="327"/>
      <c r="H367" s="223"/>
      <c r="I367" s="164"/>
      <c r="J367" s="162"/>
      <c r="K367" s="129"/>
      <c r="L367" s="79"/>
      <c r="M367" s="79"/>
      <c r="N367" s="79"/>
    </row>
    <row r="368" ht="15.75" customHeight="1">
      <c r="A368" s="261"/>
      <c r="B368" s="171"/>
      <c r="C368" s="172"/>
      <c r="D368" s="172"/>
      <c r="E368" s="340"/>
      <c r="F368" s="340"/>
      <c r="G368" s="327"/>
      <c r="H368" s="223"/>
      <c r="I368" s="164"/>
      <c r="J368" s="162"/>
      <c r="K368" s="129"/>
      <c r="L368" s="79"/>
      <c r="M368" s="79"/>
      <c r="N368" s="79"/>
    </row>
    <row r="369" ht="15.75" customHeight="1">
      <c r="A369" s="261"/>
      <c r="B369" s="171"/>
      <c r="C369" s="172"/>
      <c r="D369" s="172"/>
      <c r="E369" s="340"/>
      <c r="F369" s="340"/>
      <c r="G369" s="327"/>
      <c r="H369" s="223"/>
      <c r="I369" s="164"/>
      <c r="J369" s="162"/>
      <c r="K369" s="129"/>
      <c r="L369" s="79"/>
      <c r="M369" s="79"/>
      <c r="N369" s="79"/>
    </row>
    <row r="370" ht="15.75" customHeight="1">
      <c r="A370" s="261"/>
      <c r="B370" s="171"/>
      <c r="C370" s="172"/>
      <c r="D370" s="172"/>
      <c r="E370" s="340"/>
      <c r="F370" s="340"/>
      <c r="G370" s="327"/>
      <c r="H370" s="223"/>
      <c r="I370" s="164"/>
      <c r="J370" s="162"/>
      <c r="K370" s="129"/>
      <c r="L370" s="79"/>
      <c r="M370" s="79"/>
      <c r="N370" s="79"/>
    </row>
    <row r="371" ht="15.75" customHeight="1">
      <c r="A371" s="261"/>
      <c r="B371" s="171"/>
      <c r="C371" s="172"/>
      <c r="D371" s="172"/>
      <c r="E371" s="340"/>
      <c r="F371" s="340"/>
      <c r="G371" s="327"/>
      <c r="H371" s="223"/>
      <c r="I371" s="164"/>
      <c r="J371" s="162"/>
      <c r="K371" s="129"/>
      <c r="L371" s="79"/>
      <c r="M371" s="79"/>
      <c r="N371" s="79"/>
    </row>
    <row r="372" ht="15.75" customHeight="1">
      <c r="A372" s="261"/>
      <c r="B372" s="171"/>
      <c r="C372" s="172"/>
      <c r="D372" s="172"/>
      <c r="E372" s="340"/>
      <c r="F372" s="340"/>
      <c r="G372" s="327"/>
      <c r="H372" s="223"/>
      <c r="I372" s="164"/>
      <c r="J372" s="162"/>
      <c r="K372" s="129"/>
      <c r="L372" s="79"/>
      <c r="M372" s="79"/>
      <c r="N372" s="79"/>
    </row>
    <row r="373" ht="15.75" customHeight="1">
      <c r="A373" s="261"/>
      <c r="B373" s="171"/>
      <c r="C373" s="172"/>
      <c r="D373" s="172"/>
      <c r="E373" s="340"/>
      <c r="F373" s="340"/>
      <c r="G373" s="327"/>
      <c r="H373" s="223"/>
      <c r="I373" s="164"/>
      <c r="J373" s="162"/>
      <c r="K373" s="129"/>
      <c r="L373" s="79"/>
      <c r="M373" s="79"/>
      <c r="N373" s="79"/>
    </row>
    <row r="374" ht="15.75" customHeight="1">
      <c r="A374" s="261"/>
      <c r="B374" s="171"/>
      <c r="C374" s="172"/>
      <c r="D374" s="172"/>
      <c r="E374" s="340"/>
      <c r="F374" s="340"/>
      <c r="G374" s="327"/>
      <c r="H374" s="223"/>
      <c r="I374" s="164"/>
      <c r="J374" s="162"/>
      <c r="K374" s="129"/>
      <c r="L374" s="79"/>
      <c r="M374" s="79"/>
      <c r="N374" s="79"/>
    </row>
    <row r="375" ht="15.75" customHeight="1">
      <c r="A375" s="261"/>
      <c r="B375" s="171"/>
      <c r="C375" s="172"/>
      <c r="D375" s="172"/>
      <c r="E375" s="340"/>
      <c r="F375" s="340"/>
      <c r="G375" s="327"/>
      <c r="H375" s="223"/>
      <c r="I375" s="164"/>
      <c r="J375" s="162"/>
      <c r="K375" s="129"/>
      <c r="L375" s="79"/>
      <c r="M375" s="79"/>
      <c r="N375" s="79"/>
    </row>
    <row r="376" ht="15.75" customHeight="1">
      <c r="A376" s="261"/>
      <c r="B376" s="171"/>
      <c r="C376" s="172"/>
      <c r="D376" s="172"/>
      <c r="E376" s="340"/>
      <c r="F376" s="340"/>
      <c r="G376" s="327"/>
      <c r="H376" s="223"/>
      <c r="I376" s="164"/>
      <c r="J376" s="162"/>
      <c r="K376" s="129"/>
      <c r="L376" s="79"/>
      <c r="M376" s="79"/>
      <c r="N376" s="79"/>
    </row>
    <row r="377" ht="15.75" customHeight="1">
      <c r="A377" s="261"/>
      <c r="B377" s="171"/>
      <c r="C377" s="172"/>
      <c r="D377" s="172"/>
      <c r="E377" s="340"/>
      <c r="F377" s="340"/>
      <c r="G377" s="327"/>
      <c r="H377" s="223"/>
      <c r="I377" s="164"/>
      <c r="J377" s="162"/>
      <c r="K377" s="129"/>
      <c r="L377" s="79"/>
      <c r="M377" s="79"/>
      <c r="N377" s="79"/>
    </row>
    <row r="378" ht="15.75" customHeight="1">
      <c r="A378" s="261"/>
      <c r="B378" s="171"/>
      <c r="C378" s="172"/>
      <c r="D378" s="172"/>
      <c r="E378" s="340"/>
      <c r="F378" s="340"/>
      <c r="G378" s="327"/>
      <c r="H378" s="223"/>
      <c r="I378" s="164"/>
      <c r="J378" s="162"/>
      <c r="K378" s="129"/>
      <c r="L378" s="79"/>
      <c r="M378" s="79"/>
      <c r="N378" s="79"/>
    </row>
    <row r="379" ht="15.75" customHeight="1">
      <c r="A379" s="261"/>
      <c r="B379" s="171"/>
      <c r="C379" s="172"/>
      <c r="D379" s="172"/>
      <c r="E379" s="340"/>
      <c r="F379" s="340"/>
      <c r="G379" s="327"/>
      <c r="H379" s="223"/>
      <c r="I379" s="164"/>
      <c r="J379" s="162"/>
      <c r="K379" s="129"/>
      <c r="L379" s="79"/>
      <c r="M379" s="79"/>
      <c r="N379" s="79"/>
    </row>
    <row r="380" ht="15.75" customHeight="1">
      <c r="A380" s="261"/>
      <c r="B380" s="171"/>
      <c r="C380" s="172"/>
      <c r="D380" s="172"/>
      <c r="E380" s="340"/>
      <c r="F380" s="340"/>
      <c r="G380" s="327"/>
      <c r="H380" s="223"/>
      <c r="I380" s="164"/>
      <c r="J380" s="162"/>
      <c r="K380" s="129"/>
      <c r="L380" s="79"/>
      <c r="M380" s="79"/>
      <c r="N380" s="79"/>
    </row>
    <row r="381" ht="15.75" customHeight="1">
      <c r="A381" s="261"/>
      <c r="B381" s="171"/>
      <c r="C381" s="172"/>
      <c r="D381" s="172"/>
      <c r="E381" s="340"/>
      <c r="F381" s="340"/>
      <c r="G381" s="327"/>
      <c r="H381" s="223"/>
      <c r="I381" s="164"/>
      <c r="J381" s="162"/>
      <c r="K381" s="129"/>
      <c r="L381" s="79"/>
      <c r="M381" s="79"/>
      <c r="N381" s="79"/>
    </row>
    <row r="382" ht="15.75" customHeight="1">
      <c r="A382" s="261"/>
      <c r="B382" s="171"/>
      <c r="C382" s="172"/>
      <c r="D382" s="172"/>
      <c r="E382" s="340"/>
      <c r="F382" s="340"/>
      <c r="G382" s="327"/>
      <c r="H382" s="223"/>
      <c r="I382" s="164"/>
      <c r="J382" s="162"/>
      <c r="K382" s="129"/>
      <c r="L382" s="79"/>
      <c r="M382" s="79"/>
      <c r="N382" s="79"/>
    </row>
    <row r="383" ht="15.75" customHeight="1">
      <c r="A383" s="261"/>
      <c r="B383" s="171"/>
      <c r="C383" s="172"/>
      <c r="D383" s="172"/>
      <c r="E383" s="340"/>
      <c r="F383" s="340"/>
      <c r="G383" s="327"/>
      <c r="H383" s="223"/>
      <c r="I383" s="164"/>
      <c r="J383" s="162"/>
      <c r="K383" s="129"/>
      <c r="L383" s="79"/>
      <c r="M383" s="79"/>
      <c r="N383" s="79"/>
    </row>
    <row r="384" ht="15.75" customHeight="1">
      <c r="A384" s="261"/>
      <c r="B384" s="171"/>
      <c r="C384" s="172"/>
      <c r="D384" s="172"/>
      <c r="E384" s="340"/>
      <c r="F384" s="340"/>
      <c r="G384" s="327"/>
      <c r="H384" s="223"/>
      <c r="I384" s="164"/>
      <c r="J384" s="162"/>
      <c r="K384" s="129"/>
      <c r="L384" s="79"/>
      <c r="M384" s="79"/>
      <c r="N384" s="79"/>
    </row>
    <row r="385" ht="15.75" customHeight="1">
      <c r="A385" s="261"/>
      <c r="B385" s="171"/>
      <c r="C385" s="172"/>
      <c r="D385" s="172"/>
      <c r="E385" s="340"/>
      <c r="F385" s="340"/>
      <c r="G385" s="327"/>
      <c r="H385" s="223"/>
      <c r="I385" s="164"/>
      <c r="J385" s="162"/>
      <c r="K385" s="129"/>
      <c r="L385" s="79"/>
      <c r="M385" s="79"/>
      <c r="N385" s="79"/>
    </row>
    <row r="386" ht="15.75" customHeight="1">
      <c r="A386" s="261"/>
      <c r="B386" s="171"/>
      <c r="C386" s="172"/>
      <c r="D386" s="172"/>
      <c r="E386" s="340"/>
      <c r="F386" s="340"/>
      <c r="G386" s="327"/>
      <c r="H386" s="223"/>
      <c r="I386" s="164"/>
      <c r="J386" s="162"/>
      <c r="K386" s="129"/>
      <c r="L386" s="79"/>
      <c r="M386" s="79"/>
      <c r="N386" s="79"/>
    </row>
    <row r="387" ht="15.75" customHeight="1">
      <c r="A387" s="261"/>
      <c r="B387" s="171"/>
      <c r="C387" s="172"/>
      <c r="D387" s="172"/>
      <c r="E387" s="340"/>
      <c r="F387" s="340"/>
      <c r="G387" s="327"/>
      <c r="H387" s="223"/>
      <c r="I387" s="164"/>
      <c r="J387" s="162"/>
      <c r="K387" s="129"/>
      <c r="L387" s="79"/>
      <c r="M387" s="79"/>
      <c r="N387" s="79"/>
    </row>
    <row r="388" ht="15.75" customHeight="1">
      <c r="A388" s="261"/>
      <c r="B388" s="171"/>
      <c r="C388" s="172"/>
      <c r="D388" s="172"/>
      <c r="E388" s="340"/>
      <c r="F388" s="340"/>
      <c r="G388" s="327"/>
      <c r="H388" s="223"/>
      <c r="I388" s="164"/>
      <c r="J388" s="162"/>
      <c r="K388" s="129"/>
      <c r="L388" s="79"/>
      <c r="M388" s="79"/>
      <c r="N388" s="79"/>
    </row>
    <row r="389" ht="15.75" customHeight="1">
      <c r="A389" s="261"/>
      <c r="B389" s="171"/>
      <c r="C389" s="172"/>
      <c r="D389" s="172"/>
      <c r="E389" s="340"/>
      <c r="F389" s="340"/>
      <c r="G389" s="327"/>
      <c r="H389" s="223"/>
      <c r="I389" s="164"/>
      <c r="J389" s="162"/>
      <c r="K389" s="129"/>
      <c r="L389" s="79"/>
      <c r="M389" s="79"/>
      <c r="N389" s="79"/>
    </row>
    <row r="390" ht="15.75" customHeight="1">
      <c r="A390" s="261"/>
      <c r="B390" s="171"/>
      <c r="C390" s="172"/>
      <c r="D390" s="172"/>
      <c r="E390" s="340"/>
      <c r="F390" s="340"/>
      <c r="G390" s="327"/>
      <c r="H390" s="223"/>
      <c r="I390" s="164"/>
      <c r="J390" s="162"/>
      <c r="K390" s="129"/>
      <c r="L390" s="79"/>
      <c r="M390" s="79"/>
      <c r="N390" s="79"/>
    </row>
    <row r="391" ht="15.75" customHeight="1">
      <c r="A391" s="261"/>
      <c r="B391" s="171"/>
      <c r="C391" s="172"/>
      <c r="D391" s="172"/>
      <c r="E391" s="340"/>
      <c r="F391" s="340"/>
      <c r="G391" s="327"/>
      <c r="H391" s="223"/>
      <c r="I391" s="164"/>
      <c r="J391" s="162"/>
      <c r="K391" s="129"/>
      <c r="L391" s="79"/>
      <c r="M391" s="79"/>
      <c r="N391" s="79"/>
    </row>
    <row r="392" ht="15.75" customHeight="1">
      <c r="A392" s="261"/>
      <c r="B392" s="171"/>
      <c r="C392" s="172"/>
      <c r="D392" s="172"/>
      <c r="E392" s="340"/>
      <c r="F392" s="340"/>
      <c r="G392" s="327"/>
      <c r="H392" s="223"/>
      <c r="I392" s="164"/>
      <c r="J392" s="162"/>
      <c r="K392" s="129"/>
      <c r="L392" s="79"/>
      <c r="M392" s="79"/>
      <c r="N392" s="79"/>
    </row>
    <row r="393" ht="15.75" customHeight="1">
      <c r="A393" s="261"/>
      <c r="B393" s="171"/>
      <c r="C393" s="172"/>
      <c r="D393" s="172"/>
      <c r="E393" s="340"/>
      <c r="F393" s="340"/>
      <c r="G393" s="327"/>
      <c r="H393" s="223"/>
      <c r="I393" s="164"/>
      <c r="J393" s="162"/>
      <c r="K393" s="129"/>
      <c r="L393" s="79"/>
      <c r="M393" s="79"/>
      <c r="N393" s="79"/>
    </row>
    <row r="394" ht="15.75" customHeight="1">
      <c r="A394" s="261"/>
      <c r="B394" s="171"/>
      <c r="C394" s="172"/>
      <c r="D394" s="172"/>
      <c r="E394" s="340"/>
      <c r="F394" s="340"/>
      <c r="G394" s="327"/>
      <c r="H394" s="223"/>
      <c r="I394" s="164"/>
      <c r="J394" s="162"/>
      <c r="K394" s="129"/>
      <c r="L394" s="79"/>
      <c r="M394" s="79"/>
      <c r="N394" s="79"/>
    </row>
    <row r="395" ht="15.75" customHeight="1">
      <c r="A395" s="261"/>
      <c r="B395" s="171"/>
      <c r="C395" s="172"/>
      <c r="D395" s="172"/>
      <c r="E395" s="340"/>
      <c r="F395" s="340"/>
      <c r="G395" s="327"/>
      <c r="H395" s="223"/>
      <c r="I395" s="164"/>
      <c r="J395" s="162"/>
      <c r="K395" s="129"/>
      <c r="L395" s="79"/>
      <c r="M395" s="79"/>
      <c r="N395" s="79"/>
    </row>
    <row r="396" ht="15.75" customHeight="1">
      <c r="A396" s="261"/>
      <c r="B396" s="171"/>
      <c r="C396" s="172"/>
      <c r="D396" s="172"/>
      <c r="E396" s="340"/>
      <c r="F396" s="340"/>
      <c r="G396" s="327"/>
      <c r="H396" s="223"/>
      <c r="I396" s="164"/>
      <c r="J396" s="162"/>
      <c r="K396" s="129"/>
      <c r="L396" s="79"/>
      <c r="M396" s="79"/>
      <c r="N396" s="79"/>
    </row>
    <row r="397" ht="15.75" customHeight="1">
      <c r="A397" s="261"/>
      <c r="B397" s="171"/>
      <c r="C397" s="172"/>
      <c r="D397" s="172"/>
      <c r="E397" s="340"/>
      <c r="F397" s="340"/>
      <c r="G397" s="327"/>
      <c r="H397" s="223"/>
      <c r="I397" s="164"/>
      <c r="J397" s="162"/>
      <c r="K397" s="129"/>
      <c r="L397" s="79"/>
      <c r="M397" s="79"/>
      <c r="N397" s="79"/>
    </row>
    <row r="398" ht="15.75" customHeight="1">
      <c r="A398" s="261"/>
      <c r="B398" s="171"/>
      <c r="C398" s="172"/>
      <c r="D398" s="172"/>
      <c r="E398" s="340"/>
      <c r="F398" s="340"/>
      <c r="G398" s="327"/>
      <c r="H398" s="223"/>
      <c r="I398" s="164"/>
      <c r="J398" s="162"/>
      <c r="K398" s="129"/>
      <c r="L398" s="79"/>
      <c r="M398" s="79"/>
      <c r="N398" s="79"/>
    </row>
    <row r="399" ht="15.75" customHeight="1">
      <c r="A399" s="261"/>
      <c r="B399" s="171"/>
      <c r="C399" s="172"/>
      <c r="D399" s="172"/>
      <c r="E399" s="340"/>
      <c r="F399" s="340"/>
      <c r="G399" s="327"/>
      <c r="H399" s="223"/>
      <c r="I399" s="164"/>
      <c r="J399" s="162"/>
      <c r="K399" s="129"/>
      <c r="L399" s="79"/>
      <c r="M399" s="79"/>
      <c r="N399" s="79"/>
    </row>
    <row r="400" ht="15.75" customHeight="1">
      <c r="A400" s="261"/>
      <c r="B400" s="171"/>
      <c r="C400" s="172"/>
      <c r="D400" s="172"/>
      <c r="E400" s="340"/>
      <c r="F400" s="340"/>
      <c r="G400" s="327"/>
      <c r="H400" s="223"/>
      <c r="I400" s="164"/>
      <c r="J400" s="162"/>
      <c r="K400" s="129"/>
      <c r="L400" s="79"/>
      <c r="M400" s="79"/>
      <c r="N400" s="79"/>
    </row>
    <row r="401" ht="15.75" customHeight="1">
      <c r="A401" s="261"/>
      <c r="B401" s="171"/>
      <c r="C401" s="172"/>
      <c r="D401" s="172"/>
      <c r="E401" s="340"/>
      <c r="F401" s="340"/>
      <c r="G401" s="327"/>
      <c r="H401" s="223"/>
      <c r="I401" s="164"/>
      <c r="J401" s="162"/>
      <c r="K401" s="129"/>
      <c r="L401" s="79"/>
      <c r="M401" s="79"/>
      <c r="N401" s="79"/>
    </row>
    <row r="402" ht="15.75" customHeight="1">
      <c r="A402" s="261"/>
      <c r="B402" s="171"/>
      <c r="C402" s="172"/>
      <c r="D402" s="172"/>
      <c r="E402" s="340"/>
      <c r="F402" s="340"/>
      <c r="G402" s="327"/>
      <c r="H402" s="223"/>
      <c r="I402" s="164"/>
      <c r="J402" s="162"/>
      <c r="K402" s="129"/>
      <c r="L402" s="79"/>
      <c r="M402" s="79"/>
      <c r="N402" s="79"/>
    </row>
    <row r="403" ht="15.75" customHeight="1">
      <c r="A403" s="261"/>
      <c r="B403" s="171"/>
      <c r="C403" s="172"/>
      <c r="D403" s="172"/>
      <c r="E403" s="340"/>
      <c r="F403" s="340"/>
      <c r="G403" s="327"/>
      <c r="H403" s="223"/>
      <c r="I403" s="164"/>
      <c r="J403" s="162"/>
      <c r="K403" s="129"/>
      <c r="L403" s="79"/>
      <c r="M403" s="79"/>
      <c r="N403" s="79"/>
    </row>
    <row r="404" ht="15.75" customHeight="1">
      <c r="A404" s="261"/>
      <c r="B404" s="171"/>
      <c r="C404" s="172"/>
      <c r="D404" s="172"/>
      <c r="E404" s="340"/>
      <c r="F404" s="340"/>
      <c r="G404" s="327"/>
      <c r="H404" s="223"/>
      <c r="I404" s="164"/>
      <c r="J404" s="162"/>
      <c r="K404" s="129"/>
      <c r="L404" s="79"/>
      <c r="M404" s="79"/>
      <c r="N404" s="79"/>
    </row>
    <row r="405" ht="15.75" customHeight="1">
      <c r="A405" s="261"/>
      <c r="B405" s="171"/>
      <c r="C405" s="172"/>
      <c r="D405" s="172"/>
      <c r="E405" s="340"/>
      <c r="F405" s="340"/>
      <c r="G405" s="327"/>
      <c r="H405" s="223"/>
      <c r="I405" s="164"/>
      <c r="J405" s="162"/>
      <c r="K405" s="129"/>
      <c r="L405" s="79"/>
      <c r="M405" s="79"/>
      <c r="N405" s="79"/>
    </row>
    <row r="406" ht="15.75" customHeight="1">
      <c r="A406" s="261"/>
      <c r="B406" s="171"/>
      <c r="C406" s="172"/>
      <c r="D406" s="172"/>
      <c r="E406" s="340"/>
      <c r="F406" s="340"/>
      <c r="G406" s="327"/>
      <c r="H406" s="223"/>
      <c r="I406" s="164"/>
      <c r="J406" s="162"/>
      <c r="K406" s="129"/>
      <c r="L406" s="79"/>
      <c r="M406" s="79"/>
      <c r="N406" s="79"/>
    </row>
    <row r="407" ht="15.75" customHeight="1">
      <c r="A407" s="261"/>
      <c r="B407" s="171"/>
      <c r="C407" s="172"/>
      <c r="D407" s="172"/>
      <c r="E407" s="340"/>
      <c r="F407" s="340"/>
      <c r="G407" s="327"/>
      <c r="H407" s="223"/>
      <c r="I407" s="164"/>
      <c r="J407" s="162"/>
      <c r="K407" s="129"/>
      <c r="L407" s="79"/>
      <c r="M407" s="79"/>
      <c r="N407" s="79"/>
    </row>
    <row r="408" ht="15.75" customHeight="1">
      <c r="A408" s="261"/>
      <c r="B408" s="171"/>
      <c r="C408" s="172"/>
      <c r="D408" s="172"/>
      <c r="E408" s="340"/>
      <c r="F408" s="340"/>
      <c r="G408" s="327"/>
      <c r="H408" s="223"/>
      <c r="I408" s="164"/>
      <c r="J408" s="162"/>
      <c r="K408" s="129"/>
      <c r="L408" s="79"/>
      <c r="M408" s="79"/>
      <c r="N408" s="79"/>
    </row>
    <row r="409" ht="15.75" customHeight="1">
      <c r="A409" s="261"/>
      <c r="B409" s="171"/>
      <c r="C409" s="172"/>
      <c r="D409" s="172"/>
      <c r="E409" s="340"/>
      <c r="F409" s="340"/>
      <c r="G409" s="327"/>
      <c r="H409" s="223"/>
      <c r="I409" s="164"/>
      <c r="J409" s="162"/>
      <c r="K409" s="129"/>
      <c r="L409" s="79"/>
      <c r="M409" s="79"/>
      <c r="N409" s="79"/>
    </row>
    <row r="410" ht="15.75" customHeight="1">
      <c r="A410" s="261"/>
      <c r="B410" s="171"/>
      <c r="C410" s="172"/>
      <c r="D410" s="172"/>
      <c r="E410" s="340"/>
      <c r="F410" s="340"/>
      <c r="G410" s="327"/>
      <c r="H410" s="223"/>
      <c r="I410" s="164"/>
      <c r="J410" s="162"/>
      <c r="K410" s="129"/>
      <c r="L410" s="79"/>
      <c r="M410" s="79"/>
      <c r="N410" s="79"/>
    </row>
    <row r="411" ht="15.75" customHeight="1">
      <c r="A411" s="261"/>
      <c r="B411" s="171"/>
      <c r="C411" s="172"/>
      <c r="D411" s="172"/>
      <c r="E411" s="340"/>
      <c r="F411" s="340"/>
      <c r="G411" s="327"/>
      <c r="H411" s="223"/>
      <c r="I411" s="164"/>
      <c r="J411" s="162"/>
      <c r="K411" s="129"/>
      <c r="L411" s="79"/>
      <c r="M411" s="79"/>
      <c r="N411" s="79"/>
    </row>
    <row r="412" ht="15.75" customHeight="1">
      <c r="A412" s="261"/>
      <c r="B412" s="171"/>
      <c r="C412" s="172"/>
      <c r="D412" s="172"/>
      <c r="E412" s="340"/>
      <c r="F412" s="340"/>
      <c r="G412" s="327"/>
      <c r="H412" s="223"/>
      <c r="I412" s="164"/>
      <c r="J412" s="162"/>
      <c r="K412" s="129"/>
      <c r="L412" s="79"/>
      <c r="M412" s="79"/>
      <c r="N412" s="79"/>
    </row>
    <row r="413" ht="15.75" customHeight="1">
      <c r="A413" s="261"/>
      <c r="B413" s="171"/>
      <c r="C413" s="172"/>
      <c r="D413" s="172"/>
      <c r="E413" s="340"/>
      <c r="F413" s="340"/>
      <c r="G413" s="327"/>
      <c r="H413" s="223"/>
      <c r="I413" s="164"/>
      <c r="J413" s="162"/>
      <c r="K413" s="129"/>
      <c r="L413" s="79"/>
      <c r="M413" s="79"/>
      <c r="N413" s="79"/>
    </row>
    <row r="414" ht="15.75" customHeight="1">
      <c r="A414" s="261"/>
      <c r="B414" s="171"/>
      <c r="C414" s="172"/>
      <c r="D414" s="172"/>
      <c r="E414" s="340"/>
      <c r="F414" s="340"/>
      <c r="G414" s="327"/>
      <c r="H414" s="223"/>
      <c r="I414" s="164"/>
      <c r="J414" s="162"/>
      <c r="K414" s="129"/>
      <c r="L414" s="79"/>
      <c r="M414" s="79"/>
      <c r="N414" s="79"/>
    </row>
    <row r="415" ht="15.75" customHeight="1">
      <c r="A415" s="261"/>
      <c r="B415" s="171"/>
      <c r="C415" s="172"/>
      <c r="D415" s="172"/>
      <c r="E415" s="340"/>
      <c r="F415" s="340"/>
      <c r="G415" s="327"/>
      <c r="H415" s="223"/>
      <c r="I415" s="164"/>
      <c r="J415" s="162"/>
      <c r="K415" s="129"/>
      <c r="L415" s="79"/>
      <c r="M415" s="79"/>
      <c r="N415" s="79"/>
    </row>
    <row r="416" ht="15.75" customHeight="1">
      <c r="A416" s="261"/>
      <c r="B416" s="171"/>
      <c r="C416" s="172"/>
      <c r="D416" s="172"/>
      <c r="E416" s="340"/>
      <c r="F416" s="340"/>
      <c r="G416" s="327"/>
      <c r="H416" s="223"/>
      <c r="I416" s="164"/>
      <c r="J416" s="162"/>
      <c r="K416" s="129"/>
      <c r="L416" s="79"/>
      <c r="M416" s="79"/>
      <c r="N416" s="79"/>
    </row>
    <row r="417" ht="15.75" customHeight="1">
      <c r="A417" s="261"/>
      <c r="B417" s="171"/>
      <c r="C417" s="172"/>
      <c r="D417" s="172"/>
      <c r="E417" s="340"/>
      <c r="F417" s="340"/>
      <c r="G417" s="327"/>
      <c r="H417" s="223"/>
      <c r="I417" s="164"/>
      <c r="J417" s="162"/>
      <c r="K417" s="129"/>
      <c r="L417" s="79"/>
      <c r="M417" s="79"/>
      <c r="N417" s="79"/>
    </row>
    <row r="418" ht="15.75" customHeight="1">
      <c r="A418" s="261"/>
      <c r="B418" s="171"/>
      <c r="C418" s="172"/>
      <c r="D418" s="172"/>
      <c r="E418" s="340"/>
      <c r="F418" s="340"/>
      <c r="G418" s="327"/>
      <c r="H418" s="223"/>
      <c r="I418" s="164"/>
      <c r="J418" s="162"/>
      <c r="K418" s="129"/>
      <c r="L418" s="79"/>
      <c r="M418" s="79"/>
      <c r="N418" s="79"/>
    </row>
    <row r="419" ht="15.75" customHeight="1">
      <c r="A419" s="261"/>
      <c r="B419" s="171"/>
      <c r="C419" s="172"/>
      <c r="D419" s="172"/>
      <c r="E419" s="340"/>
      <c r="F419" s="340"/>
      <c r="G419" s="327"/>
      <c r="H419" s="223"/>
      <c r="I419" s="164"/>
      <c r="J419" s="162"/>
      <c r="K419" s="129"/>
      <c r="L419" s="79"/>
      <c r="M419" s="79"/>
      <c r="N419" s="79"/>
    </row>
    <row r="420" ht="15.75" customHeight="1">
      <c r="A420" s="261"/>
      <c r="B420" s="171"/>
      <c r="C420" s="172"/>
      <c r="D420" s="172"/>
      <c r="E420" s="340"/>
      <c r="F420" s="340"/>
      <c r="G420" s="327"/>
      <c r="H420" s="223"/>
      <c r="I420" s="164"/>
      <c r="J420" s="162"/>
      <c r="K420" s="129"/>
      <c r="L420" s="79"/>
      <c r="M420" s="79"/>
      <c r="N420" s="79"/>
    </row>
    <row r="421" ht="15.75" customHeight="1">
      <c r="A421" s="261"/>
      <c r="B421" s="171"/>
      <c r="C421" s="172"/>
      <c r="D421" s="172"/>
      <c r="E421" s="340"/>
      <c r="F421" s="340"/>
      <c r="G421" s="327"/>
      <c r="H421" s="223"/>
      <c r="I421" s="164"/>
      <c r="J421" s="162"/>
      <c r="K421" s="129"/>
      <c r="L421" s="79"/>
      <c r="M421" s="79"/>
      <c r="N421" s="79"/>
    </row>
    <row r="422" ht="15.75" customHeight="1">
      <c r="A422" s="261"/>
      <c r="B422" s="171"/>
      <c r="C422" s="172"/>
      <c r="D422" s="172"/>
      <c r="E422" s="340"/>
      <c r="F422" s="340"/>
      <c r="G422" s="327"/>
      <c r="H422" s="223"/>
      <c r="I422" s="164"/>
      <c r="J422" s="162"/>
      <c r="K422" s="129"/>
      <c r="L422" s="79"/>
      <c r="M422" s="79"/>
      <c r="N422" s="79"/>
    </row>
    <row r="423" ht="15.75" customHeight="1">
      <c r="A423" s="261"/>
      <c r="B423" s="171"/>
      <c r="C423" s="172"/>
      <c r="D423" s="172"/>
      <c r="E423" s="340"/>
      <c r="F423" s="340"/>
      <c r="G423" s="327"/>
      <c r="H423" s="223"/>
      <c r="I423" s="164"/>
      <c r="J423" s="162"/>
      <c r="K423" s="129"/>
      <c r="L423" s="79"/>
      <c r="M423" s="79"/>
      <c r="N423" s="79"/>
    </row>
    <row r="424" ht="15.75" customHeight="1">
      <c r="A424" s="261"/>
      <c r="B424" s="171"/>
      <c r="C424" s="172"/>
      <c r="D424" s="172"/>
      <c r="E424" s="340"/>
      <c r="F424" s="340"/>
      <c r="G424" s="327"/>
      <c r="H424" s="223"/>
      <c r="I424" s="164"/>
      <c r="J424" s="162"/>
      <c r="K424" s="129"/>
      <c r="L424" s="79"/>
      <c r="M424" s="79"/>
      <c r="N424" s="79"/>
    </row>
    <row r="425" ht="15.75" customHeight="1">
      <c r="A425" s="261"/>
      <c r="B425" s="171"/>
      <c r="C425" s="172"/>
      <c r="D425" s="172"/>
      <c r="E425" s="340"/>
      <c r="F425" s="340"/>
      <c r="G425" s="327"/>
      <c r="H425" s="223"/>
      <c r="I425" s="164"/>
      <c r="J425" s="162"/>
      <c r="K425" s="129"/>
      <c r="L425" s="79"/>
      <c r="M425" s="79"/>
      <c r="N425" s="79"/>
    </row>
    <row r="426" ht="15.75" customHeight="1">
      <c r="A426" s="261"/>
      <c r="B426" s="171"/>
      <c r="C426" s="172"/>
      <c r="D426" s="172"/>
      <c r="E426" s="340"/>
      <c r="F426" s="340"/>
      <c r="G426" s="327"/>
      <c r="H426" s="223"/>
      <c r="I426" s="164"/>
      <c r="J426" s="162"/>
      <c r="K426" s="129"/>
      <c r="L426" s="79"/>
      <c r="M426" s="79"/>
      <c r="N426" s="79"/>
    </row>
    <row r="427" ht="15.75" customHeight="1">
      <c r="A427" s="261"/>
      <c r="B427" s="171"/>
      <c r="C427" s="172"/>
      <c r="D427" s="172"/>
      <c r="E427" s="340"/>
      <c r="F427" s="340"/>
      <c r="G427" s="327"/>
      <c r="H427" s="223"/>
      <c r="I427" s="164"/>
      <c r="J427" s="162"/>
      <c r="K427" s="129"/>
      <c r="L427" s="79"/>
      <c r="M427" s="79"/>
      <c r="N427" s="79"/>
    </row>
    <row r="428" ht="15.75" customHeight="1">
      <c r="A428" s="261"/>
      <c r="B428" s="171"/>
      <c r="C428" s="172"/>
      <c r="D428" s="172"/>
      <c r="E428" s="340"/>
      <c r="F428" s="340"/>
      <c r="G428" s="327"/>
      <c r="H428" s="223"/>
      <c r="I428" s="164"/>
      <c r="J428" s="162"/>
      <c r="K428" s="129"/>
      <c r="L428" s="79"/>
      <c r="M428" s="79"/>
      <c r="N428" s="79"/>
    </row>
    <row r="429" ht="15.75" customHeight="1">
      <c r="A429" s="261"/>
      <c r="B429" s="171"/>
      <c r="C429" s="172"/>
      <c r="D429" s="172"/>
      <c r="E429" s="340"/>
      <c r="F429" s="340"/>
      <c r="G429" s="327"/>
      <c r="H429" s="223"/>
      <c r="I429" s="164"/>
      <c r="J429" s="162"/>
      <c r="K429" s="129"/>
      <c r="L429" s="79"/>
      <c r="M429" s="79"/>
      <c r="N429" s="79"/>
    </row>
    <row r="430" ht="15.75" customHeight="1">
      <c r="A430" s="261"/>
      <c r="B430" s="171"/>
      <c r="C430" s="172"/>
      <c r="D430" s="172"/>
      <c r="E430" s="340"/>
      <c r="F430" s="340"/>
      <c r="G430" s="327"/>
      <c r="H430" s="223"/>
      <c r="I430" s="164"/>
      <c r="J430" s="162"/>
      <c r="K430" s="129"/>
      <c r="L430" s="79"/>
      <c r="M430" s="79"/>
      <c r="N430" s="79"/>
    </row>
    <row r="431" ht="15.75" customHeight="1">
      <c r="A431" s="261"/>
      <c r="B431" s="171"/>
      <c r="C431" s="172"/>
      <c r="D431" s="172"/>
      <c r="E431" s="340"/>
      <c r="F431" s="340"/>
      <c r="G431" s="327"/>
      <c r="H431" s="223"/>
      <c r="I431" s="164"/>
      <c r="J431" s="162"/>
      <c r="K431" s="129"/>
      <c r="L431" s="79"/>
      <c r="M431" s="79"/>
      <c r="N431" s="79"/>
    </row>
    <row r="432" ht="15.75" customHeight="1">
      <c r="A432" s="261"/>
      <c r="B432" s="171"/>
      <c r="C432" s="172"/>
      <c r="D432" s="172"/>
      <c r="E432" s="340"/>
      <c r="F432" s="340"/>
      <c r="G432" s="327"/>
      <c r="H432" s="223"/>
      <c r="I432" s="164"/>
      <c r="J432" s="162"/>
      <c r="K432" s="129"/>
      <c r="L432" s="79"/>
      <c r="M432" s="79"/>
      <c r="N432" s="79"/>
    </row>
    <row r="433" ht="15.75" customHeight="1">
      <c r="A433" s="261"/>
      <c r="B433" s="171"/>
      <c r="C433" s="172"/>
      <c r="D433" s="172"/>
      <c r="E433" s="340"/>
      <c r="F433" s="340"/>
      <c r="G433" s="327"/>
      <c r="H433" s="223"/>
      <c r="I433" s="164"/>
      <c r="J433" s="162"/>
      <c r="K433" s="129"/>
      <c r="L433" s="79"/>
      <c r="M433" s="79"/>
      <c r="N433" s="79"/>
    </row>
    <row r="434" ht="15.75" customHeight="1">
      <c r="A434" s="261"/>
      <c r="B434" s="171"/>
      <c r="C434" s="172"/>
      <c r="D434" s="172"/>
      <c r="E434" s="340"/>
      <c r="F434" s="340"/>
      <c r="G434" s="327"/>
      <c r="H434" s="223"/>
      <c r="I434" s="164"/>
      <c r="J434" s="162"/>
      <c r="K434" s="129"/>
      <c r="L434" s="79"/>
      <c r="M434" s="79"/>
      <c r="N434" s="79"/>
    </row>
    <row r="435" ht="15.75" customHeight="1">
      <c r="A435" s="261"/>
      <c r="B435" s="171"/>
      <c r="C435" s="172"/>
      <c r="D435" s="172"/>
      <c r="E435" s="340"/>
      <c r="F435" s="340"/>
      <c r="G435" s="327"/>
      <c r="H435" s="223"/>
      <c r="I435" s="164"/>
      <c r="J435" s="162"/>
      <c r="K435" s="129"/>
      <c r="L435" s="79"/>
      <c r="M435" s="79"/>
      <c r="N435" s="79"/>
    </row>
    <row r="436" ht="15.75" customHeight="1">
      <c r="A436" s="261"/>
      <c r="B436" s="171"/>
      <c r="C436" s="172"/>
      <c r="D436" s="172"/>
      <c r="E436" s="340"/>
      <c r="F436" s="340"/>
      <c r="G436" s="327"/>
      <c r="H436" s="223"/>
      <c r="I436" s="164"/>
      <c r="J436" s="162"/>
      <c r="K436" s="129"/>
      <c r="L436" s="79"/>
      <c r="M436" s="79"/>
      <c r="N436" s="79"/>
    </row>
    <row r="437" ht="15.75" customHeight="1">
      <c r="A437" s="261"/>
      <c r="B437" s="171"/>
      <c r="C437" s="172"/>
      <c r="D437" s="172"/>
      <c r="E437" s="340"/>
      <c r="F437" s="340"/>
      <c r="G437" s="327"/>
      <c r="H437" s="223"/>
      <c r="I437" s="164"/>
      <c r="J437" s="162"/>
      <c r="K437" s="129"/>
      <c r="L437" s="79"/>
      <c r="M437" s="79"/>
      <c r="N437" s="79"/>
    </row>
    <row r="438" ht="15.75" customHeight="1">
      <c r="A438" s="261"/>
      <c r="B438" s="171"/>
      <c r="C438" s="172"/>
      <c r="D438" s="172"/>
      <c r="E438" s="340"/>
      <c r="F438" s="340"/>
      <c r="G438" s="327"/>
      <c r="H438" s="223"/>
      <c r="I438" s="164"/>
      <c r="J438" s="162"/>
      <c r="K438" s="129"/>
      <c r="L438" s="79"/>
      <c r="M438" s="79"/>
      <c r="N438" s="79"/>
    </row>
    <row r="439" ht="15.75" customHeight="1">
      <c r="A439" s="261"/>
      <c r="B439" s="171"/>
      <c r="C439" s="172"/>
      <c r="D439" s="172"/>
      <c r="E439" s="340"/>
      <c r="F439" s="340"/>
      <c r="G439" s="327"/>
      <c r="H439" s="223"/>
      <c r="I439" s="164"/>
      <c r="J439" s="162"/>
      <c r="K439" s="129"/>
      <c r="L439" s="79"/>
      <c r="M439" s="79"/>
      <c r="N439" s="79"/>
    </row>
    <row r="440" ht="15.75" customHeight="1">
      <c r="A440" s="261"/>
      <c r="B440" s="171"/>
      <c r="C440" s="172"/>
      <c r="D440" s="172"/>
      <c r="E440" s="340"/>
      <c r="F440" s="340"/>
      <c r="G440" s="327"/>
      <c r="H440" s="223"/>
      <c r="I440" s="164"/>
      <c r="J440" s="162"/>
      <c r="K440" s="129"/>
      <c r="L440" s="79"/>
      <c r="M440" s="79"/>
      <c r="N440" s="79"/>
    </row>
    <row r="441" ht="15.75" customHeight="1">
      <c r="A441" s="261"/>
      <c r="B441" s="171"/>
      <c r="C441" s="172"/>
      <c r="D441" s="172"/>
      <c r="E441" s="340"/>
      <c r="F441" s="340"/>
      <c r="G441" s="327"/>
      <c r="H441" s="223"/>
      <c r="I441" s="164"/>
      <c r="J441" s="162"/>
      <c r="K441" s="129"/>
      <c r="L441" s="79"/>
      <c r="M441" s="79"/>
      <c r="N441" s="79"/>
    </row>
    <row r="442" ht="15.75" customHeight="1">
      <c r="A442" s="261"/>
      <c r="B442" s="171"/>
      <c r="C442" s="172"/>
      <c r="D442" s="172"/>
      <c r="E442" s="340"/>
      <c r="F442" s="340"/>
      <c r="G442" s="327"/>
      <c r="H442" s="223"/>
      <c r="I442" s="164"/>
      <c r="J442" s="162"/>
      <c r="K442" s="129"/>
      <c r="L442" s="79"/>
      <c r="M442" s="79"/>
      <c r="N442" s="79"/>
    </row>
    <row r="443" ht="15.75" customHeight="1">
      <c r="A443" s="261"/>
      <c r="B443" s="171"/>
      <c r="C443" s="172"/>
      <c r="D443" s="172"/>
      <c r="E443" s="340"/>
      <c r="F443" s="340"/>
      <c r="G443" s="327"/>
      <c r="H443" s="223"/>
      <c r="I443" s="164"/>
      <c r="J443" s="162"/>
      <c r="K443" s="129"/>
      <c r="L443" s="79"/>
      <c r="M443" s="79"/>
      <c r="N443" s="79"/>
    </row>
    <row r="444" ht="15.75" customHeight="1">
      <c r="A444" s="261"/>
      <c r="B444" s="171"/>
      <c r="C444" s="172"/>
      <c r="D444" s="172"/>
      <c r="E444" s="340"/>
      <c r="F444" s="340"/>
      <c r="G444" s="327"/>
      <c r="H444" s="223"/>
      <c r="I444" s="164"/>
      <c r="J444" s="162"/>
      <c r="K444" s="129"/>
      <c r="L444" s="79"/>
      <c r="M444" s="79"/>
      <c r="N444" s="79"/>
    </row>
    <row r="445" ht="15.75" customHeight="1">
      <c r="A445" s="261"/>
      <c r="B445" s="171"/>
      <c r="C445" s="172"/>
      <c r="D445" s="172"/>
      <c r="E445" s="340"/>
      <c r="F445" s="340"/>
      <c r="G445" s="327"/>
      <c r="H445" s="223"/>
      <c r="I445" s="164"/>
      <c r="J445" s="162"/>
      <c r="K445" s="129"/>
      <c r="L445" s="79"/>
      <c r="M445" s="79"/>
      <c r="N445" s="79"/>
    </row>
    <row r="446" ht="15.75" customHeight="1">
      <c r="A446" s="261"/>
      <c r="B446" s="171"/>
      <c r="C446" s="172"/>
      <c r="D446" s="172"/>
      <c r="E446" s="340"/>
      <c r="F446" s="340"/>
      <c r="G446" s="327"/>
      <c r="H446" s="223"/>
      <c r="I446" s="164"/>
      <c r="J446" s="162"/>
      <c r="K446" s="129"/>
      <c r="L446" s="79"/>
      <c r="M446" s="79"/>
      <c r="N446" s="79"/>
    </row>
    <row r="447" ht="15.75" customHeight="1">
      <c r="A447" s="261"/>
      <c r="B447" s="171"/>
      <c r="C447" s="172"/>
      <c r="D447" s="172"/>
      <c r="E447" s="340"/>
      <c r="F447" s="340"/>
      <c r="G447" s="327"/>
      <c r="H447" s="223"/>
      <c r="I447" s="164"/>
      <c r="J447" s="162"/>
      <c r="K447" s="129"/>
      <c r="L447" s="79"/>
      <c r="M447" s="79"/>
      <c r="N447" s="79"/>
    </row>
    <row r="448" ht="15.75" customHeight="1">
      <c r="A448" s="261"/>
      <c r="B448" s="171"/>
      <c r="C448" s="172"/>
      <c r="D448" s="172"/>
      <c r="E448" s="340"/>
      <c r="F448" s="340"/>
      <c r="G448" s="327"/>
      <c r="H448" s="223"/>
      <c r="I448" s="164"/>
      <c r="J448" s="162"/>
      <c r="K448" s="129"/>
      <c r="L448" s="79"/>
      <c r="M448" s="79"/>
      <c r="N448" s="79"/>
    </row>
    <row r="449" ht="15.75" customHeight="1">
      <c r="A449" s="261"/>
      <c r="B449" s="171"/>
      <c r="C449" s="172"/>
      <c r="D449" s="172"/>
      <c r="E449" s="340"/>
      <c r="F449" s="340"/>
      <c r="G449" s="327"/>
      <c r="H449" s="223"/>
      <c r="I449" s="164"/>
      <c r="J449" s="162"/>
      <c r="K449" s="129"/>
      <c r="L449" s="79"/>
      <c r="M449" s="79"/>
      <c r="N449" s="79"/>
    </row>
    <row r="450" ht="15.75" customHeight="1">
      <c r="A450" s="261"/>
      <c r="B450" s="171"/>
      <c r="C450" s="172"/>
      <c r="D450" s="172"/>
      <c r="E450" s="340"/>
      <c r="F450" s="340"/>
      <c r="G450" s="327"/>
      <c r="H450" s="223"/>
      <c r="I450" s="164"/>
      <c r="J450" s="162"/>
      <c r="K450" s="129"/>
      <c r="L450" s="79"/>
      <c r="M450" s="79"/>
      <c r="N450" s="79"/>
    </row>
    <row r="451" ht="15.75" customHeight="1">
      <c r="A451" s="261"/>
      <c r="B451" s="171"/>
      <c r="C451" s="172"/>
      <c r="D451" s="172"/>
      <c r="E451" s="340"/>
      <c r="F451" s="340"/>
      <c r="G451" s="327"/>
      <c r="H451" s="223"/>
      <c r="I451" s="164"/>
      <c r="J451" s="162"/>
      <c r="K451" s="129"/>
      <c r="L451" s="79"/>
      <c r="M451" s="79"/>
      <c r="N451" s="79"/>
    </row>
    <row r="452" ht="15.75" customHeight="1">
      <c r="A452" s="261"/>
      <c r="B452" s="171"/>
      <c r="C452" s="172"/>
      <c r="D452" s="172"/>
      <c r="E452" s="340"/>
      <c r="F452" s="340"/>
      <c r="G452" s="327"/>
      <c r="H452" s="223"/>
      <c r="I452" s="164"/>
      <c r="J452" s="162"/>
      <c r="K452" s="129"/>
      <c r="L452" s="79"/>
      <c r="M452" s="79"/>
      <c r="N452" s="79"/>
    </row>
    <row r="453" ht="15.75" customHeight="1">
      <c r="A453" s="261"/>
      <c r="B453" s="171"/>
      <c r="C453" s="172"/>
      <c r="D453" s="172"/>
      <c r="E453" s="340"/>
      <c r="F453" s="340"/>
      <c r="G453" s="327"/>
      <c r="H453" s="223"/>
      <c r="I453" s="164"/>
      <c r="J453" s="162"/>
      <c r="K453" s="129"/>
      <c r="L453" s="79"/>
      <c r="M453" s="79"/>
      <c r="N453" s="79"/>
    </row>
    <row r="454" ht="15.75" customHeight="1">
      <c r="A454" s="261"/>
      <c r="B454" s="171"/>
      <c r="C454" s="172"/>
      <c r="D454" s="172"/>
      <c r="E454" s="340"/>
      <c r="F454" s="340"/>
      <c r="G454" s="327"/>
      <c r="H454" s="223"/>
      <c r="I454" s="164"/>
      <c r="J454" s="162"/>
      <c r="K454" s="129"/>
      <c r="L454" s="79"/>
      <c r="M454" s="79"/>
      <c r="N454" s="79"/>
    </row>
    <row r="455" ht="15.75" customHeight="1">
      <c r="A455" s="261"/>
      <c r="B455" s="171"/>
      <c r="C455" s="172"/>
      <c r="D455" s="172"/>
      <c r="E455" s="340"/>
      <c r="F455" s="340"/>
      <c r="G455" s="327"/>
      <c r="H455" s="223"/>
      <c r="I455" s="164"/>
      <c r="J455" s="162"/>
      <c r="K455" s="129"/>
      <c r="L455" s="79"/>
      <c r="M455" s="79"/>
      <c r="N455" s="79"/>
    </row>
    <row r="456" ht="15.75" customHeight="1">
      <c r="A456" s="261"/>
      <c r="B456" s="171"/>
      <c r="C456" s="172"/>
      <c r="D456" s="172"/>
      <c r="E456" s="340"/>
      <c r="F456" s="340"/>
      <c r="G456" s="327"/>
      <c r="H456" s="223"/>
      <c r="I456" s="164"/>
      <c r="J456" s="162"/>
      <c r="K456" s="129"/>
      <c r="L456" s="79"/>
      <c r="M456" s="79"/>
      <c r="N456" s="79"/>
    </row>
    <row r="457" ht="15.75" customHeight="1">
      <c r="A457" s="261"/>
      <c r="B457" s="171"/>
      <c r="C457" s="172"/>
      <c r="D457" s="172"/>
      <c r="E457" s="340"/>
      <c r="F457" s="340"/>
      <c r="G457" s="327"/>
      <c r="H457" s="223"/>
      <c r="I457" s="164"/>
      <c r="J457" s="162"/>
      <c r="K457" s="129"/>
      <c r="L457" s="79"/>
      <c r="M457" s="79"/>
      <c r="N457" s="79"/>
    </row>
    <row r="458" ht="15.75" customHeight="1">
      <c r="A458" s="261"/>
      <c r="B458" s="171"/>
      <c r="C458" s="172"/>
      <c r="D458" s="172"/>
      <c r="E458" s="340"/>
      <c r="F458" s="340"/>
      <c r="G458" s="327"/>
      <c r="H458" s="223"/>
      <c r="I458" s="164"/>
      <c r="J458" s="162"/>
      <c r="K458" s="129"/>
      <c r="L458" s="79"/>
      <c r="M458" s="79"/>
      <c r="N458" s="79"/>
    </row>
    <row r="459" ht="15.75" customHeight="1">
      <c r="A459" s="261"/>
      <c r="B459" s="171"/>
      <c r="C459" s="172"/>
      <c r="D459" s="172"/>
      <c r="E459" s="340"/>
      <c r="F459" s="340"/>
      <c r="G459" s="327"/>
      <c r="H459" s="223"/>
      <c r="I459" s="164"/>
      <c r="J459" s="162"/>
      <c r="K459" s="129"/>
      <c r="L459" s="79"/>
      <c r="M459" s="79"/>
      <c r="N459" s="79"/>
    </row>
    <row r="460" ht="15.75" customHeight="1">
      <c r="A460" s="261"/>
      <c r="B460" s="171"/>
      <c r="C460" s="172"/>
      <c r="D460" s="172"/>
      <c r="E460" s="340"/>
      <c r="F460" s="340"/>
      <c r="G460" s="327"/>
      <c r="H460" s="223"/>
      <c r="I460" s="164"/>
      <c r="J460" s="162"/>
      <c r="K460" s="129"/>
      <c r="L460" s="79"/>
      <c r="M460" s="79"/>
      <c r="N460" s="79"/>
    </row>
    <row r="461" ht="15.75" customHeight="1">
      <c r="A461" s="261"/>
      <c r="B461" s="171"/>
      <c r="C461" s="172"/>
      <c r="D461" s="172"/>
      <c r="E461" s="340"/>
      <c r="F461" s="340"/>
      <c r="G461" s="327"/>
      <c r="H461" s="223"/>
      <c r="I461" s="164"/>
      <c r="J461" s="162"/>
      <c r="K461" s="129"/>
      <c r="L461" s="79"/>
      <c r="M461" s="79"/>
      <c r="N461" s="79"/>
    </row>
    <row r="462" ht="15.75" customHeight="1">
      <c r="A462" s="261"/>
      <c r="B462" s="171"/>
      <c r="C462" s="172"/>
      <c r="D462" s="172"/>
      <c r="E462" s="340"/>
      <c r="F462" s="340"/>
      <c r="G462" s="327"/>
      <c r="H462" s="223"/>
      <c r="I462" s="164"/>
      <c r="J462" s="162"/>
      <c r="K462" s="129"/>
      <c r="L462" s="79"/>
      <c r="M462" s="79"/>
      <c r="N462" s="79"/>
    </row>
    <row r="463" ht="15.75" customHeight="1">
      <c r="A463" s="261"/>
      <c r="B463" s="171"/>
      <c r="C463" s="172"/>
      <c r="D463" s="172"/>
      <c r="E463" s="340"/>
      <c r="F463" s="340"/>
      <c r="G463" s="327"/>
      <c r="H463" s="223"/>
      <c r="I463" s="164"/>
      <c r="J463" s="162"/>
      <c r="K463" s="129"/>
      <c r="L463" s="79"/>
      <c r="M463" s="79"/>
      <c r="N463" s="79"/>
    </row>
    <row r="464" ht="15.75" customHeight="1">
      <c r="A464" s="261"/>
      <c r="B464" s="171"/>
      <c r="C464" s="172"/>
      <c r="D464" s="172"/>
      <c r="E464" s="340"/>
      <c r="F464" s="340"/>
      <c r="G464" s="327"/>
      <c r="H464" s="223"/>
      <c r="I464" s="164"/>
      <c r="J464" s="162"/>
      <c r="K464" s="129"/>
      <c r="L464" s="79"/>
      <c r="M464" s="79"/>
      <c r="N464" s="79"/>
    </row>
    <row r="465" ht="15.75" customHeight="1">
      <c r="A465" s="261"/>
      <c r="B465" s="171"/>
      <c r="C465" s="172"/>
      <c r="D465" s="172"/>
      <c r="E465" s="340"/>
      <c r="F465" s="340"/>
      <c r="G465" s="327"/>
      <c r="H465" s="223"/>
      <c r="I465" s="164"/>
      <c r="J465" s="162"/>
      <c r="K465" s="129"/>
      <c r="L465" s="79"/>
      <c r="M465" s="79"/>
      <c r="N465" s="79"/>
    </row>
    <row r="466" ht="15.75" customHeight="1">
      <c r="A466" s="261"/>
      <c r="B466" s="171"/>
      <c r="C466" s="172"/>
      <c r="D466" s="172"/>
      <c r="E466" s="340"/>
      <c r="F466" s="340"/>
      <c r="G466" s="327"/>
      <c r="H466" s="223"/>
      <c r="I466" s="164"/>
      <c r="J466" s="162"/>
      <c r="K466" s="129"/>
      <c r="L466" s="79"/>
      <c r="M466" s="79"/>
      <c r="N466" s="79"/>
    </row>
    <row r="467" ht="15.75" customHeight="1">
      <c r="A467" s="261"/>
      <c r="B467" s="171"/>
      <c r="C467" s="172"/>
      <c r="D467" s="172"/>
      <c r="E467" s="340"/>
      <c r="F467" s="340"/>
      <c r="G467" s="327"/>
      <c r="H467" s="223"/>
      <c r="I467" s="164"/>
      <c r="J467" s="162"/>
      <c r="K467" s="129"/>
      <c r="L467" s="79"/>
      <c r="M467" s="79"/>
      <c r="N467" s="79"/>
    </row>
    <row r="468" ht="15.75" customHeight="1">
      <c r="A468" s="261"/>
      <c r="B468" s="171"/>
      <c r="C468" s="172"/>
      <c r="D468" s="172"/>
      <c r="E468" s="340"/>
      <c r="F468" s="340"/>
      <c r="G468" s="327"/>
      <c r="H468" s="223"/>
      <c r="I468" s="164"/>
      <c r="J468" s="162"/>
      <c r="K468" s="129"/>
      <c r="L468" s="79"/>
      <c r="M468" s="79"/>
      <c r="N468" s="79"/>
    </row>
    <row r="469" ht="15.75" customHeight="1">
      <c r="A469" s="261"/>
      <c r="B469" s="171"/>
      <c r="C469" s="172"/>
      <c r="D469" s="172"/>
      <c r="E469" s="340"/>
      <c r="F469" s="340"/>
      <c r="G469" s="327"/>
      <c r="H469" s="223"/>
      <c r="I469" s="164"/>
      <c r="J469" s="162"/>
      <c r="K469" s="129"/>
      <c r="L469" s="79"/>
      <c r="M469" s="79"/>
      <c r="N469" s="79"/>
    </row>
    <row r="470" ht="15.75" customHeight="1">
      <c r="A470" s="261"/>
      <c r="B470" s="171"/>
      <c r="C470" s="172"/>
      <c r="D470" s="172"/>
      <c r="E470" s="340"/>
      <c r="F470" s="340"/>
      <c r="G470" s="327"/>
      <c r="H470" s="223"/>
      <c r="I470" s="164"/>
      <c r="J470" s="162"/>
      <c r="K470" s="129"/>
      <c r="L470" s="79"/>
      <c r="M470" s="79"/>
      <c r="N470" s="79"/>
    </row>
    <row r="471" ht="15.75" customHeight="1">
      <c r="A471" s="261"/>
      <c r="B471" s="171"/>
      <c r="C471" s="172"/>
      <c r="D471" s="172"/>
      <c r="E471" s="340"/>
      <c r="F471" s="340"/>
      <c r="G471" s="327"/>
      <c r="H471" s="223"/>
      <c r="I471" s="164"/>
      <c r="J471" s="162"/>
      <c r="K471" s="129"/>
      <c r="L471" s="79"/>
      <c r="M471" s="79"/>
      <c r="N471" s="79"/>
    </row>
    <row r="472" ht="15.75" customHeight="1">
      <c r="A472" s="261"/>
      <c r="B472" s="171"/>
      <c r="C472" s="172"/>
      <c r="D472" s="172"/>
      <c r="E472" s="340"/>
      <c r="F472" s="340"/>
      <c r="G472" s="327"/>
      <c r="H472" s="223"/>
      <c r="I472" s="164"/>
      <c r="J472" s="162"/>
      <c r="K472" s="129"/>
      <c r="L472" s="79"/>
      <c r="M472" s="79"/>
      <c r="N472" s="79"/>
    </row>
    <row r="473" ht="15.75" customHeight="1">
      <c r="A473" s="261"/>
      <c r="B473" s="171"/>
      <c r="C473" s="172"/>
      <c r="D473" s="172"/>
      <c r="E473" s="340"/>
      <c r="F473" s="340"/>
      <c r="G473" s="327"/>
      <c r="H473" s="223"/>
      <c r="I473" s="164"/>
      <c r="J473" s="162"/>
      <c r="K473" s="129"/>
      <c r="L473" s="79"/>
      <c r="M473" s="79"/>
      <c r="N473" s="79"/>
    </row>
    <row r="474" ht="15.75" customHeight="1">
      <c r="A474" s="261"/>
      <c r="B474" s="171"/>
      <c r="C474" s="172"/>
      <c r="D474" s="172"/>
      <c r="E474" s="340"/>
      <c r="F474" s="340"/>
      <c r="G474" s="327"/>
      <c r="H474" s="223"/>
      <c r="I474" s="164"/>
      <c r="J474" s="162"/>
      <c r="K474" s="129"/>
      <c r="L474" s="79"/>
      <c r="M474" s="79"/>
      <c r="N474" s="79"/>
    </row>
    <row r="475" ht="15.75" customHeight="1">
      <c r="A475" s="261"/>
      <c r="B475" s="171"/>
      <c r="C475" s="172"/>
      <c r="D475" s="172"/>
      <c r="E475" s="340"/>
      <c r="F475" s="340"/>
      <c r="G475" s="327"/>
      <c r="H475" s="223"/>
      <c r="I475" s="164"/>
      <c r="J475" s="162"/>
      <c r="K475" s="129"/>
      <c r="L475" s="79"/>
      <c r="M475" s="79"/>
      <c r="N475" s="79"/>
    </row>
    <row r="476" ht="15.75" customHeight="1">
      <c r="A476" s="261"/>
      <c r="B476" s="171"/>
      <c r="C476" s="172"/>
      <c r="D476" s="172"/>
      <c r="E476" s="340"/>
      <c r="F476" s="340"/>
      <c r="G476" s="327"/>
      <c r="H476" s="223"/>
      <c r="I476" s="164"/>
      <c r="J476" s="162"/>
      <c r="K476" s="129"/>
      <c r="L476" s="79"/>
      <c r="M476" s="79"/>
      <c r="N476" s="79"/>
    </row>
    <row r="477" ht="15.75" customHeight="1">
      <c r="A477" s="261"/>
      <c r="B477" s="171"/>
      <c r="C477" s="172"/>
      <c r="D477" s="172"/>
      <c r="E477" s="340"/>
      <c r="F477" s="340"/>
      <c r="G477" s="327"/>
      <c r="H477" s="223"/>
      <c r="I477" s="164"/>
      <c r="J477" s="162"/>
      <c r="K477" s="129"/>
      <c r="L477" s="79"/>
      <c r="M477" s="79"/>
      <c r="N477" s="79"/>
    </row>
    <row r="478" ht="15.75" customHeight="1">
      <c r="A478" s="261"/>
      <c r="B478" s="171"/>
      <c r="C478" s="172"/>
      <c r="D478" s="172"/>
      <c r="E478" s="340"/>
      <c r="F478" s="340"/>
      <c r="G478" s="327"/>
      <c r="H478" s="223"/>
      <c r="I478" s="164"/>
      <c r="J478" s="162"/>
      <c r="K478" s="129"/>
      <c r="L478" s="79"/>
      <c r="M478" s="79"/>
      <c r="N478" s="79"/>
    </row>
    <row r="479" ht="15.75" customHeight="1">
      <c r="A479" s="261"/>
      <c r="B479" s="171"/>
      <c r="C479" s="172"/>
      <c r="D479" s="172"/>
      <c r="E479" s="340"/>
      <c r="F479" s="340"/>
      <c r="G479" s="327"/>
      <c r="H479" s="223"/>
      <c r="I479" s="164"/>
      <c r="J479" s="162"/>
      <c r="K479" s="129"/>
      <c r="L479" s="79"/>
      <c r="M479" s="79"/>
      <c r="N479" s="79"/>
    </row>
    <row r="480" ht="15.75" customHeight="1">
      <c r="A480" s="261"/>
      <c r="B480" s="171"/>
      <c r="C480" s="172"/>
      <c r="D480" s="172"/>
      <c r="E480" s="340"/>
      <c r="F480" s="340"/>
      <c r="G480" s="327"/>
      <c r="H480" s="223"/>
      <c r="I480" s="164"/>
      <c r="J480" s="162"/>
      <c r="K480" s="129"/>
      <c r="L480" s="79"/>
      <c r="M480" s="79"/>
      <c r="N480" s="79"/>
    </row>
    <row r="481" ht="15.75" customHeight="1">
      <c r="A481" s="261"/>
      <c r="B481" s="171"/>
      <c r="C481" s="172"/>
      <c r="D481" s="172"/>
      <c r="E481" s="340"/>
      <c r="F481" s="340"/>
      <c r="G481" s="327"/>
      <c r="H481" s="223"/>
      <c r="I481" s="164"/>
      <c r="J481" s="162"/>
      <c r="K481" s="129"/>
      <c r="L481" s="79"/>
      <c r="M481" s="79"/>
      <c r="N481" s="79"/>
    </row>
    <row r="482" ht="15.75" customHeight="1">
      <c r="A482" s="261"/>
      <c r="B482" s="171"/>
      <c r="C482" s="172"/>
      <c r="D482" s="172"/>
      <c r="E482" s="340"/>
      <c r="F482" s="340"/>
      <c r="G482" s="327"/>
      <c r="H482" s="223"/>
      <c r="I482" s="164"/>
      <c r="J482" s="162"/>
      <c r="K482" s="129"/>
      <c r="L482" s="79"/>
      <c r="M482" s="79"/>
      <c r="N482" s="79"/>
    </row>
    <row r="483" ht="15.75" customHeight="1">
      <c r="A483" s="261"/>
      <c r="B483" s="171"/>
      <c r="C483" s="172"/>
      <c r="D483" s="172"/>
      <c r="E483" s="340"/>
      <c r="F483" s="340"/>
      <c r="G483" s="327"/>
      <c r="H483" s="223"/>
      <c r="I483" s="164"/>
      <c r="J483" s="162"/>
      <c r="K483" s="129"/>
      <c r="L483" s="79"/>
      <c r="M483" s="79"/>
      <c r="N483" s="79"/>
    </row>
    <row r="484" ht="15.75" customHeight="1">
      <c r="A484" s="261"/>
      <c r="B484" s="171"/>
      <c r="C484" s="172"/>
      <c r="D484" s="172"/>
      <c r="E484" s="340"/>
      <c r="F484" s="340"/>
      <c r="G484" s="327"/>
      <c r="H484" s="223"/>
      <c r="I484" s="164"/>
      <c r="J484" s="162"/>
      <c r="K484" s="129"/>
      <c r="L484" s="79"/>
      <c r="M484" s="79"/>
      <c r="N484" s="79"/>
    </row>
    <row r="485" ht="15.75" customHeight="1">
      <c r="A485" s="261"/>
      <c r="B485" s="171"/>
      <c r="C485" s="172"/>
      <c r="D485" s="172"/>
      <c r="E485" s="340"/>
      <c r="F485" s="340"/>
      <c r="G485" s="327"/>
      <c r="H485" s="223"/>
      <c r="I485" s="164"/>
      <c r="J485" s="162"/>
      <c r="K485" s="129"/>
      <c r="L485" s="79"/>
      <c r="M485" s="79"/>
      <c r="N485" s="79"/>
    </row>
    <row r="486" ht="15.75" customHeight="1">
      <c r="A486" s="261"/>
      <c r="B486" s="171"/>
      <c r="C486" s="172"/>
      <c r="D486" s="172"/>
      <c r="E486" s="340"/>
      <c r="F486" s="340"/>
      <c r="G486" s="327"/>
      <c r="H486" s="223"/>
      <c r="I486" s="164"/>
      <c r="J486" s="162"/>
      <c r="K486" s="129"/>
      <c r="L486" s="79"/>
      <c r="M486" s="79"/>
      <c r="N486" s="79"/>
    </row>
    <row r="487" ht="15.75" customHeight="1">
      <c r="A487" s="261"/>
      <c r="B487" s="171"/>
      <c r="C487" s="172"/>
      <c r="D487" s="172"/>
      <c r="E487" s="340"/>
      <c r="F487" s="340"/>
      <c r="G487" s="327"/>
      <c r="H487" s="223"/>
      <c r="I487" s="164"/>
      <c r="J487" s="162"/>
      <c r="K487" s="129"/>
      <c r="L487" s="79"/>
      <c r="M487" s="79"/>
      <c r="N487" s="79"/>
    </row>
    <row r="488" ht="15.75" customHeight="1">
      <c r="A488" s="261"/>
      <c r="B488" s="171"/>
      <c r="C488" s="172"/>
      <c r="D488" s="172"/>
      <c r="E488" s="340"/>
      <c r="F488" s="340"/>
      <c r="G488" s="327"/>
      <c r="H488" s="223"/>
      <c r="I488" s="164"/>
      <c r="J488" s="162"/>
      <c r="K488" s="129"/>
      <c r="L488" s="79"/>
      <c r="M488" s="79"/>
      <c r="N488" s="79"/>
    </row>
    <row r="489" ht="15.75" customHeight="1">
      <c r="A489" s="261"/>
      <c r="B489" s="171"/>
      <c r="C489" s="172"/>
      <c r="D489" s="172"/>
      <c r="E489" s="340"/>
      <c r="F489" s="340"/>
      <c r="G489" s="327"/>
      <c r="H489" s="223"/>
      <c r="I489" s="164"/>
      <c r="J489" s="162"/>
      <c r="K489" s="129"/>
      <c r="L489" s="79"/>
      <c r="M489" s="79"/>
      <c r="N489" s="79"/>
    </row>
    <row r="490" ht="15.75" customHeight="1">
      <c r="A490" s="261"/>
      <c r="B490" s="171"/>
      <c r="C490" s="172"/>
      <c r="D490" s="172"/>
      <c r="E490" s="340"/>
      <c r="F490" s="340"/>
      <c r="G490" s="327"/>
      <c r="H490" s="223"/>
      <c r="I490" s="164"/>
      <c r="J490" s="162"/>
      <c r="K490" s="129"/>
      <c r="L490" s="79"/>
      <c r="M490" s="79"/>
      <c r="N490" s="79"/>
    </row>
    <row r="491" ht="15.75" customHeight="1">
      <c r="A491" s="261"/>
      <c r="B491" s="171"/>
      <c r="C491" s="172"/>
      <c r="D491" s="172"/>
      <c r="E491" s="340"/>
      <c r="F491" s="340"/>
      <c r="G491" s="327"/>
      <c r="H491" s="223"/>
      <c r="I491" s="164"/>
      <c r="J491" s="162"/>
      <c r="K491" s="129"/>
      <c r="L491" s="79"/>
      <c r="M491" s="79"/>
      <c r="N491" s="79"/>
    </row>
    <row r="492" ht="15.75" customHeight="1">
      <c r="A492" s="261"/>
      <c r="B492" s="171"/>
      <c r="C492" s="172"/>
      <c r="D492" s="172"/>
      <c r="E492" s="340"/>
      <c r="F492" s="340"/>
      <c r="G492" s="327"/>
      <c r="H492" s="223"/>
      <c r="I492" s="164"/>
      <c r="J492" s="162"/>
      <c r="K492" s="129"/>
      <c r="L492" s="79"/>
      <c r="M492" s="79"/>
      <c r="N492" s="79"/>
    </row>
    <row r="493" ht="15.75" customHeight="1">
      <c r="A493" s="261"/>
      <c r="B493" s="171"/>
      <c r="C493" s="172"/>
      <c r="D493" s="172"/>
      <c r="E493" s="340"/>
      <c r="F493" s="340"/>
      <c r="G493" s="327"/>
      <c r="H493" s="223"/>
      <c r="I493" s="164"/>
      <c r="J493" s="162"/>
      <c r="K493" s="129"/>
      <c r="L493" s="79"/>
      <c r="M493" s="79"/>
      <c r="N493" s="79"/>
    </row>
    <row r="494" ht="15.75" customHeight="1">
      <c r="A494" s="261"/>
      <c r="B494" s="171"/>
      <c r="C494" s="172"/>
      <c r="D494" s="172"/>
      <c r="E494" s="340"/>
      <c r="F494" s="340"/>
      <c r="G494" s="327"/>
      <c r="H494" s="223"/>
      <c r="I494" s="164"/>
      <c r="J494" s="162"/>
      <c r="K494" s="129"/>
      <c r="L494" s="79"/>
      <c r="M494" s="79"/>
      <c r="N494" s="79"/>
    </row>
    <row r="495" ht="15.75" customHeight="1">
      <c r="A495" s="261"/>
      <c r="B495" s="171"/>
      <c r="C495" s="172"/>
      <c r="D495" s="172"/>
      <c r="E495" s="340"/>
      <c r="F495" s="340"/>
      <c r="G495" s="327"/>
      <c r="H495" s="223"/>
      <c r="I495" s="164"/>
      <c r="J495" s="162"/>
      <c r="K495" s="129"/>
      <c r="L495" s="79"/>
      <c r="M495" s="79"/>
      <c r="N495" s="79"/>
    </row>
    <row r="496" ht="15.75" customHeight="1">
      <c r="A496" s="261"/>
      <c r="B496" s="171"/>
      <c r="C496" s="172"/>
      <c r="D496" s="172"/>
      <c r="E496" s="340"/>
      <c r="F496" s="340"/>
      <c r="G496" s="327"/>
      <c r="H496" s="223"/>
      <c r="I496" s="164"/>
      <c r="J496" s="162"/>
      <c r="K496" s="129"/>
      <c r="L496" s="79"/>
      <c r="M496" s="79"/>
      <c r="N496" s="79"/>
    </row>
    <row r="497" ht="15.75" customHeight="1">
      <c r="A497" s="261"/>
      <c r="B497" s="171"/>
      <c r="C497" s="172"/>
      <c r="D497" s="172"/>
      <c r="E497" s="340"/>
      <c r="F497" s="340"/>
      <c r="G497" s="327"/>
      <c r="H497" s="223"/>
      <c r="I497" s="164"/>
      <c r="J497" s="162"/>
      <c r="K497" s="129"/>
      <c r="L497" s="79"/>
      <c r="M497" s="79"/>
      <c r="N497" s="79"/>
    </row>
    <row r="498" ht="15.75" customHeight="1">
      <c r="A498" s="261"/>
      <c r="B498" s="171"/>
      <c r="C498" s="172"/>
      <c r="D498" s="172"/>
      <c r="E498" s="340"/>
      <c r="F498" s="340"/>
      <c r="G498" s="327"/>
      <c r="H498" s="223"/>
      <c r="I498" s="164"/>
      <c r="J498" s="162"/>
      <c r="K498" s="129"/>
      <c r="L498" s="79"/>
      <c r="M498" s="79"/>
      <c r="N498" s="79"/>
    </row>
    <row r="499" ht="15.75" customHeight="1">
      <c r="A499" s="261"/>
      <c r="B499" s="171"/>
      <c r="C499" s="172"/>
      <c r="D499" s="172"/>
      <c r="E499" s="340"/>
      <c r="F499" s="340"/>
      <c r="G499" s="327"/>
      <c r="H499" s="223"/>
      <c r="I499" s="164"/>
      <c r="J499" s="162"/>
      <c r="K499" s="129"/>
      <c r="L499" s="79"/>
      <c r="M499" s="79"/>
      <c r="N499" s="79"/>
    </row>
    <row r="500" ht="15.75" customHeight="1">
      <c r="A500" s="261"/>
      <c r="B500" s="171"/>
      <c r="C500" s="172"/>
      <c r="D500" s="172"/>
      <c r="E500" s="340"/>
      <c r="F500" s="340"/>
      <c r="G500" s="327"/>
      <c r="H500" s="223"/>
      <c r="I500" s="164"/>
      <c r="J500" s="162"/>
      <c r="K500" s="129"/>
      <c r="L500" s="79"/>
      <c r="M500" s="79"/>
      <c r="N500" s="79"/>
    </row>
    <row r="501" ht="15.75" customHeight="1">
      <c r="A501" s="261"/>
      <c r="B501" s="171"/>
      <c r="C501" s="172"/>
      <c r="D501" s="172"/>
      <c r="E501" s="340"/>
      <c r="F501" s="340"/>
      <c r="G501" s="327"/>
      <c r="H501" s="223"/>
      <c r="I501" s="164"/>
      <c r="J501" s="162"/>
      <c r="K501" s="129"/>
      <c r="L501" s="79"/>
      <c r="M501" s="79"/>
      <c r="N501" s="79"/>
    </row>
    <row r="502" ht="15.75" customHeight="1">
      <c r="A502" s="261"/>
      <c r="B502" s="171"/>
      <c r="C502" s="172"/>
      <c r="D502" s="172"/>
      <c r="E502" s="340"/>
      <c r="F502" s="340"/>
      <c r="G502" s="327"/>
      <c r="H502" s="223"/>
      <c r="I502" s="164"/>
      <c r="J502" s="162"/>
      <c r="K502" s="129"/>
      <c r="L502" s="79"/>
      <c r="M502" s="79"/>
      <c r="N502" s="79"/>
    </row>
    <row r="503" ht="15.75" customHeight="1">
      <c r="A503" s="261"/>
      <c r="B503" s="171"/>
      <c r="C503" s="172"/>
      <c r="D503" s="172"/>
      <c r="E503" s="340"/>
      <c r="F503" s="340"/>
      <c r="G503" s="327"/>
      <c r="H503" s="223"/>
      <c r="I503" s="164"/>
      <c r="J503" s="162"/>
      <c r="K503" s="129"/>
      <c r="L503" s="79"/>
      <c r="M503" s="79"/>
      <c r="N503" s="79"/>
    </row>
    <row r="504" ht="15.75" customHeight="1">
      <c r="A504" s="261"/>
      <c r="B504" s="171"/>
      <c r="C504" s="172"/>
      <c r="D504" s="172"/>
      <c r="E504" s="340"/>
      <c r="F504" s="340"/>
      <c r="G504" s="327"/>
      <c r="H504" s="223"/>
      <c r="I504" s="164"/>
      <c r="J504" s="162"/>
      <c r="K504" s="129"/>
      <c r="L504" s="79"/>
      <c r="M504" s="79"/>
      <c r="N504" s="79"/>
    </row>
    <row r="505" ht="15.75" customHeight="1">
      <c r="A505" s="261"/>
      <c r="B505" s="171"/>
      <c r="C505" s="172"/>
      <c r="D505" s="172"/>
      <c r="E505" s="340"/>
      <c r="F505" s="340"/>
      <c r="G505" s="327"/>
      <c r="H505" s="223"/>
      <c r="I505" s="164"/>
      <c r="J505" s="162"/>
      <c r="K505" s="129"/>
      <c r="L505" s="79"/>
      <c r="M505" s="79"/>
      <c r="N505" s="79"/>
    </row>
    <row r="506" ht="15.75" customHeight="1">
      <c r="A506" s="261"/>
      <c r="B506" s="171"/>
      <c r="C506" s="172"/>
      <c r="D506" s="172"/>
      <c r="E506" s="340"/>
      <c r="F506" s="340"/>
      <c r="G506" s="327"/>
      <c r="H506" s="223"/>
      <c r="I506" s="164"/>
      <c r="J506" s="162"/>
      <c r="K506" s="129"/>
      <c r="L506" s="79"/>
      <c r="M506" s="79"/>
      <c r="N506" s="79"/>
    </row>
    <row r="507" ht="15.75" customHeight="1">
      <c r="A507" s="261"/>
      <c r="B507" s="171"/>
      <c r="C507" s="172"/>
      <c r="D507" s="172"/>
      <c r="E507" s="340"/>
      <c r="F507" s="340"/>
      <c r="G507" s="327"/>
      <c r="H507" s="223"/>
      <c r="I507" s="164"/>
      <c r="J507" s="162"/>
      <c r="K507" s="129"/>
      <c r="L507" s="79"/>
      <c r="M507" s="79"/>
      <c r="N507" s="79"/>
    </row>
    <row r="508" ht="15.75" customHeight="1">
      <c r="A508" s="261"/>
      <c r="B508" s="171"/>
      <c r="C508" s="172"/>
      <c r="D508" s="172"/>
      <c r="E508" s="340"/>
      <c r="F508" s="340"/>
      <c r="G508" s="327"/>
      <c r="H508" s="223"/>
      <c r="I508" s="164"/>
      <c r="J508" s="162"/>
      <c r="K508" s="129"/>
      <c r="L508" s="79"/>
      <c r="M508" s="79"/>
      <c r="N508" s="79"/>
    </row>
    <row r="509" ht="15.75" customHeight="1">
      <c r="A509" s="261"/>
      <c r="B509" s="171"/>
      <c r="C509" s="172"/>
      <c r="D509" s="172"/>
      <c r="E509" s="340"/>
      <c r="F509" s="340"/>
      <c r="G509" s="327"/>
      <c r="H509" s="223"/>
      <c r="I509" s="164"/>
      <c r="J509" s="162"/>
      <c r="K509" s="129"/>
      <c r="L509" s="79"/>
      <c r="M509" s="79"/>
      <c r="N509" s="79"/>
    </row>
    <row r="510" ht="15.75" customHeight="1">
      <c r="A510" s="261"/>
      <c r="B510" s="171"/>
      <c r="C510" s="172"/>
      <c r="D510" s="172"/>
      <c r="E510" s="340"/>
      <c r="F510" s="340"/>
      <c r="G510" s="327"/>
      <c r="H510" s="223"/>
      <c r="I510" s="164"/>
      <c r="J510" s="162"/>
      <c r="K510" s="129"/>
      <c r="L510" s="79"/>
      <c r="M510" s="79"/>
      <c r="N510" s="79"/>
    </row>
    <row r="511" ht="15.75" customHeight="1">
      <c r="A511" s="261"/>
      <c r="B511" s="171"/>
      <c r="C511" s="172"/>
      <c r="D511" s="172"/>
      <c r="E511" s="340"/>
      <c r="F511" s="340"/>
      <c r="G511" s="327"/>
      <c r="H511" s="223"/>
      <c r="I511" s="164"/>
      <c r="J511" s="162"/>
      <c r="K511" s="129"/>
      <c r="L511" s="79"/>
      <c r="M511" s="79"/>
      <c r="N511" s="79"/>
    </row>
    <row r="512" ht="15.75" customHeight="1">
      <c r="A512" s="261"/>
      <c r="B512" s="171"/>
      <c r="C512" s="172"/>
      <c r="D512" s="172"/>
      <c r="E512" s="340"/>
      <c r="F512" s="340"/>
      <c r="G512" s="327"/>
      <c r="H512" s="223"/>
      <c r="I512" s="164"/>
      <c r="J512" s="162"/>
      <c r="K512" s="129"/>
      <c r="L512" s="79"/>
      <c r="M512" s="79"/>
      <c r="N512" s="79"/>
    </row>
    <row r="513" ht="15.75" customHeight="1">
      <c r="A513" s="261"/>
      <c r="B513" s="171"/>
      <c r="C513" s="172"/>
      <c r="D513" s="172"/>
      <c r="E513" s="340"/>
      <c r="F513" s="340"/>
      <c r="G513" s="327"/>
      <c r="H513" s="223"/>
      <c r="I513" s="164"/>
      <c r="J513" s="162"/>
      <c r="K513" s="129"/>
      <c r="L513" s="79"/>
      <c r="M513" s="79"/>
      <c r="N513" s="79"/>
    </row>
    <row r="514" ht="15.75" customHeight="1">
      <c r="A514" s="261"/>
      <c r="B514" s="171"/>
      <c r="C514" s="172"/>
      <c r="D514" s="172"/>
      <c r="E514" s="340"/>
      <c r="F514" s="340"/>
      <c r="G514" s="327"/>
      <c r="H514" s="223"/>
      <c r="I514" s="164"/>
      <c r="J514" s="162"/>
      <c r="K514" s="129"/>
      <c r="L514" s="79"/>
      <c r="M514" s="79"/>
      <c r="N514" s="79"/>
    </row>
    <row r="515" ht="15.75" customHeight="1">
      <c r="A515" s="261"/>
      <c r="B515" s="171"/>
      <c r="C515" s="172"/>
      <c r="D515" s="172"/>
      <c r="E515" s="340"/>
      <c r="F515" s="340"/>
      <c r="G515" s="327"/>
      <c r="H515" s="223"/>
      <c r="I515" s="164"/>
      <c r="J515" s="162"/>
      <c r="K515" s="129"/>
      <c r="L515" s="79"/>
      <c r="M515" s="79"/>
      <c r="N515" s="79"/>
    </row>
    <row r="516" ht="15.75" customHeight="1">
      <c r="A516" s="261"/>
      <c r="B516" s="171"/>
      <c r="C516" s="172"/>
      <c r="D516" s="172"/>
      <c r="E516" s="340"/>
      <c r="F516" s="340"/>
      <c r="G516" s="327"/>
      <c r="H516" s="223"/>
      <c r="I516" s="164"/>
      <c r="J516" s="162"/>
      <c r="K516" s="129"/>
      <c r="L516" s="79"/>
      <c r="M516" s="79"/>
      <c r="N516" s="79"/>
    </row>
    <row r="517" ht="15.75" customHeight="1">
      <c r="A517" s="261"/>
      <c r="B517" s="171"/>
      <c r="C517" s="172"/>
      <c r="D517" s="172"/>
      <c r="E517" s="340"/>
      <c r="F517" s="340"/>
      <c r="G517" s="327"/>
      <c r="H517" s="223"/>
      <c r="I517" s="164"/>
      <c r="J517" s="162"/>
      <c r="K517" s="129"/>
      <c r="L517" s="79"/>
      <c r="M517" s="79"/>
      <c r="N517" s="79"/>
    </row>
    <row r="518" ht="15.75" customHeight="1">
      <c r="A518" s="261"/>
      <c r="B518" s="171"/>
      <c r="C518" s="172"/>
      <c r="D518" s="172"/>
      <c r="E518" s="340"/>
      <c r="F518" s="340"/>
      <c r="G518" s="327"/>
      <c r="H518" s="223"/>
      <c r="I518" s="164"/>
      <c r="J518" s="162"/>
      <c r="K518" s="129"/>
      <c r="L518" s="79"/>
      <c r="M518" s="79"/>
      <c r="N518" s="79"/>
    </row>
    <row r="519" ht="15.75" customHeight="1">
      <c r="A519" s="261"/>
      <c r="B519" s="171"/>
      <c r="C519" s="172"/>
      <c r="D519" s="172"/>
      <c r="E519" s="340"/>
      <c r="F519" s="340"/>
      <c r="G519" s="327"/>
      <c r="H519" s="223"/>
      <c r="I519" s="164"/>
      <c r="J519" s="162"/>
      <c r="K519" s="129"/>
      <c r="L519" s="79"/>
      <c r="M519" s="79"/>
      <c r="N519" s="79"/>
    </row>
    <row r="520" ht="15.75" customHeight="1">
      <c r="A520" s="261"/>
      <c r="B520" s="171"/>
      <c r="C520" s="172"/>
      <c r="D520" s="172"/>
      <c r="E520" s="340"/>
      <c r="F520" s="340"/>
      <c r="G520" s="327"/>
      <c r="H520" s="223"/>
      <c r="I520" s="164"/>
      <c r="J520" s="162"/>
      <c r="K520" s="129"/>
      <c r="L520" s="79"/>
      <c r="M520" s="79"/>
      <c r="N520" s="79"/>
    </row>
    <row r="521" ht="15.75" customHeight="1">
      <c r="A521" s="261"/>
      <c r="B521" s="171"/>
      <c r="C521" s="172"/>
      <c r="D521" s="172"/>
      <c r="E521" s="340"/>
      <c r="F521" s="340"/>
      <c r="G521" s="327"/>
      <c r="H521" s="223"/>
      <c r="I521" s="164"/>
      <c r="J521" s="162"/>
      <c r="K521" s="129"/>
      <c r="L521" s="79"/>
      <c r="M521" s="79"/>
      <c r="N521" s="79"/>
    </row>
    <row r="522" ht="15.75" customHeight="1">
      <c r="A522" s="261"/>
      <c r="B522" s="171"/>
      <c r="C522" s="172"/>
      <c r="D522" s="172"/>
      <c r="E522" s="340"/>
      <c r="F522" s="340"/>
      <c r="G522" s="327"/>
      <c r="H522" s="223"/>
      <c r="I522" s="164"/>
      <c r="J522" s="162"/>
      <c r="K522" s="129"/>
      <c r="L522" s="79"/>
      <c r="M522" s="79"/>
      <c r="N522" s="79"/>
    </row>
    <row r="523" ht="15.75" customHeight="1">
      <c r="A523" s="261"/>
      <c r="B523" s="171"/>
      <c r="C523" s="172"/>
      <c r="D523" s="172"/>
      <c r="E523" s="340"/>
      <c r="F523" s="340"/>
      <c r="G523" s="327"/>
      <c r="H523" s="223"/>
      <c r="I523" s="164"/>
      <c r="J523" s="162"/>
      <c r="K523" s="129"/>
      <c r="L523" s="79"/>
      <c r="M523" s="79"/>
      <c r="N523" s="79"/>
    </row>
    <row r="524" ht="15.75" customHeight="1">
      <c r="A524" s="261"/>
      <c r="B524" s="171"/>
      <c r="C524" s="172"/>
      <c r="D524" s="172"/>
      <c r="E524" s="340"/>
      <c r="F524" s="340"/>
      <c r="G524" s="327"/>
      <c r="H524" s="223"/>
      <c r="I524" s="164"/>
      <c r="J524" s="162"/>
      <c r="K524" s="129"/>
      <c r="L524" s="79"/>
      <c r="M524" s="79"/>
      <c r="N524" s="79"/>
    </row>
    <row r="525" ht="15.75" customHeight="1">
      <c r="A525" s="261"/>
      <c r="B525" s="171"/>
      <c r="C525" s="172"/>
      <c r="D525" s="172"/>
      <c r="E525" s="340"/>
      <c r="F525" s="340"/>
      <c r="G525" s="327"/>
      <c r="H525" s="223"/>
      <c r="I525" s="164"/>
      <c r="J525" s="162"/>
      <c r="K525" s="129"/>
      <c r="L525" s="79"/>
      <c r="M525" s="79"/>
      <c r="N525" s="79"/>
    </row>
    <row r="526" ht="15.75" customHeight="1">
      <c r="A526" s="261"/>
      <c r="B526" s="171"/>
      <c r="C526" s="172"/>
      <c r="D526" s="172"/>
      <c r="E526" s="340"/>
      <c r="F526" s="340"/>
      <c r="G526" s="327"/>
      <c r="H526" s="223"/>
      <c r="I526" s="164"/>
      <c r="J526" s="162"/>
      <c r="K526" s="129"/>
      <c r="L526" s="79"/>
      <c r="M526" s="79"/>
      <c r="N526" s="79"/>
    </row>
    <row r="527" ht="15.75" customHeight="1">
      <c r="A527" s="261"/>
      <c r="B527" s="171"/>
      <c r="C527" s="172"/>
      <c r="D527" s="172"/>
      <c r="E527" s="340"/>
      <c r="F527" s="340"/>
      <c r="G527" s="327"/>
      <c r="H527" s="223"/>
      <c r="I527" s="164"/>
      <c r="J527" s="162"/>
      <c r="K527" s="129"/>
      <c r="L527" s="79"/>
      <c r="M527" s="79"/>
      <c r="N527" s="79"/>
    </row>
    <row r="528" ht="15.75" customHeight="1">
      <c r="A528" s="261"/>
      <c r="B528" s="171"/>
      <c r="C528" s="172"/>
      <c r="D528" s="172"/>
      <c r="E528" s="340"/>
      <c r="F528" s="340"/>
      <c r="G528" s="327"/>
      <c r="H528" s="223"/>
      <c r="I528" s="164"/>
      <c r="J528" s="162"/>
      <c r="K528" s="129"/>
      <c r="L528" s="79"/>
      <c r="M528" s="79"/>
      <c r="N528" s="79"/>
    </row>
    <row r="529" ht="15.75" customHeight="1">
      <c r="A529" s="261"/>
      <c r="B529" s="171"/>
      <c r="C529" s="172"/>
      <c r="D529" s="172"/>
      <c r="E529" s="340"/>
      <c r="F529" s="340"/>
      <c r="G529" s="327"/>
      <c r="H529" s="223"/>
      <c r="I529" s="164"/>
      <c r="J529" s="162"/>
      <c r="K529" s="129"/>
      <c r="L529" s="79"/>
      <c r="M529" s="79"/>
      <c r="N529" s="79"/>
    </row>
    <row r="530" ht="15.75" customHeight="1">
      <c r="A530" s="261"/>
      <c r="B530" s="171"/>
      <c r="C530" s="172"/>
      <c r="D530" s="172"/>
      <c r="E530" s="340"/>
      <c r="F530" s="340"/>
      <c r="G530" s="327"/>
      <c r="H530" s="223"/>
      <c r="I530" s="164"/>
      <c r="J530" s="162"/>
      <c r="K530" s="129"/>
      <c r="L530" s="79"/>
      <c r="M530" s="79"/>
      <c r="N530" s="79"/>
    </row>
    <row r="531" ht="15.75" customHeight="1">
      <c r="A531" s="261"/>
      <c r="B531" s="171"/>
      <c r="C531" s="172"/>
      <c r="D531" s="172"/>
      <c r="E531" s="340"/>
      <c r="F531" s="340"/>
      <c r="G531" s="327"/>
      <c r="H531" s="223"/>
      <c r="I531" s="164"/>
      <c r="J531" s="162"/>
      <c r="K531" s="129"/>
      <c r="L531" s="79"/>
      <c r="M531" s="79"/>
      <c r="N531" s="79"/>
    </row>
    <row r="532" ht="15.75" customHeight="1">
      <c r="A532" s="261"/>
      <c r="B532" s="171"/>
      <c r="C532" s="172"/>
      <c r="D532" s="172"/>
      <c r="E532" s="340"/>
      <c r="F532" s="340"/>
      <c r="G532" s="327"/>
      <c r="H532" s="223"/>
      <c r="I532" s="164"/>
      <c r="J532" s="162"/>
      <c r="K532" s="129"/>
      <c r="L532" s="79"/>
      <c r="M532" s="79"/>
      <c r="N532" s="79"/>
    </row>
    <row r="533" ht="15.75" customHeight="1">
      <c r="A533" s="261"/>
      <c r="B533" s="171"/>
      <c r="C533" s="172"/>
      <c r="D533" s="172"/>
      <c r="E533" s="340"/>
      <c r="F533" s="340"/>
      <c r="G533" s="327"/>
      <c r="H533" s="223"/>
      <c r="I533" s="164"/>
      <c r="J533" s="162"/>
      <c r="K533" s="129"/>
      <c r="L533" s="79"/>
      <c r="M533" s="79"/>
      <c r="N533" s="79"/>
    </row>
    <row r="534" ht="15.75" customHeight="1">
      <c r="A534" s="261"/>
      <c r="B534" s="171"/>
      <c r="C534" s="172"/>
      <c r="D534" s="172"/>
      <c r="E534" s="340"/>
      <c r="F534" s="340"/>
      <c r="G534" s="327"/>
      <c r="H534" s="223"/>
      <c r="I534" s="164"/>
      <c r="J534" s="162"/>
      <c r="K534" s="129"/>
      <c r="L534" s="79"/>
      <c r="M534" s="79"/>
      <c r="N534" s="79"/>
    </row>
    <row r="535" ht="15.75" customHeight="1">
      <c r="A535" s="261"/>
      <c r="B535" s="171"/>
      <c r="C535" s="172"/>
      <c r="D535" s="172"/>
      <c r="E535" s="340"/>
      <c r="F535" s="340"/>
      <c r="G535" s="327"/>
      <c r="H535" s="223"/>
      <c r="I535" s="164"/>
      <c r="J535" s="162"/>
      <c r="K535" s="129"/>
      <c r="L535" s="79"/>
      <c r="M535" s="79"/>
      <c r="N535" s="79"/>
    </row>
    <row r="536" ht="15.75" customHeight="1">
      <c r="A536" s="261"/>
      <c r="B536" s="171"/>
      <c r="C536" s="172"/>
      <c r="D536" s="172"/>
      <c r="E536" s="340"/>
      <c r="F536" s="340"/>
      <c r="G536" s="327"/>
      <c r="H536" s="223"/>
      <c r="I536" s="164"/>
      <c r="J536" s="162"/>
      <c r="K536" s="129"/>
      <c r="L536" s="79"/>
      <c r="M536" s="79"/>
      <c r="N536" s="79"/>
    </row>
    <row r="537" ht="15.75" customHeight="1">
      <c r="A537" s="261"/>
      <c r="B537" s="171"/>
      <c r="C537" s="172"/>
      <c r="D537" s="172"/>
      <c r="E537" s="340"/>
      <c r="F537" s="340"/>
      <c r="G537" s="327"/>
      <c r="H537" s="223"/>
      <c r="I537" s="164"/>
      <c r="J537" s="162"/>
      <c r="K537" s="129"/>
      <c r="L537" s="79"/>
      <c r="M537" s="79"/>
      <c r="N537" s="79"/>
    </row>
    <row r="538" ht="15.75" customHeight="1">
      <c r="A538" s="261"/>
      <c r="B538" s="171"/>
      <c r="C538" s="172"/>
      <c r="D538" s="172"/>
      <c r="E538" s="340"/>
      <c r="F538" s="340"/>
      <c r="G538" s="327"/>
      <c r="H538" s="223"/>
      <c r="I538" s="164"/>
      <c r="J538" s="162"/>
      <c r="K538" s="129"/>
      <c r="L538" s="79"/>
      <c r="M538" s="79"/>
      <c r="N538" s="79"/>
    </row>
    <row r="539" ht="15.75" customHeight="1">
      <c r="A539" s="261"/>
      <c r="B539" s="171"/>
      <c r="C539" s="172"/>
      <c r="D539" s="172"/>
      <c r="E539" s="340"/>
      <c r="F539" s="340"/>
      <c r="G539" s="327"/>
      <c r="H539" s="223"/>
      <c r="I539" s="164"/>
      <c r="J539" s="162"/>
      <c r="K539" s="129"/>
      <c r="L539" s="79"/>
      <c r="M539" s="79"/>
      <c r="N539" s="79"/>
    </row>
    <row r="540" ht="15.75" customHeight="1">
      <c r="A540" s="261"/>
      <c r="B540" s="171"/>
      <c r="C540" s="172"/>
      <c r="D540" s="172"/>
      <c r="E540" s="340"/>
      <c r="F540" s="340"/>
      <c r="G540" s="327"/>
      <c r="H540" s="223"/>
      <c r="I540" s="164"/>
      <c r="J540" s="162"/>
      <c r="K540" s="129"/>
      <c r="L540" s="79"/>
      <c r="M540" s="79"/>
      <c r="N540" s="79"/>
    </row>
    <row r="541" ht="15.75" customHeight="1">
      <c r="A541" s="261"/>
      <c r="B541" s="171"/>
      <c r="C541" s="172"/>
      <c r="D541" s="172"/>
      <c r="E541" s="340"/>
      <c r="F541" s="340"/>
      <c r="G541" s="327"/>
      <c r="H541" s="223"/>
      <c r="I541" s="164"/>
      <c r="J541" s="162"/>
      <c r="K541" s="129"/>
      <c r="L541" s="79"/>
      <c r="M541" s="79"/>
      <c r="N541" s="79"/>
    </row>
    <row r="542" ht="15.75" customHeight="1">
      <c r="A542" s="261"/>
      <c r="B542" s="171"/>
      <c r="C542" s="172"/>
      <c r="D542" s="172"/>
      <c r="E542" s="340"/>
      <c r="F542" s="340"/>
      <c r="G542" s="327"/>
      <c r="H542" s="223"/>
      <c r="I542" s="164"/>
      <c r="J542" s="162"/>
      <c r="K542" s="129"/>
      <c r="L542" s="79"/>
      <c r="M542" s="79"/>
      <c r="N542" s="79"/>
    </row>
    <row r="543" ht="15.75" customHeight="1">
      <c r="A543" s="261"/>
      <c r="B543" s="171"/>
      <c r="C543" s="172"/>
      <c r="D543" s="172"/>
      <c r="E543" s="340"/>
      <c r="F543" s="340"/>
      <c r="G543" s="327"/>
      <c r="H543" s="223"/>
      <c r="I543" s="164"/>
      <c r="J543" s="162"/>
      <c r="K543" s="129"/>
      <c r="L543" s="79"/>
      <c r="M543" s="79"/>
      <c r="N543" s="79"/>
    </row>
    <row r="544" ht="15.75" customHeight="1">
      <c r="A544" s="261"/>
      <c r="B544" s="171"/>
      <c r="C544" s="172"/>
      <c r="D544" s="172"/>
      <c r="E544" s="340"/>
      <c r="F544" s="340"/>
      <c r="G544" s="327"/>
      <c r="H544" s="223"/>
      <c r="I544" s="164"/>
      <c r="J544" s="162"/>
      <c r="K544" s="129"/>
      <c r="L544" s="79"/>
      <c r="M544" s="79"/>
      <c r="N544" s="79"/>
    </row>
    <row r="545" ht="15.75" customHeight="1">
      <c r="A545" s="261"/>
      <c r="B545" s="171"/>
      <c r="C545" s="172"/>
      <c r="D545" s="172"/>
      <c r="E545" s="340"/>
      <c r="F545" s="340"/>
      <c r="G545" s="327"/>
      <c r="H545" s="223"/>
      <c r="I545" s="164"/>
      <c r="J545" s="162"/>
      <c r="K545" s="129"/>
      <c r="L545" s="79"/>
      <c r="M545" s="79"/>
      <c r="N545" s="79"/>
    </row>
    <row r="546" ht="15.75" customHeight="1">
      <c r="A546" s="261"/>
      <c r="B546" s="171"/>
      <c r="C546" s="172"/>
      <c r="D546" s="172"/>
      <c r="E546" s="340"/>
      <c r="F546" s="340"/>
      <c r="G546" s="327"/>
      <c r="H546" s="223"/>
      <c r="I546" s="164"/>
      <c r="J546" s="162"/>
      <c r="K546" s="129"/>
      <c r="L546" s="79"/>
      <c r="M546" s="79"/>
      <c r="N546" s="79"/>
    </row>
    <row r="547" ht="15.75" customHeight="1">
      <c r="A547" s="261"/>
      <c r="B547" s="171"/>
      <c r="C547" s="172"/>
      <c r="D547" s="172"/>
      <c r="E547" s="340"/>
      <c r="F547" s="340"/>
      <c r="G547" s="327"/>
      <c r="H547" s="223"/>
      <c r="I547" s="164"/>
      <c r="J547" s="162"/>
      <c r="K547" s="129"/>
      <c r="L547" s="79"/>
      <c r="M547" s="79"/>
      <c r="N547" s="79"/>
    </row>
    <row r="548" ht="15.75" customHeight="1">
      <c r="A548" s="261"/>
      <c r="B548" s="171"/>
      <c r="C548" s="172"/>
      <c r="D548" s="172"/>
      <c r="E548" s="340"/>
      <c r="F548" s="340"/>
      <c r="G548" s="327"/>
      <c r="H548" s="223"/>
      <c r="I548" s="164"/>
      <c r="J548" s="162"/>
      <c r="K548" s="129"/>
      <c r="L548" s="79"/>
      <c r="M548" s="79"/>
      <c r="N548" s="79"/>
    </row>
    <row r="549" ht="15.75" customHeight="1">
      <c r="A549" s="261"/>
      <c r="B549" s="171"/>
      <c r="C549" s="172"/>
      <c r="D549" s="172"/>
      <c r="E549" s="340"/>
      <c r="F549" s="340"/>
      <c r="G549" s="327"/>
      <c r="H549" s="223"/>
      <c r="I549" s="164"/>
      <c r="J549" s="162"/>
      <c r="K549" s="129"/>
      <c r="L549" s="79"/>
      <c r="M549" s="79"/>
      <c r="N549" s="79"/>
    </row>
    <row r="550" ht="15.75" customHeight="1">
      <c r="A550" s="261"/>
      <c r="B550" s="171"/>
      <c r="C550" s="172"/>
      <c r="D550" s="172"/>
      <c r="E550" s="340"/>
      <c r="F550" s="340"/>
      <c r="G550" s="327"/>
      <c r="H550" s="223"/>
      <c r="I550" s="164"/>
      <c r="J550" s="162"/>
      <c r="K550" s="129"/>
      <c r="L550" s="79"/>
      <c r="M550" s="79"/>
      <c r="N550" s="79"/>
    </row>
    <row r="551" ht="15.75" customHeight="1">
      <c r="A551" s="261"/>
      <c r="B551" s="171"/>
      <c r="C551" s="172"/>
      <c r="D551" s="172"/>
      <c r="E551" s="340"/>
      <c r="F551" s="340"/>
      <c r="G551" s="327"/>
      <c r="H551" s="223"/>
      <c r="I551" s="164"/>
      <c r="J551" s="162"/>
      <c r="K551" s="129"/>
      <c r="L551" s="79"/>
      <c r="M551" s="79"/>
      <c r="N551" s="79"/>
    </row>
    <row r="552" ht="15.75" customHeight="1">
      <c r="A552" s="261"/>
      <c r="B552" s="171"/>
      <c r="C552" s="172"/>
      <c r="D552" s="172"/>
      <c r="E552" s="340"/>
      <c r="F552" s="340"/>
      <c r="G552" s="327"/>
      <c r="H552" s="223"/>
      <c r="I552" s="164"/>
      <c r="J552" s="162"/>
      <c r="K552" s="129"/>
      <c r="L552" s="79"/>
      <c r="M552" s="79"/>
      <c r="N552" s="79"/>
    </row>
    <row r="553" ht="15.75" customHeight="1">
      <c r="A553" s="261"/>
      <c r="B553" s="171"/>
      <c r="C553" s="172"/>
      <c r="D553" s="172"/>
      <c r="E553" s="340"/>
      <c r="F553" s="340"/>
      <c r="G553" s="327"/>
      <c r="H553" s="223"/>
      <c r="I553" s="164"/>
      <c r="J553" s="162"/>
      <c r="K553" s="129"/>
      <c r="L553" s="79"/>
      <c r="M553" s="79"/>
      <c r="N553" s="79"/>
    </row>
    <row r="554" ht="15.75" customHeight="1">
      <c r="A554" s="261"/>
      <c r="B554" s="171"/>
      <c r="C554" s="172"/>
      <c r="D554" s="172"/>
      <c r="E554" s="340"/>
      <c r="F554" s="340"/>
      <c r="G554" s="327"/>
      <c r="H554" s="223"/>
      <c r="I554" s="164"/>
      <c r="J554" s="162"/>
      <c r="K554" s="129"/>
      <c r="L554" s="79"/>
      <c r="M554" s="79"/>
      <c r="N554" s="79"/>
    </row>
    <row r="555" ht="15.75" customHeight="1">
      <c r="A555" s="261"/>
      <c r="B555" s="171"/>
      <c r="C555" s="172"/>
      <c r="D555" s="172"/>
      <c r="E555" s="340"/>
      <c r="F555" s="340"/>
      <c r="G555" s="327"/>
      <c r="H555" s="223"/>
      <c r="I555" s="164"/>
      <c r="J555" s="162"/>
      <c r="K555" s="129"/>
      <c r="L555" s="79"/>
      <c r="M555" s="79"/>
      <c r="N555" s="79"/>
    </row>
    <row r="556" ht="15.75" customHeight="1">
      <c r="A556" s="261"/>
      <c r="B556" s="171"/>
      <c r="C556" s="172"/>
      <c r="D556" s="172"/>
      <c r="E556" s="340"/>
      <c r="F556" s="340"/>
      <c r="G556" s="327"/>
      <c r="H556" s="223"/>
      <c r="I556" s="164"/>
      <c r="J556" s="162"/>
      <c r="K556" s="129"/>
      <c r="L556" s="79"/>
      <c r="M556" s="79"/>
      <c r="N556" s="79"/>
    </row>
    <row r="557" ht="15.75" customHeight="1">
      <c r="A557" s="261"/>
      <c r="B557" s="171"/>
      <c r="C557" s="172"/>
      <c r="D557" s="172"/>
      <c r="E557" s="340"/>
      <c r="F557" s="340"/>
      <c r="G557" s="327"/>
      <c r="H557" s="223"/>
      <c r="I557" s="164"/>
      <c r="J557" s="162"/>
      <c r="K557" s="129"/>
      <c r="L557" s="79"/>
      <c r="M557" s="79"/>
      <c r="N557" s="79"/>
    </row>
    <row r="558" ht="15.75" customHeight="1">
      <c r="A558" s="261"/>
      <c r="B558" s="171"/>
      <c r="C558" s="172"/>
      <c r="D558" s="172"/>
      <c r="E558" s="340"/>
      <c r="F558" s="340"/>
      <c r="G558" s="327"/>
      <c r="H558" s="223"/>
      <c r="I558" s="164"/>
      <c r="J558" s="162"/>
      <c r="K558" s="129"/>
      <c r="L558" s="79"/>
      <c r="M558" s="79"/>
      <c r="N558" s="79"/>
    </row>
    <row r="559" ht="15.75" customHeight="1">
      <c r="A559" s="261"/>
      <c r="B559" s="171"/>
      <c r="C559" s="172"/>
      <c r="D559" s="172"/>
      <c r="E559" s="340"/>
      <c r="F559" s="340"/>
      <c r="G559" s="327"/>
      <c r="H559" s="223"/>
      <c r="I559" s="164"/>
      <c r="J559" s="162"/>
      <c r="K559" s="129"/>
      <c r="L559" s="79"/>
      <c r="M559" s="79"/>
      <c r="N559" s="79"/>
    </row>
    <row r="560" ht="15.75" customHeight="1">
      <c r="A560" s="261"/>
      <c r="B560" s="171"/>
      <c r="C560" s="172"/>
      <c r="D560" s="172"/>
      <c r="E560" s="340"/>
      <c r="F560" s="340"/>
      <c r="G560" s="327"/>
      <c r="H560" s="223"/>
      <c r="I560" s="164"/>
      <c r="J560" s="162"/>
      <c r="K560" s="129"/>
      <c r="L560" s="79"/>
      <c r="M560" s="79"/>
      <c r="N560" s="79"/>
    </row>
    <row r="561" ht="15.75" customHeight="1">
      <c r="A561" s="261"/>
      <c r="B561" s="171"/>
      <c r="C561" s="172"/>
      <c r="D561" s="172"/>
      <c r="E561" s="340"/>
      <c r="F561" s="340"/>
      <c r="G561" s="327"/>
      <c r="H561" s="223"/>
      <c r="I561" s="164"/>
      <c r="J561" s="162"/>
      <c r="K561" s="129"/>
      <c r="L561" s="79"/>
      <c r="M561" s="79"/>
      <c r="N561" s="79"/>
    </row>
    <row r="562" ht="15.75" customHeight="1">
      <c r="A562" s="261"/>
      <c r="B562" s="171"/>
      <c r="C562" s="172"/>
      <c r="D562" s="172"/>
      <c r="E562" s="340"/>
      <c r="F562" s="340"/>
      <c r="G562" s="327"/>
      <c r="H562" s="223"/>
      <c r="I562" s="164"/>
      <c r="J562" s="162"/>
      <c r="K562" s="129"/>
      <c r="L562" s="79"/>
      <c r="M562" s="79"/>
      <c r="N562" s="79"/>
    </row>
    <row r="563" ht="15.75" customHeight="1">
      <c r="A563" s="261"/>
      <c r="B563" s="171"/>
      <c r="C563" s="172"/>
      <c r="D563" s="172"/>
      <c r="E563" s="340"/>
      <c r="F563" s="340"/>
      <c r="G563" s="327"/>
      <c r="H563" s="223"/>
      <c r="I563" s="164"/>
      <c r="J563" s="162"/>
      <c r="K563" s="129"/>
      <c r="L563" s="79"/>
      <c r="M563" s="79"/>
      <c r="N563" s="79"/>
    </row>
    <row r="564" ht="15.75" customHeight="1">
      <c r="A564" s="261"/>
      <c r="B564" s="171"/>
      <c r="C564" s="172"/>
      <c r="D564" s="172"/>
      <c r="E564" s="340"/>
      <c r="F564" s="340"/>
      <c r="G564" s="327"/>
      <c r="H564" s="223"/>
      <c r="I564" s="164"/>
      <c r="J564" s="162"/>
      <c r="K564" s="129"/>
      <c r="L564" s="79"/>
      <c r="M564" s="79"/>
      <c r="N564" s="79"/>
    </row>
    <row r="565" ht="15.75" customHeight="1">
      <c r="A565" s="261"/>
      <c r="B565" s="171"/>
      <c r="C565" s="172"/>
      <c r="D565" s="172"/>
      <c r="E565" s="340"/>
      <c r="F565" s="340"/>
      <c r="G565" s="327"/>
      <c r="H565" s="223"/>
      <c r="I565" s="164"/>
      <c r="J565" s="162"/>
      <c r="K565" s="129"/>
      <c r="L565" s="79"/>
      <c r="M565" s="79"/>
      <c r="N565" s="79"/>
    </row>
    <row r="566" ht="15.75" customHeight="1">
      <c r="A566" s="261"/>
      <c r="B566" s="171"/>
      <c r="C566" s="172"/>
      <c r="D566" s="172"/>
      <c r="E566" s="340"/>
      <c r="F566" s="340"/>
      <c r="G566" s="327"/>
      <c r="H566" s="223"/>
      <c r="I566" s="164"/>
      <c r="J566" s="162"/>
      <c r="K566" s="129"/>
      <c r="L566" s="79"/>
      <c r="M566" s="79"/>
      <c r="N566" s="79"/>
    </row>
    <row r="567" ht="15.75" customHeight="1">
      <c r="A567" s="261"/>
      <c r="B567" s="171"/>
      <c r="C567" s="172"/>
      <c r="D567" s="172"/>
      <c r="E567" s="340"/>
      <c r="F567" s="340"/>
      <c r="G567" s="327"/>
      <c r="H567" s="223"/>
      <c r="I567" s="164"/>
      <c r="J567" s="162"/>
      <c r="K567" s="129"/>
      <c r="L567" s="79"/>
      <c r="M567" s="79"/>
      <c r="N567" s="79"/>
    </row>
    <row r="568" ht="15.75" customHeight="1">
      <c r="A568" s="261"/>
      <c r="B568" s="171"/>
      <c r="C568" s="172"/>
      <c r="D568" s="172"/>
      <c r="E568" s="340"/>
      <c r="F568" s="340"/>
      <c r="G568" s="327"/>
      <c r="H568" s="223"/>
      <c r="I568" s="164"/>
      <c r="J568" s="162"/>
      <c r="K568" s="129"/>
      <c r="L568" s="79"/>
      <c r="M568" s="79"/>
      <c r="N568" s="79"/>
    </row>
    <row r="569" ht="15.75" customHeight="1">
      <c r="A569" s="261"/>
      <c r="B569" s="171"/>
      <c r="C569" s="172"/>
      <c r="D569" s="172"/>
      <c r="E569" s="340"/>
      <c r="F569" s="340"/>
      <c r="G569" s="327"/>
      <c r="H569" s="223"/>
      <c r="I569" s="164"/>
      <c r="J569" s="162"/>
      <c r="K569" s="129"/>
      <c r="L569" s="79"/>
      <c r="M569" s="79"/>
      <c r="N569" s="79"/>
    </row>
    <row r="570" ht="15.75" customHeight="1">
      <c r="A570" s="261"/>
      <c r="B570" s="171"/>
      <c r="C570" s="172"/>
      <c r="D570" s="172"/>
      <c r="E570" s="340"/>
      <c r="F570" s="340"/>
      <c r="G570" s="327"/>
      <c r="H570" s="223"/>
      <c r="I570" s="164"/>
      <c r="J570" s="162"/>
      <c r="K570" s="129"/>
      <c r="L570" s="79"/>
      <c r="M570" s="79"/>
      <c r="N570" s="79"/>
    </row>
    <row r="571" ht="15.75" customHeight="1">
      <c r="A571" s="261"/>
      <c r="B571" s="171"/>
      <c r="C571" s="172"/>
      <c r="D571" s="172"/>
      <c r="E571" s="340"/>
      <c r="F571" s="340"/>
      <c r="G571" s="327"/>
      <c r="H571" s="223"/>
      <c r="I571" s="164"/>
      <c r="J571" s="162"/>
      <c r="K571" s="129"/>
      <c r="L571" s="79"/>
      <c r="M571" s="79"/>
      <c r="N571" s="79"/>
    </row>
    <row r="572" ht="15.75" customHeight="1">
      <c r="A572" s="261"/>
      <c r="B572" s="171"/>
      <c r="C572" s="172"/>
      <c r="D572" s="172"/>
      <c r="E572" s="340"/>
      <c r="F572" s="340"/>
      <c r="G572" s="327"/>
      <c r="H572" s="223"/>
      <c r="I572" s="164"/>
      <c r="J572" s="162"/>
      <c r="K572" s="129"/>
      <c r="L572" s="79"/>
      <c r="M572" s="79"/>
      <c r="N572" s="79"/>
    </row>
    <row r="573" ht="15.75" customHeight="1">
      <c r="A573" s="261"/>
      <c r="B573" s="171"/>
      <c r="C573" s="172"/>
      <c r="D573" s="172"/>
      <c r="E573" s="340"/>
      <c r="F573" s="340"/>
      <c r="G573" s="327"/>
      <c r="H573" s="223"/>
      <c r="I573" s="164"/>
      <c r="J573" s="162"/>
      <c r="K573" s="129"/>
      <c r="L573" s="79"/>
      <c r="M573" s="79"/>
      <c r="N573" s="79"/>
    </row>
    <row r="574" ht="15.75" customHeight="1">
      <c r="A574" s="261"/>
      <c r="B574" s="171"/>
      <c r="C574" s="172"/>
      <c r="D574" s="172"/>
      <c r="E574" s="340"/>
      <c r="F574" s="340"/>
      <c r="G574" s="327"/>
      <c r="H574" s="223"/>
      <c r="I574" s="164"/>
      <c r="J574" s="162"/>
      <c r="K574" s="129"/>
      <c r="L574" s="79"/>
      <c r="M574" s="79"/>
      <c r="N574" s="79"/>
    </row>
    <row r="575" ht="15.75" customHeight="1">
      <c r="A575" s="261"/>
      <c r="B575" s="171"/>
      <c r="C575" s="172"/>
      <c r="D575" s="172"/>
      <c r="E575" s="340"/>
      <c r="F575" s="340"/>
      <c r="G575" s="327"/>
      <c r="H575" s="223"/>
      <c r="I575" s="164"/>
      <c r="J575" s="162"/>
      <c r="K575" s="129"/>
      <c r="L575" s="79"/>
      <c r="M575" s="79"/>
      <c r="N575" s="79"/>
    </row>
    <row r="576" ht="15.75" customHeight="1">
      <c r="A576" s="261"/>
      <c r="B576" s="171"/>
      <c r="C576" s="172"/>
      <c r="D576" s="172"/>
      <c r="E576" s="340"/>
      <c r="F576" s="340"/>
      <c r="G576" s="327"/>
      <c r="H576" s="223"/>
      <c r="I576" s="164"/>
      <c r="J576" s="162"/>
      <c r="K576" s="129"/>
      <c r="L576" s="79"/>
      <c r="M576" s="79"/>
      <c r="N576" s="79"/>
    </row>
    <row r="577" ht="15.75" customHeight="1">
      <c r="A577" s="261"/>
      <c r="B577" s="171"/>
      <c r="C577" s="172"/>
      <c r="D577" s="172"/>
      <c r="E577" s="340"/>
      <c r="F577" s="340"/>
      <c r="G577" s="327"/>
      <c r="H577" s="223"/>
      <c r="I577" s="164"/>
      <c r="J577" s="162"/>
      <c r="K577" s="129"/>
      <c r="L577" s="79"/>
      <c r="M577" s="79"/>
      <c r="N577" s="79"/>
    </row>
    <row r="578" ht="15.75" customHeight="1">
      <c r="A578" s="261"/>
      <c r="B578" s="171"/>
      <c r="C578" s="172"/>
      <c r="D578" s="172"/>
      <c r="E578" s="340"/>
      <c r="F578" s="340"/>
      <c r="G578" s="327"/>
      <c r="H578" s="223"/>
      <c r="I578" s="164"/>
      <c r="J578" s="162"/>
      <c r="K578" s="129"/>
      <c r="L578" s="79"/>
      <c r="M578" s="79"/>
      <c r="N578" s="79"/>
    </row>
    <row r="579" ht="15.75" customHeight="1">
      <c r="A579" s="261"/>
      <c r="B579" s="171"/>
      <c r="C579" s="172"/>
      <c r="D579" s="172"/>
      <c r="E579" s="340"/>
      <c r="F579" s="340"/>
      <c r="G579" s="327"/>
      <c r="H579" s="223"/>
      <c r="I579" s="164"/>
      <c r="J579" s="162"/>
      <c r="K579" s="129"/>
      <c r="L579" s="79"/>
      <c r="M579" s="79"/>
      <c r="N579" s="79"/>
    </row>
    <row r="580" ht="15.75" customHeight="1">
      <c r="A580" s="261"/>
      <c r="B580" s="171"/>
      <c r="C580" s="172"/>
      <c r="D580" s="172"/>
      <c r="E580" s="340"/>
      <c r="F580" s="340"/>
      <c r="G580" s="327"/>
      <c r="H580" s="223"/>
      <c r="I580" s="164"/>
      <c r="J580" s="162"/>
      <c r="K580" s="129"/>
      <c r="L580" s="79"/>
      <c r="M580" s="79"/>
      <c r="N580" s="79"/>
    </row>
    <row r="581" ht="15.75" customHeight="1">
      <c r="A581" s="261"/>
      <c r="B581" s="171"/>
      <c r="C581" s="172"/>
      <c r="D581" s="172"/>
      <c r="E581" s="340"/>
      <c r="F581" s="340"/>
      <c r="G581" s="327"/>
      <c r="H581" s="223"/>
      <c r="I581" s="164"/>
      <c r="J581" s="162"/>
      <c r="K581" s="129"/>
      <c r="L581" s="79"/>
      <c r="M581" s="79"/>
      <c r="N581" s="79"/>
    </row>
    <row r="582" ht="15.75" customHeight="1">
      <c r="A582" s="261"/>
      <c r="B582" s="171"/>
      <c r="C582" s="172"/>
      <c r="D582" s="172"/>
      <c r="E582" s="340"/>
      <c r="F582" s="340"/>
      <c r="G582" s="327"/>
      <c r="H582" s="223"/>
      <c r="I582" s="164"/>
      <c r="J582" s="162"/>
      <c r="K582" s="129"/>
      <c r="L582" s="79"/>
      <c r="M582" s="79"/>
      <c r="N582" s="79"/>
    </row>
    <row r="583" ht="15.75" customHeight="1">
      <c r="A583" s="261"/>
      <c r="B583" s="171"/>
      <c r="C583" s="172"/>
      <c r="D583" s="172"/>
      <c r="E583" s="340"/>
      <c r="F583" s="340"/>
      <c r="G583" s="327"/>
      <c r="H583" s="223"/>
      <c r="I583" s="164"/>
      <c r="J583" s="162"/>
      <c r="K583" s="129"/>
      <c r="L583" s="79"/>
      <c r="M583" s="79"/>
      <c r="N583" s="79"/>
    </row>
    <row r="584" ht="15.75" customHeight="1">
      <c r="A584" s="261"/>
      <c r="B584" s="171"/>
      <c r="C584" s="172"/>
      <c r="D584" s="172"/>
      <c r="E584" s="340"/>
      <c r="F584" s="340"/>
      <c r="G584" s="327"/>
      <c r="H584" s="223"/>
      <c r="I584" s="164"/>
      <c r="J584" s="162"/>
      <c r="K584" s="129"/>
      <c r="L584" s="79"/>
      <c r="M584" s="79"/>
      <c r="N584" s="79"/>
    </row>
    <row r="585" ht="15.75" customHeight="1">
      <c r="A585" s="261"/>
      <c r="B585" s="171"/>
      <c r="C585" s="172"/>
      <c r="D585" s="172"/>
      <c r="E585" s="340"/>
      <c r="F585" s="340"/>
      <c r="G585" s="327"/>
      <c r="H585" s="223"/>
      <c r="I585" s="164"/>
      <c r="J585" s="162"/>
      <c r="K585" s="129"/>
      <c r="L585" s="79"/>
      <c r="M585" s="79"/>
      <c r="N585" s="79"/>
    </row>
    <row r="586" ht="15.75" customHeight="1">
      <c r="A586" s="261"/>
      <c r="B586" s="171"/>
      <c r="C586" s="172"/>
      <c r="D586" s="172"/>
      <c r="E586" s="340"/>
      <c r="F586" s="340"/>
      <c r="G586" s="327"/>
      <c r="H586" s="223"/>
      <c r="I586" s="164"/>
      <c r="J586" s="162"/>
      <c r="K586" s="129"/>
      <c r="L586" s="79"/>
      <c r="M586" s="79"/>
      <c r="N586" s="79"/>
    </row>
    <row r="587" ht="15.75" customHeight="1">
      <c r="A587" s="261"/>
      <c r="B587" s="171"/>
      <c r="C587" s="172"/>
      <c r="D587" s="172"/>
      <c r="E587" s="340"/>
      <c r="F587" s="340"/>
      <c r="G587" s="327"/>
      <c r="H587" s="223"/>
      <c r="I587" s="164"/>
      <c r="J587" s="162"/>
      <c r="K587" s="129"/>
      <c r="L587" s="79"/>
      <c r="M587" s="79"/>
      <c r="N587" s="79"/>
    </row>
    <row r="588" ht="15.75" customHeight="1">
      <c r="A588" s="261"/>
      <c r="B588" s="171"/>
      <c r="C588" s="172"/>
      <c r="D588" s="172"/>
      <c r="E588" s="340"/>
      <c r="F588" s="340"/>
      <c r="G588" s="327"/>
      <c r="H588" s="223"/>
      <c r="I588" s="164"/>
      <c r="J588" s="162"/>
      <c r="K588" s="129"/>
      <c r="L588" s="79"/>
      <c r="M588" s="79"/>
      <c r="N588" s="79"/>
    </row>
    <row r="589" ht="15.75" customHeight="1">
      <c r="A589" s="261"/>
      <c r="B589" s="171"/>
      <c r="C589" s="172"/>
      <c r="D589" s="172"/>
      <c r="E589" s="340"/>
      <c r="F589" s="340"/>
      <c r="G589" s="327"/>
      <c r="H589" s="223"/>
      <c r="I589" s="164"/>
      <c r="J589" s="162"/>
      <c r="K589" s="129"/>
      <c r="L589" s="79"/>
      <c r="M589" s="79"/>
      <c r="N589" s="79"/>
    </row>
    <row r="590" ht="15.75" customHeight="1">
      <c r="A590" s="261"/>
      <c r="B590" s="171"/>
      <c r="C590" s="172"/>
      <c r="D590" s="172"/>
      <c r="E590" s="340"/>
      <c r="F590" s="340"/>
      <c r="G590" s="327"/>
      <c r="H590" s="223"/>
      <c r="I590" s="164"/>
      <c r="J590" s="162"/>
      <c r="K590" s="129"/>
      <c r="L590" s="79"/>
      <c r="M590" s="79"/>
      <c r="N590" s="79"/>
    </row>
    <row r="591" ht="15.75" customHeight="1">
      <c r="A591" s="261"/>
      <c r="B591" s="171"/>
      <c r="C591" s="172"/>
      <c r="D591" s="172"/>
      <c r="E591" s="340"/>
      <c r="F591" s="340"/>
      <c r="G591" s="327"/>
      <c r="H591" s="223"/>
      <c r="I591" s="164"/>
      <c r="J591" s="162"/>
      <c r="K591" s="129"/>
      <c r="L591" s="79"/>
      <c r="M591" s="79"/>
      <c r="N591" s="79"/>
    </row>
    <row r="592" ht="15.75" customHeight="1">
      <c r="A592" s="261"/>
      <c r="B592" s="171"/>
      <c r="C592" s="172"/>
      <c r="D592" s="172"/>
      <c r="E592" s="340"/>
      <c r="F592" s="340"/>
      <c r="G592" s="327"/>
      <c r="H592" s="223"/>
      <c r="I592" s="164"/>
      <c r="J592" s="162"/>
      <c r="K592" s="129"/>
      <c r="L592" s="79"/>
      <c r="M592" s="79"/>
      <c r="N592" s="79"/>
    </row>
    <row r="593" ht="15.75" customHeight="1">
      <c r="A593" s="261"/>
      <c r="B593" s="171"/>
      <c r="C593" s="172"/>
      <c r="D593" s="172"/>
      <c r="E593" s="340"/>
      <c r="F593" s="340"/>
      <c r="G593" s="327"/>
      <c r="H593" s="223"/>
      <c r="I593" s="164"/>
      <c r="J593" s="162"/>
      <c r="K593" s="129"/>
      <c r="L593" s="79"/>
      <c r="M593" s="79"/>
      <c r="N593" s="79"/>
    </row>
    <row r="594" ht="15.75" customHeight="1">
      <c r="A594" s="261"/>
      <c r="B594" s="171"/>
      <c r="C594" s="172"/>
      <c r="D594" s="172"/>
      <c r="E594" s="340"/>
      <c r="F594" s="340"/>
      <c r="G594" s="327"/>
      <c r="H594" s="223"/>
      <c r="I594" s="164"/>
      <c r="J594" s="162"/>
      <c r="K594" s="129"/>
      <c r="L594" s="79"/>
      <c r="M594" s="79"/>
      <c r="N594" s="79"/>
    </row>
    <row r="595" ht="15.75" customHeight="1">
      <c r="A595" s="261"/>
      <c r="B595" s="171"/>
      <c r="C595" s="172"/>
      <c r="D595" s="172"/>
      <c r="E595" s="340"/>
      <c r="F595" s="340"/>
      <c r="G595" s="327"/>
      <c r="H595" s="223"/>
      <c r="I595" s="164"/>
      <c r="J595" s="162"/>
      <c r="K595" s="129"/>
      <c r="L595" s="79"/>
      <c r="M595" s="79"/>
      <c r="N595" s="79"/>
    </row>
    <row r="596" ht="15.75" customHeight="1">
      <c r="A596" s="261"/>
      <c r="B596" s="171"/>
      <c r="C596" s="172"/>
      <c r="D596" s="172"/>
      <c r="E596" s="340"/>
      <c r="F596" s="340"/>
      <c r="G596" s="327"/>
      <c r="H596" s="223"/>
      <c r="I596" s="164"/>
      <c r="J596" s="162"/>
      <c r="K596" s="129"/>
      <c r="L596" s="79"/>
      <c r="M596" s="79"/>
      <c r="N596" s="79"/>
    </row>
    <row r="597" ht="15.75" customHeight="1">
      <c r="A597" s="261"/>
      <c r="B597" s="171"/>
      <c r="C597" s="172"/>
      <c r="D597" s="172"/>
      <c r="E597" s="340"/>
      <c r="F597" s="340"/>
      <c r="G597" s="327"/>
      <c r="H597" s="223"/>
      <c r="I597" s="164"/>
      <c r="J597" s="162"/>
      <c r="K597" s="129"/>
      <c r="L597" s="79"/>
      <c r="M597" s="79"/>
      <c r="N597" s="79"/>
    </row>
    <row r="598" ht="15.75" customHeight="1">
      <c r="A598" s="261"/>
      <c r="B598" s="171"/>
      <c r="C598" s="172"/>
      <c r="D598" s="172"/>
      <c r="E598" s="340"/>
      <c r="F598" s="340"/>
      <c r="G598" s="327"/>
      <c r="H598" s="223"/>
      <c r="I598" s="164"/>
      <c r="J598" s="162"/>
      <c r="K598" s="129"/>
      <c r="L598" s="79"/>
      <c r="M598" s="79"/>
      <c r="N598" s="79"/>
    </row>
    <row r="599" ht="15.75" customHeight="1">
      <c r="A599" s="261"/>
      <c r="B599" s="171"/>
      <c r="C599" s="172"/>
      <c r="D599" s="172"/>
      <c r="E599" s="340"/>
      <c r="F599" s="340"/>
      <c r="G599" s="327"/>
      <c r="H599" s="223"/>
      <c r="I599" s="164"/>
      <c r="J599" s="162"/>
      <c r="K599" s="129"/>
      <c r="L599" s="79"/>
      <c r="M599" s="79"/>
      <c r="N599" s="79"/>
    </row>
    <row r="600" ht="15.75" customHeight="1">
      <c r="A600" s="261"/>
      <c r="B600" s="171"/>
      <c r="C600" s="172"/>
      <c r="D600" s="172"/>
      <c r="E600" s="340"/>
      <c r="F600" s="340"/>
      <c r="G600" s="327"/>
      <c r="H600" s="223"/>
      <c r="I600" s="164"/>
      <c r="J600" s="162"/>
      <c r="K600" s="129"/>
      <c r="L600" s="79"/>
      <c r="M600" s="79"/>
      <c r="N600" s="79"/>
    </row>
    <row r="601" ht="15.75" customHeight="1">
      <c r="A601" s="261"/>
      <c r="B601" s="171"/>
      <c r="C601" s="172"/>
      <c r="D601" s="172"/>
      <c r="E601" s="340"/>
      <c r="F601" s="340"/>
      <c r="G601" s="327"/>
      <c r="H601" s="223"/>
      <c r="I601" s="164"/>
      <c r="J601" s="162"/>
      <c r="K601" s="129"/>
      <c r="L601" s="79"/>
      <c r="M601" s="79"/>
      <c r="N601" s="79"/>
    </row>
    <row r="602" ht="15.75" customHeight="1">
      <c r="A602" s="261"/>
      <c r="B602" s="171"/>
      <c r="C602" s="172"/>
      <c r="D602" s="172"/>
      <c r="E602" s="340"/>
      <c r="F602" s="340"/>
      <c r="G602" s="327"/>
      <c r="H602" s="223"/>
      <c r="I602" s="164"/>
      <c r="J602" s="162"/>
      <c r="K602" s="129"/>
      <c r="L602" s="79"/>
      <c r="M602" s="79"/>
      <c r="N602" s="79"/>
    </row>
    <row r="603" ht="15.75" customHeight="1">
      <c r="A603" s="261"/>
      <c r="B603" s="171"/>
      <c r="C603" s="172"/>
      <c r="D603" s="172"/>
      <c r="E603" s="340"/>
      <c r="F603" s="340"/>
      <c r="G603" s="327"/>
      <c r="H603" s="223"/>
      <c r="I603" s="164"/>
      <c r="J603" s="162"/>
      <c r="K603" s="129"/>
      <c r="L603" s="79"/>
      <c r="M603" s="79"/>
      <c r="N603" s="79"/>
    </row>
    <row r="604" ht="15.75" customHeight="1">
      <c r="A604" s="261"/>
      <c r="B604" s="171"/>
      <c r="C604" s="172"/>
      <c r="D604" s="172"/>
      <c r="E604" s="340"/>
      <c r="F604" s="340"/>
      <c r="G604" s="327"/>
      <c r="H604" s="223"/>
      <c r="I604" s="164"/>
      <c r="J604" s="162"/>
      <c r="K604" s="129"/>
      <c r="L604" s="79"/>
      <c r="M604" s="79"/>
      <c r="N604" s="79"/>
    </row>
    <row r="605" ht="15.75" customHeight="1">
      <c r="A605" s="261"/>
      <c r="B605" s="171"/>
      <c r="C605" s="172"/>
      <c r="D605" s="172"/>
      <c r="E605" s="340"/>
      <c r="F605" s="340"/>
      <c r="G605" s="327"/>
      <c r="H605" s="223"/>
      <c r="I605" s="164"/>
      <c r="J605" s="162"/>
      <c r="K605" s="129"/>
      <c r="L605" s="79"/>
      <c r="M605" s="79"/>
      <c r="N605" s="79"/>
    </row>
    <row r="606" ht="15.75" customHeight="1">
      <c r="A606" s="261"/>
      <c r="B606" s="171"/>
      <c r="C606" s="172"/>
      <c r="D606" s="172"/>
      <c r="E606" s="340"/>
      <c r="F606" s="340"/>
      <c r="G606" s="327"/>
      <c r="H606" s="223"/>
      <c r="I606" s="164"/>
      <c r="J606" s="162"/>
      <c r="K606" s="129"/>
      <c r="L606" s="79"/>
      <c r="M606" s="79"/>
      <c r="N606" s="79"/>
    </row>
    <row r="607" ht="15.75" customHeight="1">
      <c r="A607" s="261"/>
      <c r="B607" s="171"/>
      <c r="C607" s="172"/>
      <c r="D607" s="172"/>
      <c r="E607" s="340"/>
      <c r="F607" s="340"/>
      <c r="G607" s="327"/>
      <c r="H607" s="223"/>
      <c r="I607" s="164"/>
      <c r="J607" s="162"/>
      <c r="K607" s="129"/>
      <c r="L607" s="79"/>
      <c r="M607" s="79"/>
      <c r="N607" s="79"/>
    </row>
    <row r="608" ht="15.75" customHeight="1">
      <c r="A608" s="261"/>
      <c r="B608" s="171"/>
      <c r="C608" s="172"/>
      <c r="D608" s="172"/>
      <c r="E608" s="340"/>
      <c r="F608" s="340"/>
      <c r="G608" s="327"/>
      <c r="H608" s="223"/>
      <c r="I608" s="164"/>
      <c r="J608" s="162"/>
      <c r="K608" s="129"/>
      <c r="L608" s="79"/>
      <c r="M608" s="79"/>
      <c r="N608" s="79"/>
    </row>
    <row r="609" ht="15.75" customHeight="1">
      <c r="A609" s="261"/>
      <c r="B609" s="171"/>
      <c r="C609" s="172"/>
      <c r="D609" s="172"/>
      <c r="E609" s="340"/>
      <c r="F609" s="340"/>
      <c r="G609" s="327"/>
      <c r="H609" s="223"/>
      <c r="I609" s="164"/>
      <c r="J609" s="162"/>
      <c r="K609" s="129"/>
      <c r="L609" s="79"/>
      <c r="M609" s="79"/>
      <c r="N609" s="79"/>
    </row>
    <row r="610" ht="15.75" customHeight="1">
      <c r="A610" s="261"/>
      <c r="B610" s="171"/>
      <c r="C610" s="172"/>
      <c r="D610" s="172"/>
      <c r="E610" s="340"/>
      <c r="F610" s="340"/>
      <c r="G610" s="327"/>
      <c r="H610" s="223"/>
      <c r="I610" s="164"/>
      <c r="J610" s="162"/>
      <c r="K610" s="129"/>
      <c r="L610" s="79"/>
      <c r="M610" s="79"/>
      <c r="N610" s="79"/>
    </row>
    <row r="611" ht="15.75" customHeight="1">
      <c r="A611" s="261"/>
      <c r="B611" s="171"/>
      <c r="C611" s="172"/>
      <c r="D611" s="172"/>
      <c r="E611" s="340"/>
      <c r="F611" s="340"/>
      <c r="G611" s="327"/>
      <c r="H611" s="223"/>
      <c r="I611" s="164"/>
      <c r="J611" s="162"/>
      <c r="K611" s="129"/>
      <c r="L611" s="79"/>
      <c r="M611" s="79"/>
      <c r="N611" s="79"/>
    </row>
    <row r="612" ht="15.75" customHeight="1">
      <c r="A612" s="261"/>
      <c r="B612" s="171"/>
      <c r="C612" s="172"/>
      <c r="D612" s="172"/>
      <c r="E612" s="340"/>
      <c r="F612" s="340"/>
      <c r="G612" s="327"/>
      <c r="H612" s="223"/>
      <c r="I612" s="164"/>
      <c r="J612" s="162"/>
      <c r="K612" s="129"/>
      <c r="L612" s="79"/>
      <c r="M612" s="79"/>
      <c r="N612" s="79"/>
    </row>
    <row r="613" ht="15.75" customHeight="1">
      <c r="A613" s="261"/>
      <c r="B613" s="171"/>
      <c r="C613" s="172"/>
      <c r="D613" s="172"/>
      <c r="E613" s="340"/>
      <c r="F613" s="340"/>
      <c r="G613" s="327"/>
      <c r="H613" s="223"/>
      <c r="I613" s="164"/>
      <c r="J613" s="162"/>
      <c r="K613" s="129"/>
      <c r="L613" s="79"/>
      <c r="M613" s="79"/>
      <c r="N613" s="79"/>
    </row>
    <row r="614" ht="15.75" customHeight="1">
      <c r="A614" s="261"/>
      <c r="B614" s="171"/>
      <c r="C614" s="172"/>
      <c r="D614" s="172"/>
      <c r="E614" s="340"/>
      <c r="F614" s="340"/>
      <c r="G614" s="327"/>
      <c r="H614" s="223"/>
      <c r="I614" s="164"/>
      <c r="J614" s="162"/>
      <c r="K614" s="129"/>
      <c r="L614" s="79"/>
      <c r="M614" s="79"/>
      <c r="N614" s="79"/>
    </row>
    <row r="615" ht="15.75" customHeight="1">
      <c r="A615" s="261"/>
      <c r="B615" s="171"/>
      <c r="C615" s="172"/>
      <c r="D615" s="172"/>
      <c r="E615" s="340"/>
      <c r="F615" s="340"/>
      <c r="G615" s="327"/>
      <c r="H615" s="223"/>
      <c r="I615" s="164"/>
      <c r="J615" s="162"/>
      <c r="K615" s="129"/>
      <c r="L615" s="79"/>
      <c r="M615" s="79"/>
      <c r="N615" s="79"/>
    </row>
    <row r="616" ht="15.75" customHeight="1">
      <c r="A616" s="261"/>
      <c r="B616" s="171"/>
      <c r="C616" s="172"/>
      <c r="D616" s="172"/>
      <c r="E616" s="340"/>
      <c r="F616" s="340"/>
      <c r="G616" s="327"/>
      <c r="H616" s="223"/>
      <c r="I616" s="164"/>
      <c r="J616" s="162"/>
      <c r="K616" s="129"/>
      <c r="L616" s="79"/>
      <c r="M616" s="79"/>
      <c r="N616" s="79"/>
    </row>
    <row r="617" ht="15.75" customHeight="1">
      <c r="A617" s="261"/>
      <c r="B617" s="171"/>
      <c r="C617" s="172"/>
      <c r="D617" s="172"/>
      <c r="E617" s="340"/>
      <c r="F617" s="340"/>
      <c r="G617" s="327"/>
      <c r="H617" s="223"/>
      <c r="I617" s="164"/>
      <c r="J617" s="162"/>
      <c r="K617" s="129"/>
      <c r="L617" s="79"/>
      <c r="M617" s="79"/>
      <c r="N617" s="79"/>
    </row>
    <row r="618" ht="15.75" customHeight="1">
      <c r="A618" s="261"/>
      <c r="B618" s="171"/>
      <c r="C618" s="172"/>
      <c r="D618" s="172"/>
      <c r="E618" s="340"/>
      <c r="F618" s="340"/>
      <c r="G618" s="327"/>
      <c r="H618" s="223"/>
      <c r="I618" s="164"/>
      <c r="J618" s="162"/>
      <c r="K618" s="129"/>
      <c r="L618" s="79"/>
      <c r="M618" s="79"/>
      <c r="N618" s="79"/>
    </row>
    <row r="619" ht="15.75" customHeight="1">
      <c r="A619" s="261"/>
      <c r="B619" s="171"/>
      <c r="C619" s="172"/>
      <c r="D619" s="172"/>
      <c r="E619" s="340"/>
      <c r="F619" s="340"/>
      <c r="G619" s="327"/>
      <c r="H619" s="223"/>
      <c r="I619" s="164"/>
      <c r="J619" s="162"/>
      <c r="K619" s="129"/>
      <c r="L619" s="79"/>
      <c r="M619" s="79"/>
      <c r="N619" s="79"/>
    </row>
    <row r="620" ht="15.75" customHeight="1">
      <c r="A620" s="261"/>
      <c r="B620" s="171"/>
      <c r="C620" s="172"/>
      <c r="D620" s="172"/>
      <c r="E620" s="340"/>
      <c r="F620" s="340"/>
      <c r="G620" s="327"/>
      <c r="H620" s="223"/>
      <c r="I620" s="164"/>
      <c r="J620" s="162"/>
      <c r="K620" s="129"/>
      <c r="L620" s="79"/>
      <c r="M620" s="79"/>
      <c r="N620" s="79"/>
    </row>
    <row r="621" ht="15.75" customHeight="1">
      <c r="A621" s="261"/>
      <c r="B621" s="171"/>
      <c r="C621" s="172"/>
      <c r="D621" s="172"/>
      <c r="E621" s="340"/>
      <c r="F621" s="340"/>
      <c r="G621" s="327"/>
      <c r="H621" s="223"/>
      <c r="I621" s="164"/>
      <c r="J621" s="162"/>
      <c r="K621" s="129"/>
      <c r="L621" s="79"/>
      <c r="M621" s="79"/>
      <c r="N621" s="79"/>
    </row>
    <row r="622" ht="15.75" customHeight="1">
      <c r="A622" s="261"/>
      <c r="B622" s="171"/>
      <c r="C622" s="172"/>
      <c r="D622" s="172"/>
      <c r="E622" s="340"/>
      <c r="F622" s="340"/>
      <c r="G622" s="327"/>
      <c r="H622" s="223"/>
      <c r="I622" s="164"/>
      <c r="J622" s="162"/>
      <c r="K622" s="129"/>
      <c r="L622" s="79"/>
      <c r="M622" s="79"/>
      <c r="N622" s="79"/>
    </row>
    <row r="623" ht="15.75" customHeight="1">
      <c r="A623" s="261"/>
      <c r="B623" s="171"/>
      <c r="C623" s="172"/>
      <c r="D623" s="172"/>
      <c r="E623" s="340"/>
      <c r="F623" s="340"/>
      <c r="G623" s="327"/>
      <c r="H623" s="223"/>
      <c r="I623" s="164"/>
      <c r="J623" s="162"/>
      <c r="K623" s="129"/>
      <c r="L623" s="79"/>
      <c r="M623" s="79"/>
      <c r="N623" s="79"/>
    </row>
    <row r="624" ht="15.75" customHeight="1">
      <c r="A624" s="261"/>
      <c r="B624" s="171"/>
      <c r="C624" s="172"/>
      <c r="D624" s="172"/>
      <c r="E624" s="340"/>
      <c r="F624" s="340"/>
      <c r="G624" s="327"/>
      <c r="H624" s="223"/>
      <c r="I624" s="164"/>
      <c r="J624" s="162"/>
      <c r="K624" s="129"/>
      <c r="L624" s="79"/>
      <c r="M624" s="79"/>
      <c r="N624" s="79"/>
    </row>
    <row r="625" ht="15.75" customHeight="1">
      <c r="A625" s="261"/>
      <c r="B625" s="171"/>
      <c r="C625" s="172"/>
      <c r="D625" s="172"/>
      <c r="E625" s="340"/>
      <c r="F625" s="340"/>
      <c r="G625" s="327"/>
      <c r="H625" s="223"/>
      <c r="I625" s="164"/>
      <c r="J625" s="162"/>
      <c r="K625" s="129"/>
      <c r="L625" s="79"/>
      <c r="M625" s="79"/>
      <c r="N625" s="79"/>
    </row>
    <row r="626" ht="15.75" customHeight="1">
      <c r="A626" s="261"/>
      <c r="B626" s="171"/>
      <c r="C626" s="172"/>
      <c r="D626" s="172"/>
      <c r="E626" s="340"/>
      <c r="F626" s="340"/>
      <c r="G626" s="327"/>
      <c r="H626" s="223"/>
      <c r="I626" s="164"/>
      <c r="J626" s="162"/>
      <c r="K626" s="129"/>
      <c r="L626" s="79"/>
      <c r="M626" s="79"/>
      <c r="N626" s="79"/>
    </row>
    <row r="627" ht="15.75" customHeight="1">
      <c r="A627" s="261"/>
      <c r="B627" s="171"/>
      <c r="C627" s="172"/>
      <c r="D627" s="172"/>
      <c r="E627" s="340"/>
      <c r="F627" s="340"/>
      <c r="G627" s="327"/>
      <c r="H627" s="223"/>
      <c r="I627" s="164"/>
      <c r="J627" s="162"/>
      <c r="K627" s="129"/>
      <c r="L627" s="79"/>
      <c r="M627" s="79"/>
      <c r="N627" s="79"/>
    </row>
    <row r="628" ht="15.75" customHeight="1">
      <c r="A628" s="261"/>
      <c r="B628" s="171"/>
      <c r="C628" s="172"/>
      <c r="D628" s="172"/>
      <c r="E628" s="340"/>
      <c r="F628" s="340"/>
      <c r="G628" s="327"/>
      <c r="H628" s="223"/>
      <c r="I628" s="164"/>
      <c r="J628" s="162"/>
      <c r="K628" s="129"/>
      <c r="L628" s="79"/>
      <c r="M628" s="79"/>
      <c r="N628" s="79"/>
    </row>
    <row r="629" ht="15.75" customHeight="1">
      <c r="A629" s="261"/>
      <c r="B629" s="171"/>
      <c r="C629" s="172"/>
      <c r="D629" s="172"/>
      <c r="E629" s="340"/>
      <c r="F629" s="340"/>
      <c r="G629" s="327"/>
      <c r="H629" s="223"/>
      <c r="I629" s="164"/>
      <c r="J629" s="162"/>
      <c r="K629" s="129"/>
      <c r="L629" s="79"/>
      <c r="M629" s="79"/>
      <c r="N629" s="79"/>
    </row>
    <row r="630" ht="15.75" customHeight="1">
      <c r="A630" s="261"/>
      <c r="B630" s="171"/>
      <c r="C630" s="172"/>
      <c r="D630" s="172"/>
      <c r="E630" s="340"/>
      <c r="F630" s="340"/>
      <c r="G630" s="327"/>
      <c r="H630" s="223"/>
      <c r="I630" s="164"/>
      <c r="J630" s="162"/>
      <c r="K630" s="129"/>
      <c r="L630" s="79"/>
      <c r="M630" s="79"/>
      <c r="N630" s="79"/>
    </row>
    <row r="631" ht="15.75" customHeight="1">
      <c r="A631" s="261"/>
      <c r="B631" s="171"/>
      <c r="C631" s="172"/>
      <c r="D631" s="172"/>
      <c r="E631" s="340"/>
      <c r="F631" s="340"/>
      <c r="G631" s="327"/>
      <c r="H631" s="223"/>
      <c r="I631" s="164"/>
      <c r="J631" s="162"/>
      <c r="K631" s="129"/>
      <c r="L631" s="79"/>
      <c r="M631" s="79"/>
      <c r="N631" s="79"/>
    </row>
    <row r="632" ht="15.75" customHeight="1">
      <c r="A632" s="261"/>
      <c r="B632" s="171"/>
      <c r="C632" s="172"/>
      <c r="D632" s="172"/>
      <c r="E632" s="340"/>
      <c r="F632" s="340"/>
      <c r="G632" s="327"/>
      <c r="H632" s="223"/>
      <c r="I632" s="164"/>
      <c r="J632" s="162"/>
      <c r="K632" s="129"/>
      <c r="L632" s="79"/>
      <c r="M632" s="79"/>
      <c r="N632" s="79"/>
    </row>
    <row r="633" ht="15.75" customHeight="1">
      <c r="A633" s="261"/>
      <c r="B633" s="171"/>
      <c r="C633" s="172"/>
      <c r="D633" s="172"/>
      <c r="E633" s="340"/>
      <c r="F633" s="340"/>
      <c r="G633" s="327"/>
      <c r="H633" s="223"/>
      <c r="I633" s="164"/>
      <c r="J633" s="162"/>
      <c r="K633" s="129"/>
      <c r="L633" s="79"/>
      <c r="M633" s="79"/>
      <c r="N633" s="79"/>
    </row>
    <row r="634" ht="15.75" customHeight="1">
      <c r="A634" s="261"/>
      <c r="B634" s="171"/>
      <c r="C634" s="172"/>
      <c r="D634" s="172"/>
      <c r="E634" s="340"/>
      <c r="F634" s="340"/>
      <c r="G634" s="327"/>
      <c r="H634" s="223"/>
      <c r="I634" s="164"/>
      <c r="J634" s="162"/>
      <c r="K634" s="129"/>
      <c r="L634" s="79"/>
      <c r="M634" s="79"/>
      <c r="N634" s="79"/>
    </row>
    <row r="635" ht="15.75" customHeight="1">
      <c r="A635" s="261"/>
      <c r="B635" s="171"/>
      <c r="C635" s="172"/>
      <c r="D635" s="172"/>
      <c r="E635" s="340"/>
      <c r="F635" s="340"/>
      <c r="G635" s="327"/>
      <c r="H635" s="223"/>
      <c r="I635" s="164"/>
      <c r="J635" s="162"/>
      <c r="K635" s="129"/>
      <c r="L635" s="79"/>
      <c r="M635" s="79"/>
      <c r="N635" s="79"/>
    </row>
    <row r="636" ht="15.75" customHeight="1">
      <c r="A636" s="261"/>
      <c r="B636" s="171"/>
      <c r="C636" s="172"/>
      <c r="D636" s="172"/>
      <c r="E636" s="340"/>
      <c r="F636" s="340"/>
      <c r="G636" s="327"/>
      <c r="H636" s="223"/>
      <c r="I636" s="164"/>
      <c r="J636" s="162"/>
      <c r="K636" s="129"/>
      <c r="L636" s="79"/>
      <c r="M636" s="79"/>
      <c r="N636" s="79"/>
    </row>
    <row r="637" ht="15.75" customHeight="1">
      <c r="A637" s="261"/>
      <c r="B637" s="171"/>
      <c r="C637" s="172"/>
      <c r="D637" s="172"/>
      <c r="E637" s="340"/>
      <c r="F637" s="340"/>
      <c r="G637" s="327"/>
      <c r="H637" s="223"/>
      <c r="I637" s="164"/>
      <c r="J637" s="162"/>
      <c r="K637" s="129"/>
      <c r="L637" s="79"/>
      <c r="M637" s="79"/>
      <c r="N637" s="79"/>
    </row>
    <row r="638" ht="15.75" customHeight="1">
      <c r="A638" s="261"/>
      <c r="B638" s="171"/>
      <c r="C638" s="172"/>
      <c r="D638" s="172"/>
      <c r="E638" s="340"/>
      <c r="F638" s="340"/>
      <c r="G638" s="327"/>
      <c r="H638" s="223"/>
      <c r="I638" s="164"/>
      <c r="J638" s="162"/>
      <c r="K638" s="129"/>
      <c r="L638" s="79"/>
      <c r="M638" s="79"/>
      <c r="N638" s="79"/>
    </row>
    <row r="639" ht="15.75" customHeight="1">
      <c r="A639" s="261"/>
      <c r="B639" s="171"/>
      <c r="C639" s="172"/>
      <c r="D639" s="172"/>
      <c r="E639" s="340"/>
      <c r="F639" s="340"/>
      <c r="G639" s="327"/>
      <c r="H639" s="223"/>
      <c r="I639" s="164"/>
      <c r="J639" s="162"/>
      <c r="K639" s="129"/>
      <c r="L639" s="79"/>
      <c r="M639" s="79"/>
      <c r="N639" s="79"/>
    </row>
    <row r="640" ht="15.75" customHeight="1">
      <c r="A640" s="261"/>
      <c r="B640" s="171"/>
      <c r="C640" s="172"/>
      <c r="D640" s="172"/>
      <c r="E640" s="340"/>
      <c r="F640" s="340"/>
      <c r="G640" s="327"/>
      <c r="H640" s="223"/>
      <c r="I640" s="164"/>
      <c r="J640" s="162"/>
      <c r="K640" s="129"/>
      <c r="L640" s="79"/>
      <c r="M640" s="79"/>
      <c r="N640" s="79"/>
    </row>
    <row r="641" ht="15.75" customHeight="1">
      <c r="A641" s="261"/>
      <c r="B641" s="171"/>
      <c r="C641" s="172"/>
      <c r="D641" s="172"/>
      <c r="E641" s="340"/>
      <c r="F641" s="340"/>
      <c r="G641" s="327"/>
      <c r="H641" s="223"/>
      <c r="I641" s="164"/>
      <c r="J641" s="162"/>
      <c r="K641" s="129"/>
      <c r="L641" s="79"/>
      <c r="M641" s="79"/>
      <c r="N641" s="79"/>
    </row>
    <row r="642" ht="15.75" customHeight="1">
      <c r="A642" s="261"/>
      <c r="B642" s="171"/>
      <c r="C642" s="172"/>
      <c r="D642" s="172"/>
      <c r="E642" s="340"/>
      <c r="F642" s="340"/>
      <c r="G642" s="327"/>
      <c r="H642" s="223"/>
      <c r="I642" s="164"/>
      <c r="J642" s="162"/>
      <c r="K642" s="129"/>
      <c r="L642" s="79"/>
      <c r="M642" s="79"/>
      <c r="N642" s="79"/>
    </row>
    <row r="643" ht="15.75" customHeight="1">
      <c r="A643" s="261"/>
      <c r="B643" s="171"/>
      <c r="C643" s="172"/>
      <c r="D643" s="172"/>
      <c r="E643" s="340"/>
      <c r="F643" s="340"/>
      <c r="G643" s="327"/>
      <c r="H643" s="223"/>
      <c r="I643" s="164"/>
      <c r="J643" s="162"/>
      <c r="K643" s="129"/>
      <c r="L643" s="79"/>
      <c r="M643" s="79"/>
      <c r="N643" s="79"/>
    </row>
    <row r="644" ht="15.75" customHeight="1">
      <c r="A644" s="261"/>
      <c r="B644" s="171"/>
      <c r="C644" s="172"/>
      <c r="D644" s="172"/>
      <c r="E644" s="340"/>
      <c r="F644" s="340"/>
      <c r="G644" s="327"/>
      <c r="H644" s="223"/>
      <c r="I644" s="164"/>
      <c r="J644" s="162"/>
      <c r="K644" s="129"/>
      <c r="L644" s="79"/>
      <c r="M644" s="79"/>
      <c r="N644" s="79"/>
    </row>
    <row r="645" ht="15.75" customHeight="1">
      <c r="A645" s="261"/>
      <c r="B645" s="171"/>
      <c r="C645" s="172"/>
      <c r="D645" s="172"/>
      <c r="E645" s="340"/>
      <c r="F645" s="340"/>
      <c r="G645" s="327"/>
      <c r="H645" s="223"/>
      <c r="I645" s="164"/>
      <c r="J645" s="162"/>
      <c r="K645" s="129"/>
      <c r="L645" s="79"/>
      <c r="M645" s="79"/>
      <c r="N645" s="79"/>
    </row>
    <row r="646" ht="15.75" customHeight="1">
      <c r="A646" s="261"/>
      <c r="B646" s="171"/>
      <c r="C646" s="172"/>
      <c r="D646" s="172"/>
      <c r="E646" s="340"/>
      <c r="F646" s="340"/>
      <c r="G646" s="327"/>
      <c r="H646" s="223"/>
      <c r="I646" s="164"/>
      <c r="J646" s="162"/>
      <c r="K646" s="129"/>
      <c r="L646" s="79"/>
      <c r="M646" s="79"/>
      <c r="N646" s="79"/>
    </row>
    <row r="647" ht="15.75" customHeight="1">
      <c r="A647" s="261"/>
      <c r="B647" s="171"/>
      <c r="C647" s="172"/>
      <c r="D647" s="172"/>
      <c r="E647" s="340"/>
      <c r="F647" s="340"/>
      <c r="G647" s="327"/>
      <c r="H647" s="223"/>
      <c r="I647" s="164"/>
      <c r="J647" s="162"/>
      <c r="K647" s="129"/>
      <c r="L647" s="79"/>
      <c r="M647" s="79"/>
      <c r="N647" s="79"/>
    </row>
    <row r="648" ht="15.75" customHeight="1">
      <c r="A648" s="261"/>
      <c r="B648" s="171"/>
      <c r="C648" s="172"/>
      <c r="D648" s="172"/>
      <c r="E648" s="340"/>
      <c r="F648" s="340"/>
      <c r="G648" s="327"/>
      <c r="H648" s="223"/>
      <c r="I648" s="164"/>
      <c r="J648" s="162"/>
      <c r="K648" s="129"/>
      <c r="L648" s="79"/>
      <c r="M648" s="79"/>
      <c r="N648" s="79"/>
    </row>
    <row r="649" ht="15.75" customHeight="1">
      <c r="A649" s="261"/>
      <c r="B649" s="171"/>
      <c r="C649" s="172"/>
      <c r="D649" s="172"/>
      <c r="E649" s="340"/>
      <c r="F649" s="340"/>
      <c r="G649" s="327"/>
      <c r="H649" s="223"/>
      <c r="I649" s="164"/>
      <c r="J649" s="162"/>
      <c r="K649" s="129"/>
      <c r="L649" s="79"/>
      <c r="M649" s="79"/>
      <c r="N649" s="79"/>
    </row>
    <row r="650" ht="15.75" customHeight="1">
      <c r="A650" s="261"/>
      <c r="B650" s="171"/>
      <c r="C650" s="172"/>
      <c r="D650" s="172"/>
      <c r="E650" s="340"/>
      <c r="F650" s="340"/>
      <c r="G650" s="327"/>
      <c r="H650" s="223"/>
      <c r="I650" s="164"/>
      <c r="J650" s="162"/>
      <c r="K650" s="129"/>
      <c r="L650" s="79"/>
      <c r="M650" s="79"/>
      <c r="N650" s="79"/>
    </row>
    <row r="651" ht="15.75" customHeight="1">
      <c r="A651" s="261"/>
      <c r="B651" s="171"/>
      <c r="C651" s="172"/>
      <c r="D651" s="172"/>
      <c r="E651" s="340"/>
      <c r="F651" s="340"/>
      <c r="G651" s="327"/>
      <c r="H651" s="223"/>
      <c r="I651" s="164"/>
      <c r="J651" s="162"/>
      <c r="K651" s="129"/>
      <c r="L651" s="79"/>
      <c r="M651" s="79"/>
      <c r="N651" s="79"/>
    </row>
    <row r="652" ht="15.75" customHeight="1">
      <c r="A652" s="261"/>
      <c r="B652" s="171"/>
      <c r="C652" s="172"/>
      <c r="D652" s="172"/>
      <c r="E652" s="340"/>
      <c r="F652" s="340"/>
      <c r="G652" s="327"/>
      <c r="H652" s="223"/>
      <c r="I652" s="164"/>
      <c r="J652" s="162"/>
      <c r="K652" s="129"/>
      <c r="L652" s="79"/>
      <c r="M652" s="79"/>
      <c r="N652" s="79"/>
    </row>
    <row r="653" ht="15.75" customHeight="1">
      <c r="A653" s="261"/>
      <c r="B653" s="171"/>
      <c r="C653" s="172"/>
      <c r="D653" s="172"/>
      <c r="E653" s="340"/>
      <c r="F653" s="340"/>
      <c r="G653" s="327"/>
      <c r="H653" s="223"/>
      <c r="I653" s="164"/>
      <c r="J653" s="162"/>
      <c r="K653" s="129"/>
      <c r="L653" s="79"/>
      <c r="M653" s="79"/>
      <c r="N653" s="79"/>
    </row>
    <row r="654" ht="15.75" customHeight="1">
      <c r="A654" s="261"/>
      <c r="B654" s="171"/>
      <c r="C654" s="172"/>
      <c r="D654" s="172"/>
      <c r="E654" s="340"/>
      <c r="F654" s="340"/>
      <c r="G654" s="327"/>
      <c r="H654" s="223"/>
      <c r="I654" s="164"/>
      <c r="J654" s="162"/>
      <c r="K654" s="129"/>
      <c r="L654" s="79"/>
      <c r="M654" s="79"/>
      <c r="N654" s="79"/>
    </row>
    <row r="655" ht="15.75" customHeight="1">
      <c r="A655" s="261"/>
      <c r="B655" s="171"/>
      <c r="C655" s="172"/>
      <c r="D655" s="172"/>
      <c r="E655" s="340"/>
      <c r="F655" s="340"/>
      <c r="G655" s="327"/>
      <c r="H655" s="223"/>
      <c r="I655" s="164"/>
      <c r="J655" s="162"/>
      <c r="K655" s="129"/>
      <c r="L655" s="79"/>
      <c r="M655" s="79"/>
      <c r="N655" s="79"/>
    </row>
    <row r="656" ht="15.75" customHeight="1">
      <c r="A656" s="261"/>
      <c r="B656" s="171"/>
      <c r="C656" s="172"/>
      <c r="D656" s="172"/>
      <c r="E656" s="340"/>
      <c r="F656" s="340"/>
      <c r="G656" s="327"/>
      <c r="H656" s="223"/>
      <c r="I656" s="164"/>
      <c r="J656" s="162"/>
      <c r="K656" s="129"/>
      <c r="L656" s="79"/>
      <c r="M656" s="79"/>
      <c r="N656" s="79"/>
    </row>
    <row r="657" ht="15.75" customHeight="1">
      <c r="A657" s="261"/>
      <c r="B657" s="171"/>
      <c r="C657" s="172"/>
      <c r="D657" s="172"/>
      <c r="E657" s="340"/>
      <c r="F657" s="340"/>
      <c r="G657" s="327"/>
      <c r="H657" s="223"/>
      <c r="I657" s="164"/>
      <c r="J657" s="162"/>
      <c r="K657" s="129"/>
      <c r="L657" s="79"/>
      <c r="M657" s="79"/>
      <c r="N657" s="79"/>
    </row>
    <row r="658" ht="15.75" customHeight="1">
      <c r="A658" s="261"/>
      <c r="B658" s="171"/>
      <c r="C658" s="172"/>
      <c r="D658" s="172"/>
      <c r="E658" s="340"/>
      <c r="F658" s="340"/>
      <c r="G658" s="327"/>
      <c r="H658" s="223"/>
      <c r="I658" s="164"/>
      <c r="J658" s="162"/>
      <c r="K658" s="129"/>
      <c r="L658" s="79"/>
      <c r="M658" s="79"/>
      <c r="N658" s="79"/>
    </row>
    <row r="659" ht="15.75" customHeight="1">
      <c r="A659" s="261"/>
      <c r="B659" s="171"/>
      <c r="C659" s="172"/>
      <c r="D659" s="172"/>
      <c r="E659" s="340"/>
      <c r="F659" s="340"/>
      <c r="G659" s="327"/>
      <c r="H659" s="223"/>
      <c r="I659" s="164"/>
      <c r="J659" s="162"/>
      <c r="K659" s="129"/>
      <c r="L659" s="79"/>
      <c r="M659" s="79"/>
      <c r="N659" s="79"/>
    </row>
    <row r="660" ht="15.75" customHeight="1">
      <c r="A660" s="261"/>
      <c r="B660" s="171"/>
      <c r="C660" s="172"/>
      <c r="D660" s="172"/>
      <c r="E660" s="340"/>
      <c r="F660" s="340"/>
      <c r="G660" s="327"/>
      <c r="H660" s="223"/>
      <c r="I660" s="164"/>
      <c r="J660" s="162"/>
      <c r="K660" s="129"/>
      <c r="L660" s="79"/>
      <c r="M660" s="79"/>
      <c r="N660" s="79"/>
    </row>
    <row r="661" ht="15.75" customHeight="1">
      <c r="A661" s="261"/>
      <c r="B661" s="171"/>
      <c r="C661" s="172"/>
      <c r="D661" s="172"/>
      <c r="E661" s="340"/>
      <c r="F661" s="340"/>
      <c r="G661" s="327"/>
      <c r="H661" s="223"/>
      <c r="I661" s="164"/>
      <c r="J661" s="162"/>
      <c r="K661" s="129"/>
      <c r="L661" s="79"/>
      <c r="M661" s="79"/>
      <c r="N661" s="79"/>
    </row>
    <row r="662" ht="15.75" customHeight="1">
      <c r="A662" s="261"/>
      <c r="B662" s="171"/>
      <c r="C662" s="172"/>
      <c r="D662" s="172"/>
      <c r="E662" s="340"/>
      <c r="F662" s="340"/>
      <c r="G662" s="327"/>
      <c r="H662" s="223"/>
      <c r="I662" s="164"/>
      <c r="J662" s="162"/>
      <c r="K662" s="129"/>
      <c r="L662" s="79"/>
      <c r="M662" s="79"/>
      <c r="N662" s="79"/>
    </row>
    <row r="663" ht="15.75" customHeight="1">
      <c r="A663" s="261"/>
      <c r="B663" s="171"/>
      <c r="C663" s="172"/>
      <c r="D663" s="172"/>
      <c r="E663" s="340"/>
      <c r="F663" s="340"/>
      <c r="G663" s="327"/>
      <c r="H663" s="223"/>
      <c r="I663" s="164"/>
      <c r="J663" s="162"/>
      <c r="K663" s="129"/>
      <c r="L663" s="79"/>
      <c r="M663" s="79"/>
      <c r="N663" s="79"/>
    </row>
    <row r="664" ht="15.75" customHeight="1">
      <c r="A664" s="261"/>
      <c r="B664" s="171"/>
      <c r="C664" s="172"/>
      <c r="D664" s="172"/>
      <c r="E664" s="340"/>
      <c r="F664" s="340"/>
      <c r="G664" s="327"/>
      <c r="H664" s="223"/>
      <c r="I664" s="164"/>
      <c r="J664" s="162"/>
      <c r="K664" s="129"/>
      <c r="L664" s="79"/>
      <c r="M664" s="79"/>
      <c r="N664" s="79"/>
    </row>
    <row r="665" ht="15.75" customHeight="1">
      <c r="A665" s="261"/>
      <c r="B665" s="171"/>
      <c r="C665" s="172"/>
      <c r="D665" s="172"/>
      <c r="E665" s="340"/>
      <c r="F665" s="340"/>
      <c r="G665" s="327"/>
      <c r="H665" s="223"/>
      <c r="I665" s="164"/>
      <c r="J665" s="162"/>
      <c r="K665" s="129"/>
      <c r="L665" s="79"/>
      <c r="M665" s="79"/>
      <c r="N665" s="79"/>
    </row>
    <row r="666" ht="15.75" customHeight="1">
      <c r="A666" s="261"/>
      <c r="B666" s="171"/>
      <c r="C666" s="172"/>
      <c r="D666" s="172"/>
      <c r="E666" s="340"/>
      <c r="F666" s="340"/>
      <c r="G666" s="327"/>
      <c r="H666" s="223"/>
      <c r="I666" s="164"/>
      <c r="J666" s="162"/>
      <c r="K666" s="129"/>
      <c r="L666" s="79"/>
      <c r="M666" s="79"/>
      <c r="N666" s="79"/>
    </row>
    <row r="667" ht="15.75" customHeight="1">
      <c r="A667" s="261"/>
      <c r="B667" s="171"/>
      <c r="C667" s="172"/>
      <c r="D667" s="172"/>
      <c r="E667" s="340"/>
      <c r="F667" s="340"/>
      <c r="G667" s="327"/>
      <c r="H667" s="223"/>
      <c r="I667" s="164"/>
      <c r="J667" s="162"/>
      <c r="K667" s="129"/>
      <c r="L667" s="79"/>
      <c r="M667" s="79"/>
      <c r="N667" s="79"/>
    </row>
    <row r="668" ht="15.75" customHeight="1">
      <c r="A668" s="261"/>
      <c r="B668" s="171"/>
      <c r="C668" s="172"/>
      <c r="D668" s="172"/>
      <c r="E668" s="340"/>
      <c r="F668" s="340"/>
      <c r="G668" s="327"/>
      <c r="H668" s="223"/>
      <c r="I668" s="164"/>
      <c r="J668" s="162"/>
      <c r="K668" s="129"/>
      <c r="L668" s="79"/>
      <c r="M668" s="79"/>
      <c r="N668" s="79"/>
    </row>
    <row r="669" ht="15.75" customHeight="1">
      <c r="A669" s="261"/>
      <c r="B669" s="171"/>
      <c r="C669" s="172"/>
      <c r="D669" s="172"/>
      <c r="E669" s="340"/>
      <c r="F669" s="340"/>
      <c r="G669" s="327"/>
      <c r="H669" s="223"/>
      <c r="I669" s="164"/>
      <c r="J669" s="162"/>
      <c r="K669" s="129"/>
      <c r="L669" s="79"/>
      <c r="M669" s="79"/>
      <c r="N669" s="79"/>
    </row>
    <row r="670" ht="15.75" customHeight="1">
      <c r="A670" s="261"/>
      <c r="B670" s="171"/>
      <c r="C670" s="172"/>
      <c r="D670" s="172"/>
      <c r="E670" s="340"/>
      <c r="F670" s="340"/>
      <c r="G670" s="327"/>
      <c r="H670" s="223"/>
      <c r="I670" s="164"/>
      <c r="J670" s="162"/>
      <c r="K670" s="129"/>
      <c r="L670" s="79"/>
      <c r="M670" s="79"/>
      <c r="N670" s="79"/>
    </row>
    <row r="671" ht="15.75" customHeight="1">
      <c r="A671" s="261"/>
      <c r="B671" s="171"/>
      <c r="C671" s="172"/>
      <c r="D671" s="172"/>
      <c r="E671" s="340"/>
      <c r="F671" s="340"/>
      <c r="G671" s="327"/>
      <c r="H671" s="223"/>
      <c r="I671" s="164"/>
      <c r="J671" s="162"/>
      <c r="K671" s="129"/>
      <c r="L671" s="79"/>
      <c r="M671" s="79"/>
      <c r="N671" s="79"/>
    </row>
    <row r="672" ht="15.75" customHeight="1">
      <c r="A672" s="261"/>
      <c r="B672" s="171"/>
      <c r="C672" s="172"/>
      <c r="D672" s="172"/>
      <c r="E672" s="340"/>
      <c r="F672" s="340"/>
      <c r="G672" s="327"/>
      <c r="H672" s="223"/>
      <c r="I672" s="164"/>
      <c r="J672" s="162"/>
      <c r="K672" s="129"/>
      <c r="L672" s="79"/>
      <c r="M672" s="79"/>
      <c r="N672" s="79"/>
    </row>
    <row r="673" ht="15.75" customHeight="1">
      <c r="A673" s="261"/>
      <c r="B673" s="171"/>
      <c r="C673" s="172"/>
      <c r="D673" s="172"/>
      <c r="E673" s="340"/>
      <c r="F673" s="340"/>
      <c r="G673" s="327"/>
      <c r="H673" s="223"/>
      <c r="I673" s="164"/>
      <c r="J673" s="162"/>
      <c r="K673" s="129"/>
      <c r="L673" s="79"/>
      <c r="M673" s="79"/>
      <c r="N673" s="79"/>
    </row>
    <row r="674" ht="15.75" customHeight="1">
      <c r="A674" s="261"/>
      <c r="B674" s="171"/>
      <c r="C674" s="172"/>
      <c r="D674" s="172"/>
      <c r="E674" s="340"/>
      <c r="F674" s="340"/>
      <c r="G674" s="327"/>
      <c r="H674" s="223"/>
      <c r="I674" s="164"/>
      <c r="J674" s="162"/>
      <c r="K674" s="129"/>
      <c r="L674" s="79"/>
      <c r="M674" s="79"/>
      <c r="N674" s="79"/>
    </row>
    <row r="675" ht="15.75" customHeight="1">
      <c r="A675" s="261"/>
      <c r="B675" s="171"/>
      <c r="C675" s="172"/>
      <c r="D675" s="172"/>
      <c r="E675" s="340"/>
      <c r="F675" s="340"/>
      <c r="G675" s="327"/>
      <c r="H675" s="223"/>
      <c r="I675" s="164"/>
      <c r="J675" s="162"/>
      <c r="K675" s="129"/>
      <c r="L675" s="79"/>
      <c r="M675" s="79"/>
      <c r="N675" s="79"/>
    </row>
    <row r="676" ht="15.75" customHeight="1">
      <c r="A676" s="261"/>
      <c r="B676" s="171"/>
      <c r="C676" s="172"/>
      <c r="D676" s="172"/>
      <c r="E676" s="340"/>
      <c r="F676" s="340"/>
      <c r="G676" s="327"/>
      <c r="H676" s="223"/>
      <c r="I676" s="164"/>
      <c r="J676" s="162"/>
      <c r="K676" s="129"/>
      <c r="L676" s="79"/>
      <c r="M676" s="79"/>
      <c r="N676" s="79"/>
    </row>
    <row r="677" ht="15.75" customHeight="1">
      <c r="A677" s="261"/>
      <c r="B677" s="171"/>
      <c r="C677" s="172"/>
      <c r="D677" s="172"/>
      <c r="E677" s="340"/>
      <c r="F677" s="340"/>
      <c r="G677" s="327"/>
      <c r="H677" s="223"/>
      <c r="I677" s="164"/>
      <c r="J677" s="162"/>
      <c r="K677" s="129"/>
      <c r="L677" s="79"/>
      <c r="M677" s="79"/>
      <c r="N677" s="79"/>
    </row>
    <row r="678" ht="15.75" customHeight="1">
      <c r="A678" s="261"/>
      <c r="B678" s="171"/>
      <c r="C678" s="172"/>
      <c r="D678" s="172"/>
      <c r="E678" s="340"/>
      <c r="F678" s="340"/>
      <c r="G678" s="327"/>
      <c r="H678" s="223"/>
      <c r="I678" s="164"/>
      <c r="J678" s="162"/>
      <c r="K678" s="129"/>
      <c r="L678" s="79"/>
      <c r="M678" s="79"/>
      <c r="N678" s="79"/>
    </row>
    <row r="679" ht="15.75" customHeight="1">
      <c r="A679" s="261"/>
      <c r="B679" s="171"/>
      <c r="C679" s="172"/>
      <c r="D679" s="172"/>
      <c r="E679" s="340"/>
      <c r="F679" s="340"/>
      <c r="G679" s="327"/>
      <c r="H679" s="223"/>
      <c r="I679" s="164"/>
      <c r="J679" s="162"/>
      <c r="K679" s="129"/>
      <c r="L679" s="79"/>
      <c r="M679" s="79"/>
      <c r="N679" s="79"/>
    </row>
    <row r="680" ht="15.75" customHeight="1">
      <c r="A680" s="261"/>
      <c r="B680" s="171"/>
      <c r="C680" s="172"/>
      <c r="D680" s="172"/>
      <c r="E680" s="340"/>
      <c r="F680" s="340"/>
      <c r="G680" s="327"/>
      <c r="H680" s="223"/>
      <c r="I680" s="164"/>
      <c r="J680" s="162"/>
      <c r="K680" s="129"/>
      <c r="L680" s="79"/>
      <c r="M680" s="79"/>
      <c r="N680" s="79"/>
    </row>
    <row r="681" ht="15.75" customHeight="1">
      <c r="A681" s="261"/>
      <c r="B681" s="171"/>
      <c r="C681" s="172"/>
      <c r="D681" s="172"/>
      <c r="E681" s="340"/>
      <c r="F681" s="340"/>
      <c r="G681" s="327"/>
      <c r="H681" s="223"/>
      <c r="I681" s="164"/>
      <c r="J681" s="162"/>
      <c r="K681" s="129"/>
      <c r="L681" s="79"/>
      <c r="M681" s="79"/>
      <c r="N681" s="79"/>
    </row>
    <row r="682" ht="15.75" customHeight="1">
      <c r="A682" s="261"/>
      <c r="B682" s="171"/>
      <c r="C682" s="172"/>
      <c r="D682" s="172"/>
      <c r="E682" s="340"/>
      <c r="F682" s="340"/>
      <c r="G682" s="327"/>
      <c r="H682" s="223"/>
      <c r="I682" s="164"/>
      <c r="J682" s="162"/>
      <c r="K682" s="129"/>
      <c r="L682" s="79"/>
      <c r="M682" s="79"/>
      <c r="N682" s="79"/>
    </row>
    <row r="683" ht="15.75" customHeight="1">
      <c r="A683" s="261"/>
      <c r="B683" s="171"/>
      <c r="C683" s="172"/>
      <c r="D683" s="172"/>
      <c r="E683" s="340"/>
      <c r="F683" s="340"/>
      <c r="G683" s="327"/>
      <c r="H683" s="223"/>
      <c r="I683" s="164"/>
      <c r="J683" s="162"/>
      <c r="K683" s="129"/>
      <c r="L683" s="79"/>
      <c r="M683" s="79"/>
      <c r="N683" s="79"/>
    </row>
    <row r="684" ht="15.75" customHeight="1">
      <c r="A684" s="261"/>
      <c r="B684" s="171"/>
      <c r="C684" s="172"/>
      <c r="D684" s="172"/>
      <c r="E684" s="340"/>
      <c r="F684" s="340"/>
      <c r="G684" s="327"/>
      <c r="H684" s="223"/>
      <c r="I684" s="164"/>
      <c r="J684" s="162"/>
      <c r="K684" s="129"/>
      <c r="L684" s="79"/>
      <c r="M684" s="79"/>
      <c r="N684" s="79"/>
    </row>
    <row r="685" ht="15.75" customHeight="1">
      <c r="A685" s="261"/>
      <c r="B685" s="171"/>
      <c r="C685" s="172"/>
      <c r="D685" s="172"/>
      <c r="E685" s="340"/>
      <c r="F685" s="340"/>
      <c r="G685" s="327"/>
      <c r="H685" s="223"/>
      <c r="I685" s="164"/>
      <c r="J685" s="162"/>
      <c r="K685" s="129"/>
      <c r="L685" s="79"/>
      <c r="M685" s="79"/>
      <c r="N685" s="79"/>
    </row>
    <row r="686" ht="15.75" customHeight="1">
      <c r="A686" s="261"/>
      <c r="B686" s="171"/>
      <c r="C686" s="172"/>
      <c r="D686" s="172"/>
      <c r="E686" s="340"/>
      <c r="F686" s="340"/>
      <c r="G686" s="327"/>
      <c r="H686" s="223"/>
      <c r="I686" s="164"/>
      <c r="J686" s="162"/>
      <c r="K686" s="129"/>
      <c r="L686" s="79"/>
      <c r="M686" s="79"/>
      <c r="N686" s="79"/>
    </row>
    <row r="687" ht="15.75" customHeight="1">
      <c r="A687" s="261"/>
      <c r="B687" s="171"/>
      <c r="C687" s="172"/>
      <c r="D687" s="172"/>
      <c r="E687" s="340"/>
      <c r="F687" s="340"/>
      <c r="G687" s="327"/>
      <c r="H687" s="223"/>
      <c r="I687" s="164"/>
      <c r="J687" s="162"/>
      <c r="K687" s="129"/>
      <c r="L687" s="79"/>
      <c r="M687" s="79"/>
      <c r="N687" s="79"/>
    </row>
    <row r="688" ht="15.75" customHeight="1">
      <c r="A688" s="261"/>
      <c r="B688" s="171"/>
      <c r="C688" s="172"/>
      <c r="D688" s="172"/>
      <c r="E688" s="340"/>
      <c r="F688" s="340"/>
      <c r="G688" s="327"/>
      <c r="H688" s="223"/>
      <c r="I688" s="164"/>
      <c r="J688" s="162"/>
      <c r="K688" s="129"/>
      <c r="L688" s="79"/>
      <c r="M688" s="79"/>
      <c r="N688" s="79"/>
    </row>
    <row r="689" ht="15.75" customHeight="1">
      <c r="A689" s="261"/>
      <c r="B689" s="171"/>
      <c r="C689" s="172"/>
      <c r="D689" s="172"/>
      <c r="E689" s="340"/>
      <c r="F689" s="340"/>
      <c r="G689" s="327"/>
      <c r="H689" s="223"/>
      <c r="I689" s="164"/>
      <c r="J689" s="162"/>
      <c r="K689" s="129"/>
      <c r="L689" s="79"/>
      <c r="M689" s="79"/>
      <c r="N689" s="79"/>
    </row>
    <row r="690" ht="15.75" customHeight="1">
      <c r="A690" s="261"/>
      <c r="B690" s="171"/>
      <c r="C690" s="172"/>
      <c r="D690" s="172"/>
      <c r="E690" s="340"/>
      <c r="F690" s="340"/>
      <c r="G690" s="327"/>
      <c r="H690" s="223"/>
      <c r="I690" s="164"/>
      <c r="J690" s="162"/>
      <c r="K690" s="129"/>
      <c r="L690" s="79"/>
      <c r="M690" s="79"/>
      <c r="N690" s="79"/>
    </row>
    <row r="691" ht="15.75" customHeight="1">
      <c r="A691" s="261"/>
      <c r="B691" s="171"/>
      <c r="C691" s="172"/>
      <c r="D691" s="172"/>
      <c r="E691" s="340"/>
      <c r="F691" s="340"/>
      <c r="G691" s="327"/>
      <c r="H691" s="223"/>
      <c r="I691" s="164"/>
      <c r="J691" s="162"/>
      <c r="K691" s="129"/>
      <c r="L691" s="79"/>
      <c r="M691" s="79"/>
      <c r="N691" s="79"/>
    </row>
    <row r="692" ht="15.75" customHeight="1">
      <c r="A692" s="261"/>
      <c r="B692" s="171"/>
      <c r="C692" s="172"/>
      <c r="D692" s="172"/>
      <c r="E692" s="340"/>
      <c r="F692" s="340"/>
      <c r="G692" s="327"/>
      <c r="H692" s="223"/>
      <c r="I692" s="164"/>
      <c r="J692" s="162"/>
      <c r="K692" s="129"/>
      <c r="L692" s="79"/>
      <c r="M692" s="79"/>
      <c r="N692" s="79"/>
    </row>
    <row r="693" ht="15.75" customHeight="1">
      <c r="A693" s="261"/>
      <c r="B693" s="171"/>
      <c r="C693" s="172"/>
      <c r="D693" s="172"/>
      <c r="E693" s="340"/>
      <c r="F693" s="340"/>
      <c r="G693" s="327"/>
      <c r="H693" s="223"/>
      <c r="I693" s="164"/>
      <c r="J693" s="162"/>
      <c r="K693" s="129"/>
      <c r="L693" s="79"/>
      <c r="M693" s="79"/>
      <c r="N693" s="79"/>
    </row>
    <row r="694" ht="15.75" customHeight="1">
      <c r="A694" s="261"/>
      <c r="B694" s="171"/>
      <c r="C694" s="172"/>
      <c r="D694" s="172"/>
      <c r="E694" s="340"/>
      <c r="F694" s="340"/>
      <c r="G694" s="327"/>
      <c r="H694" s="223"/>
      <c r="I694" s="164"/>
      <c r="J694" s="162"/>
      <c r="K694" s="129"/>
      <c r="L694" s="79"/>
      <c r="M694" s="79"/>
      <c r="N694" s="79"/>
    </row>
    <row r="695" ht="15.75" customHeight="1">
      <c r="A695" s="261"/>
      <c r="B695" s="171"/>
      <c r="C695" s="172"/>
      <c r="D695" s="172"/>
      <c r="E695" s="340"/>
      <c r="F695" s="340"/>
      <c r="G695" s="327"/>
      <c r="H695" s="223"/>
      <c r="I695" s="164"/>
      <c r="J695" s="162"/>
      <c r="K695" s="129"/>
      <c r="L695" s="79"/>
      <c r="M695" s="79"/>
      <c r="N695" s="79"/>
    </row>
    <row r="696" ht="15.75" customHeight="1">
      <c r="A696" s="261"/>
      <c r="B696" s="171"/>
      <c r="C696" s="172"/>
      <c r="D696" s="172"/>
      <c r="E696" s="340"/>
      <c r="F696" s="340"/>
      <c r="G696" s="327"/>
      <c r="H696" s="223"/>
      <c r="I696" s="164"/>
      <c r="J696" s="162"/>
      <c r="K696" s="129"/>
      <c r="L696" s="79"/>
      <c r="M696" s="79"/>
      <c r="N696" s="79"/>
    </row>
    <row r="697" ht="15.75" customHeight="1">
      <c r="A697" s="261"/>
      <c r="B697" s="171"/>
      <c r="C697" s="172"/>
      <c r="D697" s="172"/>
      <c r="E697" s="340"/>
      <c r="F697" s="340"/>
      <c r="G697" s="327"/>
      <c r="H697" s="223"/>
      <c r="I697" s="164"/>
      <c r="J697" s="162"/>
      <c r="K697" s="129"/>
      <c r="L697" s="79"/>
      <c r="M697" s="79"/>
      <c r="N697" s="79"/>
    </row>
    <row r="698" ht="15.75" customHeight="1">
      <c r="A698" s="261"/>
      <c r="B698" s="171"/>
      <c r="C698" s="172"/>
      <c r="D698" s="172"/>
      <c r="E698" s="340"/>
      <c r="F698" s="340"/>
      <c r="G698" s="327"/>
      <c r="H698" s="223"/>
      <c r="I698" s="164"/>
      <c r="J698" s="162"/>
      <c r="K698" s="129"/>
      <c r="L698" s="79"/>
      <c r="M698" s="79"/>
      <c r="N698" s="79"/>
    </row>
    <row r="699" ht="15.75" customHeight="1">
      <c r="A699" s="261"/>
      <c r="B699" s="171"/>
      <c r="C699" s="172"/>
      <c r="D699" s="172"/>
      <c r="E699" s="340"/>
      <c r="F699" s="340"/>
      <c r="G699" s="327"/>
      <c r="H699" s="223"/>
      <c r="I699" s="164"/>
      <c r="J699" s="162"/>
      <c r="K699" s="129"/>
      <c r="L699" s="79"/>
      <c r="M699" s="79"/>
      <c r="N699" s="79"/>
    </row>
    <row r="700" ht="15.75" customHeight="1">
      <c r="A700" s="261"/>
      <c r="B700" s="171"/>
      <c r="C700" s="172"/>
      <c r="D700" s="172"/>
      <c r="E700" s="340"/>
      <c r="F700" s="340"/>
      <c r="G700" s="327"/>
      <c r="H700" s="223"/>
      <c r="I700" s="164"/>
      <c r="J700" s="162"/>
      <c r="K700" s="129"/>
      <c r="L700" s="79"/>
      <c r="M700" s="79"/>
      <c r="N700" s="79"/>
    </row>
    <row r="701" ht="15.75" customHeight="1">
      <c r="A701" s="261"/>
      <c r="B701" s="171"/>
      <c r="C701" s="172"/>
      <c r="D701" s="172"/>
      <c r="E701" s="340"/>
      <c r="F701" s="340"/>
      <c r="G701" s="327"/>
      <c r="H701" s="223"/>
      <c r="I701" s="164"/>
      <c r="J701" s="162"/>
      <c r="K701" s="129"/>
      <c r="L701" s="79"/>
      <c r="M701" s="79"/>
      <c r="N701" s="79"/>
    </row>
    <row r="702" ht="15.75" customHeight="1">
      <c r="A702" s="261"/>
      <c r="B702" s="171"/>
      <c r="C702" s="172"/>
      <c r="D702" s="172"/>
      <c r="E702" s="340"/>
      <c r="F702" s="340"/>
      <c r="G702" s="327"/>
      <c r="H702" s="223"/>
      <c r="I702" s="164"/>
      <c r="J702" s="162"/>
      <c r="K702" s="129"/>
      <c r="L702" s="79"/>
      <c r="M702" s="79"/>
      <c r="N702" s="79"/>
    </row>
    <row r="703" ht="15.75" customHeight="1">
      <c r="A703" s="261"/>
      <c r="B703" s="171"/>
      <c r="C703" s="172"/>
      <c r="D703" s="172"/>
      <c r="E703" s="340"/>
      <c r="F703" s="340"/>
      <c r="G703" s="327"/>
      <c r="H703" s="223"/>
      <c r="I703" s="164"/>
      <c r="J703" s="162"/>
      <c r="K703" s="129"/>
      <c r="L703" s="79"/>
      <c r="M703" s="79"/>
      <c r="N703" s="79"/>
    </row>
    <row r="704" ht="15.75" customHeight="1">
      <c r="A704" s="261"/>
      <c r="B704" s="171"/>
      <c r="C704" s="172"/>
      <c r="D704" s="172"/>
      <c r="E704" s="340"/>
      <c r="F704" s="340"/>
      <c r="G704" s="327"/>
      <c r="H704" s="223"/>
      <c r="I704" s="164"/>
      <c r="J704" s="162"/>
      <c r="K704" s="129"/>
      <c r="L704" s="79"/>
      <c r="M704" s="79"/>
      <c r="N704" s="79"/>
    </row>
    <row r="705" ht="15.75" customHeight="1">
      <c r="A705" s="261"/>
      <c r="B705" s="171"/>
      <c r="C705" s="172"/>
      <c r="D705" s="172"/>
      <c r="E705" s="340"/>
      <c r="F705" s="340"/>
      <c r="G705" s="327"/>
      <c r="H705" s="223"/>
      <c r="I705" s="164"/>
      <c r="J705" s="162"/>
      <c r="K705" s="129"/>
      <c r="L705" s="79"/>
      <c r="M705" s="79"/>
      <c r="N705" s="79"/>
    </row>
    <row r="706" ht="15.75" customHeight="1">
      <c r="A706" s="261"/>
      <c r="B706" s="171"/>
      <c r="C706" s="172"/>
      <c r="D706" s="172"/>
      <c r="E706" s="340"/>
      <c r="F706" s="340"/>
      <c r="G706" s="327"/>
      <c r="H706" s="223"/>
      <c r="I706" s="164"/>
      <c r="J706" s="162"/>
      <c r="K706" s="129"/>
      <c r="L706" s="79"/>
      <c r="M706" s="79"/>
      <c r="N706" s="79"/>
    </row>
    <row r="707" ht="15.75" customHeight="1">
      <c r="A707" s="261"/>
      <c r="B707" s="171"/>
      <c r="C707" s="172"/>
      <c r="D707" s="172"/>
      <c r="E707" s="340"/>
      <c r="F707" s="340"/>
      <c r="G707" s="327"/>
      <c r="H707" s="223"/>
      <c r="I707" s="164"/>
      <c r="J707" s="162"/>
      <c r="K707" s="129"/>
      <c r="L707" s="79"/>
      <c r="M707" s="79"/>
      <c r="N707" s="79"/>
    </row>
    <row r="708" ht="15.75" customHeight="1">
      <c r="A708" s="261"/>
      <c r="B708" s="171"/>
      <c r="C708" s="172"/>
      <c r="D708" s="172"/>
      <c r="E708" s="340"/>
      <c r="F708" s="340"/>
      <c r="G708" s="327"/>
      <c r="H708" s="223"/>
      <c r="I708" s="164"/>
      <c r="J708" s="162"/>
      <c r="K708" s="129"/>
      <c r="L708" s="79"/>
      <c r="M708" s="79"/>
      <c r="N708" s="79"/>
    </row>
    <row r="709" ht="15.75" customHeight="1">
      <c r="A709" s="261"/>
      <c r="B709" s="171"/>
      <c r="C709" s="172"/>
      <c r="D709" s="172"/>
      <c r="E709" s="340"/>
      <c r="F709" s="340"/>
      <c r="G709" s="327"/>
      <c r="H709" s="223"/>
      <c r="I709" s="164"/>
      <c r="J709" s="162"/>
      <c r="K709" s="129"/>
      <c r="L709" s="79"/>
      <c r="M709" s="79"/>
      <c r="N709" s="79"/>
    </row>
    <row r="710" ht="15.75" customHeight="1">
      <c r="A710" s="261"/>
      <c r="B710" s="171"/>
      <c r="C710" s="172"/>
      <c r="D710" s="172"/>
      <c r="E710" s="340"/>
      <c r="F710" s="340"/>
      <c r="G710" s="327"/>
      <c r="H710" s="223"/>
      <c r="I710" s="164"/>
      <c r="J710" s="162"/>
      <c r="K710" s="129"/>
      <c r="L710" s="79"/>
      <c r="M710" s="79"/>
      <c r="N710" s="79"/>
    </row>
    <row r="711" ht="15.75" customHeight="1">
      <c r="A711" s="261"/>
      <c r="B711" s="171"/>
      <c r="C711" s="172"/>
      <c r="D711" s="172"/>
      <c r="E711" s="340"/>
      <c r="F711" s="340"/>
      <c r="G711" s="327"/>
      <c r="H711" s="223"/>
      <c r="I711" s="164"/>
      <c r="J711" s="162"/>
      <c r="K711" s="129"/>
      <c r="L711" s="79"/>
      <c r="M711" s="79"/>
      <c r="N711" s="79"/>
    </row>
    <row r="712" ht="15.75" customHeight="1">
      <c r="A712" s="261"/>
      <c r="B712" s="171"/>
      <c r="C712" s="172"/>
      <c r="D712" s="172"/>
      <c r="E712" s="340"/>
      <c r="F712" s="340"/>
      <c r="G712" s="327"/>
      <c r="H712" s="223"/>
      <c r="I712" s="164"/>
      <c r="J712" s="162"/>
      <c r="K712" s="129"/>
      <c r="L712" s="79"/>
      <c r="M712" s="79"/>
      <c r="N712" s="79"/>
    </row>
    <row r="713" ht="15.75" customHeight="1">
      <c r="A713" s="261"/>
      <c r="B713" s="171"/>
      <c r="C713" s="172"/>
      <c r="D713" s="172"/>
      <c r="E713" s="340"/>
      <c r="F713" s="340"/>
      <c r="G713" s="327"/>
      <c r="H713" s="223"/>
      <c r="I713" s="164"/>
      <c r="J713" s="162"/>
      <c r="K713" s="129"/>
      <c r="L713" s="79"/>
      <c r="M713" s="79"/>
      <c r="N713" s="79"/>
    </row>
    <row r="714" ht="15.75" customHeight="1">
      <c r="A714" s="261"/>
      <c r="B714" s="171"/>
      <c r="C714" s="172"/>
      <c r="D714" s="172"/>
      <c r="E714" s="340"/>
      <c r="F714" s="340"/>
      <c r="G714" s="327"/>
      <c r="H714" s="223"/>
      <c r="I714" s="164"/>
      <c r="J714" s="162"/>
      <c r="K714" s="129"/>
      <c r="L714" s="79"/>
      <c r="M714" s="79"/>
      <c r="N714" s="79"/>
    </row>
    <row r="715" ht="15.75" customHeight="1">
      <c r="A715" s="261"/>
      <c r="B715" s="171"/>
      <c r="C715" s="172"/>
      <c r="D715" s="172"/>
      <c r="E715" s="340"/>
      <c r="F715" s="340"/>
      <c r="G715" s="327"/>
      <c r="H715" s="223"/>
      <c r="I715" s="164"/>
      <c r="J715" s="162"/>
      <c r="K715" s="129"/>
      <c r="L715" s="79"/>
      <c r="M715" s="79"/>
      <c r="N715" s="79"/>
    </row>
    <row r="716" ht="15.75" customHeight="1">
      <c r="A716" s="261"/>
      <c r="B716" s="171"/>
      <c r="C716" s="172"/>
      <c r="D716" s="172"/>
      <c r="E716" s="340"/>
      <c r="F716" s="340"/>
      <c r="G716" s="327"/>
      <c r="H716" s="223"/>
      <c r="I716" s="164"/>
      <c r="J716" s="162"/>
      <c r="K716" s="129"/>
      <c r="L716" s="79"/>
      <c r="M716" s="79"/>
      <c r="N716" s="79"/>
    </row>
    <row r="717" ht="15.75" customHeight="1">
      <c r="A717" s="261"/>
      <c r="B717" s="171"/>
      <c r="C717" s="172"/>
      <c r="D717" s="172"/>
      <c r="E717" s="340"/>
      <c r="F717" s="340"/>
      <c r="G717" s="327"/>
      <c r="H717" s="223"/>
      <c r="I717" s="164"/>
      <c r="J717" s="162"/>
      <c r="K717" s="129"/>
      <c r="L717" s="79"/>
      <c r="M717" s="79"/>
      <c r="N717" s="79"/>
    </row>
    <row r="718" ht="15.75" customHeight="1">
      <c r="A718" s="261"/>
      <c r="B718" s="171"/>
      <c r="C718" s="172"/>
      <c r="D718" s="172"/>
      <c r="E718" s="340"/>
      <c r="F718" s="340"/>
      <c r="G718" s="327"/>
      <c r="H718" s="223"/>
      <c r="I718" s="164"/>
      <c r="J718" s="162"/>
      <c r="K718" s="129"/>
      <c r="L718" s="79"/>
      <c r="M718" s="79"/>
      <c r="N718" s="79"/>
    </row>
    <row r="719" ht="15.75" customHeight="1">
      <c r="A719" s="261"/>
      <c r="B719" s="171"/>
      <c r="C719" s="172"/>
      <c r="D719" s="172"/>
      <c r="E719" s="340"/>
      <c r="F719" s="340"/>
      <c r="G719" s="327"/>
      <c r="H719" s="223"/>
      <c r="I719" s="164"/>
      <c r="J719" s="162"/>
      <c r="K719" s="129"/>
      <c r="L719" s="79"/>
      <c r="M719" s="79"/>
      <c r="N719" s="79"/>
    </row>
    <row r="720" ht="15.75" customHeight="1">
      <c r="A720" s="261"/>
      <c r="B720" s="171"/>
      <c r="C720" s="172"/>
      <c r="D720" s="172"/>
      <c r="E720" s="340"/>
      <c r="F720" s="340"/>
      <c r="G720" s="327"/>
      <c r="H720" s="223"/>
      <c r="I720" s="164"/>
      <c r="J720" s="162"/>
      <c r="K720" s="129"/>
      <c r="L720" s="79"/>
      <c r="M720" s="79"/>
      <c r="N720" s="79"/>
    </row>
    <row r="721" ht="15.75" customHeight="1">
      <c r="A721" s="261"/>
      <c r="B721" s="171"/>
      <c r="C721" s="172"/>
      <c r="D721" s="172"/>
      <c r="E721" s="340"/>
      <c r="F721" s="340"/>
      <c r="G721" s="327"/>
      <c r="H721" s="223"/>
      <c r="I721" s="164"/>
      <c r="J721" s="162"/>
      <c r="K721" s="129"/>
      <c r="L721" s="79"/>
      <c r="M721" s="79"/>
      <c r="N721" s="79"/>
    </row>
    <row r="722" ht="15.75" customHeight="1">
      <c r="A722" s="261"/>
      <c r="B722" s="171"/>
      <c r="C722" s="172"/>
      <c r="D722" s="172"/>
      <c r="E722" s="340"/>
      <c r="F722" s="340"/>
      <c r="G722" s="327"/>
      <c r="H722" s="223"/>
      <c r="I722" s="164"/>
      <c r="J722" s="162"/>
      <c r="K722" s="129"/>
      <c r="L722" s="79"/>
      <c r="M722" s="79"/>
      <c r="N722" s="79"/>
    </row>
    <row r="723" ht="15.75" customHeight="1">
      <c r="A723" s="261"/>
      <c r="B723" s="171"/>
      <c r="C723" s="172"/>
      <c r="D723" s="172"/>
      <c r="E723" s="340"/>
      <c r="F723" s="340"/>
      <c r="G723" s="327"/>
      <c r="H723" s="223"/>
      <c r="I723" s="164"/>
      <c r="J723" s="162"/>
      <c r="K723" s="129"/>
      <c r="L723" s="79"/>
      <c r="M723" s="79"/>
      <c r="N723" s="79"/>
    </row>
    <row r="724" ht="15.75" customHeight="1">
      <c r="A724" s="261"/>
      <c r="B724" s="171"/>
      <c r="C724" s="172"/>
      <c r="D724" s="172"/>
      <c r="E724" s="340"/>
      <c r="F724" s="340"/>
      <c r="G724" s="327"/>
      <c r="H724" s="223"/>
      <c r="I724" s="164"/>
      <c r="J724" s="162"/>
      <c r="K724" s="129"/>
      <c r="L724" s="79"/>
      <c r="M724" s="79"/>
      <c r="N724" s="79"/>
    </row>
    <row r="725" ht="15.75" customHeight="1">
      <c r="A725" s="261"/>
      <c r="B725" s="171"/>
      <c r="C725" s="172"/>
      <c r="D725" s="172"/>
      <c r="E725" s="340"/>
      <c r="F725" s="340"/>
      <c r="G725" s="327"/>
      <c r="H725" s="223"/>
      <c r="I725" s="164"/>
      <c r="J725" s="162"/>
      <c r="K725" s="129"/>
      <c r="L725" s="79"/>
      <c r="M725" s="79"/>
      <c r="N725" s="79"/>
    </row>
    <row r="726" ht="15.75" customHeight="1">
      <c r="A726" s="261"/>
      <c r="B726" s="171"/>
      <c r="C726" s="172"/>
      <c r="D726" s="172"/>
      <c r="E726" s="340"/>
      <c r="F726" s="340"/>
      <c r="G726" s="327"/>
      <c r="H726" s="223"/>
      <c r="I726" s="164"/>
      <c r="J726" s="162"/>
      <c r="K726" s="129"/>
      <c r="L726" s="79"/>
      <c r="M726" s="79"/>
      <c r="N726" s="79"/>
    </row>
    <row r="727" ht="15.75" customHeight="1">
      <c r="A727" s="261"/>
      <c r="B727" s="171"/>
      <c r="C727" s="172"/>
      <c r="D727" s="172"/>
      <c r="E727" s="340"/>
      <c r="F727" s="340"/>
      <c r="G727" s="327"/>
      <c r="H727" s="223"/>
      <c r="I727" s="164"/>
      <c r="J727" s="162"/>
      <c r="K727" s="129"/>
      <c r="L727" s="79"/>
      <c r="M727" s="79"/>
      <c r="N727" s="79"/>
    </row>
    <row r="728" ht="15.75" customHeight="1">
      <c r="A728" s="261"/>
      <c r="B728" s="171"/>
      <c r="C728" s="172"/>
      <c r="D728" s="172"/>
      <c r="E728" s="340"/>
      <c r="F728" s="340"/>
      <c r="G728" s="327"/>
      <c r="H728" s="223"/>
      <c r="I728" s="164"/>
      <c r="J728" s="162"/>
      <c r="K728" s="129"/>
      <c r="L728" s="79"/>
      <c r="M728" s="79"/>
      <c r="N728" s="79"/>
    </row>
    <row r="729" ht="15.75" customHeight="1">
      <c r="A729" s="261"/>
      <c r="B729" s="171"/>
      <c r="C729" s="172"/>
      <c r="D729" s="172"/>
      <c r="E729" s="340"/>
      <c r="F729" s="340"/>
      <c r="G729" s="327"/>
      <c r="H729" s="223"/>
      <c r="I729" s="164"/>
      <c r="J729" s="162"/>
      <c r="K729" s="129"/>
      <c r="L729" s="79"/>
      <c r="M729" s="79"/>
      <c r="N729" s="79"/>
    </row>
    <row r="730" ht="15.75" customHeight="1">
      <c r="A730" s="261"/>
      <c r="B730" s="171"/>
      <c r="C730" s="172"/>
      <c r="D730" s="172"/>
      <c r="E730" s="340"/>
      <c r="F730" s="340"/>
      <c r="G730" s="327"/>
      <c r="H730" s="223"/>
      <c r="I730" s="164"/>
      <c r="J730" s="162"/>
      <c r="K730" s="129"/>
      <c r="L730" s="79"/>
      <c r="M730" s="79"/>
      <c r="N730" s="79"/>
    </row>
    <row r="731" ht="15.75" customHeight="1">
      <c r="A731" s="261"/>
      <c r="B731" s="171"/>
      <c r="C731" s="172"/>
      <c r="D731" s="172"/>
      <c r="E731" s="340"/>
      <c r="F731" s="340"/>
      <c r="G731" s="327"/>
      <c r="H731" s="223"/>
      <c r="I731" s="164"/>
      <c r="J731" s="162"/>
      <c r="K731" s="129"/>
      <c r="L731" s="79"/>
      <c r="M731" s="79"/>
      <c r="N731" s="79"/>
    </row>
    <row r="732" ht="15.75" customHeight="1">
      <c r="A732" s="261"/>
      <c r="B732" s="171"/>
      <c r="C732" s="172"/>
      <c r="D732" s="172"/>
      <c r="E732" s="340"/>
      <c r="F732" s="340"/>
      <c r="G732" s="327"/>
      <c r="H732" s="223"/>
      <c r="I732" s="164"/>
      <c r="J732" s="162"/>
      <c r="K732" s="129"/>
      <c r="L732" s="79"/>
      <c r="M732" s="79"/>
      <c r="N732" s="79"/>
    </row>
    <row r="733" ht="15.75" customHeight="1">
      <c r="A733" s="261"/>
      <c r="B733" s="171"/>
      <c r="C733" s="172"/>
      <c r="D733" s="172"/>
      <c r="E733" s="340"/>
      <c r="F733" s="340"/>
      <c r="G733" s="327"/>
      <c r="H733" s="223"/>
      <c r="I733" s="164"/>
      <c r="J733" s="162"/>
      <c r="K733" s="129"/>
      <c r="L733" s="79"/>
      <c r="M733" s="79"/>
      <c r="N733" s="79"/>
    </row>
    <row r="734" ht="15.75" customHeight="1">
      <c r="A734" s="261"/>
      <c r="B734" s="171"/>
      <c r="C734" s="172"/>
      <c r="D734" s="172"/>
      <c r="E734" s="340"/>
      <c r="F734" s="340"/>
      <c r="G734" s="327"/>
      <c r="H734" s="223"/>
      <c r="I734" s="164"/>
      <c r="J734" s="162"/>
      <c r="K734" s="129"/>
      <c r="L734" s="79"/>
      <c r="M734" s="79"/>
      <c r="N734" s="79"/>
    </row>
    <row r="735" ht="15.75" customHeight="1">
      <c r="A735" s="261"/>
      <c r="B735" s="171"/>
      <c r="C735" s="172"/>
      <c r="D735" s="172"/>
      <c r="E735" s="340"/>
      <c r="F735" s="340"/>
      <c r="G735" s="327"/>
      <c r="H735" s="223"/>
      <c r="I735" s="164"/>
      <c r="J735" s="162"/>
      <c r="K735" s="129"/>
      <c r="L735" s="79"/>
      <c r="M735" s="79"/>
      <c r="N735" s="79"/>
    </row>
    <row r="736" ht="15.75" customHeight="1">
      <c r="A736" s="261"/>
      <c r="B736" s="171"/>
      <c r="C736" s="172"/>
      <c r="D736" s="172"/>
      <c r="E736" s="340"/>
      <c r="F736" s="340"/>
      <c r="G736" s="327"/>
      <c r="H736" s="223"/>
      <c r="I736" s="164"/>
      <c r="J736" s="162"/>
      <c r="K736" s="129"/>
      <c r="L736" s="79"/>
      <c r="M736" s="79"/>
      <c r="N736" s="79"/>
    </row>
    <row r="737" ht="15.75" customHeight="1">
      <c r="A737" s="261"/>
      <c r="B737" s="171"/>
      <c r="C737" s="172"/>
      <c r="D737" s="172"/>
      <c r="E737" s="340"/>
      <c r="F737" s="340"/>
      <c r="G737" s="327"/>
      <c r="H737" s="223"/>
      <c r="I737" s="164"/>
      <c r="J737" s="162"/>
      <c r="K737" s="129"/>
      <c r="L737" s="79"/>
      <c r="M737" s="79"/>
      <c r="N737" s="79"/>
    </row>
    <row r="738" ht="15.75" customHeight="1">
      <c r="A738" s="261"/>
      <c r="B738" s="171"/>
      <c r="C738" s="172"/>
      <c r="D738" s="172"/>
      <c r="E738" s="340"/>
      <c r="F738" s="340"/>
      <c r="G738" s="327"/>
      <c r="H738" s="223"/>
      <c r="I738" s="164"/>
      <c r="J738" s="162"/>
      <c r="K738" s="129"/>
      <c r="L738" s="79"/>
      <c r="M738" s="79"/>
      <c r="N738" s="79"/>
    </row>
    <row r="739" ht="15.75" customHeight="1">
      <c r="A739" s="261"/>
      <c r="B739" s="171"/>
      <c r="C739" s="172"/>
      <c r="D739" s="172"/>
      <c r="E739" s="340"/>
      <c r="F739" s="340"/>
      <c r="G739" s="327"/>
      <c r="H739" s="223"/>
      <c r="I739" s="164"/>
      <c r="J739" s="162"/>
      <c r="K739" s="129"/>
      <c r="L739" s="79"/>
      <c r="M739" s="79"/>
      <c r="N739" s="79"/>
    </row>
    <row r="740" ht="15.75" customHeight="1">
      <c r="A740" s="261"/>
      <c r="B740" s="171"/>
      <c r="C740" s="172"/>
      <c r="D740" s="172"/>
      <c r="E740" s="340"/>
      <c r="F740" s="340"/>
      <c r="G740" s="327"/>
      <c r="H740" s="223"/>
      <c r="I740" s="164"/>
      <c r="J740" s="162"/>
      <c r="K740" s="129"/>
      <c r="L740" s="79"/>
      <c r="M740" s="79"/>
      <c r="N740" s="79"/>
    </row>
    <row r="741" ht="15.75" customHeight="1">
      <c r="A741" s="261"/>
      <c r="B741" s="171"/>
      <c r="C741" s="172"/>
      <c r="D741" s="172"/>
      <c r="E741" s="340"/>
      <c r="F741" s="340"/>
      <c r="G741" s="327"/>
      <c r="H741" s="223"/>
      <c r="I741" s="164"/>
      <c r="J741" s="162"/>
      <c r="K741" s="129"/>
      <c r="L741" s="79"/>
      <c r="M741" s="79"/>
      <c r="N741" s="79"/>
    </row>
    <row r="742" ht="15.75" customHeight="1">
      <c r="A742" s="261"/>
      <c r="B742" s="171"/>
      <c r="C742" s="172"/>
      <c r="D742" s="172"/>
      <c r="E742" s="340"/>
      <c r="F742" s="340"/>
      <c r="G742" s="327"/>
      <c r="H742" s="223"/>
      <c r="I742" s="164"/>
      <c r="J742" s="162"/>
      <c r="K742" s="129"/>
      <c r="L742" s="79"/>
      <c r="M742" s="79"/>
      <c r="N742" s="79"/>
    </row>
    <row r="743" ht="15.75" customHeight="1">
      <c r="A743" s="261"/>
      <c r="B743" s="171"/>
      <c r="C743" s="172"/>
      <c r="D743" s="172"/>
      <c r="E743" s="340"/>
      <c r="F743" s="340"/>
      <c r="G743" s="327"/>
      <c r="H743" s="223"/>
      <c r="I743" s="164"/>
      <c r="J743" s="162"/>
      <c r="K743" s="129"/>
      <c r="L743" s="79"/>
      <c r="M743" s="79"/>
      <c r="N743" s="79"/>
    </row>
    <row r="744" ht="15.75" customHeight="1">
      <c r="A744" s="261"/>
      <c r="B744" s="171"/>
      <c r="C744" s="172"/>
      <c r="D744" s="172"/>
      <c r="E744" s="340"/>
      <c r="F744" s="340"/>
      <c r="G744" s="327"/>
      <c r="H744" s="223"/>
      <c r="I744" s="164"/>
      <c r="J744" s="162"/>
      <c r="K744" s="129"/>
      <c r="L744" s="79"/>
      <c r="M744" s="79"/>
      <c r="N744" s="79"/>
    </row>
    <row r="745" ht="15.75" customHeight="1">
      <c r="A745" s="261"/>
      <c r="B745" s="171"/>
      <c r="C745" s="172"/>
      <c r="D745" s="172"/>
      <c r="E745" s="340"/>
      <c r="F745" s="340"/>
      <c r="G745" s="327"/>
      <c r="H745" s="223"/>
      <c r="I745" s="164"/>
      <c r="J745" s="162"/>
      <c r="K745" s="129"/>
      <c r="L745" s="79"/>
      <c r="M745" s="79"/>
      <c r="N745" s="79"/>
    </row>
    <row r="746" ht="15.75" customHeight="1">
      <c r="A746" s="261"/>
      <c r="B746" s="171"/>
      <c r="C746" s="172"/>
      <c r="D746" s="172"/>
      <c r="E746" s="340"/>
      <c r="F746" s="340"/>
      <c r="G746" s="327"/>
      <c r="H746" s="223"/>
      <c r="I746" s="164"/>
      <c r="J746" s="162"/>
      <c r="K746" s="129"/>
      <c r="L746" s="79"/>
      <c r="M746" s="79"/>
      <c r="N746" s="79"/>
    </row>
    <row r="747" ht="15.75" customHeight="1">
      <c r="A747" s="261"/>
      <c r="B747" s="171"/>
      <c r="C747" s="172"/>
      <c r="D747" s="172"/>
      <c r="E747" s="340"/>
      <c r="F747" s="340"/>
      <c r="G747" s="327"/>
      <c r="H747" s="223"/>
      <c r="I747" s="164"/>
      <c r="J747" s="162"/>
      <c r="K747" s="129"/>
      <c r="L747" s="79"/>
      <c r="M747" s="79"/>
      <c r="N747" s="79"/>
    </row>
    <row r="748" ht="15.75" customHeight="1">
      <c r="A748" s="261"/>
      <c r="B748" s="171"/>
      <c r="C748" s="172"/>
      <c r="D748" s="172"/>
      <c r="E748" s="340"/>
      <c r="F748" s="340"/>
      <c r="G748" s="327"/>
      <c r="H748" s="223"/>
      <c r="I748" s="164"/>
      <c r="J748" s="162"/>
      <c r="K748" s="129"/>
      <c r="L748" s="79"/>
      <c r="M748" s="79"/>
      <c r="N748" s="79"/>
    </row>
    <row r="749" ht="15.75" customHeight="1">
      <c r="A749" s="261"/>
      <c r="B749" s="171"/>
      <c r="C749" s="172"/>
      <c r="D749" s="172"/>
      <c r="E749" s="340"/>
      <c r="F749" s="340"/>
      <c r="G749" s="327"/>
      <c r="H749" s="223"/>
      <c r="I749" s="164"/>
      <c r="J749" s="162"/>
      <c r="K749" s="129"/>
      <c r="L749" s="79"/>
      <c r="M749" s="79"/>
      <c r="N749" s="79"/>
    </row>
    <row r="750" ht="15.75" customHeight="1">
      <c r="A750" s="261"/>
      <c r="B750" s="171"/>
      <c r="C750" s="172"/>
      <c r="D750" s="172"/>
      <c r="E750" s="340"/>
      <c r="F750" s="340"/>
      <c r="G750" s="327"/>
      <c r="H750" s="223"/>
      <c r="I750" s="164"/>
      <c r="J750" s="162"/>
      <c r="K750" s="129"/>
      <c r="L750" s="79"/>
      <c r="M750" s="79"/>
      <c r="N750" s="79"/>
    </row>
    <row r="751" ht="15.75" customHeight="1">
      <c r="A751" s="261"/>
      <c r="B751" s="171"/>
      <c r="C751" s="172"/>
      <c r="D751" s="172"/>
      <c r="E751" s="340"/>
      <c r="F751" s="340"/>
      <c r="G751" s="327"/>
      <c r="H751" s="223"/>
      <c r="I751" s="164"/>
      <c r="J751" s="162"/>
      <c r="K751" s="129"/>
      <c r="L751" s="79"/>
      <c r="M751" s="79"/>
      <c r="N751" s="79"/>
    </row>
    <row r="752" ht="15.75" customHeight="1">
      <c r="A752" s="261"/>
      <c r="B752" s="171"/>
      <c r="C752" s="172"/>
      <c r="D752" s="172"/>
      <c r="E752" s="340"/>
      <c r="F752" s="340"/>
      <c r="G752" s="327"/>
      <c r="H752" s="223"/>
      <c r="I752" s="164"/>
      <c r="J752" s="162"/>
      <c r="K752" s="129"/>
      <c r="L752" s="79"/>
      <c r="M752" s="79"/>
      <c r="N752" s="79"/>
    </row>
    <row r="753" ht="15.75" customHeight="1">
      <c r="A753" s="261"/>
      <c r="B753" s="171"/>
      <c r="C753" s="172"/>
      <c r="D753" s="172"/>
      <c r="E753" s="340"/>
      <c r="F753" s="340"/>
      <c r="G753" s="327"/>
      <c r="H753" s="223"/>
      <c r="I753" s="164"/>
      <c r="J753" s="162"/>
      <c r="K753" s="129"/>
      <c r="L753" s="79"/>
      <c r="M753" s="79"/>
      <c r="N753" s="79"/>
    </row>
    <row r="754" ht="15.75" customHeight="1">
      <c r="A754" s="261"/>
      <c r="B754" s="171"/>
      <c r="C754" s="172"/>
      <c r="D754" s="172"/>
      <c r="E754" s="340"/>
      <c r="F754" s="340"/>
      <c r="G754" s="327"/>
      <c r="H754" s="223"/>
      <c r="I754" s="164"/>
      <c r="J754" s="162"/>
      <c r="K754" s="129"/>
      <c r="L754" s="79"/>
      <c r="M754" s="79"/>
      <c r="N754" s="79"/>
    </row>
    <row r="755" ht="15.75" customHeight="1">
      <c r="A755" s="261"/>
      <c r="B755" s="171"/>
      <c r="C755" s="172"/>
      <c r="D755" s="172"/>
      <c r="E755" s="340"/>
      <c r="F755" s="340"/>
      <c r="G755" s="327"/>
      <c r="H755" s="223"/>
      <c r="I755" s="164"/>
      <c r="J755" s="162"/>
      <c r="K755" s="129"/>
      <c r="L755" s="79"/>
      <c r="M755" s="79"/>
      <c r="N755" s="79"/>
    </row>
    <row r="756" ht="15.75" customHeight="1">
      <c r="A756" s="261"/>
      <c r="B756" s="171"/>
      <c r="C756" s="172"/>
      <c r="D756" s="172"/>
      <c r="E756" s="340"/>
      <c r="F756" s="340"/>
      <c r="G756" s="327"/>
      <c r="H756" s="223"/>
      <c r="I756" s="164"/>
      <c r="J756" s="162"/>
      <c r="K756" s="129"/>
      <c r="L756" s="79"/>
      <c r="M756" s="79"/>
      <c r="N756" s="79"/>
    </row>
    <row r="757" ht="15.75" customHeight="1">
      <c r="A757" s="261"/>
      <c r="B757" s="171"/>
      <c r="C757" s="172"/>
      <c r="D757" s="172"/>
      <c r="E757" s="340"/>
      <c r="F757" s="340"/>
      <c r="G757" s="327"/>
      <c r="H757" s="223"/>
      <c r="I757" s="164"/>
      <c r="J757" s="162"/>
      <c r="K757" s="129"/>
      <c r="L757" s="79"/>
      <c r="M757" s="79"/>
      <c r="N757" s="79"/>
    </row>
    <row r="758" ht="15.75" customHeight="1">
      <c r="A758" s="261"/>
      <c r="B758" s="171"/>
      <c r="C758" s="172"/>
      <c r="D758" s="172"/>
      <c r="E758" s="340"/>
      <c r="F758" s="340"/>
      <c r="G758" s="327"/>
      <c r="H758" s="223"/>
      <c r="I758" s="164"/>
      <c r="J758" s="162"/>
      <c r="K758" s="129"/>
      <c r="L758" s="79"/>
      <c r="M758" s="79"/>
      <c r="N758" s="79"/>
    </row>
    <row r="759" ht="15.75" customHeight="1">
      <c r="A759" s="261"/>
      <c r="B759" s="171"/>
      <c r="C759" s="172"/>
      <c r="D759" s="172"/>
      <c r="E759" s="340"/>
      <c r="F759" s="340"/>
      <c r="G759" s="327"/>
      <c r="H759" s="223"/>
      <c r="I759" s="164"/>
      <c r="J759" s="162"/>
      <c r="K759" s="129"/>
      <c r="L759" s="79"/>
      <c r="M759" s="79"/>
      <c r="N759" s="79"/>
    </row>
    <row r="760" ht="15.75" customHeight="1">
      <c r="A760" s="261"/>
      <c r="B760" s="171"/>
      <c r="C760" s="172"/>
      <c r="D760" s="172"/>
      <c r="E760" s="340"/>
      <c r="F760" s="340"/>
      <c r="G760" s="327"/>
      <c r="H760" s="223"/>
      <c r="I760" s="164"/>
      <c r="J760" s="162"/>
      <c r="K760" s="129"/>
      <c r="L760" s="79"/>
      <c r="M760" s="79"/>
      <c r="N760" s="79"/>
    </row>
    <row r="761" ht="15.75" customHeight="1">
      <c r="A761" s="261"/>
      <c r="B761" s="171"/>
      <c r="C761" s="172"/>
      <c r="D761" s="172"/>
      <c r="E761" s="340"/>
      <c r="F761" s="340"/>
      <c r="G761" s="327"/>
      <c r="H761" s="223"/>
      <c r="I761" s="164"/>
      <c r="J761" s="162"/>
      <c r="K761" s="129"/>
      <c r="L761" s="79"/>
      <c r="M761" s="79"/>
      <c r="N761" s="79"/>
    </row>
    <row r="762" ht="15.75" customHeight="1">
      <c r="A762" s="261"/>
      <c r="B762" s="171"/>
      <c r="C762" s="172"/>
      <c r="D762" s="172"/>
      <c r="E762" s="340"/>
      <c r="F762" s="340"/>
      <c r="G762" s="327"/>
      <c r="H762" s="223"/>
      <c r="I762" s="164"/>
      <c r="J762" s="162"/>
      <c r="K762" s="129"/>
      <c r="L762" s="79"/>
      <c r="M762" s="79"/>
      <c r="N762" s="79"/>
    </row>
    <row r="763" ht="15.75" customHeight="1">
      <c r="A763" s="261"/>
      <c r="B763" s="171"/>
      <c r="C763" s="172"/>
      <c r="D763" s="172"/>
      <c r="E763" s="340"/>
      <c r="F763" s="340"/>
      <c r="G763" s="327"/>
      <c r="H763" s="223"/>
      <c r="I763" s="164"/>
      <c r="J763" s="162"/>
      <c r="K763" s="129"/>
      <c r="L763" s="79"/>
      <c r="M763" s="79"/>
      <c r="N763" s="79"/>
    </row>
    <row r="764" ht="15.75" customHeight="1">
      <c r="A764" s="261"/>
      <c r="B764" s="171"/>
      <c r="C764" s="172"/>
      <c r="D764" s="172"/>
      <c r="E764" s="340"/>
      <c r="F764" s="340"/>
      <c r="G764" s="327"/>
      <c r="H764" s="223"/>
      <c r="I764" s="164"/>
      <c r="J764" s="162"/>
      <c r="K764" s="129"/>
      <c r="L764" s="79"/>
      <c r="M764" s="79"/>
      <c r="N764" s="79"/>
    </row>
    <row r="765" ht="15.75" customHeight="1">
      <c r="A765" s="261"/>
      <c r="B765" s="171"/>
      <c r="C765" s="172"/>
      <c r="D765" s="172"/>
      <c r="E765" s="340"/>
      <c r="F765" s="340"/>
      <c r="G765" s="327"/>
      <c r="H765" s="223"/>
      <c r="I765" s="164"/>
      <c r="J765" s="162"/>
      <c r="K765" s="129"/>
      <c r="L765" s="79"/>
      <c r="M765" s="79"/>
      <c r="N765" s="79"/>
    </row>
    <row r="766" ht="15.75" customHeight="1">
      <c r="A766" s="261"/>
      <c r="B766" s="171"/>
      <c r="C766" s="172"/>
      <c r="D766" s="172"/>
      <c r="E766" s="340"/>
      <c r="F766" s="340"/>
      <c r="G766" s="327"/>
      <c r="H766" s="223"/>
      <c r="I766" s="164"/>
      <c r="J766" s="162"/>
      <c r="K766" s="129"/>
      <c r="L766" s="79"/>
      <c r="M766" s="79"/>
      <c r="N766" s="79"/>
    </row>
    <row r="767" ht="15.75" customHeight="1">
      <c r="A767" s="261"/>
      <c r="B767" s="171"/>
      <c r="C767" s="172"/>
      <c r="D767" s="172"/>
      <c r="E767" s="340"/>
      <c r="F767" s="340"/>
      <c r="G767" s="327"/>
      <c r="H767" s="223"/>
      <c r="I767" s="164"/>
      <c r="J767" s="162"/>
      <c r="K767" s="129"/>
      <c r="L767" s="79"/>
      <c r="M767" s="79"/>
      <c r="N767" s="79"/>
    </row>
    <row r="768" ht="15.75" customHeight="1">
      <c r="A768" s="261"/>
      <c r="B768" s="171"/>
      <c r="C768" s="172"/>
      <c r="D768" s="172"/>
      <c r="E768" s="340"/>
      <c r="F768" s="340"/>
      <c r="G768" s="327"/>
      <c r="H768" s="223"/>
      <c r="I768" s="164"/>
      <c r="J768" s="162"/>
      <c r="K768" s="129"/>
      <c r="L768" s="79"/>
      <c r="M768" s="79"/>
      <c r="N768" s="79"/>
    </row>
    <row r="769" ht="15.75" customHeight="1">
      <c r="A769" s="261"/>
      <c r="B769" s="171"/>
      <c r="C769" s="172"/>
      <c r="D769" s="172"/>
      <c r="E769" s="340"/>
      <c r="F769" s="340"/>
      <c r="G769" s="327"/>
      <c r="H769" s="223"/>
      <c r="I769" s="164"/>
      <c r="J769" s="162"/>
      <c r="K769" s="129"/>
      <c r="L769" s="79"/>
      <c r="M769" s="79"/>
      <c r="N769" s="79"/>
    </row>
    <row r="770" ht="15.75" customHeight="1">
      <c r="A770" s="261"/>
      <c r="B770" s="171"/>
      <c r="C770" s="172"/>
      <c r="D770" s="172"/>
      <c r="E770" s="340"/>
      <c r="F770" s="340"/>
      <c r="G770" s="327"/>
      <c r="H770" s="223"/>
      <c r="I770" s="164"/>
      <c r="J770" s="162"/>
      <c r="K770" s="129"/>
      <c r="L770" s="79"/>
      <c r="M770" s="79"/>
      <c r="N770" s="79"/>
    </row>
    <row r="771" ht="15.75" customHeight="1">
      <c r="A771" s="261"/>
      <c r="B771" s="171"/>
      <c r="C771" s="172"/>
      <c r="D771" s="172"/>
      <c r="E771" s="340"/>
      <c r="F771" s="340"/>
      <c r="G771" s="327"/>
      <c r="H771" s="223"/>
      <c r="I771" s="164"/>
      <c r="J771" s="162"/>
      <c r="K771" s="129"/>
      <c r="L771" s="79"/>
      <c r="M771" s="79"/>
      <c r="N771" s="79"/>
    </row>
    <row r="772" ht="15.75" customHeight="1">
      <c r="A772" s="261"/>
      <c r="B772" s="171"/>
      <c r="C772" s="172"/>
      <c r="D772" s="172"/>
      <c r="E772" s="340"/>
      <c r="F772" s="340"/>
      <c r="G772" s="327"/>
      <c r="H772" s="223"/>
      <c r="I772" s="164"/>
      <c r="J772" s="162"/>
      <c r="K772" s="129"/>
      <c r="L772" s="79"/>
      <c r="M772" s="79"/>
      <c r="N772" s="79"/>
    </row>
    <row r="773" ht="15.75" customHeight="1">
      <c r="A773" s="261"/>
      <c r="B773" s="171"/>
      <c r="C773" s="172"/>
      <c r="D773" s="172"/>
      <c r="E773" s="340"/>
      <c r="F773" s="340"/>
      <c r="G773" s="327"/>
      <c r="H773" s="223"/>
      <c r="I773" s="164"/>
      <c r="J773" s="162"/>
      <c r="K773" s="129"/>
      <c r="L773" s="79"/>
      <c r="M773" s="79"/>
      <c r="N773" s="79"/>
    </row>
    <row r="774" ht="15.75" customHeight="1">
      <c r="A774" s="261"/>
      <c r="B774" s="171"/>
      <c r="C774" s="172"/>
      <c r="D774" s="172"/>
      <c r="E774" s="340"/>
      <c r="F774" s="340"/>
      <c r="G774" s="327"/>
      <c r="H774" s="223"/>
      <c r="I774" s="164"/>
      <c r="J774" s="162"/>
      <c r="K774" s="129"/>
      <c r="L774" s="79"/>
      <c r="M774" s="79"/>
      <c r="N774" s="79"/>
    </row>
    <row r="775" ht="15.75" customHeight="1">
      <c r="A775" s="261"/>
      <c r="B775" s="171"/>
      <c r="C775" s="172"/>
      <c r="D775" s="172"/>
      <c r="E775" s="340"/>
      <c r="F775" s="340"/>
      <c r="G775" s="327"/>
      <c r="H775" s="223"/>
      <c r="I775" s="164"/>
      <c r="J775" s="162"/>
      <c r="K775" s="129"/>
      <c r="L775" s="79"/>
      <c r="M775" s="79"/>
      <c r="N775" s="79"/>
    </row>
    <row r="776" ht="15.75" customHeight="1">
      <c r="A776" s="261"/>
      <c r="B776" s="171"/>
      <c r="C776" s="172"/>
      <c r="D776" s="172"/>
      <c r="E776" s="340"/>
      <c r="F776" s="340"/>
      <c r="G776" s="327"/>
      <c r="H776" s="223"/>
      <c r="I776" s="164"/>
      <c r="J776" s="162"/>
      <c r="K776" s="129"/>
      <c r="L776" s="79"/>
      <c r="M776" s="79"/>
      <c r="N776" s="79"/>
    </row>
    <row r="777" ht="15.75" customHeight="1">
      <c r="A777" s="261"/>
      <c r="B777" s="171"/>
      <c r="C777" s="172"/>
      <c r="D777" s="172"/>
      <c r="E777" s="340"/>
      <c r="F777" s="340"/>
      <c r="G777" s="327"/>
      <c r="H777" s="223"/>
      <c r="I777" s="164"/>
      <c r="J777" s="162"/>
      <c r="K777" s="129"/>
      <c r="L777" s="79"/>
      <c r="M777" s="79"/>
      <c r="N777" s="79"/>
    </row>
    <row r="778" ht="15.75" customHeight="1">
      <c r="A778" s="261"/>
      <c r="B778" s="171"/>
      <c r="C778" s="172"/>
      <c r="D778" s="172"/>
      <c r="E778" s="340"/>
      <c r="F778" s="340"/>
      <c r="G778" s="327"/>
      <c r="H778" s="223"/>
      <c r="I778" s="164"/>
      <c r="J778" s="162"/>
      <c r="K778" s="129"/>
      <c r="L778" s="79"/>
      <c r="M778" s="79"/>
      <c r="N778" s="79"/>
    </row>
    <row r="779" ht="15.75" customHeight="1">
      <c r="A779" s="261"/>
      <c r="B779" s="171"/>
      <c r="C779" s="172"/>
      <c r="D779" s="172"/>
      <c r="E779" s="340"/>
      <c r="F779" s="340"/>
      <c r="G779" s="327"/>
      <c r="H779" s="223"/>
      <c r="I779" s="164"/>
      <c r="J779" s="162"/>
      <c r="K779" s="129"/>
      <c r="L779" s="79"/>
      <c r="M779" s="79"/>
      <c r="N779" s="79"/>
    </row>
    <row r="780" ht="15.75" customHeight="1">
      <c r="A780" s="261"/>
      <c r="B780" s="171"/>
      <c r="C780" s="172"/>
      <c r="D780" s="172"/>
      <c r="E780" s="340"/>
      <c r="F780" s="340"/>
      <c r="G780" s="327"/>
      <c r="H780" s="223"/>
      <c r="I780" s="164"/>
      <c r="J780" s="162"/>
      <c r="K780" s="129"/>
      <c r="L780" s="79"/>
      <c r="M780" s="79"/>
      <c r="N780" s="79"/>
    </row>
    <row r="781" ht="15.75" customHeight="1">
      <c r="A781" s="261"/>
      <c r="B781" s="171"/>
      <c r="C781" s="172"/>
      <c r="D781" s="172"/>
      <c r="E781" s="340"/>
      <c r="F781" s="340"/>
      <c r="G781" s="327"/>
      <c r="H781" s="223"/>
      <c r="I781" s="164"/>
      <c r="J781" s="162"/>
      <c r="K781" s="129"/>
      <c r="L781" s="79"/>
      <c r="M781" s="79"/>
      <c r="N781" s="79"/>
    </row>
    <row r="782" ht="15.75" customHeight="1">
      <c r="A782" s="261"/>
      <c r="B782" s="171"/>
      <c r="C782" s="172"/>
      <c r="D782" s="172"/>
      <c r="E782" s="340"/>
      <c r="F782" s="340"/>
      <c r="G782" s="327"/>
      <c r="H782" s="223"/>
      <c r="I782" s="164"/>
      <c r="J782" s="162"/>
      <c r="K782" s="129"/>
      <c r="L782" s="79"/>
      <c r="M782" s="79"/>
      <c r="N782" s="79"/>
    </row>
    <row r="783" ht="15.75" customHeight="1">
      <c r="A783" s="261"/>
      <c r="B783" s="171"/>
      <c r="C783" s="172"/>
      <c r="D783" s="172"/>
      <c r="E783" s="340"/>
      <c r="F783" s="340"/>
      <c r="G783" s="327"/>
      <c r="H783" s="223"/>
      <c r="I783" s="164"/>
      <c r="J783" s="162"/>
      <c r="K783" s="129"/>
      <c r="L783" s="79"/>
      <c r="M783" s="79"/>
      <c r="N783" s="79"/>
    </row>
    <row r="784" ht="15.75" customHeight="1">
      <c r="A784" s="261"/>
      <c r="B784" s="171"/>
      <c r="C784" s="172"/>
      <c r="D784" s="172"/>
      <c r="E784" s="340"/>
      <c r="F784" s="340"/>
      <c r="G784" s="327"/>
      <c r="H784" s="223"/>
      <c r="I784" s="164"/>
      <c r="J784" s="162"/>
      <c r="K784" s="129"/>
      <c r="L784" s="79"/>
      <c r="M784" s="79"/>
      <c r="N784" s="79"/>
    </row>
    <row r="785" ht="15.75" customHeight="1">
      <c r="A785" s="261"/>
      <c r="B785" s="171"/>
      <c r="C785" s="172"/>
      <c r="D785" s="172"/>
      <c r="E785" s="340"/>
      <c r="F785" s="340"/>
      <c r="G785" s="327"/>
      <c r="H785" s="223"/>
      <c r="I785" s="164"/>
      <c r="J785" s="162"/>
      <c r="K785" s="129"/>
      <c r="L785" s="79"/>
      <c r="M785" s="79"/>
      <c r="N785" s="79"/>
    </row>
    <row r="786" ht="15.75" customHeight="1">
      <c r="A786" s="261"/>
      <c r="B786" s="171"/>
      <c r="C786" s="172"/>
      <c r="D786" s="172"/>
      <c r="E786" s="340"/>
      <c r="F786" s="340"/>
      <c r="G786" s="327"/>
      <c r="H786" s="223"/>
      <c r="I786" s="164"/>
      <c r="J786" s="162"/>
      <c r="K786" s="129"/>
      <c r="L786" s="79"/>
      <c r="M786" s="79"/>
      <c r="N786" s="79"/>
    </row>
    <row r="787" ht="15.75" customHeight="1">
      <c r="A787" s="261"/>
      <c r="B787" s="171"/>
      <c r="C787" s="172"/>
      <c r="D787" s="172"/>
      <c r="E787" s="340"/>
      <c r="F787" s="340"/>
      <c r="G787" s="327"/>
      <c r="H787" s="223"/>
      <c r="I787" s="164"/>
      <c r="J787" s="162"/>
      <c r="K787" s="129"/>
      <c r="L787" s="79"/>
      <c r="M787" s="79"/>
      <c r="N787" s="79"/>
    </row>
    <row r="788" ht="15.75" customHeight="1">
      <c r="A788" s="261"/>
      <c r="B788" s="171"/>
      <c r="C788" s="172"/>
      <c r="D788" s="172"/>
      <c r="E788" s="340"/>
      <c r="F788" s="340"/>
      <c r="G788" s="327"/>
      <c r="H788" s="223"/>
      <c r="I788" s="164"/>
      <c r="J788" s="162"/>
      <c r="K788" s="129"/>
      <c r="L788" s="79"/>
      <c r="M788" s="79"/>
      <c r="N788" s="79"/>
    </row>
    <row r="789" ht="15.75" customHeight="1">
      <c r="A789" s="261"/>
      <c r="B789" s="171"/>
      <c r="C789" s="172"/>
      <c r="D789" s="172"/>
      <c r="E789" s="340"/>
      <c r="F789" s="340"/>
      <c r="G789" s="327"/>
      <c r="H789" s="223"/>
      <c r="I789" s="164"/>
      <c r="J789" s="162"/>
      <c r="K789" s="129"/>
      <c r="L789" s="79"/>
      <c r="M789" s="79"/>
      <c r="N789" s="79"/>
    </row>
    <row r="790" ht="15.75" customHeight="1">
      <c r="A790" s="261"/>
      <c r="B790" s="171"/>
      <c r="C790" s="172"/>
      <c r="D790" s="172"/>
      <c r="E790" s="340"/>
      <c r="F790" s="340"/>
      <c r="G790" s="327"/>
      <c r="H790" s="223"/>
      <c r="I790" s="164"/>
      <c r="J790" s="162"/>
      <c r="K790" s="129"/>
      <c r="L790" s="79"/>
      <c r="M790" s="79"/>
      <c r="N790" s="79"/>
    </row>
    <row r="791" ht="15.75" customHeight="1">
      <c r="A791" s="261"/>
      <c r="B791" s="171"/>
      <c r="C791" s="172"/>
      <c r="D791" s="172"/>
      <c r="E791" s="340"/>
      <c r="F791" s="340"/>
      <c r="G791" s="327"/>
      <c r="H791" s="223"/>
      <c r="I791" s="164"/>
      <c r="J791" s="162"/>
      <c r="K791" s="129"/>
      <c r="L791" s="79"/>
      <c r="M791" s="79"/>
      <c r="N791" s="79"/>
    </row>
    <row r="792" ht="15.75" customHeight="1">
      <c r="A792" s="261"/>
      <c r="B792" s="171"/>
      <c r="C792" s="172"/>
      <c r="D792" s="172"/>
      <c r="E792" s="340"/>
      <c r="F792" s="340"/>
      <c r="G792" s="327"/>
      <c r="H792" s="223"/>
      <c r="I792" s="164"/>
      <c r="J792" s="162"/>
      <c r="K792" s="129"/>
      <c r="L792" s="79"/>
      <c r="M792" s="79"/>
      <c r="N792" s="79"/>
    </row>
    <row r="793" ht="15.75" customHeight="1">
      <c r="A793" s="261"/>
      <c r="B793" s="171"/>
      <c r="C793" s="172"/>
      <c r="D793" s="172"/>
      <c r="E793" s="340"/>
      <c r="F793" s="340"/>
      <c r="G793" s="327"/>
      <c r="H793" s="223"/>
      <c r="I793" s="164"/>
      <c r="J793" s="162"/>
      <c r="K793" s="129"/>
      <c r="L793" s="79"/>
      <c r="M793" s="79"/>
      <c r="N793" s="79"/>
    </row>
    <row r="794" ht="15.75" customHeight="1">
      <c r="A794" s="261"/>
      <c r="B794" s="171"/>
      <c r="C794" s="172"/>
      <c r="D794" s="172"/>
      <c r="E794" s="340"/>
      <c r="F794" s="340"/>
      <c r="G794" s="327"/>
      <c r="H794" s="223"/>
      <c r="I794" s="164"/>
      <c r="J794" s="162"/>
      <c r="K794" s="129"/>
      <c r="L794" s="79"/>
      <c r="M794" s="79"/>
      <c r="N794" s="79"/>
    </row>
    <row r="795" ht="15.75" customHeight="1">
      <c r="A795" s="261"/>
      <c r="B795" s="171"/>
      <c r="C795" s="172"/>
      <c r="D795" s="172"/>
      <c r="E795" s="340"/>
      <c r="F795" s="340"/>
      <c r="G795" s="327"/>
      <c r="H795" s="223"/>
      <c r="I795" s="164"/>
      <c r="J795" s="162"/>
      <c r="K795" s="129"/>
      <c r="L795" s="79"/>
      <c r="M795" s="79"/>
      <c r="N795" s="79"/>
    </row>
    <row r="796" ht="15.75" customHeight="1">
      <c r="A796" s="261"/>
      <c r="B796" s="171"/>
      <c r="C796" s="172"/>
      <c r="D796" s="172"/>
      <c r="E796" s="340"/>
      <c r="F796" s="340"/>
      <c r="G796" s="327"/>
      <c r="H796" s="223"/>
      <c r="I796" s="164"/>
      <c r="J796" s="162"/>
      <c r="K796" s="129"/>
      <c r="L796" s="79"/>
      <c r="M796" s="79"/>
      <c r="N796" s="79"/>
    </row>
    <row r="797" ht="15.75" customHeight="1">
      <c r="A797" s="261"/>
      <c r="B797" s="171"/>
      <c r="C797" s="172"/>
      <c r="D797" s="172"/>
      <c r="E797" s="340"/>
      <c r="F797" s="340"/>
      <c r="G797" s="327"/>
      <c r="H797" s="223"/>
      <c r="I797" s="164"/>
      <c r="J797" s="162"/>
      <c r="K797" s="129"/>
      <c r="L797" s="79"/>
      <c r="M797" s="79"/>
      <c r="N797" s="79"/>
    </row>
    <row r="798" ht="15.75" customHeight="1">
      <c r="A798" s="261"/>
      <c r="B798" s="171"/>
      <c r="C798" s="172"/>
      <c r="D798" s="172"/>
      <c r="E798" s="340"/>
      <c r="F798" s="340"/>
      <c r="G798" s="327"/>
      <c r="H798" s="223"/>
      <c r="I798" s="164"/>
      <c r="J798" s="162"/>
      <c r="K798" s="129"/>
      <c r="L798" s="79"/>
      <c r="M798" s="79"/>
      <c r="N798" s="79"/>
    </row>
    <row r="799" ht="15.75" customHeight="1">
      <c r="A799" s="261"/>
      <c r="B799" s="171"/>
      <c r="C799" s="172"/>
      <c r="D799" s="172"/>
      <c r="E799" s="340"/>
      <c r="F799" s="340"/>
      <c r="G799" s="327"/>
      <c r="H799" s="223"/>
      <c r="I799" s="164"/>
      <c r="J799" s="162"/>
      <c r="K799" s="129"/>
      <c r="L799" s="79"/>
      <c r="M799" s="79"/>
      <c r="N799" s="79"/>
    </row>
    <row r="800" ht="15.75" customHeight="1">
      <c r="A800" s="261"/>
      <c r="B800" s="171"/>
      <c r="C800" s="172"/>
      <c r="D800" s="172"/>
      <c r="E800" s="340"/>
      <c r="F800" s="340"/>
      <c r="G800" s="327"/>
      <c r="H800" s="223"/>
      <c r="I800" s="164"/>
      <c r="J800" s="162"/>
      <c r="K800" s="129"/>
      <c r="L800" s="79"/>
      <c r="M800" s="79"/>
      <c r="N800" s="79"/>
    </row>
    <row r="801" ht="15.75" customHeight="1">
      <c r="A801" s="261"/>
      <c r="B801" s="171"/>
      <c r="C801" s="172"/>
      <c r="D801" s="172"/>
      <c r="E801" s="340"/>
      <c r="F801" s="340"/>
      <c r="G801" s="327"/>
      <c r="H801" s="223"/>
      <c r="I801" s="164"/>
      <c r="J801" s="162"/>
      <c r="K801" s="129"/>
      <c r="L801" s="79"/>
      <c r="M801" s="79"/>
      <c r="N801" s="79"/>
    </row>
    <row r="802" ht="15.75" customHeight="1">
      <c r="A802" s="261"/>
      <c r="B802" s="171"/>
      <c r="C802" s="172"/>
      <c r="D802" s="172"/>
      <c r="E802" s="340"/>
      <c r="F802" s="340"/>
      <c r="G802" s="327"/>
      <c r="H802" s="223"/>
      <c r="I802" s="164"/>
      <c r="J802" s="162"/>
      <c r="K802" s="129"/>
      <c r="L802" s="79"/>
      <c r="M802" s="79"/>
      <c r="N802" s="79"/>
    </row>
    <row r="803" ht="15.75" customHeight="1">
      <c r="A803" s="261"/>
      <c r="B803" s="171"/>
      <c r="C803" s="172"/>
      <c r="D803" s="172"/>
      <c r="E803" s="340"/>
      <c r="F803" s="340"/>
      <c r="G803" s="327"/>
      <c r="H803" s="223"/>
      <c r="I803" s="164"/>
      <c r="J803" s="162"/>
      <c r="K803" s="129"/>
      <c r="L803" s="79"/>
      <c r="M803" s="79"/>
      <c r="N803" s="79"/>
    </row>
    <row r="804" ht="15.75" customHeight="1">
      <c r="A804" s="261"/>
      <c r="B804" s="171"/>
      <c r="C804" s="172"/>
      <c r="D804" s="172"/>
      <c r="E804" s="340"/>
      <c r="F804" s="340"/>
      <c r="G804" s="327"/>
      <c r="H804" s="223"/>
      <c r="I804" s="164"/>
      <c r="J804" s="162"/>
      <c r="K804" s="129"/>
      <c r="L804" s="79"/>
      <c r="M804" s="79"/>
      <c r="N804" s="79"/>
    </row>
    <row r="805" ht="15.75" customHeight="1">
      <c r="A805" s="261"/>
      <c r="B805" s="171"/>
      <c r="C805" s="172"/>
      <c r="D805" s="172"/>
      <c r="E805" s="340"/>
      <c r="F805" s="340"/>
      <c r="G805" s="327"/>
      <c r="H805" s="223"/>
      <c r="I805" s="164"/>
      <c r="J805" s="162"/>
      <c r="K805" s="129"/>
      <c r="L805" s="79"/>
      <c r="M805" s="79"/>
      <c r="N805" s="79"/>
    </row>
    <row r="806" ht="15.75" customHeight="1">
      <c r="A806" s="261"/>
      <c r="B806" s="171"/>
      <c r="C806" s="172"/>
      <c r="D806" s="172"/>
      <c r="E806" s="340"/>
      <c r="F806" s="340"/>
      <c r="G806" s="327"/>
      <c r="H806" s="223"/>
      <c r="I806" s="164"/>
      <c r="J806" s="162"/>
      <c r="K806" s="129"/>
      <c r="L806" s="79"/>
      <c r="M806" s="79"/>
      <c r="N806" s="79"/>
    </row>
    <row r="807" ht="15.75" customHeight="1">
      <c r="A807" s="261"/>
      <c r="B807" s="171"/>
      <c r="C807" s="172"/>
      <c r="D807" s="172"/>
      <c r="E807" s="340"/>
      <c r="F807" s="340"/>
      <c r="G807" s="327"/>
      <c r="H807" s="223"/>
      <c r="I807" s="164"/>
      <c r="J807" s="162"/>
      <c r="K807" s="129"/>
      <c r="L807" s="79"/>
      <c r="M807" s="79"/>
      <c r="N807" s="79"/>
    </row>
    <row r="808" ht="15.75" customHeight="1">
      <c r="A808" s="261"/>
      <c r="B808" s="171"/>
      <c r="C808" s="172"/>
      <c r="D808" s="172"/>
      <c r="E808" s="340"/>
      <c r="F808" s="340"/>
      <c r="G808" s="327"/>
      <c r="H808" s="223"/>
      <c r="I808" s="164"/>
      <c r="J808" s="162"/>
      <c r="K808" s="129"/>
      <c r="L808" s="79"/>
      <c r="M808" s="79"/>
      <c r="N808" s="79"/>
    </row>
    <row r="809" ht="15.75" customHeight="1">
      <c r="A809" s="261"/>
      <c r="B809" s="171"/>
      <c r="C809" s="172"/>
      <c r="D809" s="172"/>
      <c r="E809" s="340"/>
      <c r="F809" s="340"/>
      <c r="G809" s="327"/>
      <c r="H809" s="223"/>
      <c r="I809" s="164"/>
      <c r="J809" s="162"/>
      <c r="K809" s="129"/>
      <c r="L809" s="79"/>
      <c r="M809" s="79"/>
      <c r="N809" s="79"/>
    </row>
    <row r="810" ht="15.75" customHeight="1">
      <c r="A810" s="261"/>
      <c r="B810" s="171"/>
      <c r="C810" s="172"/>
      <c r="D810" s="172"/>
      <c r="E810" s="340"/>
      <c r="F810" s="340"/>
      <c r="G810" s="327"/>
      <c r="H810" s="223"/>
      <c r="I810" s="164"/>
      <c r="J810" s="162"/>
      <c r="K810" s="129"/>
      <c r="L810" s="79"/>
      <c r="M810" s="79"/>
      <c r="N810" s="79"/>
    </row>
    <row r="811" ht="15.75" customHeight="1">
      <c r="A811" s="261"/>
      <c r="B811" s="171"/>
      <c r="C811" s="172"/>
      <c r="D811" s="172"/>
      <c r="E811" s="340"/>
      <c r="F811" s="340"/>
      <c r="G811" s="327"/>
      <c r="H811" s="223"/>
      <c r="I811" s="164"/>
      <c r="J811" s="162"/>
      <c r="K811" s="129"/>
      <c r="L811" s="79"/>
      <c r="M811" s="79"/>
      <c r="N811" s="79"/>
    </row>
    <row r="812" ht="15.75" customHeight="1">
      <c r="A812" s="261"/>
      <c r="B812" s="171"/>
      <c r="C812" s="172"/>
      <c r="D812" s="172"/>
      <c r="E812" s="340"/>
      <c r="F812" s="340"/>
      <c r="G812" s="327"/>
      <c r="H812" s="223"/>
      <c r="I812" s="164"/>
      <c r="J812" s="162"/>
      <c r="K812" s="129"/>
      <c r="L812" s="79"/>
      <c r="M812" s="79"/>
      <c r="N812" s="79"/>
    </row>
    <row r="813" ht="15.75" customHeight="1">
      <c r="A813" s="261"/>
      <c r="B813" s="171"/>
      <c r="C813" s="172"/>
      <c r="D813" s="172"/>
      <c r="E813" s="340"/>
      <c r="F813" s="340"/>
      <c r="G813" s="327"/>
      <c r="H813" s="223"/>
      <c r="I813" s="164"/>
      <c r="J813" s="162"/>
      <c r="K813" s="129"/>
      <c r="L813" s="79"/>
      <c r="M813" s="79"/>
      <c r="N813" s="79"/>
    </row>
    <row r="814" ht="15.75" customHeight="1">
      <c r="A814" s="261"/>
      <c r="B814" s="171"/>
      <c r="C814" s="172"/>
      <c r="D814" s="172"/>
      <c r="E814" s="340"/>
      <c r="F814" s="340"/>
      <c r="G814" s="327"/>
      <c r="H814" s="223"/>
      <c r="I814" s="164"/>
      <c r="J814" s="162"/>
      <c r="K814" s="129"/>
      <c r="L814" s="79"/>
      <c r="M814" s="79"/>
      <c r="N814" s="79"/>
    </row>
    <row r="815" ht="15.75" customHeight="1">
      <c r="A815" s="261"/>
      <c r="B815" s="171"/>
      <c r="C815" s="172"/>
      <c r="D815" s="172"/>
      <c r="E815" s="340"/>
      <c r="F815" s="340"/>
      <c r="G815" s="327"/>
      <c r="H815" s="223"/>
      <c r="I815" s="164"/>
      <c r="J815" s="162"/>
      <c r="K815" s="129"/>
      <c r="L815" s="79"/>
      <c r="M815" s="79"/>
      <c r="N815" s="79"/>
    </row>
    <row r="816" ht="15.75" customHeight="1">
      <c r="A816" s="261"/>
      <c r="B816" s="171"/>
      <c r="C816" s="172"/>
      <c r="D816" s="172"/>
      <c r="E816" s="340"/>
      <c r="F816" s="340"/>
      <c r="G816" s="327"/>
      <c r="H816" s="223"/>
      <c r="I816" s="164"/>
      <c r="J816" s="162"/>
      <c r="K816" s="129"/>
      <c r="L816" s="79"/>
      <c r="M816" s="79"/>
      <c r="N816" s="79"/>
    </row>
    <row r="817" ht="15.75" customHeight="1">
      <c r="A817" s="261"/>
      <c r="B817" s="171"/>
      <c r="C817" s="172"/>
      <c r="D817" s="172"/>
      <c r="E817" s="340"/>
      <c r="F817" s="340"/>
      <c r="G817" s="327"/>
      <c r="H817" s="223"/>
      <c r="I817" s="164"/>
      <c r="J817" s="162"/>
      <c r="K817" s="129"/>
      <c r="L817" s="79"/>
      <c r="M817" s="79"/>
      <c r="N817" s="79"/>
    </row>
    <row r="818" ht="15.75" customHeight="1">
      <c r="A818" s="261"/>
      <c r="B818" s="171"/>
      <c r="C818" s="172"/>
      <c r="D818" s="172"/>
      <c r="E818" s="340"/>
      <c r="F818" s="340"/>
      <c r="G818" s="327"/>
      <c r="H818" s="223"/>
      <c r="I818" s="164"/>
      <c r="J818" s="162"/>
      <c r="K818" s="129"/>
      <c r="L818" s="79"/>
      <c r="M818" s="79"/>
      <c r="N818" s="79"/>
    </row>
    <row r="819" ht="15.75" customHeight="1">
      <c r="A819" s="261"/>
      <c r="B819" s="171"/>
      <c r="C819" s="172"/>
      <c r="D819" s="172"/>
      <c r="E819" s="340"/>
      <c r="F819" s="340"/>
      <c r="G819" s="327"/>
      <c r="H819" s="223"/>
      <c r="I819" s="164"/>
      <c r="J819" s="162"/>
      <c r="K819" s="129"/>
      <c r="L819" s="79"/>
      <c r="M819" s="79"/>
      <c r="N819" s="79"/>
    </row>
    <row r="820" ht="15.75" customHeight="1">
      <c r="A820" s="261"/>
      <c r="B820" s="171"/>
      <c r="C820" s="172"/>
      <c r="D820" s="172"/>
      <c r="E820" s="340"/>
      <c r="F820" s="340"/>
      <c r="G820" s="327"/>
      <c r="H820" s="223"/>
      <c r="I820" s="164"/>
      <c r="J820" s="162"/>
      <c r="K820" s="129"/>
      <c r="L820" s="79"/>
      <c r="M820" s="79"/>
      <c r="N820" s="79"/>
    </row>
    <row r="821" ht="15.75" customHeight="1">
      <c r="A821" s="261"/>
      <c r="B821" s="171"/>
      <c r="C821" s="172"/>
      <c r="D821" s="172"/>
      <c r="E821" s="340"/>
      <c r="F821" s="340"/>
      <c r="G821" s="327"/>
      <c r="H821" s="223"/>
      <c r="I821" s="164"/>
      <c r="J821" s="162"/>
      <c r="K821" s="129"/>
      <c r="L821" s="79"/>
      <c r="M821" s="79"/>
      <c r="N821" s="79"/>
    </row>
    <row r="822" ht="15.75" customHeight="1">
      <c r="A822" s="261"/>
      <c r="B822" s="171"/>
      <c r="C822" s="172"/>
      <c r="D822" s="172"/>
      <c r="E822" s="340"/>
      <c r="F822" s="340"/>
      <c r="G822" s="327"/>
      <c r="H822" s="223"/>
      <c r="I822" s="164"/>
      <c r="J822" s="162"/>
      <c r="K822" s="129"/>
      <c r="L822" s="79"/>
      <c r="M822" s="79"/>
      <c r="N822" s="79"/>
    </row>
    <row r="823" ht="15.75" customHeight="1">
      <c r="A823" s="261"/>
      <c r="B823" s="171"/>
      <c r="C823" s="172"/>
      <c r="D823" s="172"/>
      <c r="E823" s="340"/>
      <c r="F823" s="340"/>
      <c r="G823" s="327"/>
      <c r="H823" s="223"/>
      <c r="I823" s="164"/>
      <c r="J823" s="162"/>
      <c r="K823" s="129"/>
      <c r="L823" s="79"/>
      <c r="M823" s="79"/>
      <c r="N823" s="79"/>
    </row>
    <row r="824" ht="15.75" customHeight="1">
      <c r="A824" s="261"/>
      <c r="B824" s="171"/>
      <c r="C824" s="172"/>
      <c r="D824" s="172"/>
      <c r="E824" s="340"/>
      <c r="F824" s="340"/>
      <c r="G824" s="327"/>
      <c r="H824" s="223"/>
      <c r="I824" s="164"/>
      <c r="J824" s="162"/>
      <c r="K824" s="129"/>
      <c r="L824" s="79"/>
      <c r="M824" s="79"/>
      <c r="N824" s="79"/>
    </row>
    <row r="825" ht="15.75" customHeight="1">
      <c r="A825" s="261"/>
      <c r="B825" s="171"/>
      <c r="C825" s="172"/>
      <c r="D825" s="172"/>
      <c r="E825" s="340"/>
      <c r="F825" s="340"/>
      <c r="G825" s="327"/>
      <c r="H825" s="223"/>
      <c r="I825" s="164"/>
      <c r="J825" s="162"/>
      <c r="K825" s="129"/>
      <c r="L825" s="79"/>
      <c r="M825" s="79"/>
      <c r="N825" s="79"/>
    </row>
    <row r="826" ht="15.75" customHeight="1">
      <c r="A826" s="261"/>
      <c r="B826" s="171"/>
      <c r="C826" s="172"/>
      <c r="D826" s="172"/>
      <c r="E826" s="340"/>
      <c r="F826" s="340"/>
      <c r="G826" s="327"/>
      <c r="H826" s="223"/>
      <c r="I826" s="164"/>
      <c r="J826" s="162"/>
      <c r="K826" s="129"/>
      <c r="L826" s="79"/>
      <c r="M826" s="79"/>
      <c r="N826" s="79"/>
    </row>
    <row r="827" ht="15.75" customHeight="1">
      <c r="A827" s="261"/>
      <c r="B827" s="171"/>
      <c r="C827" s="172"/>
      <c r="D827" s="172"/>
      <c r="E827" s="340"/>
      <c r="F827" s="340"/>
      <c r="G827" s="327"/>
      <c r="H827" s="223"/>
      <c r="I827" s="164"/>
      <c r="J827" s="162"/>
      <c r="K827" s="129"/>
      <c r="L827" s="79"/>
      <c r="M827" s="79"/>
      <c r="N827" s="79"/>
    </row>
    <row r="828" ht="15.75" customHeight="1">
      <c r="A828" s="261"/>
      <c r="B828" s="171"/>
      <c r="C828" s="172"/>
      <c r="D828" s="172"/>
      <c r="E828" s="340"/>
      <c r="F828" s="340"/>
      <c r="G828" s="327"/>
      <c r="H828" s="223"/>
      <c r="I828" s="164"/>
      <c r="J828" s="162"/>
      <c r="K828" s="129"/>
      <c r="L828" s="79"/>
      <c r="M828" s="79"/>
      <c r="N828" s="79"/>
    </row>
    <row r="829" ht="15.75" customHeight="1">
      <c r="A829" s="261"/>
      <c r="B829" s="171"/>
      <c r="C829" s="172"/>
      <c r="D829" s="172"/>
      <c r="E829" s="340"/>
      <c r="F829" s="340"/>
      <c r="G829" s="327"/>
      <c r="H829" s="223"/>
      <c r="I829" s="164"/>
      <c r="J829" s="162"/>
      <c r="K829" s="129"/>
      <c r="L829" s="79"/>
      <c r="M829" s="79"/>
      <c r="N829" s="79"/>
    </row>
    <row r="830" ht="15.75" customHeight="1">
      <c r="A830" s="261"/>
      <c r="B830" s="171"/>
      <c r="C830" s="172"/>
      <c r="D830" s="172"/>
      <c r="E830" s="340"/>
      <c r="F830" s="340"/>
      <c r="G830" s="327"/>
      <c r="H830" s="223"/>
      <c r="I830" s="164"/>
      <c r="J830" s="162"/>
      <c r="K830" s="129"/>
      <c r="L830" s="79"/>
      <c r="M830" s="79"/>
      <c r="N830" s="79"/>
    </row>
    <row r="831" ht="15.75" customHeight="1">
      <c r="A831" s="261"/>
      <c r="B831" s="171"/>
      <c r="C831" s="172"/>
      <c r="D831" s="172"/>
      <c r="E831" s="340"/>
      <c r="F831" s="340"/>
      <c r="G831" s="327"/>
      <c r="H831" s="223"/>
      <c r="I831" s="164"/>
      <c r="J831" s="162"/>
      <c r="K831" s="129"/>
      <c r="L831" s="79"/>
      <c r="M831" s="79"/>
      <c r="N831" s="79"/>
    </row>
    <row r="832" ht="15.75" customHeight="1">
      <c r="A832" s="261"/>
      <c r="B832" s="171"/>
      <c r="C832" s="172"/>
      <c r="D832" s="172"/>
      <c r="E832" s="340"/>
      <c r="F832" s="340"/>
      <c r="G832" s="327"/>
      <c r="H832" s="223"/>
      <c r="I832" s="164"/>
      <c r="J832" s="162"/>
      <c r="K832" s="129"/>
      <c r="L832" s="79"/>
      <c r="M832" s="79"/>
      <c r="N832" s="79"/>
    </row>
    <row r="833" ht="15.75" customHeight="1">
      <c r="A833" s="261"/>
      <c r="B833" s="171"/>
      <c r="C833" s="172"/>
      <c r="D833" s="172"/>
      <c r="E833" s="340"/>
      <c r="F833" s="340"/>
      <c r="G833" s="327"/>
      <c r="H833" s="223"/>
      <c r="I833" s="164"/>
      <c r="J833" s="162"/>
      <c r="K833" s="129"/>
      <c r="L833" s="79"/>
      <c r="M833" s="79"/>
      <c r="N833" s="79"/>
    </row>
    <row r="834" ht="15.75" customHeight="1">
      <c r="A834" s="261"/>
      <c r="B834" s="171"/>
      <c r="C834" s="172"/>
      <c r="D834" s="172"/>
      <c r="E834" s="340"/>
      <c r="F834" s="340"/>
      <c r="G834" s="327"/>
      <c r="H834" s="223"/>
      <c r="I834" s="164"/>
      <c r="J834" s="162"/>
      <c r="K834" s="129"/>
      <c r="L834" s="79"/>
      <c r="M834" s="79"/>
      <c r="N834" s="79"/>
    </row>
    <row r="835" ht="15.75" customHeight="1">
      <c r="A835" s="261"/>
      <c r="B835" s="171"/>
      <c r="C835" s="172"/>
      <c r="D835" s="172"/>
      <c r="E835" s="340"/>
      <c r="F835" s="340"/>
      <c r="G835" s="327"/>
      <c r="H835" s="223"/>
      <c r="I835" s="164"/>
      <c r="J835" s="162"/>
      <c r="K835" s="129"/>
      <c r="L835" s="79"/>
      <c r="M835" s="79"/>
      <c r="N835" s="79"/>
    </row>
    <row r="836" ht="15.75" customHeight="1">
      <c r="A836" s="261"/>
      <c r="B836" s="171"/>
      <c r="C836" s="172"/>
      <c r="D836" s="172"/>
      <c r="E836" s="340"/>
      <c r="F836" s="340"/>
      <c r="G836" s="327"/>
      <c r="H836" s="223"/>
      <c r="I836" s="164"/>
      <c r="J836" s="162"/>
      <c r="K836" s="129"/>
      <c r="L836" s="79"/>
      <c r="M836" s="79"/>
      <c r="N836" s="79"/>
    </row>
    <row r="837" ht="15.75" customHeight="1">
      <c r="A837" s="261"/>
      <c r="B837" s="171"/>
      <c r="C837" s="172"/>
      <c r="D837" s="172"/>
      <c r="E837" s="340"/>
      <c r="F837" s="340"/>
      <c r="G837" s="327"/>
      <c r="H837" s="223"/>
      <c r="I837" s="164"/>
      <c r="J837" s="162"/>
      <c r="K837" s="129"/>
      <c r="L837" s="79"/>
      <c r="M837" s="79"/>
      <c r="N837" s="79"/>
    </row>
    <row r="838" ht="15.75" customHeight="1">
      <c r="A838" s="261"/>
      <c r="B838" s="171"/>
      <c r="C838" s="172"/>
      <c r="D838" s="172"/>
      <c r="E838" s="340"/>
      <c r="F838" s="340"/>
      <c r="G838" s="327"/>
      <c r="H838" s="223"/>
      <c r="I838" s="164"/>
      <c r="J838" s="162"/>
      <c r="K838" s="129"/>
      <c r="L838" s="79"/>
      <c r="M838" s="79"/>
      <c r="N838" s="79"/>
    </row>
    <row r="839" ht="15.75" customHeight="1">
      <c r="A839" s="261"/>
      <c r="B839" s="171"/>
      <c r="C839" s="172"/>
      <c r="D839" s="172"/>
      <c r="E839" s="340"/>
      <c r="F839" s="340"/>
      <c r="G839" s="327"/>
      <c r="H839" s="223"/>
      <c r="I839" s="164"/>
      <c r="J839" s="162"/>
      <c r="K839" s="129"/>
      <c r="L839" s="79"/>
      <c r="M839" s="79"/>
      <c r="N839" s="79"/>
    </row>
    <row r="840" ht="15.75" customHeight="1">
      <c r="A840" s="261"/>
      <c r="B840" s="171"/>
      <c r="C840" s="172"/>
      <c r="D840" s="172"/>
      <c r="E840" s="340"/>
      <c r="F840" s="340"/>
      <c r="G840" s="327"/>
      <c r="H840" s="223"/>
      <c r="I840" s="164"/>
      <c r="J840" s="162"/>
      <c r="K840" s="129"/>
      <c r="L840" s="79"/>
      <c r="M840" s="79"/>
      <c r="N840" s="79"/>
    </row>
    <row r="841" ht="15.75" customHeight="1">
      <c r="A841" s="261"/>
      <c r="B841" s="171"/>
      <c r="C841" s="172"/>
      <c r="D841" s="172"/>
      <c r="E841" s="340"/>
      <c r="F841" s="340"/>
      <c r="G841" s="327"/>
      <c r="H841" s="223"/>
      <c r="I841" s="164"/>
      <c r="J841" s="162"/>
      <c r="K841" s="129"/>
      <c r="L841" s="79"/>
      <c r="M841" s="79"/>
      <c r="N841" s="79"/>
    </row>
    <row r="842" ht="15.75" customHeight="1">
      <c r="A842" s="261"/>
      <c r="B842" s="171"/>
      <c r="C842" s="172"/>
      <c r="D842" s="172"/>
      <c r="E842" s="340"/>
      <c r="F842" s="340"/>
      <c r="G842" s="327"/>
      <c r="H842" s="223"/>
      <c r="I842" s="164"/>
      <c r="J842" s="162"/>
      <c r="K842" s="129"/>
      <c r="L842" s="79"/>
      <c r="M842" s="79"/>
      <c r="N842" s="79"/>
    </row>
    <row r="843" ht="15.75" customHeight="1">
      <c r="A843" s="261"/>
      <c r="B843" s="171"/>
      <c r="C843" s="172"/>
      <c r="D843" s="172"/>
      <c r="E843" s="340"/>
      <c r="F843" s="340"/>
      <c r="G843" s="327"/>
      <c r="H843" s="223"/>
      <c r="I843" s="164"/>
      <c r="J843" s="162"/>
      <c r="K843" s="129"/>
      <c r="L843" s="79"/>
      <c r="M843" s="79"/>
      <c r="N843" s="79"/>
    </row>
    <row r="844" ht="15.75" customHeight="1">
      <c r="A844" s="261"/>
      <c r="B844" s="171"/>
      <c r="C844" s="172"/>
      <c r="D844" s="172"/>
      <c r="E844" s="340"/>
      <c r="F844" s="340"/>
      <c r="G844" s="327"/>
      <c r="H844" s="223"/>
      <c r="I844" s="164"/>
      <c r="J844" s="162"/>
      <c r="K844" s="129"/>
      <c r="L844" s="79"/>
      <c r="M844" s="79"/>
      <c r="N844" s="79"/>
    </row>
    <row r="845" ht="15.75" customHeight="1">
      <c r="A845" s="261"/>
      <c r="B845" s="171"/>
      <c r="C845" s="172"/>
      <c r="D845" s="172"/>
      <c r="E845" s="340"/>
      <c r="F845" s="340"/>
      <c r="G845" s="327"/>
      <c r="H845" s="223"/>
      <c r="I845" s="164"/>
      <c r="J845" s="162"/>
      <c r="K845" s="129"/>
      <c r="L845" s="79"/>
      <c r="M845" s="79"/>
      <c r="N845" s="79"/>
    </row>
    <row r="846" ht="15.75" customHeight="1">
      <c r="A846" s="261"/>
      <c r="B846" s="171"/>
      <c r="C846" s="172"/>
      <c r="D846" s="172"/>
      <c r="E846" s="340"/>
      <c r="F846" s="340"/>
      <c r="G846" s="327"/>
      <c r="H846" s="223"/>
      <c r="I846" s="164"/>
      <c r="J846" s="162"/>
      <c r="K846" s="129"/>
      <c r="L846" s="79"/>
      <c r="M846" s="79"/>
      <c r="N846" s="79"/>
    </row>
    <row r="847" ht="15.75" customHeight="1">
      <c r="A847" s="261"/>
      <c r="B847" s="171"/>
      <c r="C847" s="172"/>
      <c r="D847" s="172"/>
      <c r="E847" s="340"/>
      <c r="F847" s="340"/>
      <c r="G847" s="327"/>
      <c r="H847" s="223"/>
      <c r="I847" s="164"/>
      <c r="J847" s="162"/>
      <c r="K847" s="129"/>
      <c r="L847" s="79"/>
      <c r="M847" s="79"/>
      <c r="N847" s="79"/>
    </row>
    <row r="848" ht="15.75" customHeight="1">
      <c r="A848" s="261"/>
      <c r="B848" s="171"/>
      <c r="C848" s="172"/>
      <c r="D848" s="172"/>
      <c r="E848" s="340"/>
      <c r="F848" s="340"/>
      <c r="G848" s="327"/>
      <c r="H848" s="223"/>
      <c r="I848" s="164"/>
      <c r="J848" s="162"/>
      <c r="K848" s="129"/>
      <c r="L848" s="79"/>
      <c r="M848" s="79"/>
      <c r="N848" s="79"/>
    </row>
    <row r="849" ht="15.75" customHeight="1">
      <c r="A849" s="261"/>
      <c r="B849" s="171"/>
      <c r="C849" s="172"/>
      <c r="D849" s="172"/>
      <c r="E849" s="340"/>
      <c r="F849" s="340"/>
      <c r="G849" s="327"/>
      <c r="H849" s="223"/>
      <c r="I849" s="164"/>
      <c r="J849" s="162"/>
      <c r="K849" s="129"/>
      <c r="L849" s="79"/>
      <c r="M849" s="79"/>
      <c r="N849" s="79"/>
    </row>
    <row r="850" ht="15.75" customHeight="1">
      <c r="A850" s="261"/>
      <c r="B850" s="171"/>
      <c r="C850" s="172"/>
      <c r="D850" s="172"/>
      <c r="E850" s="340"/>
      <c r="F850" s="340"/>
      <c r="G850" s="327"/>
      <c r="H850" s="223"/>
      <c r="I850" s="164"/>
      <c r="J850" s="162"/>
      <c r="K850" s="129"/>
      <c r="L850" s="79"/>
      <c r="M850" s="79"/>
      <c r="N850" s="79"/>
    </row>
    <row r="851" ht="15.75" customHeight="1">
      <c r="A851" s="261"/>
      <c r="B851" s="171"/>
      <c r="C851" s="172"/>
      <c r="D851" s="172"/>
      <c r="E851" s="340"/>
      <c r="F851" s="340"/>
      <c r="G851" s="327"/>
      <c r="H851" s="223"/>
      <c r="I851" s="164"/>
      <c r="J851" s="162"/>
      <c r="K851" s="129"/>
      <c r="L851" s="79"/>
      <c r="M851" s="79"/>
      <c r="N851" s="79"/>
    </row>
    <row r="852" ht="15.75" customHeight="1">
      <c r="A852" s="261"/>
      <c r="B852" s="171"/>
      <c r="C852" s="172"/>
      <c r="D852" s="172"/>
      <c r="E852" s="340"/>
      <c r="F852" s="340"/>
      <c r="G852" s="327"/>
      <c r="H852" s="223"/>
      <c r="I852" s="164"/>
      <c r="J852" s="162"/>
      <c r="K852" s="129"/>
      <c r="L852" s="79"/>
      <c r="M852" s="79"/>
      <c r="N852" s="79"/>
    </row>
    <row r="853" ht="15.75" customHeight="1">
      <c r="A853" s="261"/>
      <c r="B853" s="171"/>
      <c r="C853" s="172"/>
      <c r="D853" s="172"/>
      <c r="E853" s="340"/>
      <c r="F853" s="340"/>
      <c r="G853" s="327"/>
      <c r="H853" s="223"/>
      <c r="I853" s="164"/>
      <c r="J853" s="162"/>
      <c r="K853" s="129"/>
      <c r="L853" s="79"/>
      <c r="M853" s="79"/>
      <c r="N853" s="79"/>
    </row>
    <row r="854" ht="15.75" customHeight="1">
      <c r="A854" s="261"/>
      <c r="B854" s="171"/>
      <c r="C854" s="172"/>
      <c r="D854" s="172"/>
      <c r="E854" s="340"/>
      <c r="F854" s="340"/>
      <c r="G854" s="327"/>
      <c r="H854" s="223"/>
      <c r="I854" s="164"/>
      <c r="J854" s="162"/>
      <c r="K854" s="129"/>
      <c r="L854" s="79"/>
      <c r="M854" s="79"/>
      <c r="N854" s="79"/>
    </row>
    <row r="855" ht="15.75" customHeight="1">
      <c r="A855" s="261"/>
      <c r="B855" s="171"/>
      <c r="C855" s="172"/>
      <c r="D855" s="172"/>
      <c r="E855" s="340"/>
      <c r="F855" s="340"/>
      <c r="G855" s="327"/>
      <c r="H855" s="223"/>
      <c r="I855" s="164"/>
      <c r="J855" s="162"/>
      <c r="K855" s="129"/>
      <c r="L855" s="79"/>
      <c r="M855" s="79"/>
      <c r="N855" s="79"/>
    </row>
    <row r="856" ht="15.75" customHeight="1">
      <c r="A856" s="261"/>
      <c r="B856" s="171"/>
      <c r="C856" s="172"/>
      <c r="D856" s="172"/>
      <c r="E856" s="340"/>
      <c r="F856" s="340"/>
      <c r="G856" s="327"/>
      <c r="H856" s="223"/>
      <c r="I856" s="164"/>
      <c r="J856" s="162"/>
      <c r="K856" s="129"/>
      <c r="L856" s="79"/>
      <c r="M856" s="79"/>
      <c r="N856" s="79"/>
    </row>
    <row r="857" ht="15.75" customHeight="1">
      <c r="A857" s="261"/>
      <c r="B857" s="171"/>
      <c r="C857" s="172"/>
      <c r="D857" s="172"/>
      <c r="E857" s="340"/>
      <c r="F857" s="340"/>
      <c r="G857" s="327"/>
      <c r="H857" s="223"/>
      <c r="I857" s="164"/>
      <c r="J857" s="162"/>
      <c r="K857" s="129"/>
      <c r="L857" s="79"/>
      <c r="M857" s="79"/>
      <c r="N857" s="79"/>
    </row>
    <row r="858" ht="15.75" customHeight="1">
      <c r="A858" s="261"/>
      <c r="B858" s="171"/>
      <c r="C858" s="172"/>
      <c r="D858" s="172"/>
      <c r="E858" s="340"/>
      <c r="F858" s="340"/>
      <c r="G858" s="327"/>
      <c r="H858" s="223"/>
      <c r="I858" s="164"/>
      <c r="J858" s="162"/>
      <c r="K858" s="129"/>
      <c r="L858" s="79"/>
      <c r="M858" s="79"/>
      <c r="N858" s="79"/>
    </row>
    <row r="859" ht="15.75" customHeight="1">
      <c r="A859" s="261"/>
      <c r="B859" s="171"/>
      <c r="C859" s="172"/>
      <c r="D859" s="172"/>
      <c r="E859" s="340"/>
      <c r="F859" s="340"/>
      <c r="G859" s="327"/>
      <c r="H859" s="223"/>
      <c r="I859" s="164"/>
      <c r="J859" s="162"/>
      <c r="K859" s="129"/>
      <c r="L859" s="79"/>
      <c r="M859" s="79"/>
      <c r="N859" s="79"/>
    </row>
    <row r="860" ht="15.75" customHeight="1">
      <c r="A860" s="261"/>
      <c r="B860" s="171"/>
      <c r="C860" s="172"/>
      <c r="D860" s="172"/>
      <c r="E860" s="340"/>
      <c r="F860" s="340"/>
      <c r="G860" s="327"/>
      <c r="H860" s="223"/>
      <c r="I860" s="164"/>
      <c r="J860" s="162"/>
      <c r="K860" s="129"/>
      <c r="L860" s="79"/>
      <c r="M860" s="79"/>
      <c r="N860" s="79"/>
    </row>
    <row r="861" ht="15.75" customHeight="1">
      <c r="A861" s="261"/>
      <c r="B861" s="171"/>
      <c r="C861" s="172"/>
      <c r="D861" s="172"/>
      <c r="E861" s="340"/>
      <c r="F861" s="340"/>
      <c r="G861" s="327"/>
      <c r="H861" s="223"/>
      <c r="I861" s="164"/>
      <c r="J861" s="162"/>
      <c r="K861" s="129"/>
      <c r="L861" s="79"/>
      <c r="M861" s="79"/>
      <c r="N861" s="79"/>
    </row>
    <row r="862" ht="15.75" customHeight="1">
      <c r="A862" s="261"/>
      <c r="B862" s="171"/>
      <c r="C862" s="172"/>
      <c r="D862" s="172"/>
      <c r="E862" s="340"/>
      <c r="F862" s="340"/>
      <c r="G862" s="327"/>
      <c r="H862" s="223"/>
      <c r="I862" s="164"/>
      <c r="J862" s="162"/>
      <c r="K862" s="129"/>
      <c r="L862" s="79"/>
      <c r="M862" s="79"/>
      <c r="N862" s="79"/>
    </row>
    <row r="863" ht="15.75" customHeight="1">
      <c r="A863" s="261"/>
      <c r="B863" s="171"/>
      <c r="C863" s="172"/>
      <c r="D863" s="172"/>
      <c r="E863" s="340"/>
      <c r="F863" s="340"/>
      <c r="G863" s="327"/>
      <c r="H863" s="223"/>
      <c r="I863" s="164"/>
      <c r="J863" s="162"/>
      <c r="K863" s="129"/>
      <c r="L863" s="79"/>
      <c r="M863" s="79"/>
      <c r="N863" s="79"/>
    </row>
    <row r="864" ht="15.75" customHeight="1">
      <c r="A864" s="261"/>
      <c r="B864" s="171"/>
      <c r="C864" s="172"/>
      <c r="D864" s="172"/>
      <c r="E864" s="340"/>
      <c r="F864" s="340"/>
      <c r="G864" s="327"/>
      <c r="H864" s="223"/>
      <c r="I864" s="164"/>
      <c r="J864" s="162"/>
      <c r="K864" s="129"/>
      <c r="L864" s="79"/>
      <c r="M864" s="79"/>
      <c r="N864" s="79"/>
    </row>
    <row r="865" ht="15.75" customHeight="1">
      <c r="A865" s="261"/>
      <c r="B865" s="171"/>
      <c r="C865" s="172"/>
      <c r="D865" s="172"/>
      <c r="E865" s="340"/>
      <c r="F865" s="340"/>
      <c r="G865" s="327"/>
      <c r="H865" s="223"/>
      <c r="I865" s="164"/>
      <c r="J865" s="162"/>
      <c r="K865" s="129"/>
      <c r="L865" s="79"/>
      <c r="M865" s="79"/>
      <c r="N865" s="79"/>
    </row>
    <row r="866" ht="15.75" customHeight="1">
      <c r="A866" s="261"/>
      <c r="B866" s="171"/>
      <c r="C866" s="172"/>
      <c r="D866" s="172"/>
      <c r="E866" s="340"/>
      <c r="F866" s="340"/>
      <c r="G866" s="327"/>
      <c r="H866" s="223"/>
      <c r="I866" s="164"/>
      <c r="J866" s="162"/>
      <c r="K866" s="129"/>
      <c r="L866" s="79"/>
      <c r="M866" s="79"/>
      <c r="N866" s="79"/>
    </row>
    <row r="867" ht="15.75" customHeight="1">
      <c r="A867" s="261"/>
      <c r="B867" s="171"/>
      <c r="C867" s="172"/>
      <c r="D867" s="172"/>
      <c r="E867" s="340"/>
      <c r="F867" s="340"/>
      <c r="G867" s="327"/>
      <c r="H867" s="223"/>
      <c r="I867" s="164"/>
      <c r="J867" s="162"/>
      <c r="K867" s="129"/>
      <c r="L867" s="79"/>
      <c r="M867" s="79"/>
      <c r="N867" s="79"/>
    </row>
    <row r="868" ht="15.75" customHeight="1">
      <c r="A868" s="261"/>
      <c r="B868" s="171"/>
      <c r="C868" s="172"/>
      <c r="D868" s="172"/>
      <c r="E868" s="340"/>
      <c r="F868" s="340"/>
      <c r="G868" s="327"/>
      <c r="H868" s="223"/>
      <c r="I868" s="164"/>
      <c r="J868" s="162"/>
      <c r="K868" s="129"/>
      <c r="L868" s="79"/>
      <c r="M868" s="79"/>
      <c r="N868" s="79"/>
    </row>
    <row r="869" ht="15.75" customHeight="1">
      <c r="A869" s="261"/>
      <c r="B869" s="171"/>
      <c r="C869" s="172"/>
      <c r="D869" s="172"/>
      <c r="E869" s="340"/>
      <c r="F869" s="340"/>
      <c r="G869" s="327"/>
      <c r="H869" s="223"/>
      <c r="I869" s="164"/>
      <c r="J869" s="162"/>
      <c r="K869" s="129"/>
      <c r="L869" s="79"/>
      <c r="M869" s="79"/>
      <c r="N869" s="79"/>
    </row>
    <row r="870" ht="15.75" customHeight="1">
      <c r="A870" s="261"/>
      <c r="B870" s="171"/>
      <c r="C870" s="172"/>
      <c r="D870" s="172"/>
      <c r="E870" s="340"/>
      <c r="F870" s="340"/>
      <c r="G870" s="327"/>
      <c r="H870" s="223"/>
      <c r="I870" s="164"/>
      <c r="J870" s="162"/>
      <c r="K870" s="129"/>
      <c r="L870" s="79"/>
      <c r="M870" s="79"/>
      <c r="N870" s="79"/>
    </row>
    <row r="871" ht="15.75" customHeight="1">
      <c r="A871" s="261"/>
      <c r="B871" s="171"/>
      <c r="C871" s="172"/>
      <c r="D871" s="172"/>
      <c r="E871" s="340"/>
      <c r="F871" s="340"/>
      <c r="G871" s="327"/>
      <c r="H871" s="223"/>
      <c r="I871" s="164"/>
      <c r="J871" s="162"/>
      <c r="K871" s="129"/>
      <c r="L871" s="79"/>
      <c r="M871" s="79"/>
      <c r="N871" s="79"/>
    </row>
    <row r="872" ht="15.75" customHeight="1">
      <c r="A872" s="261"/>
      <c r="B872" s="171"/>
      <c r="C872" s="172"/>
      <c r="D872" s="172"/>
      <c r="E872" s="340"/>
      <c r="F872" s="340"/>
      <c r="G872" s="327"/>
      <c r="H872" s="223"/>
      <c r="I872" s="164"/>
      <c r="J872" s="162"/>
      <c r="K872" s="129"/>
      <c r="L872" s="79"/>
      <c r="M872" s="79"/>
      <c r="N872" s="79"/>
    </row>
    <row r="873" ht="15.75" customHeight="1">
      <c r="A873" s="261"/>
      <c r="B873" s="171"/>
      <c r="C873" s="172"/>
      <c r="D873" s="172"/>
      <c r="E873" s="340"/>
      <c r="F873" s="340"/>
      <c r="G873" s="327"/>
      <c r="H873" s="223"/>
      <c r="I873" s="164"/>
      <c r="J873" s="162"/>
      <c r="K873" s="129"/>
      <c r="L873" s="79"/>
      <c r="M873" s="79"/>
      <c r="N873" s="79"/>
    </row>
    <row r="874" ht="15.75" customHeight="1">
      <c r="A874" s="261"/>
      <c r="B874" s="171"/>
      <c r="C874" s="172"/>
      <c r="D874" s="172"/>
      <c r="E874" s="340"/>
      <c r="F874" s="340"/>
      <c r="G874" s="327"/>
      <c r="H874" s="223"/>
      <c r="I874" s="164"/>
      <c r="J874" s="162"/>
      <c r="K874" s="129"/>
      <c r="L874" s="79"/>
      <c r="M874" s="79"/>
      <c r="N874" s="79"/>
    </row>
    <row r="875" ht="15.75" customHeight="1">
      <c r="A875" s="261"/>
      <c r="B875" s="171"/>
      <c r="C875" s="172"/>
      <c r="D875" s="172"/>
      <c r="E875" s="340"/>
      <c r="F875" s="340"/>
      <c r="G875" s="327"/>
      <c r="H875" s="223"/>
      <c r="I875" s="164"/>
      <c r="J875" s="162"/>
      <c r="K875" s="129"/>
      <c r="L875" s="79"/>
      <c r="M875" s="79"/>
      <c r="N875" s="79"/>
    </row>
    <row r="876" ht="15.75" customHeight="1">
      <c r="A876" s="261"/>
      <c r="B876" s="171"/>
      <c r="C876" s="172"/>
      <c r="D876" s="172"/>
      <c r="E876" s="340"/>
      <c r="F876" s="340"/>
      <c r="G876" s="327"/>
      <c r="H876" s="223"/>
      <c r="I876" s="164"/>
      <c r="J876" s="162"/>
      <c r="K876" s="129"/>
      <c r="L876" s="79"/>
      <c r="M876" s="79"/>
      <c r="N876" s="79"/>
    </row>
    <row r="877" ht="15.75" customHeight="1">
      <c r="A877" s="261"/>
      <c r="B877" s="171"/>
      <c r="C877" s="172"/>
      <c r="D877" s="172"/>
      <c r="E877" s="340"/>
      <c r="F877" s="340"/>
      <c r="G877" s="327"/>
      <c r="H877" s="223"/>
      <c r="I877" s="164"/>
      <c r="J877" s="162"/>
      <c r="K877" s="129"/>
      <c r="L877" s="79"/>
      <c r="M877" s="79"/>
      <c r="N877" s="79"/>
    </row>
    <row r="878" ht="15.75" customHeight="1">
      <c r="A878" s="261"/>
      <c r="B878" s="171"/>
      <c r="C878" s="172"/>
      <c r="D878" s="172"/>
      <c r="E878" s="340"/>
      <c r="F878" s="340"/>
      <c r="G878" s="327"/>
      <c r="H878" s="223"/>
      <c r="I878" s="164"/>
      <c r="J878" s="162"/>
      <c r="K878" s="129"/>
      <c r="L878" s="79"/>
      <c r="M878" s="79"/>
      <c r="N878" s="79"/>
    </row>
    <row r="879" ht="15.75" customHeight="1">
      <c r="A879" s="261"/>
      <c r="B879" s="171"/>
      <c r="C879" s="172"/>
      <c r="D879" s="172"/>
      <c r="E879" s="340"/>
      <c r="F879" s="340"/>
      <c r="G879" s="327"/>
      <c r="H879" s="223"/>
      <c r="I879" s="164"/>
      <c r="J879" s="162"/>
      <c r="K879" s="129"/>
      <c r="L879" s="79"/>
      <c r="M879" s="79"/>
      <c r="N879" s="79"/>
    </row>
    <row r="880" ht="15.75" customHeight="1">
      <c r="A880" s="261"/>
      <c r="B880" s="171"/>
      <c r="C880" s="172"/>
      <c r="D880" s="172"/>
      <c r="E880" s="340"/>
      <c r="F880" s="340"/>
      <c r="G880" s="327"/>
      <c r="H880" s="223"/>
      <c r="I880" s="164"/>
      <c r="J880" s="162"/>
      <c r="K880" s="129"/>
      <c r="L880" s="79"/>
      <c r="M880" s="79"/>
      <c r="N880" s="79"/>
    </row>
    <row r="881" ht="15.75" customHeight="1">
      <c r="A881" s="261"/>
      <c r="B881" s="171"/>
      <c r="C881" s="172"/>
      <c r="D881" s="172"/>
      <c r="E881" s="340"/>
      <c r="F881" s="340"/>
      <c r="G881" s="327"/>
      <c r="H881" s="223"/>
      <c r="I881" s="164"/>
      <c r="J881" s="162"/>
      <c r="K881" s="129"/>
      <c r="L881" s="79"/>
      <c r="M881" s="79"/>
      <c r="N881" s="79"/>
    </row>
    <row r="882" ht="15.75" customHeight="1">
      <c r="A882" s="261"/>
      <c r="B882" s="171"/>
      <c r="C882" s="172"/>
      <c r="D882" s="172"/>
      <c r="E882" s="340"/>
      <c r="F882" s="340"/>
      <c r="G882" s="327"/>
      <c r="H882" s="223"/>
      <c r="I882" s="164"/>
      <c r="J882" s="162"/>
      <c r="K882" s="129"/>
      <c r="L882" s="79"/>
      <c r="M882" s="79"/>
      <c r="N882" s="79"/>
    </row>
    <row r="883" ht="15.75" customHeight="1">
      <c r="A883" s="261"/>
      <c r="B883" s="171"/>
      <c r="C883" s="172"/>
      <c r="D883" s="172"/>
      <c r="E883" s="340"/>
      <c r="F883" s="340"/>
      <c r="G883" s="327"/>
      <c r="H883" s="223"/>
      <c r="I883" s="164"/>
      <c r="J883" s="162"/>
      <c r="K883" s="129"/>
      <c r="L883" s="79"/>
      <c r="M883" s="79"/>
      <c r="N883" s="79"/>
    </row>
    <row r="884" ht="15.75" customHeight="1">
      <c r="A884" s="261"/>
      <c r="B884" s="171"/>
      <c r="C884" s="172"/>
      <c r="D884" s="172"/>
      <c r="E884" s="340"/>
      <c r="F884" s="340"/>
      <c r="G884" s="327"/>
      <c r="H884" s="223"/>
      <c r="I884" s="164"/>
      <c r="J884" s="162"/>
      <c r="K884" s="129"/>
      <c r="L884" s="79"/>
      <c r="M884" s="79"/>
      <c r="N884" s="79"/>
    </row>
    <row r="885" ht="15.75" customHeight="1">
      <c r="A885" s="261"/>
      <c r="B885" s="171"/>
      <c r="C885" s="172"/>
      <c r="D885" s="172"/>
      <c r="E885" s="340"/>
      <c r="F885" s="340"/>
      <c r="G885" s="327"/>
      <c r="H885" s="223"/>
      <c r="I885" s="164"/>
      <c r="J885" s="162"/>
      <c r="K885" s="129"/>
      <c r="L885" s="79"/>
      <c r="M885" s="79"/>
      <c r="N885" s="79"/>
    </row>
    <row r="886" ht="15.75" customHeight="1">
      <c r="A886" s="261"/>
      <c r="B886" s="171"/>
      <c r="C886" s="172"/>
      <c r="D886" s="172"/>
      <c r="E886" s="340"/>
      <c r="F886" s="340"/>
      <c r="G886" s="327"/>
      <c r="H886" s="223"/>
      <c r="I886" s="164"/>
      <c r="J886" s="162"/>
      <c r="K886" s="129"/>
      <c r="L886" s="79"/>
      <c r="M886" s="79"/>
      <c r="N886" s="79"/>
    </row>
    <row r="887" ht="15.75" customHeight="1">
      <c r="A887" s="261"/>
      <c r="B887" s="171"/>
      <c r="C887" s="172"/>
      <c r="D887" s="172"/>
      <c r="E887" s="340"/>
      <c r="F887" s="340"/>
      <c r="G887" s="327"/>
      <c r="H887" s="223"/>
      <c r="I887" s="164"/>
      <c r="J887" s="162"/>
      <c r="K887" s="129"/>
      <c r="L887" s="79"/>
      <c r="M887" s="79"/>
      <c r="N887" s="79"/>
    </row>
    <row r="888" ht="15.75" customHeight="1">
      <c r="A888" s="261"/>
      <c r="B888" s="171"/>
      <c r="C888" s="172"/>
      <c r="D888" s="172"/>
      <c r="E888" s="340"/>
      <c r="F888" s="340"/>
      <c r="G888" s="327"/>
      <c r="H888" s="223"/>
      <c r="I888" s="164"/>
      <c r="J888" s="162"/>
      <c r="K888" s="129"/>
      <c r="L888" s="79"/>
      <c r="M888" s="79"/>
      <c r="N888" s="79"/>
    </row>
    <row r="889" ht="15.75" customHeight="1">
      <c r="A889" s="261"/>
      <c r="B889" s="171"/>
      <c r="C889" s="172"/>
      <c r="D889" s="172"/>
      <c r="E889" s="340"/>
      <c r="F889" s="340"/>
      <c r="G889" s="327"/>
      <c r="H889" s="223"/>
      <c r="I889" s="164"/>
      <c r="J889" s="162"/>
      <c r="K889" s="129"/>
      <c r="L889" s="79"/>
      <c r="M889" s="79"/>
      <c r="N889" s="79"/>
    </row>
    <row r="890" ht="15.75" customHeight="1">
      <c r="A890" s="261"/>
      <c r="B890" s="171"/>
      <c r="C890" s="172"/>
      <c r="D890" s="172"/>
      <c r="E890" s="340"/>
      <c r="F890" s="340"/>
      <c r="G890" s="327"/>
      <c r="H890" s="223"/>
      <c r="I890" s="164"/>
      <c r="J890" s="162"/>
      <c r="K890" s="129"/>
      <c r="L890" s="79"/>
      <c r="M890" s="79"/>
      <c r="N890" s="79"/>
    </row>
    <row r="891" ht="15.75" customHeight="1">
      <c r="A891" s="261"/>
      <c r="B891" s="171"/>
      <c r="C891" s="172"/>
      <c r="D891" s="172"/>
      <c r="E891" s="340"/>
      <c r="F891" s="340"/>
      <c r="G891" s="327"/>
      <c r="H891" s="223"/>
      <c r="I891" s="164"/>
      <c r="J891" s="162"/>
      <c r="K891" s="129"/>
      <c r="L891" s="79"/>
      <c r="M891" s="79"/>
      <c r="N891" s="79"/>
    </row>
    <row r="892" ht="15.75" customHeight="1">
      <c r="A892" s="261"/>
      <c r="B892" s="171"/>
      <c r="C892" s="172"/>
      <c r="D892" s="172"/>
      <c r="E892" s="340"/>
      <c r="F892" s="340"/>
      <c r="G892" s="327"/>
      <c r="H892" s="223"/>
      <c r="I892" s="164"/>
      <c r="J892" s="162"/>
      <c r="K892" s="129"/>
      <c r="L892" s="79"/>
      <c r="M892" s="79"/>
      <c r="N892" s="79"/>
    </row>
    <row r="893" ht="15.75" customHeight="1">
      <c r="A893" s="261"/>
      <c r="B893" s="171"/>
      <c r="C893" s="172"/>
      <c r="D893" s="172"/>
      <c r="E893" s="340"/>
      <c r="F893" s="340"/>
      <c r="G893" s="327"/>
      <c r="H893" s="223"/>
      <c r="I893" s="164"/>
      <c r="J893" s="162"/>
      <c r="K893" s="129"/>
      <c r="L893" s="79"/>
      <c r="M893" s="79"/>
      <c r="N893" s="79"/>
    </row>
    <row r="894" ht="15.75" customHeight="1">
      <c r="A894" s="261"/>
      <c r="B894" s="171"/>
      <c r="C894" s="172"/>
      <c r="D894" s="172"/>
      <c r="E894" s="340"/>
      <c r="F894" s="340"/>
      <c r="G894" s="327"/>
      <c r="H894" s="223"/>
      <c r="I894" s="164"/>
      <c r="J894" s="162"/>
      <c r="K894" s="129"/>
      <c r="L894" s="79"/>
      <c r="M894" s="79"/>
      <c r="N894" s="79"/>
    </row>
    <row r="895" ht="15.75" customHeight="1">
      <c r="A895" s="261"/>
      <c r="B895" s="171"/>
      <c r="C895" s="172"/>
      <c r="D895" s="172"/>
      <c r="E895" s="340"/>
      <c r="F895" s="340"/>
      <c r="G895" s="327"/>
      <c r="H895" s="223"/>
      <c r="I895" s="164"/>
      <c r="J895" s="162"/>
      <c r="K895" s="129"/>
      <c r="L895" s="79"/>
      <c r="M895" s="79"/>
      <c r="N895" s="79"/>
    </row>
    <row r="896" ht="15.75" customHeight="1">
      <c r="A896" s="261"/>
      <c r="B896" s="171"/>
      <c r="C896" s="172"/>
      <c r="D896" s="172"/>
      <c r="E896" s="340"/>
      <c r="F896" s="340"/>
      <c r="G896" s="327"/>
      <c r="H896" s="223"/>
      <c r="I896" s="164"/>
      <c r="J896" s="162"/>
      <c r="K896" s="129"/>
      <c r="L896" s="79"/>
      <c r="M896" s="79"/>
      <c r="N896" s="79"/>
    </row>
    <row r="897" ht="15.75" customHeight="1">
      <c r="A897" s="261"/>
      <c r="B897" s="171"/>
      <c r="C897" s="172"/>
      <c r="D897" s="172"/>
      <c r="E897" s="340"/>
      <c r="F897" s="340"/>
      <c r="G897" s="327"/>
      <c r="H897" s="223"/>
      <c r="I897" s="164"/>
      <c r="J897" s="162"/>
      <c r="K897" s="129"/>
      <c r="L897" s="79"/>
      <c r="M897" s="79"/>
      <c r="N897" s="79"/>
    </row>
    <row r="898" ht="15.75" customHeight="1">
      <c r="A898" s="261"/>
      <c r="B898" s="171"/>
      <c r="C898" s="172"/>
      <c r="D898" s="172"/>
      <c r="E898" s="340"/>
      <c r="F898" s="340"/>
      <c r="G898" s="327"/>
      <c r="H898" s="223"/>
      <c r="I898" s="164"/>
      <c r="J898" s="162"/>
      <c r="K898" s="129"/>
      <c r="L898" s="79"/>
      <c r="M898" s="79"/>
      <c r="N898" s="79"/>
    </row>
    <row r="899" ht="15.75" customHeight="1">
      <c r="A899" s="261"/>
      <c r="B899" s="171"/>
      <c r="C899" s="172"/>
      <c r="D899" s="172"/>
      <c r="E899" s="340"/>
      <c r="F899" s="340"/>
      <c r="G899" s="327"/>
      <c r="H899" s="223"/>
      <c r="I899" s="164"/>
      <c r="J899" s="162"/>
      <c r="K899" s="129"/>
      <c r="L899" s="79"/>
      <c r="M899" s="79"/>
      <c r="N899" s="79"/>
    </row>
    <row r="900" ht="15.75" customHeight="1">
      <c r="A900" s="261"/>
      <c r="B900" s="171"/>
      <c r="C900" s="172"/>
      <c r="D900" s="172"/>
      <c r="E900" s="340"/>
      <c r="F900" s="340"/>
      <c r="G900" s="327"/>
      <c r="H900" s="223"/>
      <c r="I900" s="164"/>
      <c r="J900" s="162"/>
      <c r="K900" s="129"/>
      <c r="L900" s="79"/>
      <c r="M900" s="79"/>
      <c r="N900" s="79"/>
    </row>
    <row r="901" ht="15.75" customHeight="1">
      <c r="A901" s="261"/>
      <c r="B901" s="171"/>
      <c r="C901" s="172"/>
      <c r="D901" s="172"/>
      <c r="E901" s="340"/>
      <c r="F901" s="340"/>
      <c r="G901" s="327"/>
      <c r="H901" s="223"/>
      <c r="I901" s="164"/>
      <c r="J901" s="162"/>
      <c r="K901" s="129"/>
      <c r="L901" s="79"/>
      <c r="M901" s="79"/>
      <c r="N901" s="79"/>
    </row>
    <row r="902" ht="15.75" customHeight="1">
      <c r="A902" s="261"/>
      <c r="B902" s="171"/>
      <c r="C902" s="172"/>
      <c r="D902" s="172"/>
      <c r="E902" s="340"/>
      <c r="F902" s="340"/>
      <c r="G902" s="327"/>
      <c r="H902" s="223"/>
      <c r="I902" s="164"/>
      <c r="J902" s="162"/>
      <c r="K902" s="129"/>
      <c r="L902" s="79"/>
      <c r="M902" s="79"/>
      <c r="N902" s="79"/>
    </row>
    <row r="903" ht="15.75" customHeight="1">
      <c r="A903" s="261"/>
      <c r="B903" s="171"/>
      <c r="C903" s="172"/>
      <c r="D903" s="172"/>
      <c r="E903" s="340"/>
      <c r="F903" s="340"/>
      <c r="G903" s="327"/>
      <c r="H903" s="223"/>
      <c r="I903" s="164"/>
      <c r="J903" s="162"/>
      <c r="K903" s="129"/>
      <c r="L903" s="79"/>
      <c r="M903" s="79"/>
      <c r="N903" s="79"/>
    </row>
    <row r="904" ht="15.75" customHeight="1">
      <c r="A904" s="261"/>
      <c r="B904" s="171"/>
      <c r="C904" s="172"/>
      <c r="D904" s="172"/>
      <c r="E904" s="340"/>
      <c r="F904" s="340"/>
      <c r="G904" s="327"/>
      <c r="H904" s="223"/>
      <c r="I904" s="164"/>
      <c r="J904" s="162"/>
      <c r="K904" s="129"/>
      <c r="L904" s="79"/>
      <c r="M904" s="79"/>
      <c r="N904" s="79"/>
    </row>
    <row r="905" ht="15.75" customHeight="1">
      <c r="A905" s="261"/>
      <c r="B905" s="171"/>
      <c r="C905" s="172"/>
      <c r="D905" s="172"/>
      <c r="E905" s="340"/>
      <c r="F905" s="340"/>
      <c r="G905" s="327"/>
      <c r="H905" s="223"/>
      <c r="I905" s="164"/>
      <c r="J905" s="162"/>
      <c r="K905" s="129"/>
      <c r="L905" s="79"/>
      <c r="M905" s="79"/>
      <c r="N905" s="79"/>
    </row>
    <row r="906" ht="15.75" customHeight="1">
      <c r="A906" s="261"/>
      <c r="B906" s="171"/>
      <c r="C906" s="172"/>
      <c r="D906" s="172"/>
      <c r="E906" s="340"/>
      <c r="F906" s="340"/>
      <c r="G906" s="327"/>
      <c r="H906" s="223"/>
      <c r="I906" s="164"/>
      <c r="J906" s="162"/>
      <c r="K906" s="129"/>
      <c r="L906" s="79"/>
      <c r="M906" s="79"/>
      <c r="N906" s="79"/>
    </row>
    <row r="907" ht="15.75" customHeight="1">
      <c r="A907" s="261"/>
      <c r="B907" s="171"/>
      <c r="C907" s="172"/>
      <c r="D907" s="172"/>
      <c r="E907" s="340"/>
      <c r="F907" s="340"/>
      <c r="G907" s="327"/>
      <c r="H907" s="223"/>
      <c r="I907" s="164"/>
      <c r="J907" s="162"/>
      <c r="K907" s="129"/>
      <c r="L907" s="79"/>
      <c r="M907" s="79"/>
      <c r="N907" s="79"/>
    </row>
    <row r="908" ht="15.75" customHeight="1">
      <c r="A908" s="261"/>
      <c r="B908" s="171"/>
      <c r="C908" s="172"/>
      <c r="D908" s="172"/>
      <c r="E908" s="340"/>
      <c r="F908" s="340"/>
      <c r="G908" s="327"/>
      <c r="H908" s="223"/>
      <c r="I908" s="164"/>
      <c r="J908" s="162"/>
      <c r="K908" s="129"/>
      <c r="L908" s="79"/>
      <c r="M908" s="79"/>
      <c r="N908" s="79"/>
    </row>
    <row r="909" ht="15.75" customHeight="1">
      <c r="A909" s="261"/>
      <c r="B909" s="171"/>
      <c r="C909" s="172"/>
      <c r="D909" s="172"/>
      <c r="E909" s="340"/>
      <c r="F909" s="340"/>
      <c r="G909" s="327"/>
      <c r="H909" s="223"/>
      <c r="I909" s="164"/>
      <c r="J909" s="162"/>
      <c r="K909" s="129"/>
      <c r="L909" s="79"/>
      <c r="M909" s="79"/>
      <c r="N909" s="79"/>
    </row>
    <row r="910" ht="15.75" customHeight="1">
      <c r="A910" s="261"/>
      <c r="B910" s="171"/>
      <c r="C910" s="172"/>
      <c r="D910" s="172"/>
      <c r="E910" s="340"/>
      <c r="F910" s="340"/>
      <c r="G910" s="327"/>
      <c r="H910" s="223"/>
      <c r="I910" s="164"/>
      <c r="J910" s="162"/>
      <c r="K910" s="129"/>
      <c r="L910" s="79"/>
      <c r="M910" s="79"/>
      <c r="N910" s="79"/>
    </row>
    <row r="911" ht="15.75" customHeight="1">
      <c r="A911" s="261"/>
      <c r="B911" s="171"/>
      <c r="C911" s="172"/>
      <c r="D911" s="172"/>
      <c r="E911" s="340"/>
      <c r="F911" s="340"/>
      <c r="G911" s="327"/>
      <c r="H911" s="223"/>
      <c r="I911" s="164"/>
      <c r="J911" s="162"/>
      <c r="K911" s="129"/>
      <c r="L911" s="79"/>
      <c r="M911" s="79"/>
      <c r="N911" s="79"/>
    </row>
    <row r="912" ht="15.75" customHeight="1">
      <c r="A912" s="261"/>
      <c r="B912" s="171"/>
      <c r="C912" s="172"/>
      <c r="D912" s="172"/>
      <c r="E912" s="340"/>
      <c r="F912" s="340"/>
      <c r="G912" s="327"/>
      <c r="H912" s="223"/>
      <c r="I912" s="164"/>
      <c r="J912" s="162"/>
      <c r="K912" s="129"/>
      <c r="L912" s="79"/>
      <c r="M912" s="79"/>
      <c r="N912" s="79"/>
    </row>
    <row r="913" ht="15.75" customHeight="1">
      <c r="A913" s="261"/>
      <c r="B913" s="171"/>
      <c r="C913" s="172"/>
      <c r="D913" s="172"/>
      <c r="E913" s="340"/>
      <c r="F913" s="340"/>
      <c r="G913" s="327"/>
      <c r="H913" s="223"/>
      <c r="I913" s="164"/>
      <c r="J913" s="162"/>
      <c r="K913" s="129"/>
      <c r="L913" s="79"/>
      <c r="M913" s="79"/>
      <c r="N913" s="79"/>
    </row>
    <row r="914" ht="15.75" customHeight="1">
      <c r="A914" s="261"/>
      <c r="B914" s="171"/>
      <c r="C914" s="172"/>
      <c r="D914" s="172"/>
      <c r="E914" s="340"/>
      <c r="F914" s="340"/>
      <c r="G914" s="327"/>
      <c r="H914" s="223"/>
      <c r="I914" s="164"/>
      <c r="J914" s="162"/>
      <c r="K914" s="129"/>
      <c r="L914" s="79"/>
      <c r="M914" s="79"/>
      <c r="N914" s="79"/>
    </row>
    <row r="915" ht="15.75" customHeight="1">
      <c r="A915" s="261"/>
      <c r="B915" s="171"/>
      <c r="C915" s="172"/>
      <c r="D915" s="172"/>
      <c r="E915" s="340"/>
      <c r="F915" s="340"/>
      <c r="G915" s="327"/>
      <c r="H915" s="223"/>
      <c r="I915" s="164"/>
      <c r="J915" s="162"/>
      <c r="K915" s="129"/>
      <c r="L915" s="79"/>
      <c r="M915" s="79"/>
      <c r="N915" s="79"/>
    </row>
    <row r="916" ht="15.75" customHeight="1">
      <c r="A916" s="261"/>
      <c r="B916" s="171"/>
      <c r="C916" s="172"/>
      <c r="D916" s="172"/>
      <c r="E916" s="340"/>
      <c r="F916" s="340"/>
      <c r="G916" s="327"/>
      <c r="H916" s="223"/>
      <c r="I916" s="164"/>
      <c r="J916" s="162"/>
      <c r="K916" s="129"/>
      <c r="L916" s="79"/>
      <c r="M916" s="79"/>
      <c r="N916" s="79"/>
    </row>
    <row r="917" ht="15.75" customHeight="1">
      <c r="A917" s="261"/>
      <c r="B917" s="171"/>
      <c r="C917" s="172"/>
      <c r="D917" s="172"/>
      <c r="E917" s="340"/>
      <c r="F917" s="340"/>
      <c r="G917" s="327"/>
      <c r="H917" s="223"/>
      <c r="I917" s="164"/>
      <c r="J917" s="162"/>
      <c r="K917" s="129"/>
      <c r="L917" s="79"/>
      <c r="M917" s="79"/>
      <c r="N917" s="79"/>
    </row>
    <row r="918" ht="15.75" customHeight="1">
      <c r="A918" s="261"/>
      <c r="B918" s="171"/>
      <c r="C918" s="172"/>
      <c r="D918" s="172"/>
      <c r="E918" s="340"/>
      <c r="F918" s="340"/>
      <c r="G918" s="327"/>
      <c r="H918" s="223"/>
      <c r="I918" s="164"/>
      <c r="J918" s="162"/>
      <c r="K918" s="129"/>
      <c r="L918" s="79"/>
      <c r="M918" s="79"/>
      <c r="N918" s="79"/>
    </row>
    <row r="919" ht="15.75" customHeight="1">
      <c r="A919" s="261"/>
      <c r="B919" s="171"/>
      <c r="C919" s="172"/>
      <c r="D919" s="172"/>
      <c r="E919" s="340"/>
      <c r="F919" s="340"/>
      <c r="G919" s="327"/>
      <c r="H919" s="223"/>
      <c r="I919" s="164"/>
      <c r="J919" s="162"/>
      <c r="K919" s="129"/>
      <c r="L919" s="79"/>
      <c r="M919" s="79"/>
      <c r="N919" s="79"/>
    </row>
    <row r="920" ht="15.75" customHeight="1">
      <c r="A920" s="261"/>
      <c r="B920" s="171"/>
      <c r="C920" s="172"/>
      <c r="D920" s="172"/>
      <c r="E920" s="340"/>
      <c r="F920" s="340"/>
      <c r="G920" s="327"/>
      <c r="H920" s="223"/>
      <c r="I920" s="164"/>
      <c r="J920" s="162"/>
      <c r="K920" s="129"/>
      <c r="L920" s="79"/>
      <c r="M920" s="79"/>
      <c r="N920" s="79"/>
    </row>
    <row r="921" ht="15.75" customHeight="1">
      <c r="A921" s="261"/>
      <c r="B921" s="171"/>
      <c r="C921" s="172"/>
      <c r="D921" s="172"/>
      <c r="E921" s="340"/>
      <c r="F921" s="340"/>
      <c r="G921" s="327"/>
      <c r="H921" s="223"/>
      <c r="I921" s="164"/>
      <c r="J921" s="162"/>
      <c r="K921" s="129"/>
      <c r="L921" s="79"/>
      <c r="M921" s="79"/>
      <c r="N921" s="79"/>
    </row>
    <row r="922" ht="15.75" customHeight="1">
      <c r="A922" s="261"/>
      <c r="B922" s="171"/>
      <c r="C922" s="172"/>
      <c r="D922" s="172"/>
      <c r="E922" s="340"/>
      <c r="F922" s="340"/>
      <c r="G922" s="327"/>
      <c r="H922" s="223"/>
      <c r="I922" s="164"/>
      <c r="J922" s="162"/>
      <c r="K922" s="129"/>
      <c r="L922" s="79"/>
      <c r="M922" s="79"/>
      <c r="N922" s="79"/>
    </row>
    <row r="923" ht="15.75" customHeight="1">
      <c r="A923" s="261"/>
      <c r="B923" s="171"/>
      <c r="C923" s="172"/>
      <c r="D923" s="172"/>
      <c r="E923" s="340"/>
      <c r="F923" s="340"/>
      <c r="G923" s="327"/>
      <c r="H923" s="223"/>
      <c r="I923" s="164"/>
      <c r="J923" s="162"/>
      <c r="K923" s="129"/>
      <c r="L923" s="79"/>
      <c r="M923" s="79"/>
      <c r="N923" s="79"/>
    </row>
    <row r="924" ht="15.75" customHeight="1">
      <c r="A924" s="261"/>
      <c r="B924" s="171"/>
      <c r="C924" s="172"/>
      <c r="D924" s="172"/>
      <c r="E924" s="340"/>
      <c r="F924" s="340"/>
      <c r="G924" s="327"/>
      <c r="H924" s="223"/>
      <c r="I924" s="164"/>
      <c r="J924" s="162"/>
      <c r="K924" s="129"/>
      <c r="L924" s="79"/>
      <c r="M924" s="79"/>
      <c r="N924" s="79"/>
    </row>
    <row r="925" ht="15.75" customHeight="1">
      <c r="A925" s="261"/>
      <c r="B925" s="171"/>
      <c r="C925" s="172"/>
      <c r="D925" s="172"/>
      <c r="E925" s="340"/>
      <c r="F925" s="340"/>
      <c r="G925" s="327"/>
      <c r="H925" s="223"/>
      <c r="I925" s="164"/>
      <c r="J925" s="162"/>
      <c r="K925" s="129"/>
      <c r="L925" s="79"/>
      <c r="M925" s="79"/>
      <c r="N925" s="79"/>
    </row>
    <row r="926" ht="15.75" customHeight="1">
      <c r="A926" s="261"/>
      <c r="B926" s="171"/>
      <c r="C926" s="172"/>
      <c r="D926" s="172"/>
      <c r="E926" s="340"/>
      <c r="F926" s="340"/>
      <c r="G926" s="327"/>
      <c r="H926" s="223"/>
      <c r="I926" s="164"/>
      <c r="J926" s="162"/>
      <c r="K926" s="129"/>
      <c r="L926" s="79"/>
      <c r="M926" s="79"/>
      <c r="N926" s="79"/>
    </row>
    <row r="927" ht="15.75" customHeight="1">
      <c r="A927" s="261"/>
      <c r="B927" s="171"/>
      <c r="C927" s="172"/>
      <c r="D927" s="172"/>
      <c r="E927" s="340"/>
      <c r="F927" s="340"/>
      <c r="G927" s="327"/>
      <c r="H927" s="223"/>
      <c r="I927" s="164"/>
      <c r="J927" s="162"/>
      <c r="K927" s="129"/>
      <c r="L927" s="79"/>
      <c r="M927" s="79"/>
      <c r="N927" s="79"/>
    </row>
    <row r="928" ht="15.75" customHeight="1">
      <c r="A928" s="261"/>
      <c r="B928" s="171"/>
      <c r="C928" s="172"/>
      <c r="D928" s="172"/>
      <c r="E928" s="340"/>
      <c r="F928" s="340"/>
      <c r="G928" s="327"/>
      <c r="H928" s="223"/>
      <c r="I928" s="164"/>
      <c r="J928" s="162"/>
      <c r="K928" s="129"/>
      <c r="L928" s="79"/>
      <c r="M928" s="79"/>
      <c r="N928" s="79"/>
    </row>
    <row r="929" ht="15.75" customHeight="1">
      <c r="A929" s="261"/>
      <c r="B929" s="171"/>
      <c r="C929" s="172"/>
      <c r="D929" s="172"/>
      <c r="E929" s="340"/>
      <c r="F929" s="340"/>
      <c r="G929" s="327"/>
      <c r="H929" s="223"/>
      <c r="I929" s="164"/>
      <c r="J929" s="162"/>
      <c r="K929" s="129"/>
      <c r="L929" s="79"/>
      <c r="M929" s="79"/>
      <c r="N929" s="79"/>
    </row>
    <row r="930" ht="15.75" customHeight="1">
      <c r="A930" s="261"/>
      <c r="B930" s="171"/>
      <c r="C930" s="172"/>
      <c r="D930" s="172"/>
      <c r="E930" s="340"/>
      <c r="F930" s="340"/>
      <c r="G930" s="327"/>
      <c r="H930" s="223"/>
      <c r="I930" s="164"/>
      <c r="J930" s="162"/>
      <c r="K930" s="129"/>
      <c r="L930" s="79"/>
      <c r="M930" s="79"/>
      <c r="N930" s="79"/>
    </row>
    <row r="931" ht="15.75" customHeight="1">
      <c r="A931" s="261"/>
      <c r="B931" s="171"/>
      <c r="C931" s="172"/>
      <c r="D931" s="172"/>
      <c r="E931" s="340"/>
      <c r="F931" s="340"/>
      <c r="G931" s="327"/>
      <c r="H931" s="223"/>
      <c r="I931" s="164"/>
      <c r="J931" s="162"/>
      <c r="K931" s="129"/>
      <c r="L931" s="79"/>
      <c r="M931" s="79"/>
      <c r="N931" s="79"/>
    </row>
    <row r="932" ht="15.75" customHeight="1">
      <c r="A932" s="261"/>
      <c r="B932" s="171"/>
      <c r="C932" s="172"/>
      <c r="D932" s="172"/>
      <c r="E932" s="340"/>
      <c r="F932" s="340"/>
      <c r="G932" s="327"/>
      <c r="H932" s="223"/>
      <c r="I932" s="164"/>
      <c r="J932" s="162"/>
      <c r="K932" s="129"/>
      <c r="L932" s="79"/>
      <c r="M932" s="79"/>
      <c r="N932" s="79"/>
    </row>
    <row r="933" ht="15.75" customHeight="1">
      <c r="A933" s="261"/>
      <c r="B933" s="171"/>
      <c r="C933" s="172"/>
      <c r="D933" s="172"/>
      <c r="E933" s="340"/>
      <c r="F933" s="340"/>
      <c r="G933" s="327"/>
      <c r="H933" s="223"/>
      <c r="I933" s="164"/>
      <c r="J933" s="162"/>
      <c r="K933" s="129"/>
      <c r="L933" s="79"/>
      <c r="M933" s="79"/>
      <c r="N933" s="79"/>
    </row>
    <row r="934" ht="15.75" customHeight="1">
      <c r="A934" s="261"/>
      <c r="B934" s="171"/>
      <c r="C934" s="172"/>
      <c r="D934" s="172"/>
      <c r="E934" s="340"/>
      <c r="F934" s="340"/>
      <c r="G934" s="327"/>
      <c r="H934" s="223"/>
      <c r="I934" s="164"/>
      <c r="J934" s="162"/>
      <c r="K934" s="129"/>
      <c r="L934" s="79"/>
      <c r="M934" s="79"/>
      <c r="N934" s="79"/>
    </row>
    <row r="935" ht="15.75" customHeight="1">
      <c r="A935" s="261"/>
      <c r="B935" s="171"/>
      <c r="C935" s="172"/>
      <c r="D935" s="172"/>
      <c r="E935" s="340"/>
      <c r="F935" s="340"/>
      <c r="G935" s="327"/>
      <c r="H935" s="223"/>
      <c r="I935" s="164"/>
      <c r="J935" s="162"/>
      <c r="K935" s="129"/>
      <c r="L935" s="79"/>
      <c r="M935" s="79"/>
      <c r="N935" s="79"/>
    </row>
    <row r="936" ht="15.75" customHeight="1">
      <c r="A936" s="261"/>
      <c r="B936" s="171"/>
      <c r="C936" s="172"/>
      <c r="D936" s="172"/>
      <c r="E936" s="340"/>
      <c r="F936" s="340"/>
      <c r="G936" s="327"/>
      <c r="H936" s="223"/>
      <c r="I936" s="164"/>
      <c r="J936" s="162"/>
      <c r="K936" s="129"/>
      <c r="L936" s="79"/>
      <c r="M936" s="79"/>
      <c r="N936" s="79"/>
    </row>
    <row r="937" ht="15.75" customHeight="1">
      <c r="A937" s="261"/>
      <c r="B937" s="171"/>
      <c r="C937" s="172"/>
      <c r="D937" s="172"/>
      <c r="E937" s="340"/>
      <c r="F937" s="340"/>
      <c r="G937" s="327"/>
      <c r="H937" s="223"/>
      <c r="I937" s="164"/>
      <c r="J937" s="162"/>
      <c r="K937" s="129"/>
      <c r="L937" s="79"/>
      <c r="M937" s="79"/>
      <c r="N937" s="79"/>
    </row>
    <row r="938" ht="15.75" customHeight="1">
      <c r="A938" s="261"/>
      <c r="B938" s="171"/>
      <c r="C938" s="172"/>
      <c r="D938" s="172"/>
      <c r="E938" s="340"/>
      <c r="F938" s="340"/>
      <c r="G938" s="327"/>
      <c r="H938" s="223"/>
      <c r="I938" s="164"/>
      <c r="J938" s="162"/>
      <c r="K938" s="129"/>
      <c r="L938" s="79"/>
      <c r="M938" s="79"/>
      <c r="N938" s="79"/>
    </row>
    <row r="939" ht="15.75" customHeight="1">
      <c r="A939" s="261"/>
      <c r="B939" s="171"/>
      <c r="C939" s="172"/>
      <c r="D939" s="172"/>
      <c r="E939" s="340"/>
      <c r="F939" s="340"/>
      <c r="G939" s="327"/>
      <c r="H939" s="223"/>
      <c r="I939" s="164"/>
      <c r="J939" s="162"/>
      <c r="K939" s="129"/>
      <c r="L939" s="79"/>
      <c r="M939" s="79"/>
      <c r="N939" s="79"/>
    </row>
    <row r="940" ht="15.75" customHeight="1">
      <c r="A940" s="261"/>
      <c r="B940" s="171"/>
      <c r="C940" s="172"/>
      <c r="D940" s="172"/>
      <c r="E940" s="340"/>
      <c r="F940" s="340"/>
      <c r="G940" s="327"/>
      <c r="H940" s="223"/>
      <c r="I940" s="164"/>
      <c r="J940" s="162"/>
      <c r="K940" s="129"/>
      <c r="L940" s="79"/>
      <c r="M940" s="79"/>
      <c r="N940" s="79"/>
    </row>
    <row r="941" ht="15.75" customHeight="1">
      <c r="A941" s="261"/>
      <c r="B941" s="171"/>
      <c r="C941" s="172"/>
      <c r="D941" s="172"/>
      <c r="E941" s="340"/>
      <c r="F941" s="340"/>
      <c r="G941" s="327"/>
      <c r="H941" s="223"/>
      <c r="I941" s="164"/>
      <c r="J941" s="162"/>
      <c r="K941" s="129"/>
      <c r="L941" s="79"/>
      <c r="M941" s="79"/>
      <c r="N941" s="79"/>
    </row>
    <row r="942" ht="15.75" customHeight="1">
      <c r="A942" s="261"/>
      <c r="B942" s="171"/>
      <c r="C942" s="172"/>
      <c r="D942" s="172"/>
      <c r="E942" s="340"/>
      <c r="F942" s="340"/>
      <c r="G942" s="327"/>
      <c r="H942" s="223"/>
      <c r="I942" s="164"/>
      <c r="J942" s="162"/>
      <c r="K942" s="129"/>
      <c r="L942" s="79"/>
      <c r="M942" s="79"/>
      <c r="N942" s="79"/>
    </row>
    <row r="943" ht="15.75" customHeight="1">
      <c r="A943" s="261"/>
      <c r="B943" s="171"/>
      <c r="C943" s="172"/>
      <c r="D943" s="172"/>
      <c r="E943" s="340"/>
      <c r="F943" s="340"/>
      <c r="G943" s="327"/>
      <c r="H943" s="223"/>
      <c r="I943" s="164"/>
      <c r="J943" s="162"/>
      <c r="K943" s="129"/>
      <c r="L943" s="79"/>
      <c r="M943" s="79"/>
      <c r="N943" s="79"/>
    </row>
    <row r="944" ht="15.75" customHeight="1">
      <c r="A944" s="261"/>
      <c r="B944" s="171"/>
      <c r="C944" s="172"/>
      <c r="D944" s="172"/>
      <c r="E944" s="340"/>
      <c r="F944" s="340"/>
      <c r="G944" s="327"/>
      <c r="H944" s="223"/>
      <c r="I944" s="164"/>
      <c r="J944" s="162"/>
      <c r="K944" s="129"/>
      <c r="L944" s="79"/>
      <c r="M944" s="79"/>
      <c r="N944" s="79"/>
    </row>
    <row r="945" ht="15.75" customHeight="1">
      <c r="A945" s="261"/>
      <c r="B945" s="171"/>
      <c r="C945" s="172"/>
      <c r="D945" s="172"/>
      <c r="E945" s="340"/>
      <c r="F945" s="340"/>
      <c r="G945" s="327"/>
      <c r="H945" s="223"/>
      <c r="I945" s="164"/>
      <c r="J945" s="162"/>
      <c r="K945" s="129"/>
      <c r="L945" s="79"/>
      <c r="M945" s="79"/>
      <c r="N945" s="79"/>
    </row>
    <row r="946" ht="15.75" customHeight="1">
      <c r="A946" s="261"/>
      <c r="B946" s="171"/>
      <c r="C946" s="172"/>
      <c r="D946" s="172"/>
      <c r="E946" s="340"/>
      <c r="F946" s="340"/>
      <c r="G946" s="327"/>
      <c r="H946" s="223"/>
      <c r="I946" s="164"/>
      <c r="J946" s="162"/>
      <c r="K946" s="129"/>
      <c r="L946" s="79"/>
      <c r="M946" s="79"/>
      <c r="N946" s="79"/>
    </row>
    <row r="947" ht="15.75" customHeight="1">
      <c r="A947" s="261"/>
      <c r="B947" s="171"/>
      <c r="C947" s="172"/>
      <c r="D947" s="172"/>
      <c r="E947" s="340"/>
      <c r="F947" s="340"/>
      <c r="G947" s="327"/>
      <c r="H947" s="223"/>
      <c r="I947" s="164"/>
      <c r="J947" s="162"/>
      <c r="K947" s="129"/>
      <c r="L947" s="79"/>
      <c r="M947" s="79"/>
      <c r="N947" s="79"/>
    </row>
    <row r="948" ht="15.75" customHeight="1">
      <c r="A948" s="261"/>
      <c r="B948" s="171"/>
      <c r="C948" s="172"/>
      <c r="D948" s="172"/>
      <c r="E948" s="340"/>
      <c r="F948" s="340"/>
      <c r="G948" s="327"/>
      <c r="H948" s="223"/>
      <c r="I948" s="164"/>
      <c r="J948" s="162"/>
      <c r="K948" s="129"/>
      <c r="L948" s="79"/>
      <c r="M948" s="79"/>
      <c r="N948" s="79"/>
    </row>
    <row r="949" ht="15.75" customHeight="1">
      <c r="A949" s="261"/>
      <c r="B949" s="171"/>
      <c r="C949" s="172"/>
      <c r="D949" s="172"/>
      <c r="E949" s="340"/>
      <c r="F949" s="340"/>
      <c r="G949" s="327"/>
      <c r="H949" s="223"/>
      <c r="I949" s="164"/>
      <c r="J949" s="162"/>
      <c r="K949" s="129"/>
      <c r="L949" s="79"/>
      <c r="M949" s="79"/>
      <c r="N949" s="79"/>
    </row>
    <row r="950" ht="15.75" customHeight="1">
      <c r="A950" s="261"/>
      <c r="B950" s="171"/>
      <c r="C950" s="172"/>
      <c r="D950" s="172"/>
      <c r="E950" s="340"/>
      <c r="F950" s="340"/>
      <c r="G950" s="327"/>
      <c r="H950" s="223"/>
      <c r="I950" s="164"/>
      <c r="J950" s="162"/>
      <c r="K950" s="129"/>
      <c r="L950" s="79"/>
      <c r="M950" s="79"/>
      <c r="N950" s="79"/>
    </row>
    <row r="951" ht="15.75" customHeight="1">
      <c r="A951" s="261"/>
      <c r="B951" s="171"/>
      <c r="C951" s="172"/>
      <c r="D951" s="172"/>
      <c r="E951" s="340"/>
      <c r="F951" s="340"/>
      <c r="G951" s="327"/>
      <c r="H951" s="223"/>
      <c r="I951" s="164"/>
      <c r="J951" s="162"/>
      <c r="K951" s="129"/>
      <c r="L951" s="79"/>
      <c r="M951" s="79"/>
      <c r="N951" s="79"/>
    </row>
    <row r="952" ht="15.75" customHeight="1">
      <c r="A952" s="261"/>
      <c r="B952" s="171"/>
      <c r="C952" s="172"/>
      <c r="D952" s="172"/>
      <c r="E952" s="340"/>
      <c r="F952" s="340"/>
      <c r="G952" s="327"/>
      <c r="H952" s="223"/>
      <c r="I952" s="164"/>
      <c r="J952" s="162"/>
      <c r="K952" s="129"/>
      <c r="L952" s="79"/>
      <c r="M952" s="79"/>
      <c r="N952" s="79"/>
    </row>
    <row r="953" ht="15.75" customHeight="1">
      <c r="A953" s="261"/>
      <c r="B953" s="171"/>
      <c r="C953" s="172"/>
      <c r="D953" s="172"/>
      <c r="E953" s="340"/>
      <c r="F953" s="340"/>
      <c r="G953" s="327"/>
      <c r="H953" s="223"/>
      <c r="I953" s="164"/>
      <c r="J953" s="162"/>
      <c r="K953" s="129"/>
      <c r="L953" s="79"/>
      <c r="M953" s="79"/>
      <c r="N953" s="79"/>
    </row>
    <row r="954" ht="15.75" customHeight="1">
      <c r="A954" s="261"/>
      <c r="B954" s="171"/>
      <c r="C954" s="172"/>
      <c r="D954" s="172"/>
      <c r="E954" s="340"/>
      <c r="F954" s="340"/>
      <c r="G954" s="327"/>
      <c r="H954" s="223"/>
      <c r="I954" s="164"/>
      <c r="J954" s="162"/>
      <c r="K954" s="129"/>
      <c r="L954" s="79"/>
      <c r="M954" s="79"/>
      <c r="N954" s="79"/>
    </row>
    <row r="955" ht="15.75" customHeight="1">
      <c r="A955" s="261"/>
      <c r="B955" s="171"/>
      <c r="C955" s="172"/>
      <c r="D955" s="172"/>
      <c r="E955" s="340"/>
      <c r="F955" s="340"/>
      <c r="G955" s="327"/>
      <c r="H955" s="223"/>
      <c r="I955" s="164"/>
      <c r="J955" s="162"/>
      <c r="K955" s="129"/>
      <c r="L955" s="79"/>
      <c r="M955" s="79"/>
      <c r="N955" s="79"/>
    </row>
    <row r="956" ht="15.75" customHeight="1">
      <c r="A956" s="261"/>
      <c r="B956" s="171"/>
      <c r="C956" s="172"/>
      <c r="D956" s="172"/>
      <c r="E956" s="340"/>
      <c r="F956" s="340"/>
      <c r="G956" s="327"/>
      <c r="H956" s="223"/>
      <c r="I956" s="164"/>
      <c r="J956" s="162"/>
      <c r="K956" s="129"/>
      <c r="L956" s="79"/>
      <c r="M956" s="79"/>
      <c r="N956" s="79"/>
    </row>
    <row r="957" ht="15.75" customHeight="1">
      <c r="A957" s="261"/>
      <c r="B957" s="171"/>
      <c r="C957" s="172"/>
      <c r="D957" s="172"/>
      <c r="E957" s="340"/>
      <c r="F957" s="340"/>
      <c r="G957" s="327"/>
      <c r="H957" s="223"/>
      <c r="I957" s="164"/>
      <c r="J957" s="162"/>
      <c r="K957" s="129"/>
      <c r="L957" s="79"/>
      <c r="M957" s="79"/>
      <c r="N957" s="79"/>
    </row>
    <row r="958" ht="15.75" customHeight="1">
      <c r="A958" s="261"/>
      <c r="B958" s="171"/>
      <c r="C958" s="172"/>
      <c r="D958" s="172"/>
      <c r="E958" s="340"/>
      <c r="F958" s="340"/>
      <c r="G958" s="327"/>
      <c r="H958" s="223"/>
      <c r="I958" s="164"/>
      <c r="J958" s="162"/>
      <c r="K958" s="129"/>
      <c r="L958" s="79"/>
      <c r="M958" s="79"/>
      <c r="N958" s="79"/>
    </row>
    <row r="959" ht="15.75" customHeight="1">
      <c r="A959" s="261"/>
      <c r="B959" s="171"/>
      <c r="C959" s="172"/>
      <c r="D959" s="172"/>
      <c r="E959" s="340"/>
      <c r="F959" s="340"/>
      <c r="G959" s="327"/>
      <c r="H959" s="223"/>
      <c r="I959" s="164"/>
      <c r="J959" s="162"/>
      <c r="K959" s="129"/>
      <c r="L959" s="79"/>
      <c r="M959" s="79"/>
      <c r="N959" s="79"/>
    </row>
    <row r="960" ht="15.75" customHeight="1">
      <c r="A960" s="261"/>
      <c r="B960" s="171"/>
      <c r="C960" s="172"/>
      <c r="D960" s="172"/>
      <c r="E960" s="340"/>
      <c r="F960" s="340"/>
      <c r="G960" s="327"/>
      <c r="H960" s="223"/>
      <c r="I960" s="164"/>
      <c r="J960" s="162"/>
      <c r="K960" s="129"/>
      <c r="L960" s="79"/>
      <c r="M960" s="79"/>
      <c r="N960" s="79"/>
    </row>
    <row r="961" ht="15.75" customHeight="1">
      <c r="A961" s="261"/>
      <c r="B961" s="171"/>
      <c r="C961" s="172"/>
      <c r="D961" s="172"/>
      <c r="E961" s="340"/>
      <c r="F961" s="340"/>
      <c r="G961" s="327"/>
      <c r="H961" s="223"/>
      <c r="I961" s="164"/>
      <c r="J961" s="162"/>
      <c r="K961" s="129"/>
      <c r="L961" s="79"/>
      <c r="M961" s="79"/>
      <c r="N961" s="79"/>
    </row>
    <row r="962" ht="15.75" customHeight="1">
      <c r="A962" s="261"/>
      <c r="B962" s="171"/>
      <c r="C962" s="172"/>
      <c r="D962" s="172"/>
      <c r="E962" s="340"/>
      <c r="F962" s="340"/>
      <c r="G962" s="327"/>
      <c r="H962" s="223"/>
      <c r="I962" s="164"/>
      <c r="J962" s="162"/>
      <c r="K962" s="129"/>
      <c r="L962" s="79"/>
      <c r="M962" s="79"/>
      <c r="N962" s="79"/>
    </row>
    <row r="963" ht="15.75" customHeight="1">
      <c r="A963" s="261"/>
      <c r="B963" s="171"/>
      <c r="C963" s="172"/>
      <c r="D963" s="172"/>
      <c r="E963" s="340"/>
      <c r="F963" s="340"/>
      <c r="G963" s="327"/>
      <c r="H963" s="223"/>
      <c r="I963" s="164"/>
      <c r="J963" s="162"/>
      <c r="K963" s="129"/>
      <c r="L963" s="79"/>
      <c r="M963" s="79"/>
      <c r="N963" s="79"/>
    </row>
    <row r="964" ht="15.75" customHeight="1">
      <c r="A964" s="261"/>
      <c r="B964" s="171"/>
      <c r="C964" s="172"/>
      <c r="D964" s="172"/>
      <c r="E964" s="340"/>
      <c r="F964" s="340"/>
      <c r="G964" s="327"/>
      <c r="H964" s="223"/>
      <c r="I964" s="164"/>
      <c r="J964" s="162"/>
      <c r="K964" s="129"/>
      <c r="L964" s="79"/>
      <c r="M964" s="79"/>
      <c r="N964" s="79"/>
    </row>
    <row r="965" ht="15.75" customHeight="1">
      <c r="A965" s="261"/>
      <c r="B965" s="171"/>
      <c r="C965" s="172"/>
      <c r="D965" s="172"/>
      <c r="E965" s="340"/>
      <c r="F965" s="340"/>
      <c r="G965" s="327"/>
      <c r="H965" s="223"/>
      <c r="I965" s="164"/>
      <c r="J965" s="162"/>
      <c r="K965" s="129"/>
      <c r="L965" s="79"/>
      <c r="M965" s="79"/>
      <c r="N965" s="79"/>
    </row>
    <row r="966" ht="15.75" customHeight="1">
      <c r="A966" s="261"/>
      <c r="B966" s="171"/>
      <c r="C966" s="172"/>
      <c r="D966" s="172"/>
      <c r="E966" s="340"/>
      <c r="F966" s="340"/>
      <c r="G966" s="327"/>
      <c r="H966" s="223"/>
      <c r="I966" s="164"/>
      <c r="J966" s="162"/>
      <c r="K966" s="129"/>
      <c r="L966" s="79"/>
      <c r="M966" s="79"/>
      <c r="N966" s="79"/>
    </row>
    <row r="967" ht="15.75" customHeight="1">
      <c r="A967" s="261"/>
      <c r="B967" s="171"/>
      <c r="C967" s="172"/>
      <c r="D967" s="172"/>
      <c r="E967" s="340"/>
      <c r="F967" s="340"/>
      <c r="G967" s="327"/>
      <c r="H967" s="223"/>
      <c r="I967" s="164"/>
      <c r="J967" s="162"/>
      <c r="K967" s="129"/>
      <c r="L967" s="79"/>
      <c r="M967" s="79"/>
      <c r="N967" s="79"/>
    </row>
    <row r="968" ht="15.75" customHeight="1">
      <c r="A968" s="261"/>
      <c r="B968" s="171"/>
      <c r="C968" s="172"/>
      <c r="D968" s="172"/>
      <c r="E968" s="340"/>
      <c r="F968" s="340"/>
      <c r="G968" s="327"/>
      <c r="H968" s="223"/>
      <c r="I968" s="164"/>
      <c r="J968" s="162"/>
      <c r="K968" s="129"/>
      <c r="L968" s="79"/>
      <c r="M968" s="79"/>
      <c r="N968" s="79"/>
    </row>
    <row r="969" ht="15.75" customHeight="1">
      <c r="A969" s="261"/>
      <c r="B969" s="171"/>
      <c r="C969" s="172"/>
      <c r="D969" s="172"/>
      <c r="E969" s="340"/>
      <c r="F969" s="340"/>
      <c r="G969" s="327"/>
      <c r="H969" s="223"/>
      <c r="I969" s="164"/>
      <c r="J969" s="162"/>
      <c r="K969" s="129"/>
      <c r="L969" s="79"/>
      <c r="M969" s="79"/>
      <c r="N969" s="79"/>
    </row>
    <row r="970" ht="15.75" customHeight="1">
      <c r="A970" s="261"/>
      <c r="B970" s="171"/>
      <c r="C970" s="172"/>
      <c r="D970" s="172"/>
      <c r="E970" s="340"/>
      <c r="F970" s="340"/>
      <c r="G970" s="327"/>
      <c r="H970" s="223"/>
      <c r="I970" s="164"/>
      <c r="J970" s="162"/>
      <c r="K970" s="129"/>
      <c r="L970" s="79"/>
      <c r="M970" s="79"/>
      <c r="N970" s="79"/>
    </row>
    <row r="971" ht="15.75" customHeight="1">
      <c r="A971" s="261"/>
      <c r="B971" s="171"/>
      <c r="C971" s="172"/>
      <c r="D971" s="172"/>
      <c r="E971" s="340"/>
      <c r="F971" s="340"/>
      <c r="G971" s="327"/>
      <c r="H971" s="223"/>
      <c r="I971" s="164"/>
      <c r="J971" s="162"/>
      <c r="K971" s="129"/>
      <c r="L971" s="79"/>
      <c r="M971" s="79"/>
      <c r="N971" s="79"/>
    </row>
    <row r="972" ht="15.75" customHeight="1">
      <c r="A972" s="261"/>
      <c r="B972" s="171"/>
      <c r="C972" s="172"/>
      <c r="D972" s="172"/>
      <c r="E972" s="340"/>
      <c r="F972" s="340"/>
      <c r="G972" s="327"/>
      <c r="H972" s="223"/>
      <c r="I972" s="164"/>
      <c r="J972" s="162"/>
      <c r="K972" s="129"/>
      <c r="L972" s="79"/>
      <c r="M972" s="79"/>
      <c r="N972" s="79"/>
    </row>
    <row r="973" ht="15.75" customHeight="1">
      <c r="A973" s="261"/>
      <c r="B973" s="171"/>
      <c r="C973" s="172"/>
      <c r="D973" s="172"/>
      <c r="E973" s="340"/>
      <c r="F973" s="340"/>
      <c r="G973" s="327"/>
      <c r="H973" s="223"/>
      <c r="I973" s="164"/>
      <c r="J973" s="162"/>
      <c r="K973" s="129"/>
      <c r="L973" s="79"/>
      <c r="M973" s="79"/>
      <c r="N973" s="79"/>
    </row>
    <row r="974" ht="15.75" customHeight="1">
      <c r="A974" s="261"/>
      <c r="B974" s="171"/>
      <c r="C974" s="172"/>
      <c r="D974" s="172"/>
      <c r="E974" s="340"/>
      <c r="F974" s="340"/>
      <c r="G974" s="327"/>
      <c r="H974" s="223"/>
      <c r="I974" s="164"/>
      <c r="J974" s="162"/>
      <c r="K974" s="129"/>
      <c r="L974" s="79"/>
      <c r="M974" s="79"/>
      <c r="N974" s="79"/>
    </row>
    <row r="975" ht="15.75" customHeight="1">
      <c r="A975" s="261"/>
      <c r="B975" s="171"/>
      <c r="C975" s="172"/>
      <c r="D975" s="172"/>
      <c r="E975" s="340"/>
      <c r="F975" s="340"/>
      <c r="G975" s="327"/>
      <c r="H975" s="223"/>
      <c r="I975" s="164"/>
      <c r="J975" s="162"/>
      <c r="K975" s="129"/>
      <c r="L975" s="79"/>
      <c r="M975" s="79"/>
      <c r="N975" s="79"/>
    </row>
    <row r="976" ht="15.75" customHeight="1">
      <c r="A976" s="261"/>
      <c r="B976" s="171"/>
      <c r="C976" s="172"/>
      <c r="D976" s="172"/>
      <c r="E976" s="340"/>
      <c r="F976" s="340"/>
      <c r="G976" s="327"/>
      <c r="H976" s="223"/>
      <c r="I976" s="164"/>
      <c r="J976" s="162"/>
      <c r="K976" s="129"/>
      <c r="L976" s="79"/>
      <c r="M976" s="79"/>
      <c r="N976" s="79"/>
    </row>
    <row r="977" ht="15.75" customHeight="1">
      <c r="A977" s="261"/>
      <c r="B977" s="171"/>
      <c r="C977" s="172"/>
      <c r="D977" s="172"/>
      <c r="E977" s="340"/>
      <c r="F977" s="340"/>
      <c r="G977" s="327"/>
      <c r="H977" s="223"/>
      <c r="I977" s="164"/>
      <c r="J977" s="162"/>
      <c r="K977" s="129"/>
      <c r="L977" s="79"/>
      <c r="M977" s="79"/>
      <c r="N977" s="79"/>
    </row>
    <row r="978" ht="15.75" customHeight="1">
      <c r="A978" s="261"/>
      <c r="B978" s="171"/>
      <c r="C978" s="172"/>
      <c r="D978" s="172"/>
      <c r="E978" s="340"/>
      <c r="F978" s="340"/>
      <c r="G978" s="327"/>
      <c r="H978" s="223"/>
      <c r="I978" s="164"/>
      <c r="J978" s="162"/>
      <c r="K978" s="129"/>
      <c r="L978" s="79"/>
      <c r="M978" s="79"/>
      <c r="N978" s="79"/>
    </row>
    <row r="979" ht="15.75" customHeight="1">
      <c r="A979" s="261"/>
      <c r="B979" s="171"/>
      <c r="C979" s="172"/>
      <c r="D979" s="172"/>
      <c r="E979" s="340"/>
      <c r="F979" s="340"/>
      <c r="G979" s="327"/>
      <c r="H979" s="223"/>
      <c r="I979" s="164"/>
      <c r="J979" s="162"/>
      <c r="K979" s="129"/>
      <c r="L979" s="79"/>
      <c r="M979" s="79"/>
      <c r="N979" s="79"/>
    </row>
    <row r="980" ht="15.75" customHeight="1">
      <c r="A980" s="261"/>
      <c r="B980" s="171"/>
      <c r="C980" s="172"/>
      <c r="D980" s="172"/>
      <c r="E980" s="340"/>
      <c r="F980" s="340"/>
      <c r="G980" s="327"/>
      <c r="H980" s="223"/>
      <c r="I980" s="164"/>
      <c r="J980" s="162"/>
      <c r="K980" s="129"/>
      <c r="L980" s="79"/>
      <c r="M980" s="79"/>
      <c r="N980" s="79"/>
    </row>
    <row r="981" ht="15.75" customHeight="1">
      <c r="A981" s="261"/>
      <c r="B981" s="171"/>
      <c r="C981" s="172"/>
      <c r="D981" s="172"/>
      <c r="E981" s="340"/>
      <c r="F981" s="340"/>
      <c r="G981" s="327"/>
      <c r="H981" s="223"/>
      <c r="I981" s="164"/>
      <c r="J981" s="162"/>
      <c r="K981" s="129"/>
      <c r="L981" s="79"/>
      <c r="M981" s="79"/>
      <c r="N981" s="79"/>
    </row>
    <row r="982" ht="15.75" customHeight="1">
      <c r="A982" s="261"/>
      <c r="B982" s="171"/>
      <c r="C982" s="172"/>
      <c r="D982" s="172"/>
      <c r="E982" s="340"/>
      <c r="F982" s="340"/>
      <c r="G982" s="327"/>
      <c r="H982" s="223"/>
      <c r="I982" s="164"/>
      <c r="J982" s="162"/>
      <c r="K982" s="129"/>
      <c r="L982" s="79"/>
      <c r="M982" s="79"/>
      <c r="N982" s="79"/>
    </row>
    <row r="983" ht="15.75" customHeight="1">
      <c r="A983" s="261"/>
      <c r="B983" s="171"/>
      <c r="C983" s="172"/>
      <c r="D983" s="172"/>
      <c r="E983" s="340"/>
      <c r="F983" s="340"/>
      <c r="G983" s="327"/>
      <c r="H983" s="223"/>
      <c r="I983" s="164"/>
      <c r="J983" s="162"/>
      <c r="K983" s="129"/>
      <c r="L983" s="79"/>
      <c r="M983" s="79"/>
      <c r="N983" s="79"/>
    </row>
    <row r="984" ht="15.75" customHeight="1">
      <c r="A984" s="261"/>
      <c r="B984" s="171"/>
      <c r="C984" s="172"/>
      <c r="D984" s="172"/>
      <c r="E984" s="340"/>
      <c r="F984" s="340"/>
      <c r="G984" s="327"/>
      <c r="H984" s="223"/>
      <c r="I984" s="164"/>
      <c r="J984" s="162"/>
      <c r="K984" s="129"/>
      <c r="L984" s="79"/>
      <c r="M984" s="79"/>
      <c r="N984" s="79"/>
    </row>
    <row r="985" ht="15.75" customHeight="1">
      <c r="A985" s="261"/>
      <c r="B985" s="171"/>
      <c r="C985" s="172"/>
      <c r="D985" s="172"/>
      <c r="E985" s="340"/>
      <c r="F985" s="340"/>
      <c r="G985" s="327"/>
      <c r="H985" s="223"/>
      <c r="I985" s="164"/>
      <c r="J985" s="162"/>
      <c r="K985" s="129"/>
      <c r="L985" s="79"/>
      <c r="M985" s="79"/>
      <c r="N985" s="79"/>
    </row>
    <row r="986" ht="15.75" customHeight="1">
      <c r="A986" s="261"/>
      <c r="B986" s="171"/>
      <c r="C986" s="172"/>
      <c r="D986" s="172"/>
      <c r="E986" s="340"/>
      <c r="F986" s="340"/>
      <c r="G986" s="327"/>
      <c r="H986" s="223"/>
      <c r="I986" s="164"/>
      <c r="J986" s="162"/>
      <c r="K986" s="129"/>
      <c r="L986" s="79"/>
      <c r="M986" s="79"/>
      <c r="N986" s="79"/>
    </row>
    <row r="987" ht="15.75" customHeight="1">
      <c r="A987" s="261"/>
      <c r="B987" s="171"/>
      <c r="C987" s="172"/>
      <c r="D987" s="172"/>
      <c r="E987" s="340"/>
      <c r="F987" s="340"/>
      <c r="G987" s="327"/>
      <c r="H987" s="223"/>
      <c r="I987" s="164"/>
      <c r="J987" s="162"/>
      <c r="K987" s="129"/>
      <c r="L987" s="79"/>
      <c r="M987" s="79"/>
      <c r="N987" s="79"/>
    </row>
    <row r="988" ht="15.75" customHeight="1">
      <c r="A988" s="261"/>
      <c r="B988" s="171"/>
      <c r="C988" s="172"/>
      <c r="D988" s="172"/>
      <c r="E988" s="340"/>
      <c r="F988" s="340"/>
      <c r="G988" s="327"/>
      <c r="H988" s="223"/>
      <c r="I988" s="164"/>
      <c r="J988" s="162"/>
      <c r="K988" s="129"/>
      <c r="L988" s="79"/>
      <c r="M988" s="79"/>
      <c r="N988" s="79"/>
    </row>
    <row r="989" ht="15.75" customHeight="1">
      <c r="A989" s="261"/>
      <c r="B989" s="171"/>
      <c r="C989" s="172"/>
      <c r="D989" s="172"/>
      <c r="E989" s="340"/>
      <c r="F989" s="340"/>
      <c r="G989" s="327"/>
      <c r="H989" s="223"/>
      <c r="I989" s="164"/>
      <c r="J989" s="162"/>
      <c r="K989" s="129"/>
      <c r="L989" s="79"/>
      <c r="M989" s="79"/>
      <c r="N989" s="79"/>
    </row>
    <row r="990" ht="15.75" customHeight="1">
      <c r="A990" s="261"/>
      <c r="B990" s="171"/>
      <c r="C990" s="172"/>
      <c r="D990" s="172"/>
      <c r="E990" s="340"/>
      <c r="F990" s="340"/>
      <c r="G990" s="327"/>
      <c r="H990" s="223"/>
      <c r="I990" s="164"/>
      <c r="J990" s="162"/>
      <c r="K990" s="129"/>
      <c r="L990" s="79"/>
      <c r="M990" s="79"/>
      <c r="N990" s="79"/>
    </row>
    <row r="991" ht="15.75" customHeight="1">
      <c r="A991" s="261"/>
      <c r="B991" s="171"/>
      <c r="C991" s="172"/>
      <c r="D991" s="172"/>
      <c r="E991" s="340"/>
      <c r="F991" s="340"/>
      <c r="G991" s="327"/>
      <c r="H991" s="223"/>
      <c r="I991" s="164"/>
      <c r="J991" s="162"/>
      <c r="K991" s="129"/>
      <c r="L991" s="79"/>
      <c r="M991" s="79"/>
      <c r="N991" s="79"/>
    </row>
    <row r="992" ht="15.75" customHeight="1">
      <c r="A992" s="261"/>
      <c r="B992" s="171"/>
      <c r="C992" s="172"/>
      <c r="D992" s="172"/>
      <c r="E992" s="340"/>
      <c r="F992" s="340"/>
      <c r="G992" s="327"/>
      <c r="H992" s="223"/>
      <c r="I992" s="164"/>
      <c r="J992" s="162"/>
      <c r="K992" s="129"/>
      <c r="L992" s="79"/>
      <c r="M992" s="79"/>
      <c r="N992" s="79"/>
    </row>
    <row r="993" ht="15.75" customHeight="1">
      <c r="A993" s="261"/>
      <c r="B993" s="171"/>
      <c r="C993" s="172"/>
      <c r="D993" s="172"/>
      <c r="E993" s="340"/>
      <c r="F993" s="340"/>
      <c r="G993" s="327"/>
      <c r="H993" s="223"/>
      <c r="I993" s="164"/>
      <c r="J993" s="162"/>
      <c r="K993" s="129"/>
      <c r="L993" s="79"/>
      <c r="M993" s="79"/>
      <c r="N993" s="79"/>
    </row>
    <row r="994" ht="15.75" customHeight="1">
      <c r="A994" s="261"/>
      <c r="B994" s="171"/>
      <c r="C994" s="172"/>
      <c r="D994" s="172"/>
      <c r="E994" s="340"/>
      <c r="F994" s="340"/>
      <c r="G994" s="327"/>
      <c r="H994" s="223"/>
      <c r="I994" s="164"/>
      <c r="J994" s="162"/>
      <c r="K994" s="129"/>
      <c r="L994" s="79"/>
      <c r="M994" s="79"/>
      <c r="N994" s="79"/>
    </row>
    <row r="995" ht="15.75" customHeight="1">
      <c r="A995" s="261"/>
      <c r="B995" s="171"/>
      <c r="C995" s="172"/>
      <c r="D995" s="172"/>
      <c r="E995" s="340"/>
      <c r="F995" s="340"/>
      <c r="G995" s="327"/>
      <c r="H995" s="223"/>
      <c r="I995" s="164"/>
      <c r="J995" s="162"/>
      <c r="K995" s="129"/>
      <c r="L995" s="79"/>
      <c r="M995" s="79"/>
      <c r="N995" s="79"/>
    </row>
    <row r="996" ht="15.75" customHeight="1">
      <c r="A996" s="261"/>
      <c r="B996" s="171"/>
      <c r="C996" s="172"/>
      <c r="D996" s="172"/>
      <c r="E996" s="340"/>
      <c r="F996" s="340"/>
      <c r="G996" s="327"/>
      <c r="H996" s="223"/>
      <c r="I996" s="164"/>
      <c r="J996" s="162"/>
      <c r="K996" s="129"/>
      <c r="L996" s="79"/>
      <c r="M996" s="79"/>
      <c r="N996" s="79"/>
    </row>
    <row r="997" ht="15.75" customHeight="1">
      <c r="A997" s="261"/>
      <c r="B997" s="171"/>
      <c r="C997" s="172"/>
      <c r="D997" s="172"/>
      <c r="E997" s="340"/>
      <c r="F997" s="340"/>
      <c r="G997" s="327"/>
      <c r="H997" s="223"/>
      <c r="I997" s="164"/>
      <c r="J997" s="162"/>
      <c r="K997" s="129"/>
      <c r="L997" s="79"/>
      <c r="M997" s="79"/>
      <c r="N997" s="79"/>
    </row>
  </sheetData>
  <dataValidations>
    <dataValidation type="list" allowBlank="1" showErrorMessage="1" sqref="D3:D997">
      <formula1>"ELABORANDO PROJETO,EM CONSTRUÇÃO"</formula1>
    </dataValidation>
  </dataValidations>
  <printOptions gridLines="1"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2.0" topLeftCell="A3" activePane="bottomLeft" state="frozen"/>
      <selection activeCell="B4" sqref="B4" pane="bottomLeft"/>
    </sheetView>
  </sheetViews>
  <sheetFormatPr customHeight="1" defaultColWidth="12.63" defaultRowHeight="15.0"/>
  <cols>
    <col customWidth="1" min="1" max="1" width="12.75"/>
    <col customWidth="1" min="2" max="2" width="10.13"/>
    <col customWidth="1" min="3" max="3" width="13.63"/>
    <col customWidth="1" min="4" max="4" width="15.63"/>
    <col customWidth="1" min="5" max="5" width="25.25"/>
    <col customWidth="1" min="6" max="6" width="52.0"/>
    <col customWidth="1" min="7" max="7" width="24.63"/>
    <col customWidth="1" min="8" max="8" width="20.25"/>
    <col customWidth="1" min="9" max="9" width="12.63"/>
    <col customWidth="1" min="10" max="13" width="14.88"/>
    <col customWidth="1" min="14" max="14" width="31.38"/>
    <col customWidth="1" min="15" max="23" width="15.63"/>
    <col customWidth="1" min="24" max="25" width="53.75"/>
    <col customWidth="1" min="26" max="26" width="3.0"/>
  </cols>
  <sheetData>
    <row r="1" ht="89.25" customHeight="1">
      <c r="A1" s="7"/>
      <c r="B1" s="341"/>
      <c r="C1" s="7"/>
      <c r="D1" s="9"/>
      <c r="E1" s="342"/>
      <c r="F1" s="9"/>
      <c r="G1" s="9"/>
      <c r="H1" s="9"/>
      <c r="I1" s="9"/>
      <c r="J1" s="9"/>
      <c r="K1" s="9"/>
      <c r="L1" s="9"/>
      <c r="M1" s="9"/>
      <c r="N1" s="343"/>
      <c r="O1" s="14"/>
      <c r="P1" s="9"/>
      <c r="Q1" s="9"/>
      <c r="R1" s="9"/>
      <c r="S1" s="9"/>
      <c r="T1" s="9"/>
      <c r="U1" s="9"/>
      <c r="V1" s="9"/>
      <c r="W1" s="9"/>
      <c r="X1" s="9"/>
      <c r="Y1" s="9"/>
      <c r="Z1" s="9"/>
    </row>
    <row r="2" ht="57.0" customHeight="1">
      <c r="A2" s="23" t="s">
        <v>14</v>
      </c>
      <c r="B2" s="344" t="s">
        <v>544</v>
      </c>
      <c r="C2" s="25" t="s">
        <v>26</v>
      </c>
      <c r="D2" s="25" t="s">
        <v>545</v>
      </c>
      <c r="E2" s="345" t="s">
        <v>546</v>
      </c>
      <c r="F2" s="346" t="s">
        <v>547</v>
      </c>
      <c r="G2" s="347" t="s">
        <v>2</v>
      </c>
      <c r="H2" s="347" t="s">
        <v>16</v>
      </c>
      <c r="I2" s="347" t="s">
        <v>5</v>
      </c>
      <c r="J2" s="348" t="s">
        <v>24</v>
      </c>
      <c r="K2" s="347" t="s">
        <v>548</v>
      </c>
      <c r="L2" s="347" t="s">
        <v>25</v>
      </c>
      <c r="M2" s="347" t="s">
        <v>43</v>
      </c>
      <c r="N2" s="349" t="s">
        <v>9</v>
      </c>
      <c r="O2" s="347" t="s">
        <v>10</v>
      </c>
      <c r="P2" s="347" t="s">
        <v>549</v>
      </c>
      <c r="Q2" s="347" t="s">
        <v>550</v>
      </c>
      <c r="R2" s="350" t="s">
        <v>551</v>
      </c>
      <c r="S2" s="305" t="s">
        <v>552</v>
      </c>
      <c r="T2" s="305" t="s">
        <v>553</v>
      </c>
      <c r="U2" s="305" t="s">
        <v>554</v>
      </c>
      <c r="V2" s="305" t="s">
        <v>41</v>
      </c>
      <c r="W2" s="350" t="s">
        <v>510</v>
      </c>
      <c r="X2" s="351" t="s">
        <v>13</v>
      </c>
      <c r="Y2" s="352"/>
      <c r="Z2" s="353"/>
    </row>
    <row r="3" ht="137.25" customHeight="1">
      <c r="A3" s="354" t="s">
        <v>555</v>
      </c>
      <c r="B3" s="355" t="s">
        <v>339</v>
      </c>
      <c r="C3" s="356" t="s">
        <v>104</v>
      </c>
      <c r="D3" s="58" t="s">
        <v>1</v>
      </c>
      <c r="E3" s="61" t="s">
        <v>62</v>
      </c>
      <c r="F3" s="357" t="str">
        <f t="array" ref="F3">TEXTJOIN(CHAR(10), TRUE, 
  "*" &amp; E3 &amp; "*", 
  "Status: " &amp; _xlfn.XLOOKUP(E3, 'DESCONTINUADA Hospitais Regiona'!B:B, 'DESCONTINUADA Hospitais Regiona'!C:C, "Não encontrado"), 
  "Tipo de Gestão: " &amp; _xlfn.XLOOKUP(E3, 'DESCONTINUADA Hospitais Regiona'!B:B, 'DESCONTINUADA Hospitais Regiona'!E:E, "Não encontrado"), 
  "OSS: " &amp; _xlfn.XLOOKUP(E3, 'DESCONTINUADA Hospitais Regiona'!B:B, 'DESCONTINUADA Hospitais Regiona'!D:D, "Não encontrado"), 
  "Geres: " &amp; _xlfn.XLOOKUP(E3, 'DESCONTINUADA Hospitais Regiona'!B:B, 'DESCONTINUADA Hospitais Regiona'!F:F, "Não encontrado"), 
  "Localização: " &amp; _xlfn.XLOOKUP(E3, 'DESCONTINUADA Hospitais Regiona'!B:B, 'DESCONTINUADA Hospitais Regiona'!G:G, "Não encontrado"), 
  "Nº de Leitos: " &amp; _xlfn.XLOOKUP(E3, 'DESCONTINUADA Hospitais Regiona'!B:B, 'DESCONTINUADA Hospitais Regiona'!H:H, "Não encontrado"),
  "Leitos abertos nesta gestão: " &amp; _xlfn.XLOOKUP(E3, 'DESCONTINUADA Hospitais Regiona'!B:B, 'DESCONTINUADA Hospitais Regiona'!I:I, "Não encontrado"),
  "Perfil: " &amp; _xlfn.XLOOKUP(E3, 'DESCONTINUADA Hospitais Regiona'!B:B, 'DESCONTINUADA Hospitais Regiona'!L:L, "Não encontrado"), 
  "Nº Profissionais Total: " &amp; _xlfn.XLOOKUP(E3, 'DESCONTINUADA Hospitais Regiona'!B:B, 'DESCONTINUADA Hospitais Regiona'!M:M, "Não encontrado"), 
  "Nº Profissionais convocados nesta gestão: " &amp; _xlfn.XLOOKUP(E3, 'DESCONTINUADA Hospitais Regiona'!B:B, 'DESCONTINUADA Hospitais Regiona'!N:N, "Não encontrado"), 
  "Valor do contrato de manutenção predial (anual): " &amp; _xlfn.XLOOKUP(E3, 'DESCONTINUADA Hospitais Regiona'!B:B, 'DESCONTINUADA Hospitais Regiona'!O:O, "Não encontrado"), 
  "Investimento nesta gestão: " &amp; TEXT(_xlfn.XLOOKUP(E3, 'DESCONTINUADA Hospitais Regiona'!B:B, 'DESCONTINUADA Hospitais Regiona'!P:P, 0), "R$ #.##0,00"), 
  "Aumento do cofinanciamento (Gestão Própria) - de 2023 a 2026: " &amp; TEXT(_xlfn.XLOOKUP(E3, 'DESCONTINUADA Hospitais Regiona'!B:B, 'DESCONTINUADA Hospitais Regiona'!S:S, 0), "0,00%"), 
  "Cofinanciamento 2022 (Apenas Gestão Própria): " &amp; TEXT(_xlfn.XLOOKUP(E3, 'DESCONTINUADA Hospitais Regiona'!B:B, 'DESCONTINUADA Hospitais Regiona'!Q:Q, 0), "R$ #.##0,00"), 
  "Cofinanciamento 2025 (Apenas Gestão Própria): " &amp; TEXT(_xlfn.XLOOKUP(E3, 'DESCONTINUADA Hospitais Regiona'!B:B, 'DESCONTINUADA Hospitais Regiona'!R:R, 0), "R$ #.##0,00"), 
  "Repasse (OS) em 2025: " &amp; TEXT(_xlfn.XLOOKUP(E3, 'DESCONTINUADA Hospitais Regiona'!B:B, 'DESCONTINUADA Hospitais Regiona'!T:T, 0), "R$ #.##0,00"), 
  "Principais avanços nessa gestão: " &amp; _xlfn.XLOOKUP(E3, 'DESCONTINUADA Hospitais Regiona'!B:B, 'DESCONTINUADA Hospitais Regiona'!U:U, "Não encontrado")
)</f>
        <v>*Hospital Geral da Mirueira*
Status: EM FUNCIONAMENTO
Tipo de Gestão: Gestão própria
OSS: -
Geres: I
Localização:  Estrada da Santa Casa, s/n, Mirueira-Paulista/PE
Nº de Leitos: 102
Leitos abertos nesta gestão: 12
Perfil: clínica médica, hanseníase, saúde mental (referência para tratamento de alcoolismo e outras drogas)
Nº Profissionais Total: 386
Nº Profissionais convocados nesta gestão: 132
Valor do contrato de manutenção predial (anual): 5062936,89
Investimento nesta gestão: R$ 11.162.206,84000
Aumento do cofinanciamento (Gestão Própria) - de 2023 a 2026: 014%
Cofinanciamento 2022 (Apenas Gestão Própria): R$ 2.542.612,000
Cofinanciamento 2025 (Apenas Gestão Própria): R$ 2.886.030,4000
Repasse (OS) em 2025: -
Principais avanços nessa gestão: Equipagem: Ampliação de 12 leitos de saúde mental; Substituição de todas as camas da unidade; Implantação do Núcleo Interno de Regulação-NIR; Implantação de 30 cargos de liderança para servidores-FSUS; Requalificação do  setor do  Raio-x (em andamento);  Incremento de recursos humanos; Abertura de 10 leitos-clínica médica (em andamento).</v>
      </c>
      <c r="G3" s="61" t="s">
        <v>63</v>
      </c>
      <c r="H3" s="61" t="s">
        <v>75</v>
      </c>
      <c r="I3" s="58" t="s">
        <v>85</v>
      </c>
      <c r="J3" s="208">
        <f t="array" ref="J3">_xlfn.XLOOKUP(E3, 'DESCONTINUADA Hospitais Regiona'!B:B, 'DESCONTINUADA Hospitais Regiona'!I:I)</f>
        <v>12</v>
      </c>
      <c r="K3" s="208">
        <f t="array" ref="K3">_xlfn.XLOOKUP(E3, 'DESCONTINUADA Hospitais Regiona'!B:B, 'DESCONTINUADA Hospitais Regiona'!H:H)</f>
        <v>102</v>
      </c>
      <c r="L3" s="208" t="str">
        <f t="array" ref="L3">_xlfn.XLOOKUP(E3, 'DESCONTINUADA Hospitais Regiona'!B:B, 'DESCONTINUADA Hospitais Regiona'!J:J)</f>
        <v>Enfermaria Saúde Mental</v>
      </c>
      <c r="M3" s="208" t="str">
        <f t="array" ref="M3">_xlfn.XLOOKUP(E3, 'DESCONTINUADA Hospitais Regiona'!B:B, 'DESCONTINUADA Hospitais Regiona'!K:K)</f>
        <v>-</v>
      </c>
      <c r="N3" s="358" t="str">
        <f t="array" ref="N3">_xlfn.XLOOKUP(E3, 'DESCONTINUADA Hospitais Regiona'!B:B, 'DESCONTINUADA Hospitais Regiona'!L:L)</f>
        <v>clínica médica, hanseníase, saúde mental (referência para tratamento de alcoolismo e outras drogas)</v>
      </c>
      <c r="O3" s="359">
        <f t="array" ref="O3">_xlfn.XLOOKUP(E3, 'DESCONTINUADA Hospitais Regiona'!B:B, 'DESCONTINUADA Hospitais Regiona'!M:M)</f>
        <v>386</v>
      </c>
      <c r="P3" s="208">
        <f t="array" ref="P3">_xlfn.XLOOKUP(E3, 'DESCONTINUADA Hospitais Regiona'!B:B, 'DESCONTINUADA Hospitais Regiona'!N:N)</f>
        <v>132</v>
      </c>
      <c r="Q3" s="211">
        <f t="array" ref="Q3">_xlfn.XLOOKUP(E3, 'DESCONTINUADA Hospitais Regiona'!B:B, 'DESCONTINUADA Hospitais Regiona'!O:O)</f>
        <v>5062936.89</v>
      </c>
      <c r="R3" s="211">
        <f t="array" ref="R3">_xlfn.XLOOKUP(E3, 'DESCONTINUADA Hospitais Regiona'!B:B, 'DESCONTINUADA Hospitais Regiona'!P:P)</f>
        <v>11162206.84</v>
      </c>
      <c r="S3" s="211">
        <f t="array" ref="S3">_xlfn.XLOOKUP(E3, 'DESCONTINUADA Hospitais Regiona'!B:B, 'DESCONTINUADA Hospitais Regiona'!Q:Q)</f>
        <v>2542612</v>
      </c>
      <c r="T3" s="211">
        <f t="array" ref="T3">_xlfn.XLOOKUP(E3, 'DESCONTINUADA Hospitais Regiona'!B:B, 'DESCONTINUADA Hospitais Regiona'!R:R)</f>
        <v>2886030.4</v>
      </c>
      <c r="U3" s="360">
        <f t="array" ref="U3">_xlfn.XLOOKUP(E3, 'DESCONTINUADA Hospitais Regiona'!B:B, 'DESCONTINUADA Hospitais Regiona'!S:S)</f>
        <v>0.1350652007</v>
      </c>
      <c r="V3" s="211" t="str">
        <f t="array" ref="V3">_xlfn.XLOOKUP(E3, 'DESCONTINUADA Hospitais Regiona'!B:B, 'DESCONTINUADA Hospitais Regiona'!T:T)</f>
        <v>-</v>
      </c>
      <c r="W3" s="208"/>
      <c r="X3" s="357" t="str">
        <f t="array" ref="X3">_xlfn.XLOOKUP(E3, 'DESCONTINUADA Hospitais Regiona'!B:B, 'DESCONTINUADA Hospitais Regiona'!U:U)</f>
        <v>Equipagem: Ampliação de 12 leitos de saúde mental; Substituição de todas as camas da unidade; Implantação do Núcleo Interno de Regulação-NIR; Implantação de 30 cargos de liderança para servidores-FSUS; Requalificação do  setor do  Raio-x (em andamento);  Incremento de recursos humanos; Abertura de 10 leitos-clínica médica (em andamento).</v>
      </c>
      <c r="Y3" s="361"/>
      <c r="Z3" s="362"/>
    </row>
    <row r="4" ht="137.25" customHeight="1">
      <c r="A4" s="363">
        <v>2611606.0</v>
      </c>
      <c r="B4" s="355" t="s">
        <v>96</v>
      </c>
      <c r="C4" s="356" t="s">
        <v>104</v>
      </c>
      <c r="D4" s="58" t="s">
        <v>1</v>
      </c>
      <c r="E4" s="61" t="s">
        <v>113</v>
      </c>
      <c r="F4" s="357" t="str">
        <f t="array" ref="F4">TEXTJOIN(CHAR(10), TRUE, 
  "*" &amp; E4 &amp; "*", 
  "Status: " &amp; _xlfn.XLOOKUP(E4, 'DESCONTINUADA Hospitais Regiona'!B:B, 'DESCONTINUADA Hospitais Regiona'!C:C, "Não encontrado"), 
  "Tipo de Gestão: " &amp; _xlfn.XLOOKUP(E4, 'DESCONTINUADA Hospitais Regiona'!B:B, 'DESCONTINUADA Hospitais Regiona'!E:E, "Não encontrado"), 
  "OSS: " &amp; _xlfn.XLOOKUP(E4, 'DESCONTINUADA Hospitais Regiona'!B:B, 'DESCONTINUADA Hospitais Regiona'!D:D, "Não encontrado"), 
  "Geres: " &amp; _xlfn.XLOOKUP(E4, 'DESCONTINUADA Hospitais Regiona'!B:B, 'DESCONTINUADA Hospitais Regiona'!F:F, "Não encontrado"), 
  "Localização: " &amp; _xlfn.XLOOKUP(E4, 'DESCONTINUADA Hospitais Regiona'!B:B, 'DESCONTINUADA Hospitais Regiona'!G:G, "Não encontrado"), 
  "Nº de Leitos: " &amp; _xlfn.XLOOKUP(E4, 'DESCONTINUADA Hospitais Regiona'!B:B, 'DESCONTINUADA Hospitais Regiona'!H:H, "Não encontrado"),
  "Leitos abertos nesta gestão: " &amp; _xlfn.XLOOKUP(E4, 'DESCONTINUADA Hospitais Regiona'!B:B, 'DESCONTINUADA Hospitais Regiona'!I:I, "Não encontrado"),
  "Perfil: " &amp; _xlfn.XLOOKUP(E4, 'DESCONTINUADA Hospitais Regiona'!B:B, 'DESCONTINUADA Hospitais Regiona'!L:L, "Não encontrado"), 
  "Nº Profissionais Total: " &amp; _xlfn.XLOOKUP(E4, 'DESCONTINUADA Hospitais Regiona'!B:B, 'DESCONTINUADA Hospitais Regiona'!M:M, "Não encontrado"), 
  "Nº Profissionais convocados nesta gestão: " &amp; _xlfn.XLOOKUP(E4, 'DESCONTINUADA Hospitais Regiona'!B:B, 'DESCONTINUADA Hospitais Regiona'!N:N, "Não encontrado"), 
  "Valor do contrato de manutenção predial (anual): " &amp; _xlfn.XLOOKUP(E4, 'DESCONTINUADA Hospitais Regiona'!B:B, 'DESCONTINUADA Hospitais Regiona'!O:O, "Não encontrado"), 
  "Investimento nesta gestão: " &amp; TEXT(_xlfn.XLOOKUP(E4, 'DESCONTINUADA Hospitais Regiona'!B:B, 'DESCONTINUADA Hospitais Regiona'!P:P, 0), "R$ #.##0,00"), 
  "Aumento do cofinanciamento (Gestão Própria) - de 2023 a 2026: " &amp; TEXT(_xlfn.XLOOKUP(E4, 'DESCONTINUADA Hospitais Regiona'!B:B, 'DESCONTINUADA Hospitais Regiona'!S:S, 0), "0,00%"), 
  "Cofinanciamento 2022 (Apenas Gestão Própria): " &amp; TEXT(_xlfn.XLOOKUP(E4, 'DESCONTINUADA Hospitais Regiona'!B:B, 'DESCONTINUADA Hospitais Regiona'!Q:Q, 0), "R$ #.##0,00"), 
  "Cofinanciamento 2025 (Apenas Gestão Própria): " &amp; TEXT(_xlfn.XLOOKUP(E4, 'DESCONTINUADA Hospitais Regiona'!B:B, 'DESCONTINUADA Hospitais Regiona'!R:R, 0), "R$ #.##0,00"), 
  "Repasse (OS) em 2025: " &amp; TEXT(_xlfn.XLOOKUP(E4, 'DESCONTINUADA Hospitais Regiona'!B:B, 'DESCONTINUADA Hospitais Regiona'!T:T, 0), "R$ #.##0,00"), 
  "Principais avanços nessa gestão: " &amp; _xlfn.XLOOKUP(E4, 'DESCONTINUADA Hospitais Regiona'!B:B, 'DESCONTINUADA Hospitais Regiona'!U:U, "Não encontrado")
)</f>
        <v>*Hospital Geral de Areias*
Status: EM FUNCIONAMENTO
Tipo de Gestão: Gestão própria
OSS: -
Geres: I
Localização: Avenida Recife, 810, Estância, Recife 
Nº de Leitos: 103
Leitos abertos nesta gestão: -
Perfil: Urgência: Odontologia, clínica médica, pediatria. Ambulatório: Bucomaxilo, Clínica Médica Geral Adulto, Ortopedia, Gastroenterologia, reumatologia, Odontologia e Pediatria.
Nº Profissionais Total: 832
Nº Profissionais convocados nesta gestão: 516
Valor do contrato de manutenção predial (anual): 3921000
Investimento nesta gestão: R$ 16.678.217,75000
Aumento do cofinanciamento (Gestão Própria) - de 2023 a 2026: 132%
Cofinanciamento 2022 (Apenas Gestão Própria): R$ 3.292.000,000
Cofinanciamento 2025 (Apenas Gestão Própria): R$ 7.635.659,8000
Repasse (OS) em 2025: -
Principais avanços nessa gestão: Requalificação da emergência pediatrica, requalificação do ambulatório de odontologia , incluindo o PNE - pacientes com necessidades especiais;  Implantação do Serviço Especializado em Engenharia de Segurança e em Medicina do Trabalho – SESMT; Implementação do Huddle nas emergências; Aqusição de 01 (uma) ambulância de suporte avançado (UTI) Movél;  Aquisição de instrumentais cirúrgicos; Aquisição de cadeiras odontológicas;  Incremento de recursos humanos; Substituição de todas as camas da unidade; Implantação de 31 cargos de liderança para servidores-FSUS.</v>
      </c>
      <c r="G4" s="61" t="s">
        <v>63</v>
      </c>
      <c r="H4" s="61" t="s">
        <v>75</v>
      </c>
      <c r="I4" s="58" t="s">
        <v>85</v>
      </c>
      <c r="J4" s="208" t="str">
        <f t="array" ref="J4">_xlfn.XLOOKUP(E4, 'DESCONTINUADA Hospitais Regiona'!B:B, 'DESCONTINUADA Hospitais Regiona'!I:I)</f>
        <v>-</v>
      </c>
      <c r="K4" s="208">
        <f t="array" ref="K4">_xlfn.XLOOKUP(E4, 'DESCONTINUADA Hospitais Regiona'!B:B, 'DESCONTINUADA Hospitais Regiona'!H:H)</f>
        <v>103</v>
      </c>
      <c r="L4" s="208" t="str">
        <f t="array" ref="L4">_xlfn.XLOOKUP(E4, 'DESCONTINUADA Hospitais Regiona'!B:B, 'DESCONTINUADA Hospitais Regiona'!J:J)</f>
        <v>-</v>
      </c>
      <c r="M4" s="208" t="str">
        <f t="array" ref="M4">_xlfn.XLOOKUP(E4, 'DESCONTINUADA Hospitais Regiona'!B:B, 'DESCONTINUADA Hospitais Regiona'!K:K)</f>
        <v>-</v>
      </c>
      <c r="N4" s="358" t="str">
        <f t="array" ref="N4">_xlfn.XLOOKUP(E4, 'DESCONTINUADA Hospitais Regiona'!B:B, 'DESCONTINUADA Hospitais Regiona'!L:L)</f>
        <v>Urgência: Odontologia, clínica médica, pediatria. Ambulatório: Bucomaxilo, Clínica Médica Geral Adulto, Ortopedia, Gastroenterologia, reumatologia, Odontologia e Pediatria.
</v>
      </c>
      <c r="O4" s="359">
        <f t="array" ref="O4">_xlfn.XLOOKUP(E4, 'DESCONTINUADA Hospitais Regiona'!B:B, 'DESCONTINUADA Hospitais Regiona'!M:M)</f>
        <v>832</v>
      </c>
      <c r="P4" s="208">
        <f t="array" ref="P4">_xlfn.XLOOKUP(E4, 'DESCONTINUADA Hospitais Regiona'!B:B, 'DESCONTINUADA Hospitais Regiona'!N:N)</f>
        <v>516</v>
      </c>
      <c r="Q4" s="211">
        <f t="array" ref="Q4">_xlfn.XLOOKUP(E4, 'DESCONTINUADA Hospitais Regiona'!B:B, 'DESCONTINUADA Hospitais Regiona'!O:O)</f>
        <v>3921000</v>
      </c>
      <c r="R4" s="211">
        <f t="array" ref="R4">_xlfn.XLOOKUP(E4, 'DESCONTINUADA Hospitais Regiona'!B:B, 'DESCONTINUADA Hospitais Regiona'!P:P)</f>
        <v>16678217.75</v>
      </c>
      <c r="S4" s="211">
        <f t="array" ref="S4">_xlfn.XLOOKUP(E4, 'DESCONTINUADA Hospitais Regiona'!B:B, 'DESCONTINUADA Hospitais Regiona'!Q:Q)</f>
        <v>3292000</v>
      </c>
      <c r="T4" s="211">
        <f t="array" ref="T4">_xlfn.XLOOKUP(E4, 'DESCONTINUADA Hospitais Regiona'!B:B, 'DESCONTINUADA Hospitais Regiona'!R:R)</f>
        <v>7635659.8</v>
      </c>
      <c r="U4" s="360">
        <f t="array" ref="U4">_xlfn.XLOOKUP(E4, 'DESCONTINUADA Hospitais Regiona'!B:B, 'DESCONTINUADA Hospitais Regiona'!S:S)</f>
        <v>1.319459235</v>
      </c>
      <c r="V4" s="211" t="str">
        <f t="array" ref="V4">_xlfn.XLOOKUP(E4, 'DESCONTINUADA Hospitais Regiona'!B:B, 'DESCONTINUADA Hospitais Regiona'!T:T)</f>
        <v>-</v>
      </c>
      <c r="W4" s="208"/>
      <c r="X4" s="357" t="str">
        <f t="array" ref="X4">_xlfn.XLOOKUP(E4, 'DESCONTINUADA Hospitais Regiona'!B:B, 'DESCONTINUADA Hospitais Regiona'!U:U)</f>
        <v>Requalificação da emergência pediatrica, requalificação do ambulatório de odontologia , incluindo o PNE - pacientes com necessidades especiais;  Implantação do Serviço Especializado em Engenharia de Segurança e em Medicina do Trabalho – SESMT; Implementação do Huddle nas emergências; Aqusição de 01 (uma) ambulância de suporte avançado (UTI) Movél;  Aquisição de instrumentais cirúrgicos; Aquisição de cadeiras odontológicas;  Incremento de recursos humanos; Substituição de todas as camas da unidade; Implantação de 31 cargos de liderança para servidores-FSUS.</v>
      </c>
      <c r="Y4" s="361"/>
      <c r="Z4" s="362"/>
    </row>
    <row r="5" ht="137.25" customHeight="1">
      <c r="A5" s="354" t="s">
        <v>555</v>
      </c>
      <c r="B5" s="355" t="s">
        <v>339</v>
      </c>
      <c r="C5" s="356" t="s">
        <v>104</v>
      </c>
      <c r="D5" s="58" t="s">
        <v>1</v>
      </c>
      <c r="E5" s="61" t="s">
        <v>119</v>
      </c>
      <c r="F5" s="357" t="str">
        <f t="array" ref="F5">TEXTJOIN(CHAR(10), TRUE, 
  "*" &amp; E5 &amp; "*", 
  "Status: " &amp; _xlfn.XLOOKUP(E5, 'DESCONTINUADA Hospitais Regiona'!B:B, 'DESCONTINUADA Hospitais Regiona'!C:C, "Não encontrado"), 
  "Tipo de Gestão: " &amp; _xlfn.XLOOKUP(E5, 'DESCONTINUADA Hospitais Regiona'!B:B, 'DESCONTINUADA Hospitais Regiona'!E:E, "Não encontrado"), 
  "OSS: " &amp; _xlfn.XLOOKUP(E5, 'DESCONTINUADA Hospitais Regiona'!B:B, 'DESCONTINUADA Hospitais Regiona'!D:D, "Não encontrado"), 
  "Geres: " &amp; _xlfn.XLOOKUP(E5, 'DESCONTINUADA Hospitais Regiona'!B:B, 'DESCONTINUADA Hospitais Regiona'!F:F, "Não encontrado"), 
  "Localização: " &amp; _xlfn.XLOOKUP(E5, 'DESCONTINUADA Hospitais Regiona'!B:B, 'DESCONTINUADA Hospitais Regiona'!G:G, "Não encontrado"), 
  "Nº de Leitos: " &amp; _xlfn.XLOOKUP(E5, 'DESCONTINUADA Hospitais Regiona'!B:B, 'DESCONTINUADA Hospitais Regiona'!H:H, "Não encontrado"),
  "Leitos abertos nesta gestão: " &amp; _xlfn.XLOOKUP(E5, 'DESCONTINUADA Hospitais Regiona'!B:B, 'DESCONTINUADA Hospitais Regiona'!I:I, "Não encontrado"),
  "Perfil: " &amp; _xlfn.XLOOKUP(E5, 'DESCONTINUADA Hospitais Regiona'!B:B, 'DESCONTINUADA Hospitais Regiona'!L:L, "Não encontrado"), 
  "Nº Profissionais Total: " &amp; _xlfn.XLOOKUP(E5, 'DESCONTINUADA Hospitais Regiona'!B:B, 'DESCONTINUADA Hospitais Regiona'!M:M, "Não encontrado"), 
  "Nº Profissionais convocados nesta gestão: " &amp; _xlfn.XLOOKUP(E5, 'DESCONTINUADA Hospitais Regiona'!B:B, 'DESCONTINUADA Hospitais Regiona'!N:N, "Não encontrado"), 
  "Valor do contrato de manutenção predial (anual): " &amp; _xlfn.XLOOKUP(E5, 'DESCONTINUADA Hospitais Regiona'!B:B, 'DESCONTINUADA Hospitais Regiona'!O:O, "Não encontrado"), 
  "Investimento nesta gestão: " &amp; TEXT(_xlfn.XLOOKUP(E5, 'DESCONTINUADA Hospitais Regiona'!B:B, 'DESCONTINUADA Hospitais Regiona'!P:P, 0), "R$ #.##0,00"), 
  "Aumento do cofinanciamento (Gestão Própria) - de 2023 a 2026: " &amp; TEXT(_xlfn.XLOOKUP(E5, 'DESCONTINUADA Hospitais Regiona'!B:B, 'DESCONTINUADA Hospitais Regiona'!S:S, 0), "0,00%"), 
  "Cofinanciamento 2022 (Apenas Gestão Própria): " &amp; TEXT(_xlfn.XLOOKUP(E5, 'DESCONTINUADA Hospitais Regiona'!B:B, 'DESCONTINUADA Hospitais Regiona'!Q:Q, 0), "R$ #.##0,00"), 
  "Cofinanciamento 2025 (Apenas Gestão Própria): " &amp; TEXT(_xlfn.XLOOKUP(E5, 'DESCONTINUADA Hospitais Regiona'!B:B, 'DESCONTINUADA Hospitais Regiona'!R:R, 0), "R$ #.##0,00"), 
  "Repasse (OS) em 2025: " &amp; TEXT(_xlfn.XLOOKUP(E5, 'DESCONTINUADA Hospitais Regiona'!B:B, 'DESCONTINUADA Hospitais Regiona'!T:T, 0), "R$ #.##0,00"), 
  "Principais avanços nessa gestão: " &amp; _xlfn.XLOOKUP(E5, 'DESCONTINUADA Hospitais Regiona'!B:B, 'DESCONTINUADA Hospitais Regiona'!U:U, "Não encontrado")
)</f>
        <v>*Hospital Nossa Senhora de Aparecida*
Status: EM FUNCIONAMENTO
Tipo de Gestão: OSS
OSS: HTRI
Geres: I
Localização: Avenida Rodolfo Aureliano, 976, Vila Torres Galvão, Paulista
Nº de Leitos: 114
Leitos abertos nesta gestão: -
Perfil: Neurologia clínica e cirúrgica pediátrica, pediatria clínica, pediatria cirúrgica, cirurgia vascular com hemodinâmica, endoscopia digestiva alta adulto e pediátrica, urgência e emergência adulto e pediátrica
Nº Profissionais Total: 626
Nº Profissionais convocados nesta gestão: -
Valor do contrato de manutenção predial (anual): -
Investimento nesta gestão: R$ 178.000.000,000
Aumento do cofinanciamento (Gestão Própria) - de 2023 a 2026: 000%
Cofinanciamento 2022 (Apenas Gestão Própria): -
Cofinanciamento 2025 (Apenas Gestão Própria): -
Repasse (OS) em 2025: -
Principais avanços nessa gestão: Hospital inaugurado em 15/06/2026.</v>
      </c>
      <c r="G5" s="61" t="s">
        <v>63</v>
      </c>
      <c r="H5" s="61" t="s">
        <v>4</v>
      </c>
      <c r="I5" s="58" t="s">
        <v>85</v>
      </c>
      <c r="J5" s="208" t="str">
        <f t="array" ref="J5">_xlfn.XLOOKUP(E5, 'DESCONTINUADA Hospitais Regiona'!B:B, 'DESCONTINUADA Hospitais Regiona'!I:I)</f>
        <v>-</v>
      </c>
      <c r="K5" s="208">
        <f t="array" ref="K5">_xlfn.XLOOKUP(E5, 'DESCONTINUADA Hospitais Regiona'!B:B, 'DESCONTINUADA Hospitais Regiona'!H:H)</f>
        <v>114</v>
      </c>
      <c r="L5" s="208" t="str">
        <f t="array" ref="L5">_xlfn.XLOOKUP(E5, 'DESCONTINUADA Hospitais Regiona'!B:B, 'DESCONTINUADA Hospitais Regiona'!J:J)</f>
        <v>-</v>
      </c>
      <c r="M5" s="208">
        <f t="array" ref="M5">_xlfn.XLOOKUP(E5, 'DESCONTINUADA Hospitais Regiona'!B:B, 'DESCONTINUADA Hospitais Regiona'!K:K)</f>
        <v>99</v>
      </c>
      <c r="N5" s="358" t="str">
        <f t="array" ref="N5">_xlfn.XLOOKUP(E5, 'DESCONTINUADA Hospitais Regiona'!B:B, 'DESCONTINUADA Hospitais Regiona'!L:L)</f>
        <v>Neurologia clínica e cirúrgica pediátrica, pediatria clínica, pediatria cirúrgica, cirurgia vascular com hemodinâmica, endoscopia digestiva alta adulto e pediátrica, urgência e emergência adulto e pediátrica</v>
      </c>
      <c r="O5" s="359">
        <f t="array" ref="O5">_xlfn.XLOOKUP(E5, 'DESCONTINUADA Hospitais Regiona'!B:B, 'DESCONTINUADA Hospitais Regiona'!M:M)</f>
        <v>626</v>
      </c>
      <c r="P5" s="208" t="str">
        <f t="array" ref="P5">_xlfn.XLOOKUP(E5, 'DESCONTINUADA Hospitais Regiona'!B:B, 'DESCONTINUADA Hospitais Regiona'!N:N)</f>
        <v>-</v>
      </c>
      <c r="Q5" s="211" t="str">
        <f t="array" ref="Q5">_xlfn.XLOOKUP(E5, 'DESCONTINUADA Hospitais Regiona'!B:B, 'DESCONTINUADA Hospitais Regiona'!O:O)</f>
        <v>-</v>
      </c>
      <c r="R5" s="211">
        <f t="array" ref="R5">_xlfn.XLOOKUP(E5, 'DESCONTINUADA Hospitais Regiona'!B:B, 'DESCONTINUADA Hospitais Regiona'!P:P)</f>
        <v>178000000</v>
      </c>
      <c r="S5" s="208" t="str">
        <f t="array" ref="S5">_xlfn.XLOOKUP(E5, 'DESCONTINUADA Hospitais Regiona'!B:B, 'DESCONTINUADA Hospitais Regiona'!Q:Q)</f>
        <v>-</v>
      </c>
      <c r="T5" s="208" t="str">
        <f t="array" ref="T5">_xlfn.XLOOKUP(E5, 'DESCONTINUADA Hospitais Regiona'!B:B, 'DESCONTINUADA Hospitais Regiona'!R:R)</f>
        <v>-</v>
      </c>
      <c r="U5" s="360" t="str">
        <f t="array" ref="U5">_xlfn.XLOOKUP(E5, 'DESCONTINUADA Hospitais Regiona'!B:B, 'DESCONTINUADA Hospitais Regiona'!S:S)</f>
        <v/>
      </c>
      <c r="V5" s="211" t="str">
        <f t="array" ref="V5">_xlfn.XLOOKUP(E5, 'DESCONTINUADA Hospitais Regiona'!B:B, 'DESCONTINUADA Hospitais Regiona'!T:T)</f>
        <v>-</v>
      </c>
      <c r="W5" s="208"/>
      <c r="X5" s="357" t="str">
        <f t="array" ref="X5">_xlfn.XLOOKUP(E5, 'DESCONTINUADA Hospitais Regiona'!B:B, 'DESCONTINUADA Hospitais Regiona'!U:U)</f>
        <v>Hospital inaugurado em 15/06/2026.</v>
      </c>
      <c r="Y5" s="361"/>
      <c r="Z5" s="362"/>
    </row>
    <row r="6" ht="137.25" customHeight="1">
      <c r="A6" s="363">
        <v>2611606.0</v>
      </c>
      <c r="B6" s="355" t="s">
        <v>96</v>
      </c>
      <c r="C6" s="356" t="s">
        <v>104</v>
      </c>
      <c r="D6" s="58" t="s">
        <v>1</v>
      </c>
      <c r="E6" s="61" t="s">
        <v>129</v>
      </c>
      <c r="F6" s="357" t="str">
        <f t="array" ref="F6">TEXTJOIN(CHAR(10), TRUE, 
  "*" &amp; E6 &amp; "*", 
  "Status: " &amp; _xlfn.XLOOKUP(E6, 'DESCONTINUADA Hospitais Regiona'!B:B, 'DESCONTINUADA Hospitais Regiona'!C:C, "Não encontrado"), 
  "Tipo de Gestão: " &amp; _xlfn.XLOOKUP(E6, 'DESCONTINUADA Hospitais Regiona'!B:B, 'DESCONTINUADA Hospitais Regiona'!E:E, "Não encontrado"), 
  "OSS: " &amp; _xlfn.XLOOKUP(E6, 'DESCONTINUADA Hospitais Regiona'!B:B, 'DESCONTINUADA Hospitais Regiona'!D:D, "Não encontrado"), 
  "Geres: " &amp; _xlfn.XLOOKUP(E6, 'DESCONTINUADA Hospitais Regiona'!B:B, 'DESCONTINUADA Hospitais Regiona'!F:F, "Não encontrado"), 
  "Localização: " &amp; _xlfn.XLOOKUP(E6, 'DESCONTINUADA Hospitais Regiona'!B:B, 'DESCONTINUADA Hospitais Regiona'!G:G, "Não encontrado"), 
  "Nº de Leitos: " &amp; _xlfn.XLOOKUP(E6, 'DESCONTINUADA Hospitais Regiona'!B:B, 'DESCONTINUADA Hospitais Regiona'!H:H, "Não encontrado"),
  "Leitos abertos nesta gestão: " &amp; _xlfn.XLOOKUP(E6, 'DESCONTINUADA Hospitais Regiona'!B:B, 'DESCONTINUADA Hospitais Regiona'!I:I, "Não encontrado"),
  "Perfil: " &amp; _xlfn.XLOOKUP(E6, 'DESCONTINUADA Hospitais Regiona'!B:B, 'DESCONTINUADA Hospitais Regiona'!L:L, "Não encontrado"), 
  "Nº Profissionais Total: " &amp; _xlfn.XLOOKUP(E6, 'DESCONTINUADA Hospitais Regiona'!B:B, 'DESCONTINUADA Hospitais Regiona'!M:M, "Não encontrado"), 
  "Nº Profissionais convocados nesta gestão: " &amp; _xlfn.XLOOKUP(E6, 'DESCONTINUADA Hospitais Regiona'!B:B, 'DESCONTINUADA Hospitais Regiona'!N:N, "Não encontrado"), 
  "Valor do contrato de manutenção predial (anual): " &amp; _xlfn.XLOOKUP(E6, 'DESCONTINUADA Hospitais Regiona'!B:B, 'DESCONTINUADA Hospitais Regiona'!O:O, "Não encontrado"), 
  "Investimento nesta gestão: " &amp; TEXT(_xlfn.XLOOKUP(E6, 'DESCONTINUADA Hospitais Regiona'!B:B, 'DESCONTINUADA Hospitais Regiona'!P:P, 0), "R$ #.##0,00"), 
  "Aumento do cofinanciamento (Gestão Própria) - de 2023 a 2026: " &amp; TEXT(_xlfn.XLOOKUP(E6, 'DESCONTINUADA Hospitais Regiona'!B:B, 'DESCONTINUADA Hospitais Regiona'!S:S, 0), "0,00%"), 
  "Cofinanciamento 2022 (Apenas Gestão Própria): " &amp; TEXT(_xlfn.XLOOKUP(E6, 'DESCONTINUADA Hospitais Regiona'!B:B, 'DESCONTINUADA Hospitais Regiona'!Q:Q, 0), "R$ #.##0,00"), 
  "Cofinanciamento 2025 (Apenas Gestão Própria): " &amp; TEXT(_xlfn.XLOOKUP(E6, 'DESCONTINUADA Hospitais Regiona'!B:B, 'DESCONTINUADA Hospitais Regiona'!R:R, 0), "R$ #.##0,00"), 
  "Repasse (OS) em 2025: " &amp; TEXT(_xlfn.XLOOKUP(E6, 'DESCONTINUADA Hospitais Regiona'!B:B, 'DESCONTINUADA Hospitais Regiona'!T:T, 0), "R$ #.##0,00"), 
  "Principais avanços nessa gestão: " &amp; _xlfn.XLOOKUP(E6, 'DESCONTINUADA Hospitais Regiona'!B:B, 'DESCONTINUADA Hospitais Regiona'!U:U, "Não encontrado")
)</f>
        <v>*Hospital Correia Picanço*
Status: EM FUNCIONAMENTO
Tipo de Gestão: Gestão própria
OSS: -
Geres: I
Localização: Avenida Conselheiro Rosa e Silva, 2130, Tamarineira, Recife.
Nº de Leitos: 77
Leitos abertos nesta gestão: -
Perfil: Urgência: Infectologia. Ambulatorial: Infectologia adulto, enfermagem, psicologia, odontologia, nutrição, serviço social, cardiologia, neurologia, ginecologia, endocrinologia, médico do trabalho, nefrologia, dermatologia, pneumologia, proctologia e psiquiatria.
Nº Profissionais Total: 628
Nº Profissionais convocados nesta gestão: 132
Valor do contrato de manutenção predial (anual): 3375684,39
Investimento nesta gestão: R$ 7.695.233,65000
Aumento do cofinanciamento (Gestão Própria) - de 2023 a 2026: 071%
Cofinanciamento 2022 (Apenas Gestão Própria): R$ 4.831.232,71000
Cofinanciamento 2025 (Apenas Gestão Própria): R$ 8.283.645,51000
Repasse (OS) em 2025: -
Principais avanços nessa gestão: Abertura do ambulatório de tuberculose multirresistente (TB-MDR), Aquisição de raio-x digital, aquisição de ultrasson com doppler, videolaringoscópio e videobroncoscópio, substituição de todas as camas hospitalares, reforma da emergência adulto (em andamento), Implantação de 31 cargos de liderança para servidores-FSUS.</v>
      </c>
      <c r="G6" s="61" t="s">
        <v>63</v>
      </c>
      <c r="H6" s="61" t="s">
        <v>75</v>
      </c>
      <c r="I6" s="58" t="s">
        <v>85</v>
      </c>
      <c r="J6" s="208" t="str">
        <f t="array" ref="J6">_xlfn.XLOOKUP(E6, 'DESCONTINUADA Hospitais Regiona'!B:B, 'DESCONTINUADA Hospitais Regiona'!I:I)</f>
        <v>-</v>
      </c>
      <c r="K6" s="208">
        <f t="array" ref="K6">_xlfn.XLOOKUP(E6, 'DESCONTINUADA Hospitais Regiona'!B:B, 'DESCONTINUADA Hospitais Regiona'!H:H)</f>
        <v>77</v>
      </c>
      <c r="L6" s="208" t="str">
        <f t="array" ref="L6">_xlfn.XLOOKUP(E6, 'DESCONTINUADA Hospitais Regiona'!B:B, 'DESCONTINUADA Hospitais Regiona'!J:J)</f>
        <v>-</v>
      </c>
      <c r="M6" s="208" t="str">
        <f t="array" ref="M6">_xlfn.XLOOKUP(E6, 'DESCONTINUADA Hospitais Regiona'!B:B, 'DESCONTINUADA Hospitais Regiona'!K:K)</f>
        <v>-</v>
      </c>
      <c r="N6" s="358" t="str">
        <f t="array" ref="N6">_xlfn.XLOOKUP(E6, 'DESCONTINUADA Hospitais Regiona'!B:B, 'DESCONTINUADA Hospitais Regiona'!L:L)</f>
        <v>Urgência: Infectologia. Ambulatorial: Infectologia adulto, enfermagem, psicologia, odontologia, nutrição, serviço social, cardiologia, neurologia, ginecologia, endocrinologia, médico do trabalho, nefrologia, dermatologia, pneumologia, proctologia e psiquiatria.</v>
      </c>
      <c r="O6" s="359">
        <f t="array" ref="O6">_xlfn.XLOOKUP(E6, 'DESCONTINUADA Hospitais Regiona'!B:B, 'DESCONTINUADA Hospitais Regiona'!M:M)</f>
        <v>628</v>
      </c>
      <c r="P6" s="208">
        <f t="array" ref="P6">_xlfn.XLOOKUP(E6, 'DESCONTINUADA Hospitais Regiona'!B:B, 'DESCONTINUADA Hospitais Regiona'!N:N)</f>
        <v>132</v>
      </c>
      <c r="Q6" s="211">
        <f t="array" ref="Q6">_xlfn.XLOOKUP(E6, 'DESCONTINUADA Hospitais Regiona'!B:B, 'DESCONTINUADA Hospitais Regiona'!O:O)</f>
        <v>3375684.39</v>
      </c>
      <c r="R6" s="211">
        <f t="array" ref="R6">_xlfn.XLOOKUP(E6, 'DESCONTINUADA Hospitais Regiona'!B:B, 'DESCONTINUADA Hospitais Regiona'!P:P)</f>
        <v>7695233.65</v>
      </c>
      <c r="S6" s="211">
        <f t="array" ref="S6">_xlfn.XLOOKUP(E6, 'DESCONTINUADA Hospitais Regiona'!B:B, 'DESCONTINUADA Hospitais Regiona'!Q:Q)</f>
        <v>4831232.71</v>
      </c>
      <c r="T6" s="211">
        <f t="array" ref="T6">_xlfn.XLOOKUP(E6, 'DESCONTINUADA Hospitais Regiona'!B:B, 'DESCONTINUADA Hospitais Regiona'!R:R)</f>
        <v>8283645.51</v>
      </c>
      <c r="U6" s="360">
        <f t="array" ref="U6">_xlfn.XLOOKUP(E6, 'DESCONTINUADA Hospitais Regiona'!B:B, 'DESCONTINUADA Hospitais Regiona'!S:S)</f>
        <v>0.7146028782</v>
      </c>
      <c r="V6" s="211" t="str">
        <f t="array" ref="V6">_xlfn.XLOOKUP(E6, 'DESCONTINUADA Hospitais Regiona'!B:B, 'DESCONTINUADA Hospitais Regiona'!T:T)</f>
        <v>-</v>
      </c>
      <c r="W6" s="208"/>
      <c r="X6" s="357" t="str">
        <f t="array" ref="X6">_xlfn.XLOOKUP(E6, 'DESCONTINUADA Hospitais Regiona'!B:B, 'DESCONTINUADA Hospitais Regiona'!U:U)</f>
        <v>Abertura do ambulatório de tuberculose multirresistente (TB-MDR), Aquisição de raio-x digital, aquisição de ultrasson com doppler, videolaringoscópio e videobroncoscópio, substituição de todas as camas hospitalares, reforma da emergência adulto (em andamento), Implantação de 31 cargos de liderança para servidores-FSUS.</v>
      </c>
      <c r="Y6" s="361"/>
      <c r="Z6" s="362"/>
    </row>
    <row r="7" ht="137.25" customHeight="1">
      <c r="A7" s="363">
        <v>2611606.0</v>
      </c>
      <c r="B7" s="355" t="s">
        <v>96</v>
      </c>
      <c r="C7" s="356" t="s">
        <v>104</v>
      </c>
      <c r="D7" s="58" t="s">
        <v>1</v>
      </c>
      <c r="E7" s="61" t="s">
        <v>144</v>
      </c>
      <c r="F7" s="357" t="str">
        <f t="array" ref="F7">TEXTJOIN(CHAR(10), TRUE, 
  "*" &amp; E7 &amp; "*", 
  "Status: " &amp; _xlfn.XLOOKUP(E7, 'DESCONTINUADA Hospitais Regiona'!B:B, 'DESCONTINUADA Hospitais Regiona'!C:C, "Não encontrado"), 
  "Tipo de Gestão: " &amp; _xlfn.XLOOKUP(E7, 'DESCONTINUADA Hospitais Regiona'!B:B, 'DESCONTINUADA Hospitais Regiona'!E:E, "Não encontrado"), 
  "OSS: " &amp; _xlfn.XLOOKUP(E7, 'DESCONTINUADA Hospitais Regiona'!B:B, 'DESCONTINUADA Hospitais Regiona'!D:D, "Não encontrado"), 
  "Geres: " &amp; _xlfn.XLOOKUP(E7, 'DESCONTINUADA Hospitais Regiona'!B:B, 'DESCONTINUADA Hospitais Regiona'!F:F, "Não encontrado"), 
  "Localização: " &amp; _xlfn.XLOOKUP(E7, 'DESCONTINUADA Hospitais Regiona'!B:B, 'DESCONTINUADA Hospitais Regiona'!G:G, "Não encontrado"), 
  "Nº de Leitos: " &amp; _xlfn.XLOOKUP(E7, 'DESCONTINUADA Hospitais Regiona'!B:B, 'DESCONTINUADA Hospitais Regiona'!H:H, "Não encontrado"),
  "Leitos abertos nesta gestão: " &amp; _xlfn.XLOOKUP(E7, 'DESCONTINUADA Hospitais Regiona'!B:B, 'DESCONTINUADA Hospitais Regiona'!I:I, "Não encontrado"),
  "Perfil: " &amp; _xlfn.XLOOKUP(E7, 'DESCONTINUADA Hospitais Regiona'!B:B, 'DESCONTINUADA Hospitais Regiona'!L:L, "Não encontrado"), 
  "Nº Profissionais Total: " &amp; _xlfn.XLOOKUP(E7, 'DESCONTINUADA Hospitais Regiona'!B:B, 'DESCONTINUADA Hospitais Regiona'!M:M, "Não encontrado"), 
  "Nº Profissionais convocados nesta gestão: " &amp; _xlfn.XLOOKUP(E7, 'DESCONTINUADA Hospitais Regiona'!B:B, 'DESCONTINUADA Hospitais Regiona'!N:N, "Não encontrado"), 
  "Valor do contrato de manutenção predial (anual): " &amp; _xlfn.XLOOKUP(E7, 'DESCONTINUADA Hospitais Regiona'!B:B, 'DESCONTINUADA Hospitais Regiona'!O:O, "Não encontrado"), 
  "Investimento nesta gestão: " &amp; TEXT(_xlfn.XLOOKUP(E7, 'DESCONTINUADA Hospitais Regiona'!B:B, 'DESCONTINUADA Hospitais Regiona'!P:P, 0), "R$ #.##0,00"), 
  "Aumento do cofinanciamento (Gestão Própria) - de 2023 a 2026: " &amp; TEXT(_xlfn.XLOOKUP(E7, 'DESCONTINUADA Hospitais Regiona'!B:B, 'DESCONTINUADA Hospitais Regiona'!S:S, 0), "0,00%"), 
  "Cofinanciamento 2022 (Apenas Gestão Própria): " &amp; TEXT(_xlfn.XLOOKUP(E7, 'DESCONTINUADA Hospitais Regiona'!B:B, 'DESCONTINUADA Hospitais Regiona'!Q:Q, 0), "R$ #.##0,00"), 
  "Cofinanciamento 2025 (Apenas Gestão Própria): " &amp; TEXT(_xlfn.XLOOKUP(E7, 'DESCONTINUADA Hospitais Regiona'!B:B, 'DESCONTINUADA Hospitais Regiona'!R:R, 0), "R$ #.##0,00"), 
  "Repasse (OS) em 2025: " &amp; TEXT(_xlfn.XLOOKUP(E7, 'DESCONTINUADA Hospitais Regiona'!B:B, 'DESCONTINUADA Hospitais Regiona'!T:T, 0), "R$ #.##0,00"), 
  "Principais avanços nessa gestão: " &amp; _xlfn.XLOOKUP(E7, 'DESCONTINUADA Hospitais Regiona'!B:B, 'DESCONTINUADA Hospitais Regiona'!U:U, "Não encontrado")
)</f>
        <v>*Hospital Psiquiátrico Ulysses Pernambucano*
Status: EM FUNCIONAMENTO
Tipo de Gestão: Gestão própria
OSS: -
Geres: I
Localização: Avenida Conselheiro Rosa e Silva, 2130, Tamarineira, Recife.
Nº de Leitos: 115
Leitos abertos nesta gestão: -
Perfil: Referência estadual em assistência psiquiátrica
Nº Profissionais Total: 499
Nº Profissionais convocados nesta gestão: 204
Valor do contrato de manutenção predial (anual): 5063526,58
Investimento nesta gestão: R$ 16.044.394,89000
Aumento do cofinanciamento (Gestão Própria) - de 2023 a 2026: 101%
Cofinanciamento 2022 (Apenas Gestão Própria): R$ 1.857.244,95000
Cofinanciamento 2025 (Apenas Gestão Própria): R$ 3.738.387,41000
Repasse (OS) em 2025: -
Principais avanços nessa gestão: Requalificação da capela, implementação do Núcleo Interno de Regulação (NIR), troca de todas as camas hospitalares, Aqusição de 01 (uma) ambulância de suporte avançado (UTI) Movél; Aquisição de 30 novos computadores, Requalificação da casa dos residentes, Reforma da enfermaria Adail Santos;  Incremento de recursos humanos; Reforma da emergência (em andamento), Implantação de 31 cargos de liderança para servidores-FSUS.</v>
      </c>
      <c r="G7" s="61" t="s">
        <v>63</v>
      </c>
      <c r="H7" s="61" t="s">
        <v>75</v>
      </c>
      <c r="I7" s="58" t="s">
        <v>85</v>
      </c>
      <c r="J7" s="208" t="str">
        <f t="array" ref="J7">_xlfn.XLOOKUP(E7, 'DESCONTINUADA Hospitais Regiona'!B:B, 'DESCONTINUADA Hospitais Regiona'!I:I)</f>
        <v>-</v>
      </c>
      <c r="K7" s="208">
        <f t="array" ref="K7">_xlfn.XLOOKUP(E7, 'DESCONTINUADA Hospitais Regiona'!B:B, 'DESCONTINUADA Hospitais Regiona'!H:H)</f>
        <v>115</v>
      </c>
      <c r="L7" s="208" t="str">
        <f t="array" ref="L7">_xlfn.XLOOKUP(E7, 'DESCONTINUADA Hospitais Regiona'!B:B, 'DESCONTINUADA Hospitais Regiona'!J:J)</f>
        <v>-</v>
      </c>
      <c r="M7" s="208" t="str">
        <f t="array" ref="M7">_xlfn.XLOOKUP(E7, 'DESCONTINUADA Hospitais Regiona'!B:B, 'DESCONTINUADA Hospitais Regiona'!K:K)</f>
        <v>-</v>
      </c>
      <c r="N7" s="358" t="str">
        <f t="array" ref="N7">_xlfn.XLOOKUP(E7, 'DESCONTINUADA Hospitais Regiona'!B:B, 'DESCONTINUADA Hospitais Regiona'!L:L)</f>
        <v>Referência estadual em assistência psiquiátrica</v>
      </c>
      <c r="O7" s="359">
        <f t="array" ref="O7">_xlfn.XLOOKUP(E7, 'DESCONTINUADA Hospitais Regiona'!B:B, 'DESCONTINUADA Hospitais Regiona'!M:M)</f>
        <v>499</v>
      </c>
      <c r="P7" s="208">
        <f t="array" ref="P7">_xlfn.XLOOKUP(E7, 'DESCONTINUADA Hospitais Regiona'!B:B, 'DESCONTINUADA Hospitais Regiona'!N:N)</f>
        <v>204</v>
      </c>
      <c r="Q7" s="211">
        <f t="array" ref="Q7">_xlfn.XLOOKUP(E7, 'DESCONTINUADA Hospitais Regiona'!B:B, 'DESCONTINUADA Hospitais Regiona'!O:O)</f>
        <v>5063526.58</v>
      </c>
      <c r="R7" s="211">
        <f t="array" ref="R7">_xlfn.XLOOKUP(E7, 'DESCONTINUADA Hospitais Regiona'!B:B, 'DESCONTINUADA Hospitais Regiona'!P:P)</f>
        <v>16044394.89</v>
      </c>
      <c r="S7" s="211">
        <f t="array" ref="S7">_xlfn.XLOOKUP(E7, 'DESCONTINUADA Hospitais Regiona'!B:B, 'DESCONTINUADA Hospitais Regiona'!Q:Q)</f>
        <v>1857244.95</v>
      </c>
      <c r="T7" s="211">
        <f t="array" ref="T7">_xlfn.XLOOKUP(E7, 'DESCONTINUADA Hospitais Regiona'!B:B, 'DESCONTINUADA Hospitais Regiona'!R:R)</f>
        <v>3738387.41</v>
      </c>
      <c r="U7" s="360">
        <f t="array" ref="U7">_xlfn.XLOOKUP(E7, 'DESCONTINUADA Hospitais Regiona'!B:B, 'DESCONTINUADA Hospitais Regiona'!S:S)</f>
        <v>1.012867183</v>
      </c>
      <c r="V7" s="211" t="str">
        <f t="array" ref="V7">_xlfn.XLOOKUP(E7, 'DESCONTINUADA Hospitais Regiona'!B:B, 'DESCONTINUADA Hospitais Regiona'!T:T)</f>
        <v>-</v>
      </c>
      <c r="W7" s="208"/>
      <c r="X7" s="357" t="str">
        <f t="array" ref="X7">_xlfn.XLOOKUP(E7, 'DESCONTINUADA Hospitais Regiona'!B:B, 'DESCONTINUADA Hospitais Regiona'!U:U)</f>
        <v>Requalificação da capela, implementação do Núcleo Interno de Regulação (NIR), troca de todas as camas hospitalares, Aqusição de 01 (uma) ambulância de suporte avançado (UTI) Movél; Aquisição de 30 novos computadores, Requalificação da casa dos residentes, Reforma da enfermaria Adail Santos;  Incremento de recursos humanos; Reforma da emergência (em andamento), Implantação de 31 cargos de liderança para servidores-FSUS.</v>
      </c>
      <c r="Y7" s="361"/>
      <c r="Z7" s="362"/>
    </row>
    <row r="8" ht="137.25" customHeight="1">
      <c r="A8" s="53">
        <v>2605459.0</v>
      </c>
      <c r="B8" s="392" t="s">
        <v>409</v>
      </c>
      <c r="C8" s="311" t="s">
        <v>104</v>
      </c>
      <c r="D8" s="58" t="s">
        <v>1</v>
      </c>
      <c r="E8" s="314" t="s">
        <v>151</v>
      </c>
      <c r="F8" s="357" t="str">
        <f t="array" ref="F8">TEXTJOIN(CHAR(10), TRUE, 
  "*" &amp; E8 &amp; "*", 
  "Status: " &amp; _xlfn.XLOOKUP(E8, 'DESCONTINUADA Hospitais Regiona'!B:B, 'DESCONTINUADA Hospitais Regiona'!C:C, "Não encontrado"), 
  "Tipo de Gestão: " &amp; _xlfn.XLOOKUP(E8, 'DESCONTINUADA Hospitais Regiona'!B:B, 'DESCONTINUADA Hospitais Regiona'!E:E, "Não encontrado"), 
  "OSS: " &amp; _xlfn.XLOOKUP(E8, 'DESCONTINUADA Hospitais Regiona'!B:B, 'DESCONTINUADA Hospitais Regiona'!D:D, "Não encontrado"), 
  "Geres: " &amp; _xlfn.XLOOKUP(E8, 'DESCONTINUADA Hospitais Regiona'!B:B, 'DESCONTINUADA Hospitais Regiona'!F:F, "Não encontrado"), 
  "Localização: " &amp; _xlfn.XLOOKUP(E8, 'DESCONTINUADA Hospitais Regiona'!B:B, 'DESCONTINUADA Hospitais Regiona'!G:G, "Não encontrado"), 
  "Nº de Leitos: " &amp; _xlfn.XLOOKUP(E8, 'DESCONTINUADA Hospitais Regiona'!B:B, 'DESCONTINUADA Hospitais Regiona'!H:H, "Não encontrado"),
  "Leitos abertos nesta gestão: " &amp; _xlfn.XLOOKUP(E8, 'DESCONTINUADA Hospitais Regiona'!B:B, 'DESCONTINUADA Hospitais Regiona'!I:I, "Não encontrado"),
  "Perfil: " &amp; _xlfn.XLOOKUP(E8, 'DESCONTINUADA Hospitais Regiona'!B:B, 'DESCONTINUADA Hospitais Regiona'!L:L, "Não encontrado"), 
  "Nº Profissionais Total: " &amp; _xlfn.XLOOKUP(E8, 'DESCONTINUADA Hospitais Regiona'!B:B, 'DESCONTINUADA Hospitais Regiona'!M:M, "Não encontrado"), 
  "Nº Profissionais convocados nesta gestão: " &amp; _xlfn.XLOOKUP(E8, 'DESCONTINUADA Hospitais Regiona'!B:B, 'DESCONTINUADA Hospitais Regiona'!N:N, "Não encontrado"), 
  "Valor do contrato de manutenção predial (anual): " &amp; _xlfn.XLOOKUP(E8, 'DESCONTINUADA Hospitais Regiona'!B:B, 'DESCONTINUADA Hospitais Regiona'!O:O, "Não encontrado"), 
  "Investimento nesta gestão: " &amp; TEXT(_xlfn.XLOOKUP(E8, 'DESCONTINUADA Hospitais Regiona'!B:B, 'DESCONTINUADA Hospitais Regiona'!P:P, 0), "R$ #.##0,00"), 
  "Aumento do cofinanciamento (Gestão Própria) - de 2023 a 2026: " &amp; TEXT(_xlfn.XLOOKUP(E8, 'DESCONTINUADA Hospitais Regiona'!B:B, 'DESCONTINUADA Hospitais Regiona'!S:S, 0), "0,00%"), 
  "Cofinanciamento 2022 (Apenas Gestão Própria): " &amp; TEXT(_xlfn.XLOOKUP(E8, 'DESCONTINUADA Hospitais Regiona'!B:B, 'DESCONTINUADA Hospitais Regiona'!Q:Q, 0), "R$ #.##0,00"), 
  "Cofinanciamento 2025 (Apenas Gestão Própria): " &amp; TEXT(_xlfn.XLOOKUP(E8, 'DESCONTINUADA Hospitais Regiona'!B:B, 'DESCONTINUADA Hospitais Regiona'!R:R, 0), "R$ #.##0,00"), 
  "Repasse (OS) em 2025: " &amp; TEXT(_xlfn.XLOOKUP(E8, 'DESCONTINUADA Hospitais Regiona'!B:B, 'DESCONTINUADA Hospitais Regiona'!T:T, 0), "R$ #.##0,00"), 
  "Principais avanços nessa gestão: " &amp; _xlfn.XLOOKUP(E8, 'DESCONTINUADA Hospitais Regiona'!B:B, 'DESCONTINUADA Hospitais Regiona'!U:U, "Não encontrado")
)</f>
        <v>*Hospital São Lucas*
Status: EM FUNCIONAMENTO
Tipo de Gestão: Gestão própria
OSS: -
Geres: I
Localização: BR 363, Praça Flamboyant, Fernando de Noronha
Nº de Leitos: 10
Leitos abertos nesta gestão: -
Perfil: Urgência: pediatria, clínica médica e odontologia. Ambulatório:  pediatria, obstetrícia, psiquiatria e odontologia
Nº Profissionais Total: 13
Nº Profissionais convocados nesta gestão: 3
Valor do contrato de manutenção predial (anual): -
Investimento nesta gestão: R$ 9.639.104,8000
Aumento do cofinanciamento (Gestão Própria) - de 2023 a 2026: -
Cofinanciamento 2022 (Apenas Gestão Própria): -
Cofinanciamento 2025 (Apenas Gestão Própria): -
Repasse (OS) em 2025: -
Principais avanços nessa gestão: Equipamentos: 12 camas elétricas (entregues); 10 macas (entregues); 9 poltronas hospitalares (entregues); 2 bisturis elétricos (entregues); 3 balanças antropométricas (entregues); 1 foco cirúrgico (entregues); 1 autoclave vertical (entregues); 1 cardiovesor bifásico (entregues); 2 monitores cardíacos (entregues); 3 esfigmomanômetros (entregues); 1 colposcópio (entregue); 1 aparelho de ultrassonografia portátil com doppler e ecocardiograma (entregues); 1 aparelho de raio-x móvel (entregue); 1 cadeira odontológica (entregue); 1 aparelho de gasometria (entregue / recurso de emenda). Infraestrutura:  reforma do ambulatório, reforma com ampliação (em andamento).</v>
      </c>
      <c r="G8" s="61" t="s">
        <v>63</v>
      </c>
      <c r="H8" s="61" t="s">
        <v>75</v>
      </c>
      <c r="I8" s="58" t="s">
        <v>85</v>
      </c>
      <c r="J8" s="208" t="str">
        <f t="array" ref="J8">_xlfn.XLOOKUP(E8, 'DESCONTINUADA Hospitais Regiona'!B:B, 'DESCONTINUADA Hospitais Regiona'!I:I)</f>
        <v>-</v>
      </c>
      <c r="K8" s="208">
        <f t="array" ref="K8">_xlfn.XLOOKUP(E8, 'DESCONTINUADA Hospitais Regiona'!B:B, 'DESCONTINUADA Hospitais Regiona'!H:H)</f>
        <v>10</v>
      </c>
      <c r="L8" s="208" t="str">
        <f t="array" ref="L8">_xlfn.XLOOKUP(E8, 'DESCONTINUADA Hospitais Regiona'!B:B, 'DESCONTINUADA Hospitais Regiona'!J:J)</f>
        <v>-</v>
      </c>
      <c r="M8" s="208" t="str">
        <f t="array" ref="M8">_xlfn.XLOOKUP(E8, 'DESCONTINUADA Hospitais Regiona'!B:B, 'DESCONTINUADA Hospitais Regiona'!K:K)</f>
        <v>-</v>
      </c>
      <c r="N8" s="358" t="str">
        <f t="array" ref="N8">_xlfn.XLOOKUP(E8, 'DESCONTINUADA Hospitais Regiona'!B:B, 'DESCONTINUADA Hospitais Regiona'!L:L)</f>
        <v>Urgência: pediatria, clínica médica e odontologia. Ambulatório:  pediatria, obstetrícia, psiquiatria e odontologia</v>
      </c>
      <c r="O8" s="359">
        <f t="array" ref="O8">_xlfn.XLOOKUP(E8, 'DESCONTINUADA Hospitais Regiona'!B:B, 'DESCONTINUADA Hospitais Regiona'!M:M)</f>
        <v>13</v>
      </c>
      <c r="P8" s="208">
        <f t="array" ref="P8">_xlfn.XLOOKUP(E8, 'DESCONTINUADA Hospitais Regiona'!B:B, 'DESCONTINUADA Hospitais Regiona'!N:N)</f>
        <v>3</v>
      </c>
      <c r="Q8" s="211" t="str">
        <f t="array" ref="Q8">_xlfn.XLOOKUP(E8, 'DESCONTINUADA Hospitais Regiona'!B:B, 'DESCONTINUADA Hospitais Regiona'!O:O)</f>
        <v>-</v>
      </c>
      <c r="R8" s="211">
        <f t="array" ref="R8">_xlfn.XLOOKUP(E8, 'DESCONTINUADA Hospitais Regiona'!B:B, 'DESCONTINUADA Hospitais Regiona'!P:P)</f>
        <v>9639104.8</v>
      </c>
      <c r="S8" s="208" t="str">
        <f t="array" ref="S8">_xlfn.XLOOKUP(E8, 'DESCONTINUADA Hospitais Regiona'!B:B, 'DESCONTINUADA Hospitais Regiona'!Q:Q)</f>
        <v>-</v>
      </c>
      <c r="T8" s="208" t="str">
        <f t="array" ref="T8">_xlfn.XLOOKUP(E8, 'DESCONTINUADA Hospitais Regiona'!B:B, 'DESCONTINUADA Hospitais Regiona'!R:R)</f>
        <v>-</v>
      </c>
      <c r="U8" s="208" t="str">
        <f t="array" ref="U8">_xlfn.XLOOKUP(E8, 'DESCONTINUADA Hospitais Regiona'!B:B, 'DESCONTINUADA Hospitais Regiona'!S:S)</f>
        <v>-</v>
      </c>
      <c r="V8" s="211" t="str">
        <f t="array" ref="V8">_xlfn.XLOOKUP(E8, 'DESCONTINUADA Hospitais Regiona'!B:B, 'DESCONTINUADA Hospitais Regiona'!T:T)</f>
        <v>-</v>
      </c>
      <c r="W8" s="208"/>
      <c r="X8" s="357" t="str">
        <f t="array" ref="X8">_xlfn.XLOOKUP(E8, 'DESCONTINUADA Hospitais Regiona'!B:B, 'DESCONTINUADA Hospitais Regiona'!U:U)</f>
        <v>Equipamentos: 12 camas elétricas (entregues); 10 macas (entregues); 9 poltronas hospitalares (entregues); 2 bisturis elétricos (entregues); 3 balanças antropométricas (entregues); 1 foco cirúrgico (entregues); 1 autoclave vertical (entregues); 1 cardiovesor bifásico (entregues); 2 monitores cardíacos (entregues); 3 esfigmomanômetros (entregues); 1 colposcópio (entregue); 1 aparelho de ultrassonografia portátil com doppler e ecocardiograma (entregues); 1 aparelho de raio-x móvel (entregue); 1 cadeira odontológica (entregue); 1 aparelho de gasometria (entregue / recurso de emenda). Infraestrutura:  reforma do ambulatório, reforma com ampliação (em andamento).</v>
      </c>
      <c r="Y8" s="361"/>
      <c r="Z8" s="362"/>
    </row>
    <row r="9" ht="137.25" customHeight="1">
      <c r="A9" s="393">
        <v>2607901.0</v>
      </c>
      <c r="B9" s="394" t="s">
        <v>411</v>
      </c>
      <c r="C9" s="395" t="s">
        <v>104</v>
      </c>
      <c r="D9" s="58" t="s">
        <v>1</v>
      </c>
      <c r="E9" s="314" t="s">
        <v>171</v>
      </c>
      <c r="F9" s="357" t="str">
        <f t="array" ref="F9">TEXTJOIN(CHAR(10), TRUE, 
  "*" &amp; E9 &amp; "*", 
  "Status: " &amp; _xlfn.XLOOKUP(E9, 'DESCONTINUADA Hospitais Regiona'!B:B, 'DESCONTINUADA Hospitais Regiona'!C:C, "Não encontrado"), 
  "Tipo de Gestão: " &amp; _xlfn.XLOOKUP(E9, 'DESCONTINUADA Hospitais Regiona'!B:B, 'DESCONTINUADA Hospitais Regiona'!E:E, "Não encontrado"), 
  "OSS: " &amp; _xlfn.XLOOKUP(E9, 'DESCONTINUADA Hospitais Regiona'!B:B, 'DESCONTINUADA Hospitais Regiona'!D:D, "Não encontrado"), 
  "Geres: " &amp; _xlfn.XLOOKUP(E9, 'DESCONTINUADA Hospitais Regiona'!B:B, 'DESCONTINUADA Hospitais Regiona'!F:F, "Não encontrado"), 
  "Localização: " &amp; _xlfn.XLOOKUP(E9, 'DESCONTINUADA Hospitais Regiona'!B:B, 'DESCONTINUADA Hospitais Regiona'!G:G, "Não encontrado"), 
  "Nº de Leitos: " &amp; _xlfn.XLOOKUP(E9, 'DESCONTINUADA Hospitais Regiona'!B:B, 'DESCONTINUADA Hospitais Regiona'!H:H, "Não encontrado"),
  "Leitos abertos nesta gestão: " &amp; _xlfn.XLOOKUP(E9, 'DESCONTINUADA Hospitais Regiona'!B:B, 'DESCONTINUADA Hospitais Regiona'!I:I, "Não encontrado"),
  "Perfil: " &amp; _xlfn.XLOOKUP(E9, 'DESCONTINUADA Hospitais Regiona'!B:B, 'DESCONTINUADA Hospitais Regiona'!L:L, "Não encontrado"), 
  "Nº Profissionais Total: " &amp; _xlfn.XLOOKUP(E9, 'DESCONTINUADA Hospitais Regiona'!B:B, 'DESCONTINUADA Hospitais Regiona'!M:M, "Não encontrado"), 
  "Nº Profissionais convocados nesta gestão: " &amp; _xlfn.XLOOKUP(E9, 'DESCONTINUADA Hospitais Regiona'!B:B, 'DESCONTINUADA Hospitais Regiona'!N:N, "Não encontrado"), 
  "Valor do contrato de manutenção predial (anual): " &amp; _xlfn.XLOOKUP(E9, 'DESCONTINUADA Hospitais Regiona'!B:B, 'DESCONTINUADA Hospitais Regiona'!O:O, "Não encontrado"), 
  "Investimento nesta gestão: " &amp; TEXT(_xlfn.XLOOKUP(E9, 'DESCONTINUADA Hospitais Regiona'!B:B, 'DESCONTINUADA Hospitais Regiona'!P:P, 0), "R$ #.##0,00"), 
  "Aumento do cofinanciamento (Gestão Própria) - de 2023 a 2026: " &amp; TEXT(_xlfn.XLOOKUP(E9, 'DESCONTINUADA Hospitais Regiona'!B:B, 'DESCONTINUADA Hospitais Regiona'!S:S, 0), "0,00%"), 
  "Cofinanciamento 2022 (Apenas Gestão Própria): " &amp; TEXT(_xlfn.XLOOKUP(E9, 'DESCONTINUADA Hospitais Regiona'!B:B, 'DESCONTINUADA Hospitais Regiona'!Q:Q, 0), "R$ #.##0,00"), 
  "Cofinanciamento 2025 (Apenas Gestão Própria): " &amp; TEXT(_xlfn.XLOOKUP(E9, 'DESCONTINUADA Hospitais Regiona'!B:B, 'DESCONTINUADA Hospitais Regiona'!R:R, 0), "R$ #.##0,00"), 
  "Repasse (OS) em 2025: " &amp; TEXT(_xlfn.XLOOKUP(E9, 'DESCONTINUADA Hospitais Regiona'!B:B, 'DESCONTINUADA Hospitais Regiona'!T:T, 0), "R$ #.##0,00"), 
  "Principais avanços nessa gestão: " &amp; _xlfn.XLOOKUP(E9, 'DESCONTINUADA Hospitais Regiona'!B:B, 'DESCONTINUADA Hospitais Regiona'!U:U, "Não encontrado")
)</f>
        <v>*Hospital Jaboatão Prazeres*
Status: EM FUNCIONAMENTO
Tipo de Gestão: Gestão própria
OSS: -
Geres: I
Localização: R. Recife, s/n - Cajueiro Seco, Jaboatão dos Guararapes - PE
Nº de Leitos: 77
Leitos abertos nesta gestão: -
Perfil: Urgência pediátrica, adulta e odontológica, clínica médica e cirúrgica.
Nº Profissionais Total: 525
Nº Profissionais convocados nesta gestão: 192
Valor do contrato de manutenção predial (anual): 4162937,89
Investimento nesta gestão: R$ 13.588.193,83000
Aumento do cofinanciamento (Gestão Própria) - de 2023 a 2026: 020%
Cofinanciamento 2022 (Apenas Gestão Própria): R$ 2.985.642,000
Cofinanciamento 2025 (Apenas Gestão Própria): R$ 3.597.132,000
Repasse (OS) em 2025: -
Principais avanços nessa gestão: Inauguração do Bloco Cirúrgico - 2025; Implantação de 4 leitos de SRPA; Criação de farmácias satélites; Requalificação do espaço de convivência; Aquisição de 01 (um) Raio-X Digital,  Requalificação da sala do raio-x; Aquisição de autoclave; Aquisição de ventiladores pulmonares; Aquisição de eletrocardiógrafo; Ampliação de  9 leitos de saúde mental; Requalificação do CME (em andamento);  Incremento de recursos humanos; Substituição de todas as camas da unidade; Implantação de 31 cargos de liderança para servidores-FSUS.
</v>
      </c>
      <c r="G9" s="61" t="s">
        <v>63</v>
      </c>
      <c r="H9" s="61" t="s">
        <v>75</v>
      </c>
      <c r="I9" s="58" t="s">
        <v>85</v>
      </c>
      <c r="J9" s="208" t="str">
        <f t="array" ref="J9">_xlfn.XLOOKUP(E9, 'DESCONTINUADA Hospitais Regiona'!B:B, 'DESCONTINUADA Hospitais Regiona'!I:I)</f>
        <v>-</v>
      </c>
      <c r="K9" s="208">
        <f t="array" ref="K9">_xlfn.XLOOKUP(E9, 'DESCONTINUADA Hospitais Regiona'!B:B, 'DESCONTINUADA Hospitais Regiona'!H:H)</f>
        <v>77</v>
      </c>
      <c r="L9" s="208" t="str">
        <f t="array" ref="L9">_xlfn.XLOOKUP(E9, 'DESCONTINUADA Hospitais Regiona'!B:B, 'DESCONTINUADA Hospitais Regiona'!J:J)</f>
        <v>-</v>
      </c>
      <c r="M9" s="208" t="str">
        <f t="array" ref="M9">_xlfn.XLOOKUP(E9, 'DESCONTINUADA Hospitais Regiona'!B:B, 'DESCONTINUADA Hospitais Regiona'!K:K)</f>
        <v>-</v>
      </c>
      <c r="N9" s="358" t="str">
        <f t="array" ref="N9">_xlfn.XLOOKUP(E9, 'DESCONTINUADA Hospitais Regiona'!B:B, 'DESCONTINUADA Hospitais Regiona'!L:L)</f>
        <v>Urgência pediátrica, adulta e odontológica, clínica médica e cirúrgica.</v>
      </c>
      <c r="O9" s="359">
        <f t="array" ref="O9">_xlfn.XLOOKUP(E9, 'DESCONTINUADA Hospitais Regiona'!B:B, 'DESCONTINUADA Hospitais Regiona'!M:M)</f>
        <v>525</v>
      </c>
      <c r="P9" s="208">
        <f t="array" ref="P9">_xlfn.XLOOKUP(E9, 'DESCONTINUADA Hospitais Regiona'!B:B, 'DESCONTINUADA Hospitais Regiona'!N:N)</f>
        <v>192</v>
      </c>
      <c r="Q9" s="211">
        <f t="array" ref="Q9">_xlfn.XLOOKUP(E9, 'DESCONTINUADA Hospitais Regiona'!B:B, 'DESCONTINUADA Hospitais Regiona'!O:O)</f>
        <v>4162937.89</v>
      </c>
      <c r="R9" s="211">
        <f t="array" ref="R9">_xlfn.XLOOKUP(E9, 'DESCONTINUADA Hospitais Regiona'!B:B, 'DESCONTINUADA Hospitais Regiona'!P:P)</f>
        <v>13588193.83</v>
      </c>
      <c r="S9" s="211">
        <f t="array" ref="S9">_xlfn.XLOOKUP(E9, 'DESCONTINUADA Hospitais Regiona'!B:B, 'DESCONTINUADA Hospitais Regiona'!Q:Q)</f>
        <v>2985642</v>
      </c>
      <c r="T9" s="211">
        <f t="array" ref="T9">_xlfn.XLOOKUP(E9, 'DESCONTINUADA Hospitais Regiona'!B:B, 'DESCONTINUADA Hospitais Regiona'!R:R)</f>
        <v>3597132</v>
      </c>
      <c r="U9" s="360">
        <f t="array" ref="U9">_xlfn.XLOOKUP(E9, 'DESCONTINUADA Hospitais Regiona'!B:B, 'DESCONTINUADA Hospitais Regiona'!S:S)</f>
        <v>0.2048102217</v>
      </c>
      <c r="V9" s="211" t="str">
        <f t="array" ref="V9">_xlfn.XLOOKUP(E9, 'DESCONTINUADA Hospitais Regiona'!B:B, 'DESCONTINUADA Hospitais Regiona'!T:T)</f>
        <v>-</v>
      </c>
      <c r="W9" s="208"/>
      <c r="X9" s="357" t="str">
        <f t="array" ref="X9">_xlfn.XLOOKUP(E9, 'DESCONTINUADA Hospitais Regiona'!B:B, 'DESCONTINUADA Hospitais Regiona'!U:U)</f>
        <v>Inauguração do Bloco Cirúrgico - 2025; Implantação de 4 leitos de SRPA; Criação de farmácias satélites; Requalificação do espaço de convivência; Aquisição de 01 (um) Raio-X Digital,  Requalificação da sala do raio-x; Aquisição de autoclave; Aquisição de ventiladores pulmonares; Aquisição de eletrocardiógrafo; Ampliação de  9 leitos de saúde mental; Requalificação do CME (em andamento);  Incremento de recursos humanos; Substituição de todas as camas da unidade; Implantação de 31 cargos de liderança para servidores-FSUS.
</v>
      </c>
      <c r="Y9" s="361"/>
      <c r="Z9" s="362"/>
    </row>
    <row r="10" ht="137.25" customHeight="1">
      <c r="A10" s="363">
        <v>2611606.0</v>
      </c>
      <c r="B10" s="355" t="s">
        <v>96</v>
      </c>
      <c r="C10" s="356" t="s">
        <v>104</v>
      </c>
      <c r="D10" s="58" t="s">
        <v>1</v>
      </c>
      <c r="E10" s="314" t="s">
        <v>185</v>
      </c>
      <c r="F10" s="357" t="str">
        <f t="array" ref="F10">TEXTJOIN(CHAR(10), TRUE, 
  "*" &amp; E10 &amp; "*", 
  "Status: " &amp; _xlfn.XLOOKUP(E10, 'DESCONTINUADA Hospitais Regiona'!B:B, 'DESCONTINUADA Hospitais Regiona'!C:C, "Não encontrado"), 
  "Tipo de Gestão: " &amp; _xlfn.XLOOKUP(E10, 'DESCONTINUADA Hospitais Regiona'!B:B, 'DESCONTINUADA Hospitais Regiona'!E:E, "Não encontrado"), 
  "OSS: " &amp; _xlfn.XLOOKUP(E10, 'DESCONTINUADA Hospitais Regiona'!B:B, 'DESCONTINUADA Hospitais Regiona'!D:D, "Não encontrado"), 
  "Geres: " &amp; _xlfn.XLOOKUP(E10, 'DESCONTINUADA Hospitais Regiona'!B:B, 'DESCONTINUADA Hospitais Regiona'!F:F, "Não encontrado"), 
  "Localização: " &amp; _xlfn.XLOOKUP(E10, 'DESCONTINUADA Hospitais Regiona'!B:B, 'DESCONTINUADA Hospitais Regiona'!G:G, "Não encontrado"), 
  "Nº de Leitos: " &amp; _xlfn.XLOOKUP(E10, 'DESCONTINUADA Hospitais Regiona'!B:B, 'DESCONTINUADA Hospitais Regiona'!H:H, "Não encontrado"),
  "Leitos abertos nesta gestão: " &amp; _xlfn.XLOOKUP(E10, 'DESCONTINUADA Hospitais Regiona'!B:B, 'DESCONTINUADA Hospitais Regiona'!I:I, "Não encontrado"),
  "Perfil: " &amp; _xlfn.XLOOKUP(E10, 'DESCONTINUADA Hospitais Regiona'!B:B, 'DESCONTINUADA Hospitais Regiona'!L:L, "Não encontrado"), 
  "Nº Profissionais Total: " &amp; _xlfn.XLOOKUP(E10, 'DESCONTINUADA Hospitais Regiona'!B:B, 'DESCONTINUADA Hospitais Regiona'!M:M, "Não encontrado"), 
  "Nº Profissionais convocados nesta gestão: " &amp; _xlfn.XLOOKUP(E10, 'DESCONTINUADA Hospitais Regiona'!B:B, 'DESCONTINUADA Hospitais Regiona'!N:N, "Não encontrado"), 
  "Valor do contrato de manutenção predial (anual): " &amp; _xlfn.XLOOKUP(E10, 'DESCONTINUADA Hospitais Regiona'!B:B, 'DESCONTINUADA Hospitais Regiona'!O:O, "Não encontrado"), 
  "Investimento nesta gestão: " &amp; TEXT(_xlfn.XLOOKUP(E10, 'DESCONTINUADA Hospitais Regiona'!B:B, 'DESCONTINUADA Hospitais Regiona'!P:P, 0), "R$ #.##0,00"), 
  "Aumento do cofinanciamento (Gestão Própria) - de 2023 a 2026: " &amp; TEXT(_xlfn.XLOOKUP(E10, 'DESCONTINUADA Hospitais Regiona'!B:B, 'DESCONTINUADA Hospitais Regiona'!S:S, 0), "0,00%"), 
  "Cofinanciamento 2022 (Apenas Gestão Própria): " &amp; TEXT(_xlfn.XLOOKUP(E10, 'DESCONTINUADA Hospitais Regiona'!B:B, 'DESCONTINUADA Hospitais Regiona'!Q:Q, 0), "R$ #.##0,00"), 
  "Cofinanciamento 2025 (Apenas Gestão Própria): " &amp; TEXT(_xlfn.XLOOKUP(E10, 'DESCONTINUADA Hospitais Regiona'!B:B, 'DESCONTINUADA Hospitais Regiona'!R:R, 0), "R$ #.##0,00"), 
  "Repasse (OS) em 2025: " &amp; TEXT(_xlfn.XLOOKUP(E10, 'DESCONTINUADA Hospitais Regiona'!B:B, 'DESCONTINUADA Hospitais Regiona'!T:T, 0), "R$ #.##0,00"), 
  "Principais avanços nessa gestão: " &amp; _xlfn.XLOOKUP(E10, 'DESCONTINUADA Hospitais Regiona'!B:B, 'DESCONTINUADA Hospitais Regiona'!U:U, "Não encontrado")
)</f>
        <v>*Hospital Nossa Senhora das Graças/Alfa*
Status: EM FUNCIONAMENTO
Tipo de Gestão: OSS
OSS: FGH
Geres: I
Localização: Av. Visc. de Jequitinhonha, 1144 - Boa Viagem, CEP 51030-020
Nº de Leitos: 290
Leitos abertos nesta gestão: 30
Perfil: Assistência clínica, cirúrgica e intensiva, com especialidades como Cardiologia Clínica, Cirurgia Geral, Cirurgia Torácica, Geriatria, Cuidados Paliativos, cirurgia urológica, Clínica Médica, Neurologia e Neurocirugia, Pneumologia.
Nº Profissionais Total: 1791
Nº Profissionais convocados nesta gestão: -
Valor do contrato de manutenção predial (anual): -
Investimento nesta gestão: R$ 20.954.523,53000
Aumento do cofinanciamento (Gestão Própria) - de 2023 a 2026: -
Cofinanciamento 2022 (Apenas Gestão Própria): -
Cofinanciamento 2025 (Apenas Gestão Própria): -
Repasse (OS) em 2025: R$ 159.982.486,39000
Principais avanços nessa gestão: Aquisição de novos equipamentos e mobiliários por meio de Plano de Investimento (R$20.436.525,53); Inauguração do Bloco Cirúrgico com Implantação de 05 (cinco) salas de bloco cirúrgico com a meta mensal de 525 cirurgias;
Requalificação de 20 leitos de UTI Adulto, Refroma e Aquisição de novos equipamentos para o CME e a Agência Transfusional, Abertura de 30 Leitos de Enfermaria de Neuroclinica.
</v>
      </c>
      <c r="G10" s="61" t="s">
        <v>63</v>
      </c>
      <c r="H10" s="61" t="s">
        <v>4</v>
      </c>
      <c r="I10" s="58" t="s">
        <v>85</v>
      </c>
      <c r="J10" s="208">
        <f t="array" ref="J10">_xlfn.XLOOKUP(E10, 'DESCONTINUADA Hospitais Regiona'!B:B, 'DESCONTINUADA Hospitais Regiona'!I:I)</f>
        <v>30</v>
      </c>
      <c r="K10" s="208">
        <f t="array" ref="K10">_xlfn.XLOOKUP(E10, 'DESCONTINUADA Hospitais Regiona'!B:B, 'DESCONTINUADA Hospitais Regiona'!H:H)</f>
        <v>290</v>
      </c>
      <c r="L10" s="208" t="str">
        <f t="array" ref="L10">_xlfn.XLOOKUP(E10, 'DESCONTINUADA Hospitais Regiona'!B:B, 'DESCONTINUADA Hospitais Regiona'!J:J)</f>
        <v>Clínico Neuro</v>
      </c>
      <c r="M10" s="208" t="str">
        <f t="array" ref="M10">_xlfn.XLOOKUP(E10, 'DESCONTINUADA Hospitais Regiona'!B:B, 'DESCONTINUADA Hospitais Regiona'!K:K)</f>
        <v>-</v>
      </c>
      <c r="N10" s="358" t="str">
        <f t="array" ref="N10">_xlfn.XLOOKUP(E10, 'DESCONTINUADA Hospitais Regiona'!B:B, 'DESCONTINUADA Hospitais Regiona'!L:L)</f>
        <v>Assistência clínica, cirúrgica e intensiva, com especialidades como Cardiologia Clínica, Cirurgia Geral, Cirurgia Torácica, Geriatria, Cuidados Paliativos, cirurgia urológica, Clínica Médica, Neurologia e Neurocirugia, Pneumologia.</v>
      </c>
      <c r="O10" s="359">
        <f t="array" ref="O10">_xlfn.XLOOKUP(E10, 'DESCONTINUADA Hospitais Regiona'!B:B, 'DESCONTINUADA Hospitais Regiona'!M:M)</f>
        <v>1791</v>
      </c>
      <c r="P10" s="208" t="str">
        <f t="array" ref="P10">_xlfn.XLOOKUP(E10, 'DESCONTINUADA Hospitais Regiona'!B:B, 'DESCONTINUADA Hospitais Regiona'!N:N)</f>
        <v>-</v>
      </c>
      <c r="Q10" s="211" t="str">
        <f t="array" ref="Q10">_xlfn.XLOOKUP(E10, 'DESCONTINUADA Hospitais Regiona'!B:B, 'DESCONTINUADA Hospitais Regiona'!O:O)</f>
        <v>-</v>
      </c>
      <c r="R10" s="211">
        <f t="array" ref="R10">_xlfn.XLOOKUP(E10, 'DESCONTINUADA Hospitais Regiona'!B:B, 'DESCONTINUADA Hospitais Regiona'!P:P)</f>
        <v>20954523.53</v>
      </c>
      <c r="S10" s="211" t="str">
        <f t="array" ref="S10">_xlfn.XLOOKUP(E10, 'DESCONTINUADA Hospitais Regiona'!B:B, 'DESCONTINUADA Hospitais Regiona'!Q:Q)</f>
        <v>-</v>
      </c>
      <c r="T10" s="211" t="str">
        <f t="array" ref="T10">_xlfn.XLOOKUP(E10, 'DESCONTINUADA Hospitais Regiona'!B:B, 'DESCONTINUADA Hospitais Regiona'!R:R)</f>
        <v>-</v>
      </c>
      <c r="U10" s="208" t="str">
        <f t="array" ref="U10">_xlfn.XLOOKUP(E10, 'DESCONTINUADA Hospitais Regiona'!B:B, 'DESCONTINUADA Hospitais Regiona'!S:S)</f>
        <v>-</v>
      </c>
      <c r="V10" s="211">
        <f t="array" ref="V10">_xlfn.XLOOKUP(E10, 'DESCONTINUADA Hospitais Regiona'!B:B, 'DESCONTINUADA Hospitais Regiona'!T:T)</f>
        <v>159982486.4</v>
      </c>
      <c r="W10" s="208"/>
      <c r="X10" s="357" t="str">
        <f t="array" ref="X10">_xlfn.XLOOKUP(E10, 'DESCONTINUADA Hospitais Regiona'!B:B, 'DESCONTINUADA Hospitais Regiona'!U:U)</f>
        <v>Aquisição de novos equipamentos e mobiliários por meio de Plano de Investimento (R$20.436.525,53); Inauguração do Bloco Cirúrgico com Implantação de 05 (cinco) salas de bloco cirúrgico com a meta mensal de 525 cirurgias;
Requalificação de 20 leitos de UTI Adulto, Refroma e Aquisição de novos equipamentos para o CME e a Agência Transfusional, Abertura de 30 Leitos de Enfermaria de Neuroclinica.
</v>
      </c>
      <c r="Y10" s="361"/>
      <c r="Z10" s="362"/>
    </row>
    <row r="11" ht="137.25" customHeight="1">
      <c r="A11" s="396">
        <v>2609600.0</v>
      </c>
      <c r="B11" s="397" t="s">
        <v>412</v>
      </c>
      <c r="C11" s="398" t="s">
        <v>104</v>
      </c>
      <c r="D11" s="58" t="s">
        <v>1</v>
      </c>
      <c r="E11" s="314" t="s">
        <v>197</v>
      </c>
      <c r="F11" s="357" t="str">
        <f t="array" ref="F11">TEXTJOIN(CHAR(10), TRUE, 
  "*" &amp; E11 &amp; "*", 
  "Status: " &amp; _xlfn.XLOOKUP(E11, 'DESCONTINUADA Hospitais Regiona'!B:B, 'DESCONTINUADA Hospitais Regiona'!C:C, "Não encontrado"), 
  "Tipo de Gestão: " &amp; _xlfn.XLOOKUP(E11, 'DESCONTINUADA Hospitais Regiona'!B:B, 'DESCONTINUADA Hospitais Regiona'!E:E, "Não encontrado"), 
  "OSS: " &amp; _xlfn.XLOOKUP(E11, 'DESCONTINUADA Hospitais Regiona'!B:B, 'DESCONTINUADA Hospitais Regiona'!D:D, "Não encontrado"), 
  "Geres: " &amp; _xlfn.XLOOKUP(E11, 'DESCONTINUADA Hospitais Regiona'!B:B, 'DESCONTINUADA Hospitais Regiona'!F:F, "Não encontrado"), 
  "Localização: " &amp; _xlfn.XLOOKUP(E11, 'DESCONTINUADA Hospitais Regiona'!B:B, 'DESCONTINUADA Hospitais Regiona'!G:G, "Não encontrado"), 
  "Nº de Leitos: " &amp; _xlfn.XLOOKUP(E11, 'DESCONTINUADA Hospitais Regiona'!B:B, 'DESCONTINUADA Hospitais Regiona'!H:H, "Não encontrado"),
  "Leitos abertos nesta gestão: " &amp; _xlfn.XLOOKUP(E11, 'DESCONTINUADA Hospitais Regiona'!B:B, 'DESCONTINUADA Hospitais Regiona'!I:I, "Não encontrado"),
  "Perfil: " &amp; _xlfn.XLOOKUP(E11, 'DESCONTINUADA Hospitais Regiona'!B:B, 'DESCONTINUADA Hospitais Regiona'!L:L, "Não encontrado"), 
  "Nº Profissionais Total: " &amp; _xlfn.XLOOKUP(E11, 'DESCONTINUADA Hospitais Regiona'!B:B, 'DESCONTINUADA Hospitais Regiona'!M:M, "Não encontrado"), 
  "Nº Profissionais convocados nesta gestão: " &amp; _xlfn.XLOOKUP(E11, 'DESCONTINUADA Hospitais Regiona'!B:B, 'DESCONTINUADA Hospitais Regiona'!N:N, "Não encontrado"), 
  "Valor do contrato de manutenção predial (anual): " &amp; _xlfn.XLOOKUP(E11, 'DESCONTINUADA Hospitais Regiona'!B:B, 'DESCONTINUADA Hospitais Regiona'!O:O, "Não encontrado"), 
  "Investimento nesta gestão: " &amp; TEXT(_xlfn.XLOOKUP(E11, 'DESCONTINUADA Hospitais Regiona'!B:B, 'DESCONTINUADA Hospitais Regiona'!P:P, 0), "R$ #.##0,00"), 
  "Aumento do cofinanciamento (Gestão Própria) - de 2023 a 2026: " &amp; TEXT(_xlfn.XLOOKUP(E11, 'DESCONTINUADA Hospitais Regiona'!B:B, 'DESCONTINUADA Hospitais Regiona'!S:S, 0), "0,00%"), 
  "Cofinanciamento 2022 (Apenas Gestão Própria): " &amp; TEXT(_xlfn.XLOOKUP(E11, 'DESCONTINUADA Hospitais Regiona'!B:B, 'DESCONTINUADA Hospitais Regiona'!Q:Q, 0), "R$ #.##0,00"), 
  "Cofinanciamento 2025 (Apenas Gestão Própria): " &amp; TEXT(_xlfn.XLOOKUP(E11, 'DESCONTINUADA Hospitais Regiona'!B:B, 'DESCONTINUADA Hospitais Regiona'!R:R, 0), "R$ #.##0,00"), 
  "Repasse (OS) em 2025: " &amp; TEXT(_xlfn.XLOOKUP(E11, 'DESCONTINUADA Hospitais Regiona'!B:B, 'DESCONTINUADA Hospitais Regiona'!T:T, 0), "R$ #.##0,00"), 
  "Principais avanços nessa gestão: " &amp; _xlfn.XLOOKUP(E11, 'DESCONTINUADA Hospitais Regiona'!B:B, 'DESCONTINUADA Hospitais Regiona'!U:U, "Não encontrado")
)</f>
        <v>*Hospital Brites de Albuquerque*
Status: EM FUNCIONAMENTO
Tipo de Gestão: OSS
OSS: HTRI
Geres: I
Localização: Avenida Pan Nordestina, 4215, PE-015, SN - Tabajara, Olinda
Nº de Leitos: 150
Leitos abertos nesta gestão: 150 - Deixou de ser COVID e passou por nova licitação agora com perfil regular 2023
Perfil: Internamento de Clínica Médica, Cuidados Paliativos e Pediatria e suporte de Terapia Intensiva Adulto e Pediátrica
Nº Profissionais Total: 780
Nº Profissionais convocados nesta gestão: -
Valor do contrato de manutenção predial (anual): -
Investimento nesta gestão: R$ 1.238.197,74000
Aumento do cofinanciamento (Gestão Própria) - de 2023 a 2026: -
Cofinanciamento 2022 (Apenas Gestão Própria): -
Cofinanciamento 2025 (Apenas Gestão Própria): -
Repasse (OS) em 2025: R$ 62.645.434,42000
Principais avanços nessa gestão: Unidade era COVID, passou por nova licitação para inicio do contrato regular. 
Plano de investimento para aquisição de equipamentos médico-hospitalares destinados à implantação de 10 (dez) leitos de Unidade de Terapia Intensiva Pediátrica (Cardioversor, BIPAP com Monitor Gráfico , Bomba de Infusão, Eletrocardiógrafo, Marcapasso Cardíaco Externo, Monitor Multiparâmetros para UTI, Ultrassom Diagnóstico sem Aplicação Transesofágica , Ventilador Pulmonar Pressométrico e Volumétrico, Carro de Emergência , Oftalmoscópio, Transdutor linear, Medidor de cuff) no valor de R$ R$1.238.197,74. </v>
      </c>
      <c r="G11" s="61" t="s">
        <v>63</v>
      </c>
      <c r="H11" s="61" t="s">
        <v>4</v>
      </c>
      <c r="I11" s="58" t="s">
        <v>85</v>
      </c>
      <c r="J11" s="208" t="str">
        <f t="array" ref="J11">_xlfn.XLOOKUP(E11, 'DESCONTINUADA Hospitais Regiona'!B:B, 'DESCONTINUADA Hospitais Regiona'!I:I)</f>
        <v>150 - Deixou de ser COVID e passou por nova licitação agora com perfil regular 2023</v>
      </c>
      <c r="K11" s="208">
        <f t="array" ref="K11">_xlfn.XLOOKUP(E11, 'DESCONTINUADA Hospitais Regiona'!B:B, 'DESCONTINUADA Hospitais Regiona'!H:H)</f>
        <v>150</v>
      </c>
      <c r="L11" s="208" t="str">
        <f t="array" ref="L11">_xlfn.XLOOKUP(E11, 'DESCONTINUADA Hospitais Regiona'!B:B, 'DESCONTINUADA Hospitais Regiona'!J:J)</f>
        <v>-</v>
      </c>
      <c r="M11" s="208" t="str">
        <f t="array" ref="M11">_xlfn.XLOOKUP(E11, 'DESCONTINUADA Hospitais Regiona'!B:B, 'DESCONTINUADA Hospitais Regiona'!K:K)</f>
        <v>-</v>
      </c>
      <c r="N11" s="358" t="str">
        <f t="array" ref="N11">_xlfn.XLOOKUP(E11, 'DESCONTINUADA Hospitais Regiona'!B:B, 'DESCONTINUADA Hospitais Regiona'!L:L)</f>
        <v>Internamento de Clínica Médica, Cuidados Paliativos e Pediatria e suporte de Terapia Intensiva Adulto e Pediátrica</v>
      </c>
      <c r="O11" s="359">
        <f t="array" ref="O11">_xlfn.XLOOKUP(E11, 'DESCONTINUADA Hospitais Regiona'!B:B, 'DESCONTINUADA Hospitais Regiona'!M:M)</f>
        <v>780</v>
      </c>
      <c r="P11" s="208" t="str">
        <f t="array" ref="P11">_xlfn.XLOOKUP(E11, 'DESCONTINUADA Hospitais Regiona'!B:B, 'DESCONTINUADA Hospitais Regiona'!N:N)</f>
        <v>-</v>
      </c>
      <c r="Q11" s="211" t="str">
        <f t="array" ref="Q11">_xlfn.XLOOKUP(E11, 'DESCONTINUADA Hospitais Regiona'!B:B, 'DESCONTINUADA Hospitais Regiona'!O:O)</f>
        <v>-</v>
      </c>
      <c r="R11" s="211">
        <f t="array" ref="R11">_xlfn.XLOOKUP(E11, 'DESCONTINUADA Hospitais Regiona'!B:B, 'DESCONTINUADA Hospitais Regiona'!P:P)</f>
        <v>1238197.74</v>
      </c>
      <c r="S11" s="208" t="str">
        <f t="array" ref="S11">_xlfn.XLOOKUP(E11, 'DESCONTINUADA Hospitais Regiona'!B:B, 'DESCONTINUADA Hospitais Regiona'!Q:Q)</f>
        <v>-</v>
      </c>
      <c r="T11" s="208" t="str">
        <f t="array" ref="T11">_xlfn.XLOOKUP(E11, 'DESCONTINUADA Hospitais Regiona'!B:B, 'DESCONTINUADA Hospitais Regiona'!R:R)</f>
        <v>-</v>
      </c>
      <c r="U11" s="208" t="str">
        <f t="array" ref="U11">_xlfn.XLOOKUP(E11, 'DESCONTINUADA Hospitais Regiona'!B:B, 'DESCONTINUADA Hospitais Regiona'!S:S)</f>
        <v>-</v>
      </c>
      <c r="V11" s="211">
        <f t="array" ref="V11">_xlfn.XLOOKUP(E11, 'DESCONTINUADA Hospitais Regiona'!B:B, 'DESCONTINUADA Hospitais Regiona'!T:T)</f>
        <v>62645434.42</v>
      </c>
      <c r="W11" s="208"/>
      <c r="X11" s="357" t="str">
        <f t="array" ref="X11">_xlfn.XLOOKUP(E11, 'DESCONTINUADA Hospitais Regiona'!B:B, 'DESCONTINUADA Hospitais Regiona'!U:U)</f>
        <v>Unidade era COVID, passou por nova licitação para inicio do contrato regular. 
Plano de investimento para aquisição de equipamentos médico-hospitalares destinados à implantação de 10 (dez) leitos de Unidade de Terapia Intensiva Pediátrica (Cardioversor, BIPAP com Monitor Gráfico , Bomba de Infusão, Eletrocardiógrafo, Marcapasso Cardíaco Externo, Monitor Multiparâmetros para UTI, Ultrassom Diagnóstico sem Aplicação Transesofágica , Ventilador Pulmonar Pressométrico e Volumétrico, Carro de Emergência , Oftalmoscópio, Transdutor linear, Medidor de cuff) no valor de R$ R$1.238.197,74. </v>
      </c>
      <c r="Y11" s="361"/>
      <c r="Z11" s="362"/>
    </row>
    <row r="12" ht="137.25" customHeight="1">
      <c r="A12" s="396">
        <v>2602902.0</v>
      </c>
      <c r="B12" s="397" t="s">
        <v>413</v>
      </c>
      <c r="C12" s="398" t="s">
        <v>104</v>
      </c>
      <c r="D12" s="58" t="s">
        <v>1</v>
      </c>
      <c r="E12" s="314" t="s">
        <v>204</v>
      </c>
      <c r="F12" s="357" t="str">
        <f t="array" ref="F12">TEXTJOIN(CHAR(10), TRUE, 
  "*" &amp; E12 &amp; "*", 
  "Status: " &amp; _xlfn.XLOOKUP(E12, 'DESCONTINUADA Hospitais Regiona'!B:B, 'DESCONTINUADA Hospitais Regiona'!C:C, "Não encontrado"), 
  "Tipo de Gestão: " &amp; _xlfn.XLOOKUP(E12, 'DESCONTINUADA Hospitais Regiona'!B:B, 'DESCONTINUADA Hospitais Regiona'!E:E, "Não encontrado"), 
  "OSS: " &amp; _xlfn.XLOOKUP(E12, 'DESCONTINUADA Hospitais Regiona'!B:B, 'DESCONTINUADA Hospitais Regiona'!D:D, "Não encontrado"), 
  "Geres: " &amp; _xlfn.XLOOKUP(E12, 'DESCONTINUADA Hospitais Regiona'!B:B, 'DESCONTINUADA Hospitais Regiona'!F:F, "Não encontrado"), 
  "Localização: " &amp; _xlfn.XLOOKUP(E12, 'DESCONTINUADA Hospitais Regiona'!B:B, 'DESCONTINUADA Hospitais Regiona'!G:G, "Não encontrado"), 
  "Nº de Leitos: " &amp; _xlfn.XLOOKUP(E12, 'DESCONTINUADA Hospitais Regiona'!B:B, 'DESCONTINUADA Hospitais Regiona'!H:H, "Não encontrado"),
  "Leitos abertos nesta gestão: " &amp; _xlfn.XLOOKUP(E12, 'DESCONTINUADA Hospitais Regiona'!B:B, 'DESCONTINUADA Hospitais Regiona'!I:I, "Não encontrado"),
  "Perfil: " &amp; _xlfn.XLOOKUP(E12, 'DESCONTINUADA Hospitais Regiona'!B:B, 'DESCONTINUADA Hospitais Regiona'!L:L, "Não encontrado"), 
  "Nº Profissionais Total: " &amp; _xlfn.XLOOKUP(E12, 'DESCONTINUADA Hospitais Regiona'!B:B, 'DESCONTINUADA Hospitais Regiona'!M:M, "Não encontrado"), 
  "Nº Profissionais convocados nesta gestão: " &amp; _xlfn.XLOOKUP(E12, 'DESCONTINUADA Hospitais Regiona'!B:B, 'DESCONTINUADA Hospitais Regiona'!N:N, "Não encontrado"), 
  "Valor do contrato de manutenção predial (anual): " &amp; _xlfn.XLOOKUP(E12, 'DESCONTINUADA Hospitais Regiona'!B:B, 'DESCONTINUADA Hospitais Regiona'!O:O, "Não encontrado"), 
  "Investimento nesta gestão: " &amp; TEXT(_xlfn.XLOOKUP(E12, 'DESCONTINUADA Hospitais Regiona'!B:B, 'DESCONTINUADA Hospitais Regiona'!P:P, 0), "R$ #.##0,00"), 
  "Aumento do cofinanciamento (Gestão Própria) - de 2023 a 2026: " &amp; TEXT(_xlfn.XLOOKUP(E12, 'DESCONTINUADA Hospitais Regiona'!B:B, 'DESCONTINUADA Hospitais Regiona'!S:S, 0), "0,00%"), 
  "Cofinanciamento 2022 (Apenas Gestão Própria): " &amp; TEXT(_xlfn.XLOOKUP(E12, 'DESCONTINUADA Hospitais Regiona'!B:B, 'DESCONTINUADA Hospitais Regiona'!Q:Q, 0), "R$ #.##0,00"), 
  "Cofinanciamento 2025 (Apenas Gestão Própria): " &amp; TEXT(_xlfn.XLOOKUP(E12, 'DESCONTINUADA Hospitais Regiona'!B:B, 'DESCONTINUADA Hospitais Regiona'!R:R, 0), "R$ #.##0,00"), 
  "Repasse (OS) em 2025: " &amp; TEXT(_xlfn.XLOOKUP(E12, 'DESCONTINUADA Hospitais Regiona'!B:B, 'DESCONTINUADA Hospitais Regiona'!T:T, 0), "R$ #.##0,00"), 
  "Principais avanços nessa gestão: " &amp; _xlfn.XLOOKUP(E12, 'DESCONTINUADA Hospitais Regiona'!B:B, 'DESCONTINUADA Hospitais Regiona'!U:U, "Não encontrado")
)</f>
        <v>*Hospital Metropolitano Sul Dom Helder Câmara*
Status: EM FUNCIONAMENTO
Tipo de Gestão: OSS
OSS: FGH
Geres: I
Localização: Rodovia BR 101 Sul, km 28, s/nº, Centro, Cabo de Santo Agostinho, CEP: 54.510-000
Nº de Leitos: 157
Leitos abertos nesta gestão: 10
Perfil: Clínica Médica, Cirurgia Geral, Traumato-ortopedia, Urgencia dialitica, Cardiologia, Cirurgia Cardíaca, Cardiologia e Endovascular Intervencionista,  Cirurgia Vascular, além dos serviços não médicos de Enfermagem, Serviço Social, Fisioterapia, Fonoaudiologia, Nutrição, Psicologia e SAD.
Nº Profissionais Total: 1205
Nº Profissionais convocados nesta gestão: -
Valor do contrato de manutenção predial (anual): -
Investimento nesta gestão: R$ 14.511.533,85000
Aumento do cofinanciamento (Gestão Própria) - de 2023 a 2026: -
Cofinanciamento 2022 (Apenas Gestão Própria): -
Cofinanciamento 2025 (Apenas Gestão Própria): -
Repasse (OS) em 2025: R$ 116.445.445,71000
Principais avanços nessa gestão: Aquisição de equipamentos através de plano de investimento, no valor de R$ 14.511.533,85 incluindo: motor cirúrgico, camas tipo Fowler, tomógrafo e sistema de infusão para contraste, mesa cirúrgica elétrica , arco cirúrgico, autoclaves hospitalar horizontal, Máquina hemodinâmica, perfurador ósseo, raio-X digital, secador de traquéias, foco cirúrgico de teto, lavadora de endoscópio, elevador para transposição de leitos, Ventilador Pulmonar, Citocentrífuga, Ventilômetro, Ultrassom Diagnóstico; Reforma do CME, Reforma do Bloco cirúrgico, Aquisição de 1 tomógrafo computadorizado, Aquisição de um novo angiografo, Ampliação de 2 ambulâncias tipo A (locação), Abertura de 10 Leitos de UTI Cirurgica, Troca do piso da emergência.
</v>
      </c>
      <c r="G12" s="61" t="s">
        <v>63</v>
      </c>
      <c r="H12" s="61" t="s">
        <v>4</v>
      </c>
      <c r="I12" s="58" t="s">
        <v>85</v>
      </c>
      <c r="J12" s="208">
        <f t="array" ref="J12">_xlfn.XLOOKUP(E12, 'DESCONTINUADA Hospitais Regiona'!B:B, 'DESCONTINUADA Hospitais Regiona'!I:I)</f>
        <v>10</v>
      </c>
      <c r="K12" s="208">
        <f t="array" ref="K12">_xlfn.XLOOKUP(E12, 'DESCONTINUADA Hospitais Regiona'!B:B, 'DESCONTINUADA Hospitais Regiona'!H:H)</f>
        <v>157</v>
      </c>
      <c r="L12" s="208" t="str">
        <f t="array" ref="L12">_xlfn.XLOOKUP(E12, 'DESCONTINUADA Hospitais Regiona'!B:B, 'DESCONTINUADA Hospitais Regiona'!J:J)</f>
        <v>UTI Adulto</v>
      </c>
      <c r="M12" s="208" t="str">
        <f t="array" ref="M12">_xlfn.XLOOKUP(E12, 'DESCONTINUADA Hospitais Regiona'!B:B, 'DESCONTINUADA Hospitais Regiona'!K:K)</f>
        <v>-</v>
      </c>
      <c r="N12" s="358" t="str">
        <f t="array" ref="N12">_xlfn.XLOOKUP(E12, 'DESCONTINUADA Hospitais Regiona'!B:B, 'DESCONTINUADA Hospitais Regiona'!L:L)</f>
        <v>Clínica Médica, Cirurgia Geral, Traumato-ortopedia, Urgencia dialitica, Cardiologia, Cirurgia Cardíaca, Cardiologia e Endovascular Intervencionista,  Cirurgia Vascular, além dos serviços não médicos de Enfermagem, Serviço Social, Fisioterapia, Fonoaudiologia, Nutrição, Psicologia e SAD.
</v>
      </c>
      <c r="O12" s="359">
        <f t="array" ref="O12">_xlfn.XLOOKUP(E12, 'DESCONTINUADA Hospitais Regiona'!B:B, 'DESCONTINUADA Hospitais Regiona'!M:M)</f>
        <v>1205</v>
      </c>
      <c r="P12" s="208" t="str">
        <f t="array" ref="P12">_xlfn.XLOOKUP(E12, 'DESCONTINUADA Hospitais Regiona'!B:B, 'DESCONTINUADA Hospitais Regiona'!N:N)</f>
        <v>-</v>
      </c>
      <c r="Q12" s="211" t="str">
        <f t="array" ref="Q12">_xlfn.XLOOKUP(E12, 'DESCONTINUADA Hospitais Regiona'!B:B, 'DESCONTINUADA Hospitais Regiona'!O:O)</f>
        <v>-</v>
      </c>
      <c r="R12" s="211">
        <f t="array" ref="R12">_xlfn.XLOOKUP(E12, 'DESCONTINUADA Hospitais Regiona'!B:B, 'DESCONTINUADA Hospitais Regiona'!P:P)</f>
        <v>14511533.85</v>
      </c>
      <c r="S12" s="211" t="str">
        <f t="array" ref="S12">_xlfn.XLOOKUP(E12, 'DESCONTINUADA Hospitais Regiona'!B:B, 'DESCONTINUADA Hospitais Regiona'!Q:Q)</f>
        <v>-</v>
      </c>
      <c r="T12" s="211" t="str">
        <f t="array" ref="T12">_xlfn.XLOOKUP(E12, 'DESCONTINUADA Hospitais Regiona'!B:B, 'DESCONTINUADA Hospitais Regiona'!R:R)</f>
        <v>-</v>
      </c>
      <c r="U12" s="208" t="str">
        <f t="array" ref="U12">_xlfn.XLOOKUP(E12, 'DESCONTINUADA Hospitais Regiona'!B:B, 'DESCONTINUADA Hospitais Regiona'!S:S)</f>
        <v>-</v>
      </c>
      <c r="V12" s="211">
        <f t="array" ref="V12">_xlfn.XLOOKUP(E12, 'DESCONTINUADA Hospitais Regiona'!B:B, 'DESCONTINUADA Hospitais Regiona'!T:T)</f>
        <v>116445445.7</v>
      </c>
      <c r="W12" s="208"/>
      <c r="X12" s="357" t="str">
        <f t="array" ref="X12">_xlfn.XLOOKUP(E12, 'DESCONTINUADA Hospitais Regiona'!B:B, 'DESCONTINUADA Hospitais Regiona'!U:U)</f>
        <v>Aquisição de equipamentos através de plano de investimento, no valor de R$ 14.511.533,85 incluindo: motor cirúrgico, camas tipo Fowler, tomógrafo e sistema de infusão para contraste, mesa cirúrgica elétrica , arco cirúrgico, autoclaves hospitalar horizontal, Máquina hemodinâmica, perfurador ósseo, raio-X digital, secador de traquéias, foco cirúrgico de teto, lavadora de endoscópio, elevador para transposição de leitos, Ventilador Pulmonar, Citocentrífuga, Ventilômetro, Ultrassom Diagnóstico; Reforma do CME, Reforma do Bloco cirúrgico, Aquisição de 1 tomógrafo computadorizado, Aquisição de um novo angiografo, Ampliação de 2 ambulâncias tipo A (locação), Abertura de 10 Leitos de UTI Cirurgica, Troca do piso da emergência.
</v>
      </c>
      <c r="Y12" s="361"/>
      <c r="Z12" s="362"/>
    </row>
    <row r="13" ht="137.25" customHeight="1">
      <c r="A13" s="354" t="s">
        <v>555</v>
      </c>
      <c r="B13" s="355" t="s">
        <v>339</v>
      </c>
      <c r="C13" s="356" t="s">
        <v>104</v>
      </c>
      <c r="D13" s="58" t="s">
        <v>1</v>
      </c>
      <c r="E13" s="314" t="s">
        <v>218</v>
      </c>
      <c r="F13" s="357" t="str">
        <f t="array" ref="F13">TEXTJOIN(CHAR(10), TRUE, 
  "*" &amp; E13 &amp; "*", 
  "Status: " &amp; _xlfn.XLOOKUP(E13, 'DESCONTINUADA Hospitais Regiona'!B:B, 'DESCONTINUADA Hospitais Regiona'!C:C, "Não encontrado"), 
  "Tipo de Gestão: " &amp; _xlfn.XLOOKUP(E13, 'DESCONTINUADA Hospitais Regiona'!B:B, 'DESCONTINUADA Hospitais Regiona'!E:E, "Não encontrado"), 
  "OSS: " &amp; _xlfn.XLOOKUP(E13, 'DESCONTINUADA Hospitais Regiona'!B:B, 'DESCONTINUADA Hospitais Regiona'!D:D, "Não encontrado"), 
  "Geres: " &amp; _xlfn.XLOOKUP(E13, 'DESCONTINUADA Hospitais Regiona'!B:B, 'DESCONTINUADA Hospitais Regiona'!F:F, "Não encontrado"), 
  "Localização: " &amp; _xlfn.XLOOKUP(E13, 'DESCONTINUADA Hospitais Regiona'!B:B, 'DESCONTINUADA Hospitais Regiona'!G:G, "Não encontrado"), 
  "Nº de Leitos: " &amp; _xlfn.XLOOKUP(E13, 'DESCONTINUADA Hospitais Regiona'!B:B, 'DESCONTINUADA Hospitais Regiona'!H:H, "Não encontrado"),
  "Leitos abertos nesta gestão: " &amp; _xlfn.XLOOKUP(E13, 'DESCONTINUADA Hospitais Regiona'!B:B, 'DESCONTINUADA Hospitais Regiona'!I:I, "Não encontrado"),
  "Perfil: " &amp; _xlfn.XLOOKUP(E13, 'DESCONTINUADA Hospitais Regiona'!B:B, 'DESCONTINUADA Hospitais Regiona'!L:L, "Não encontrado"), 
  "Nº Profissionais Total: " &amp; _xlfn.XLOOKUP(E13, 'DESCONTINUADA Hospitais Regiona'!B:B, 'DESCONTINUADA Hospitais Regiona'!M:M, "Não encontrado"), 
  "Nº Profissionais convocados nesta gestão: " &amp; _xlfn.XLOOKUP(E13, 'DESCONTINUADA Hospitais Regiona'!B:B, 'DESCONTINUADA Hospitais Regiona'!N:N, "Não encontrado"), 
  "Valor do contrato de manutenção predial (anual): " &amp; _xlfn.XLOOKUP(E13, 'DESCONTINUADA Hospitais Regiona'!B:B, 'DESCONTINUADA Hospitais Regiona'!O:O, "Não encontrado"), 
  "Investimento nesta gestão: " &amp; TEXT(_xlfn.XLOOKUP(E13, 'DESCONTINUADA Hospitais Regiona'!B:B, 'DESCONTINUADA Hospitais Regiona'!P:P, 0), "R$ #.##0,00"), 
  "Aumento do cofinanciamento (Gestão Própria) - de 2023 a 2026: " &amp; TEXT(_xlfn.XLOOKUP(E13, 'DESCONTINUADA Hospitais Regiona'!B:B, 'DESCONTINUADA Hospitais Regiona'!S:S, 0), "0,00%"), 
  "Cofinanciamento 2022 (Apenas Gestão Própria): " &amp; TEXT(_xlfn.XLOOKUP(E13, 'DESCONTINUADA Hospitais Regiona'!B:B, 'DESCONTINUADA Hospitais Regiona'!Q:Q, 0), "R$ #.##0,00"), 
  "Cofinanciamento 2025 (Apenas Gestão Própria): " &amp; TEXT(_xlfn.XLOOKUP(E13, 'DESCONTINUADA Hospitais Regiona'!B:B, 'DESCONTINUADA Hospitais Regiona'!R:R, 0), "R$ #.##0,00"), 
  "Repasse (OS) em 2025: " &amp; TEXT(_xlfn.XLOOKUP(E13, 'DESCONTINUADA Hospitais Regiona'!B:B, 'DESCONTINUADA Hospitais Regiona'!T:T, 0), "R$ #.##0,00"), 
  "Principais avanços nessa gestão: " &amp; _xlfn.XLOOKUP(E13, 'DESCONTINUADA Hospitais Regiona'!B:B, 'DESCONTINUADA Hospitais Regiona'!U:U, "Não encontrado")
)</f>
        <v>*Hospital Metropolitano Norte Miguel Arraes*
Status: EM FUNCIONAMENTO
Tipo de Gestão: OSS
OSS: FGH
Geres: I
Localização: Estrada da Fazendinha, s/nº, Jaguaribe
Nº de Leitos: 181
Leitos abertos nesta gestão: 1
Perfil: Clínica Médica, Cirurgia Geral, Traumato-Ortopedia, Urgencia Dialitica, Endoscopia de Urgencia e Urologia. SAD
Nº Profissionais Total: 1254
Nº Profissionais convocados nesta gestão: -
Valor do contrato de manutenção predial (anual): -
Investimento nesta gestão: R$ 10.262.149,66000
Aumento do cofinanciamento (Gestão Própria) - de 2023 a 2026: -
Cofinanciamento 2022 (Apenas Gestão Própria): -
Cofinanciamento 2025 (Apenas Gestão Própria): -
Repasse (OS) em 2025: R$ 102.110.737,89000
Principais avanços nessa gestão: Implantação de plano de investimento para modernização do serviço de R$ 10,2 milhões, com aquisição de equipamentos como tomógrafo, arco cirúrgico, respiradores e monitores; Reforma da sala da alta e consultórios médicos.</v>
      </c>
      <c r="G13" s="61" t="s">
        <v>63</v>
      </c>
      <c r="H13" s="61" t="s">
        <v>4</v>
      </c>
      <c r="I13" s="58" t="s">
        <v>85</v>
      </c>
      <c r="J13" s="208">
        <f t="array" ref="J13">_xlfn.XLOOKUP(E13, 'DESCONTINUADA Hospitais Regiona'!B:B, 'DESCONTINUADA Hospitais Regiona'!I:I)</f>
        <v>1</v>
      </c>
      <c r="K13" s="208">
        <f t="array" ref="K13">_xlfn.XLOOKUP(E13, 'DESCONTINUADA Hospitais Regiona'!B:B, 'DESCONTINUADA Hospitais Regiona'!H:H)</f>
        <v>181</v>
      </c>
      <c r="L13" s="208" t="str">
        <f t="array" ref="L13">_xlfn.XLOOKUP(E13, 'DESCONTINUADA Hospitais Regiona'!B:B, 'DESCONTINUADA Hospitais Regiona'!J:J)</f>
        <v>UTI Adulto</v>
      </c>
      <c r="M13" s="208" t="str">
        <f t="array" ref="M13">_xlfn.XLOOKUP(E13, 'DESCONTINUADA Hospitais Regiona'!B:B, 'DESCONTINUADA Hospitais Regiona'!K:K)</f>
        <v>-</v>
      </c>
      <c r="N13" s="358" t="str">
        <f t="array" ref="N13">_xlfn.XLOOKUP(E13, 'DESCONTINUADA Hospitais Regiona'!B:B, 'DESCONTINUADA Hospitais Regiona'!L:L)</f>
        <v>Clínica Médica, Cirurgia Geral, Traumato-Ortopedia, Urgencia Dialitica, Endoscopia de Urgencia e Urologia. SAD</v>
      </c>
      <c r="O13" s="359">
        <f t="array" ref="O13">_xlfn.XLOOKUP(E13, 'DESCONTINUADA Hospitais Regiona'!B:B, 'DESCONTINUADA Hospitais Regiona'!M:M)</f>
        <v>1254</v>
      </c>
      <c r="P13" s="208" t="str">
        <f t="array" ref="P13">_xlfn.XLOOKUP(E13, 'DESCONTINUADA Hospitais Regiona'!B:B, 'DESCONTINUADA Hospitais Regiona'!N:N)</f>
        <v>-</v>
      </c>
      <c r="Q13" s="211" t="str">
        <f t="array" ref="Q13">_xlfn.XLOOKUP(E13, 'DESCONTINUADA Hospitais Regiona'!B:B, 'DESCONTINUADA Hospitais Regiona'!O:O)</f>
        <v>-</v>
      </c>
      <c r="R13" s="211">
        <f t="array" ref="R13">_xlfn.XLOOKUP(E13, 'DESCONTINUADA Hospitais Regiona'!B:B, 'DESCONTINUADA Hospitais Regiona'!P:P)</f>
        <v>10262149.66</v>
      </c>
      <c r="S13" s="211" t="str">
        <f t="array" ref="S13">_xlfn.XLOOKUP(E13, 'DESCONTINUADA Hospitais Regiona'!B:B, 'DESCONTINUADA Hospitais Regiona'!Q:Q)</f>
        <v>-</v>
      </c>
      <c r="T13" s="211" t="str">
        <f t="array" ref="T13">_xlfn.XLOOKUP(E13, 'DESCONTINUADA Hospitais Regiona'!B:B, 'DESCONTINUADA Hospitais Regiona'!R:R)</f>
        <v>-</v>
      </c>
      <c r="U13" s="208" t="str">
        <f t="array" ref="U13">_xlfn.XLOOKUP(E13, 'DESCONTINUADA Hospitais Regiona'!B:B, 'DESCONTINUADA Hospitais Regiona'!S:S)</f>
        <v>-</v>
      </c>
      <c r="V13" s="211">
        <f t="array" ref="V13">_xlfn.XLOOKUP(E13, 'DESCONTINUADA Hospitais Regiona'!B:B, 'DESCONTINUADA Hospitais Regiona'!T:T)</f>
        <v>102110737.9</v>
      </c>
      <c r="W13" s="208"/>
      <c r="X13" s="357" t="str">
        <f t="array" ref="X13">_xlfn.XLOOKUP(E13, 'DESCONTINUADA Hospitais Regiona'!B:B, 'DESCONTINUADA Hospitais Regiona'!U:U)</f>
        <v>Implantação de plano de investimento para modernização do serviço de R$ 10,2 milhões, com aquisição de equipamentos como tomógrafo, arco cirúrgico, respiradores e monitores; Reforma da sala da alta e consultórios médicos.</v>
      </c>
      <c r="Y13" s="361"/>
      <c r="Z13" s="362"/>
    </row>
    <row r="14" ht="137.25" customHeight="1">
      <c r="A14" s="363">
        <v>2611606.0</v>
      </c>
      <c r="B14" s="355" t="s">
        <v>96</v>
      </c>
      <c r="C14" s="356" t="s">
        <v>104</v>
      </c>
      <c r="D14" s="58" t="s">
        <v>1</v>
      </c>
      <c r="E14" s="314" t="s">
        <v>230</v>
      </c>
      <c r="F14" s="357" t="str">
        <f t="array" ref="F14">TEXTJOIN(CHAR(10), TRUE, 
  "*" &amp; E14 &amp; "*", 
  "Status: " &amp; _xlfn.XLOOKUP(E14, 'DESCONTINUADA Hospitais Regiona'!B:B, 'DESCONTINUADA Hospitais Regiona'!C:C, "Não encontrado"), 
  "Tipo de Gestão: " &amp; _xlfn.XLOOKUP(E14, 'DESCONTINUADA Hospitais Regiona'!B:B, 'DESCONTINUADA Hospitais Regiona'!E:E, "Não encontrado"), 
  "OSS: " &amp; _xlfn.XLOOKUP(E14, 'DESCONTINUADA Hospitais Regiona'!B:B, 'DESCONTINUADA Hospitais Regiona'!D:D, "Não encontrado"), 
  "Geres: " &amp; _xlfn.XLOOKUP(E14, 'DESCONTINUADA Hospitais Regiona'!B:B, 'DESCONTINUADA Hospitais Regiona'!F:F, "Não encontrado"), 
  "Localização: " &amp; _xlfn.XLOOKUP(E14, 'DESCONTINUADA Hospitais Regiona'!B:B, 'DESCONTINUADA Hospitais Regiona'!G:G, "Não encontrado"), 
  "Nº de Leitos: " &amp; _xlfn.XLOOKUP(E14, 'DESCONTINUADA Hospitais Regiona'!B:B, 'DESCONTINUADA Hospitais Regiona'!H:H, "Não encontrado"),
  "Leitos abertos nesta gestão: " &amp; _xlfn.XLOOKUP(E14, 'DESCONTINUADA Hospitais Regiona'!B:B, 'DESCONTINUADA Hospitais Regiona'!I:I, "Não encontrado"),
  "Perfil: " &amp; _xlfn.XLOOKUP(E14, 'DESCONTINUADA Hospitais Regiona'!B:B, 'DESCONTINUADA Hospitais Regiona'!L:L, "Não encontrado"), 
  "Nº Profissionais Total: " &amp; _xlfn.XLOOKUP(E14, 'DESCONTINUADA Hospitais Regiona'!B:B, 'DESCONTINUADA Hospitais Regiona'!M:M, "Não encontrado"), 
  "Nº Profissionais convocados nesta gestão: " &amp; _xlfn.XLOOKUP(E14, 'DESCONTINUADA Hospitais Regiona'!B:B, 'DESCONTINUADA Hospitais Regiona'!N:N, "Não encontrado"), 
  "Valor do contrato de manutenção predial (anual): " &amp; _xlfn.XLOOKUP(E14, 'DESCONTINUADA Hospitais Regiona'!B:B, 'DESCONTINUADA Hospitais Regiona'!O:O, "Não encontrado"), 
  "Investimento nesta gestão: " &amp; TEXT(_xlfn.XLOOKUP(E14, 'DESCONTINUADA Hospitais Regiona'!B:B, 'DESCONTINUADA Hospitais Regiona'!P:P, 0), "R$ #.##0,00"), 
  "Aumento do cofinanciamento (Gestão Própria) - de 2023 a 2026: " &amp; TEXT(_xlfn.XLOOKUP(E14, 'DESCONTINUADA Hospitais Regiona'!B:B, 'DESCONTINUADA Hospitais Regiona'!S:S, 0), "0,00%"), 
  "Cofinanciamento 2022 (Apenas Gestão Própria): " &amp; TEXT(_xlfn.XLOOKUP(E14, 'DESCONTINUADA Hospitais Regiona'!B:B, 'DESCONTINUADA Hospitais Regiona'!Q:Q, 0), "R$ #.##0,00"), 
  "Cofinanciamento 2025 (Apenas Gestão Própria): " &amp; TEXT(_xlfn.XLOOKUP(E14, 'DESCONTINUADA Hospitais Regiona'!B:B, 'DESCONTINUADA Hospitais Regiona'!R:R, 0), "R$ #.##0,00"), 
  "Repasse (OS) em 2025: " &amp; TEXT(_xlfn.XLOOKUP(E14, 'DESCONTINUADA Hospitais Regiona'!B:B, 'DESCONTINUADA Hospitais Regiona'!T:T, 0), "R$ #.##0,00"), 
  "Principais avanços nessa gestão: " &amp; _xlfn.XLOOKUP(E14, 'DESCONTINUADA Hospitais Regiona'!B:B, 'DESCONTINUADA Hospitais Regiona'!U:U, "Não encontrado")
)</f>
        <v>*Hospital Metropolitano Oeste Pelópidas Silveira*
Status: EM FUNCIONAMENTO
Tipo de Gestão: OSS
OSS: FGH
Geres: I
Localização: Rodovia BR-232, Km 06 - Curado
Nº de Leitos: 150
Leitos abertos nesta gestão: -
Perfil: Cardiologia, Neurologia, Neurocirurgia, Cardio Intervencionista e Neurointervencionista. SAD
Nº Profissionais Total: 1546
Nº Profissionais convocados nesta gestão: -
Valor do contrato de manutenção predial (anual): -
Investimento nesta gestão: R$ 8.675.544,46000
Aumento do cofinanciamento (Gestão Própria) - de 2023 a 2026: -
Cofinanciamento 2022 (Apenas Gestão Própria): -
Cofinanciamento 2025 (Apenas Gestão Própria): -
Repasse (OS) em 2025: R$ 107.316.856,79000
Principais avanços nessa gestão: Modernização do parque tecnológico com mais de R$ 8,3 milhões em plano de investimento (Aparelho de tomografia computadorizada, Ecocardiógrafo, Ultrassom com transdutor doppler colorido, Ventiladores pulmonares, Aparelho  de anestesia, Autoclave , Cardioversor, Microscópio cirúrgico, Mesa cirúrgica elétrica, Foco cirúrgico de teto) e Emenda Parlamentar para aquisição de microcomputadores no valor de R$ R$297.230,84; Ampliação de locação de 02 (duas) ambulâncias e Entrega de uma ambulância avançada. </v>
      </c>
      <c r="G14" s="61" t="s">
        <v>63</v>
      </c>
      <c r="H14" s="61" t="s">
        <v>4</v>
      </c>
      <c r="I14" s="58" t="s">
        <v>85</v>
      </c>
      <c r="J14" s="208" t="str">
        <f t="array" ref="J14">_xlfn.XLOOKUP(E14, 'DESCONTINUADA Hospitais Regiona'!B:B, 'DESCONTINUADA Hospitais Regiona'!I:I)</f>
        <v>-</v>
      </c>
      <c r="K14" s="208">
        <f t="array" ref="K14">_xlfn.XLOOKUP(E14, 'DESCONTINUADA Hospitais Regiona'!B:B, 'DESCONTINUADA Hospitais Regiona'!H:H)</f>
        <v>150</v>
      </c>
      <c r="L14" s="208" t="str">
        <f t="array" ref="L14">_xlfn.XLOOKUP(E14, 'DESCONTINUADA Hospitais Regiona'!B:B, 'DESCONTINUADA Hospitais Regiona'!J:J)</f>
        <v>-</v>
      </c>
      <c r="M14" s="208" t="str">
        <f t="array" ref="M14">_xlfn.XLOOKUP(E14, 'DESCONTINUADA Hospitais Regiona'!B:B, 'DESCONTINUADA Hospitais Regiona'!K:K)</f>
        <v>-</v>
      </c>
      <c r="N14" s="358" t="str">
        <f t="array" ref="N14">_xlfn.XLOOKUP(E14, 'DESCONTINUADA Hospitais Regiona'!B:B, 'DESCONTINUADA Hospitais Regiona'!L:L)</f>
        <v>Cardiologia, Neurologia, Neurocirurgia, Cardio Intervencionista e Neurointervencionista. SAD</v>
      </c>
      <c r="O14" s="359">
        <f t="array" ref="O14">_xlfn.XLOOKUP(E14, 'DESCONTINUADA Hospitais Regiona'!B:B, 'DESCONTINUADA Hospitais Regiona'!M:M)</f>
        <v>1546</v>
      </c>
      <c r="P14" s="208" t="str">
        <f t="array" ref="P14">_xlfn.XLOOKUP(E14, 'DESCONTINUADA Hospitais Regiona'!B:B, 'DESCONTINUADA Hospitais Regiona'!N:N)</f>
        <v>-</v>
      </c>
      <c r="Q14" s="211" t="str">
        <f t="array" ref="Q14">_xlfn.XLOOKUP(E14, 'DESCONTINUADA Hospitais Regiona'!B:B, 'DESCONTINUADA Hospitais Regiona'!O:O)</f>
        <v>-</v>
      </c>
      <c r="R14" s="211">
        <f t="array" ref="R14">_xlfn.XLOOKUP(E14, 'DESCONTINUADA Hospitais Regiona'!B:B, 'DESCONTINUADA Hospitais Regiona'!P:P)</f>
        <v>8675544.46</v>
      </c>
      <c r="S14" s="211" t="str">
        <f t="array" ref="S14">_xlfn.XLOOKUP(E14, 'DESCONTINUADA Hospitais Regiona'!B:B, 'DESCONTINUADA Hospitais Regiona'!Q:Q)</f>
        <v>-</v>
      </c>
      <c r="T14" s="211" t="str">
        <f t="array" ref="T14">_xlfn.XLOOKUP(E14, 'DESCONTINUADA Hospitais Regiona'!B:B, 'DESCONTINUADA Hospitais Regiona'!R:R)</f>
        <v>-</v>
      </c>
      <c r="U14" s="208" t="str">
        <f t="array" ref="U14">_xlfn.XLOOKUP(E14, 'DESCONTINUADA Hospitais Regiona'!B:B, 'DESCONTINUADA Hospitais Regiona'!S:S)</f>
        <v>-</v>
      </c>
      <c r="V14" s="211">
        <f t="array" ref="V14">_xlfn.XLOOKUP(E14, 'DESCONTINUADA Hospitais Regiona'!B:B, 'DESCONTINUADA Hospitais Regiona'!T:T)</f>
        <v>107316856.8</v>
      </c>
      <c r="W14" s="208"/>
      <c r="X14" s="357" t="str">
        <f t="array" ref="X14">_xlfn.XLOOKUP(E14, 'DESCONTINUADA Hospitais Regiona'!B:B, 'DESCONTINUADA Hospitais Regiona'!U:U)</f>
        <v>Modernização do parque tecnológico com mais de R$ 8,3 milhões em plano de investimento (Aparelho de tomografia computadorizada, Ecocardiógrafo, Ultrassom com transdutor doppler colorido, Ventiladores pulmonares, Aparelho  de anestesia, Autoclave , Cardioversor, Microscópio cirúrgico, Mesa cirúrgica elétrica, Foco cirúrgico de teto) e Emenda Parlamentar para aquisição de microcomputadores no valor de R$ R$297.230,84; Ampliação de locação de 02 (duas) ambulâncias e Entrega de uma ambulância avançada. </v>
      </c>
      <c r="Y14" s="361"/>
      <c r="Z14" s="362"/>
    </row>
    <row r="15" ht="137.25" customHeight="1">
      <c r="A15" s="53">
        <v>2606200.0</v>
      </c>
      <c r="B15" s="392" t="s">
        <v>414</v>
      </c>
      <c r="C15" s="311" t="s">
        <v>415</v>
      </c>
      <c r="D15" s="58" t="s">
        <v>1</v>
      </c>
      <c r="E15" s="314" t="s">
        <v>242</v>
      </c>
      <c r="F15" s="357" t="str">
        <f t="array" ref="F15">TEXTJOIN(CHAR(10), TRUE, 
  "*" &amp; E15 &amp; "*", 
  "Status: " &amp; _xlfn.XLOOKUP(E15, 'DESCONTINUADA Hospitais Regiona'!B:B, 'DESCONTINUADA Hospitais Regiona'!C:C, "Não encontrado"), 
  "Tipo de Gestão: " &amp; _xlfn.XLOOKUP(E15, 'DESCONTINUADA Hospitais Regiona'!B:B, 'DESCONTINUADA Hospitais Regiona'!E:E, "Não encontrado"), 
  "OSS: " &amp; _xlfn.XLOOKUP(E15, 'DESCONTINUADA Hospitais Regiona'!B:B, 'DESCONTINUADA Hospitais Regiona'!D:D, "Não encontrado"), 
  "Geres: " &amp; _xlfn.XLOOKUP(E15, 'DESCONTINUADA Hospitais Regiona'!B:B, 'DESCONTINUADA Hospitais Regiona'!F:F, "Não encontrado"), 
  "Localização: " &amp; _xlfn.XLOOKUP(E15, 'DESCONTINUADA Hospitais Regiona'!B:B, 'DESCONTINUADA Hospitais Regiona'!G:G, "Não encontrado"), 
  "Nº de Leitos: " &amp; _xlfn.XLOOKUP(E15, 'DESCONTINUADA Hospitais Regiona'!B:B, 'DESCONTINUADA Hospitais Regiona'!H:H, "Não encontrado"),
  "Leitos abertos nesta gestão: " &amp; _xlfn.XLOOKUP(E15, 'DESCONTINUADA Hospitais Regiona'!B:B, 'DESCONTINUADA Hospitais Regiona'!I:I, "Não encontrado"),
  "Perfil: " &amp; _xlfn.XLOOKUP(E15, 'DESCONTINUADA Hospitais Regiona'!B:B, 'DESCONTINUADA Hospitais Regiona'!L:L, "Não encontrado"), 
  "Nº Profissionais Total: " &amp; _xlfn.XLOOKUP(E15, 'DESCONTINUADA Hospitais Regiona'!B:B, 'DESCONTINUADA Hospitais Regiona'!M:M, "Não encontrado"), 
  "Nº Profissionais convocados nesta gestão: " &amp; _xlfn.XLOOKUP(E15, 'DESCONTINUADA Hospitais Regiona'!B:B, 'DESCONTINUADA Hospitais Regiona'!N:N, "Não encontrado"), 
  "Valor do contrato de manutenção predial (anual): " &amp; _xlfn.XLOOKUP(E15, 'DESCONTINUADA Hospitais Regiona'!B:B, 'DESCONTINUADA Hospitais Regiona'!O:O, "Não encontrado"), 
  "Investimento nesta gestão: " &amp; TEXT(_xlfn.XLOOKUP(E15, 'DESCONTINUADA Hospitais Regiona'!B:B, 'DESCONTINUADA Hospitais Regiona'!P:P, 0), "R$ #.##0,00"), 
  "Aumento do cofinanciamento (Gestão Própria) - de 2023 a 2026: " &amp; TEXT(_xlfn.XLOOKUP(E15, 'DESCONTINUADA Hospitais Regiona'!B:B, 'DESCONTINUADA Hospitais Regiona'!S:S, 0), "0,00%"), 
  "Cofinanciamento 2022 (Apenas Gestão Própria): " &amp; TEXT(_xlfn.XLOOKUP(E15, 'DESCONTINUADA Hospitais Regiona'!B:B, 'DESCONTINUADA Hospitais Regiona'!Q:Q, 0), "R$ #.##0,00"), 
  "Cofinanciamento 2025 (Apenas Gestão Própria): " &amp; TEXT(_xlfn.XLOOKUP(E15, 'DESCONTINUADA Hospitais Regiona'!B:B, 'DESCONTINUADA Hospitais Regiona'!R:R, 0), "R$ #.##0,00"), 
  "Repasse (OS) em 2025: " &amp; TEXT(_xlfn.XLOOKUP(E15, 'DESCONTINUADA Hospitais Regiona'!B:B, 'DESCONTINUADA Hospitais Regiona'!T:T, 0), "R$ #.##0,00"), 
  "Principais avanços nessa gestão: " &amp; _xlfn.XLOOKUP(E15, 'DESCONTINUADA Hospitais Regiona'!B:B, 'DESCONTINUADA Hospitais Regiona'!U:U, "Não encontrado")
)</f>
        <v>*Hospital Belarmino Correia*
Status: EM FUNCIONAMENTO
Tipo de Gestão: Gestão própria
OSS: -
Geres: XII
Localização: Praça Correia Picanço, s/n - Centro, Goiana - PE
Nº de Leitos: 69
Leitos abertos nesta gestão: -
Perfil: Urgência: Clínica Médica, Pediatria, Ortopedia, Cirurgia Geral, Obstetrícia. Ambulatório: cardiologista, cirurgia geral, ortopedia, obstetrícia, pré natal de alto risco, ginecologia cirúrgico, ginecologia, pediatria, planejamento familiar, dermatologia, endocrinologia, gastroenterologia, oftalmologia, neonatologia, pediatria, pneumologia geral, mastologia, vascular, urologia, psiquiatria, psicologia, neurologia, nutrição, fisioterapia, clínica médica e programa pé diabético.
Nº Profissionais Total: 655
Nº Profissionais convocados nesta gestão: 68
Valor do contrato de manutenção predial (anual): 4184442,93
Investimento nesta gestão: R$ 13.358.895,08000
Aumento do cofinanciamento (Gestão Própria) - de 2023 a 2026: 348%
Cofinanciamento 2022 (Apenas Gestão Própria): R$ 2.828.257,2000
Cofinanciamento 2025 (Apenas Gestão Própria): R$ 12.679.519,6000
Repasse (OS) em 2025: -
Principais avanços nessa gestão: Criação sala teste do Pezinho; Requalificação da emergência da Pediátrica; Requalificação da sala do Raio x; Aquisição de um raio -x digital;  troca de todas as camas;  Aquisição de 02 (duas) ambulâncias avançadas; Requalificação do berçário com aquisição de novas incubadoras; Requalificação da Clínica da Pediátrica; Aquisição de mobílias; Estruturação do Centro cirúrgico com aquisição de novos equipamentos; Aquisição de instrumentais;   Incremento de recursos humanos; Implantação do Serviço de Gestão de Transporte - SETRANS; Implantação do Núcleo Interno de Regulação-NIR; Implantação de 31 cargos de liderança para servidores-FSUS.
</v>
      </c>
      <c r="G15" s="61" t="s">
        <v>63</v>
      </c>
      <c r="H15" s="61" t="s">
        <v>75</v>
      </c>
      <c r="I15" s="58" t="s">
        <v>108</v>
      </c>
      <c r="J15" s="208" t="str">
        <f t="array" ref="J15">_xlfn.XLOOKUP(E15, 'DESCONTINUADA Hospitais Regiona'!B:B, 'DESCONTINUADA Hospitais Regiona'!I:I)</f>
        <v>-</v>
      </c>
      <c r="K15" s="208">
        <f t="array" ref="K15">_xlfn.XLOOKUP(E15, 'DESCONTINUADA Hospitais Regiona'!B:B, 'DESCONTINUADA Hospitais Regiona'!H:H)</f>
        <v>69</v>
      </c>
      <c r="L15" s="208" t="str">
        <f t="array" ref="L15">_xlfn.XLOOKUP(E15, 'DESCONTINUADA Hospitais Regiona'!B:B, 'DESCONTINUADA Hospitais Regiona'!J:J)</f>
        <v>-</v>
      </c>
      <c r="M15" s="208" t="str">
        <f t="array" ref="M15">_xlfn.XLOOKUP(E15, 'DESCONTINUADA Hospitais Regiona'!B:B, 'DESCONTINUADA Hospitais Regiona'!K:K)</f>
        <v>-</v>
      </c>
      <c r="N15" s="358" t="str">
        <f t="array" ref="N15">_xlfn.XLOOKUP(E15, 'DESCONTINUADA Hospitais Regiona'!B:B, 'DESCONTINUADA Hospitais Regiona'!L:L)</f>
        <v>Urgência: Clínica Médica, Pediatria, Ortopedia, Cirurgia Geral, Obstetrícia. Ambulatório: cardiologista, cirurgia geral, ortopedia, obstetrícia, pré natal de alto risco, ginecologia cirúrgico, ginecologia, pediatria, planejamento familiar, dermatologia, endocrinologia, gastroenterologia, oftalmologia, neonatologia, pediatria, pneumologia geral, mastologia, vascular, urologia, psiquiatria, psicologia, neurologia, nutrição, fisioterapia, clínica médica e programa pé diabético.</v>
      </c>
      <c r="O15" s="359">
        <f t="array" ref="O15">_xlfn.XLOOKUP(E15, 'DESCONTINUADA Hospitais Regiona'!B:B, 'DESCONTINUADA Hospitais Regiona'!M:M)</f>
        <v>655</v>
      </c>
      <c r="P15" s="208">
        <f t="array" ref="P15">_xlfn.XLOOKUP(E15, 'DESCONTINUADA Hospitais Regiona'!B:B, 'DESCONTINUADA Hospitais Regiona'!N:N)</f>
        <v>68</v>
      </c>
      <c r="Q15" s="211">
        <f t="array" ref="Q15">_xlfn.XLOOKUP(E15, 'DESCONTINUADA Hospitais Regiona'!B:B, 'DESCONTINUADA Hospitais Regiona'!O:O)</f>
        <v>4184442.93</v>
      </c>
      <c r="R15" s="211">
        <f t="array" ref="R15">_xlfn.XLOOKUP(E15, 'DESCONTINUADA Hospitais Regiona'!B:B, 'DESCONTINUADA Hospitais Regiona'!P:P)</f>
        <v>13358895.08</v>
      </c>
      <c r="S15" s="211">
        <f t="array" ref="S15">_xlfn.XLOOKUP(E15, 'DESCONTINUADA Hospitais Regiona'!B:B, 'DESCONTINUADA Hospitais Regiona'!Q:Q)</f>
        <v>2828257.2</v>
      </c>
      <c r="T15" s="211">
        <f t="array" ref="T15">_xlfn.XLOOKUP(E15, 'DESCONTINUADA Hospitais Regiona'!B:B, 'DESCONTINUADA Hospitais Regiona'!R:R)</f>
        <v>12679519.6</v>
      </c>
      <c r="U15" s="360">
        <f t="array" ref="U15">_xlfn.XLOOKUP(E15, 'DESCONTINUADA Hospitais Regiona'!B:B, 'DESCONTINUADA Hospitais Regiona'!S:S)</f>
        <v>3.483156482</v>
      </c>
      <c r="V15" s="211" t="str">
        <f t="array" ref="V15">_xlfn.XLOOKUP(E15, 'DESCONTINUADA Hospitais Regiona'!B:B, 'DESCONTINUADA Hospitais Regiona'!T:T)</f>
        <v>-</v>
      </c>
      <c r="W15" s="208"/>
      <c r="X15" s="357" t="str">
        <f t="array" ref="X15">_xlfn.XLOOKUP(E15, 'DESCONTINUADA Hospitais Regiona'!B:B, 'DESCONTINUADA Hospitais Regiona'!U:U)</f>
        <v>Criação sala teste do Pezinho; Requalificação da emergência da Pediátrica; Requalificação da sala do Raio x; Aquisição de um raio -x digital;  troca de todas as camas;  Aquisição de 02 (duas) ambulâncias avançadas; Requalificação do berçário com aquisição de novas incubadoras; Requalificação da Clínica da Pediátrica; Aquisição de mobílias; Estruturação do Centro cirúrgico com aquisição de novos equipamentos; Aquisição de instrumentais;   Incremento de recursos humanos; Implantação do Serviço de Gestão de Transporte - SETRANS; Implantação do Núcleo Interno de Regulação-NIR; Implantação de 31 cargos de liderança para servidores-FSUS.
</v>
      </c>
      <c r="Y15" s="361"/>
      <c r="Z15" s="362"/>
    </row>
    <row r="16" ht="137.25" customHeight="1">
      <c r="A16" s="393">
        <v>2609501.0</v>
      </c>
      <c r="B16" s="394" t="s">
        <v>416</v>
      </c>
      <c r="C16" s="395" t="s">
        <v>415</v>
      </c>
      <c r="D16" s="58" t="s">
        <v>1</v>
      </c>
      <c r="E16" s="314" t="s">
        <v>257</v>
      </c>
      <c r="F16" s="357" t="str">
        <f t="array" ref="F16">TEXTJOIN(CHAR(10), TRUE, 
  "*" &amp; E16 &amp; "*", 
  "Status: " &amp; _xlfn.XLOOKUP(E16, 'DESCONTINUADA Hospitais Regiona'!B:B, 'DESCONTINUADA Hospitais Regiona'!C:C, "Não encontrado"), 
  "Tipo de Gestão: " &amp; _xlfn.XLOOKUP(E16, 'DESCONTINUADA Hospitais Regiona'!B:B, 'DESCONTINUADA Hospitais Regiona'!E:E, "Não encontrado"), 
  "OSS: " &amp; _xlfn.XLOOKUP(E16, 'DESCONTINUADA Hospitais Regiona'!B:B, 'DESCONTINUADA Hospitais Regiona'!D:D, "Não encontrado"), 
  "Geres: " &amp; _xlfn.XLOOKUP(E16, 'DESCONTINUADA Hospitais Regiona'!B:B, 'DESCONTINUADA Hospitais Regiona'!F:F, "Não encontrado"), 
  "Localização: " &amp; _xlfn.XLOOKUP(E16, 'DESCONTINUADA Hospitais Regiona'!B:B, 'DESCONTINUADA Hospitais Regiona'!G:G, "Não encontrado"), 
  "Nº de Leitos: " &amp; _xlfn.XLOOKUP(E16, 'DESCONTINUADA Hospitais Regiona'!B:B, 'DESCONTINUADA Hospitais Regiona'!H:H, "Não encontrado"),
  "Leitos abertos nesta gestão: " &amp; _xlfn.XLOOKUP(E16, 'DESCONTINUADA Hospitais Regiona'!B:B, 'DESCONTINUADA Hospitais Regiona'!I:I, "Não encontrado"),
  "Perfil: " &amp; _xlfn.XLOOKUP(E16, 'DESCONTINUADA Hospitais Regiona'!B:B, 'DESCONTINUADA Hospitais Regiona'!L:L, "Não encontrado"), 
  "Nº Profissionais Total: " &amp; _xlfn.XLOOKUP(E16, 'DESCONTINUADA Hospitais Regiona'!B:B, 'DESCONTINUADA Hospitais Regiona'!M:M, "Não encontrado"), 
  "Nº Profissionais convocados nesta gestão: " &amp; _xlfn.XLOOKUP(E16, 'DESCONTINUADA Hospitais Regiona'!B:B, 'DESCONTINUADA Hospitais Regiona'!N:N, "Não encontrado"), 
  "Valor do contrato de manutenção predial (anual): " &amp; _xlfn.XLOOKUP(E16, 'DESCONTINUADA Hospitais Regiona'!B:B, 'DESCONTINUADA Hospitais Regiona'!O:O, "Não encontrado"), 
  "Investimento nesta gestão: " &amp; TEXT(_xlfn.XLOOKUP(E16, 'DESCONTINUADA Hospitais Regiona'!B:B, 'DESCONTINUADA Hospitais Regiona'!P:P, 0), "R$ #.##0,00"), 
  "Aumento do cofinanciamento (Gestão Própria) - de 2023 a 2026: " &amp; TEXT(_xlfn.XLOOKUP(E16, 'DESCONTINUADA Hospitais Regiona'!B:B, 'DESCONTINUADA Hospitais Regiona'!S:S, 0), "0,00%"), 
  "Cofinanciamento 2022 (Apenas Gestão Própria): " &amp; TEXT(_xlfn.XLOOKUP(E16, 'DESCONTINUADA Hospitais Regiona'!B:B, 'DESCONTINUADA Hospitais Regiona'!Q:Q, 0), "R$ #.##0,00"), 
  "Cofinanciamento 2025 (Apenas Gestão Própria): " &amp; TEXT(_xlfn.XLOOKUP(E16, 'DESCONTINUADA Hospitais Regiona'!B:B, 'DESCONTINUADA Hospitais Regiona'!R:R, 0), "R$ #.##0,00"), 
  "Repasse (OS) em 2025: " &amp; TEXT(_xlfn.XLOOKUP(E16, 'DESCONTINUADA Hospitais Regiona'!B:B, 'DESCONTINUADA Hospitais Regiona'!T:T, 0), "R$ #.##0,00"), 
  "Principais avanços nessa gestão: " &amp; _xlfn.XLOOKUP(E16, 'DESCONTINUADA Hospitais Regiona'!B:B, 'DESCONTINUADA Hospitais Regiona'!U:U, "Não encontrado")
)</f>
        <v>*Hospital Ermírio Coutinho*
Status: EM FUNCIONAMENTO
Tipo de Gestão: OSS
OSS: FMSA
Geres: II
Localização: Trav. Bancário Leopoldino V. de Melo, Centro, Nazaré da Mata, CEP: 55.800-000
Nº de Leitos: 57
Leitos abertos nesta gestão: -
Perfil: Serviço de Emergencia em obstetrícia, pediatria e Clinica médica. Dispôe de ambulatório e apoio diagnóstico
Nº Profissionais Total: 473
Nº Profissionais convocados nesta gestão: -
Valor do contrato de manutenção predial (anual): -
Investimento nesta gestão: R$ 2.670.011,77000
Aumento do cofinanciamento (Gestão Própria) - de 2023 a 2026: -
Cofinanciamento 2022 (Apenas Gestão Própria): -
Cofinanciamento 2025 (Apenas Gestão Própria): -
Repasse (OS) em 2025: R$ 31.416.979,37000
Principais avanços nessa gestão: Aquisição de equipamentos através de plano de investimento, no valor de R$R$ 876.821,53 (Incubadora, berço aquecido, foco de teto, Microscópio biológico trinocular
com objetivas planacromáticas,Monitor Multiparamêtro, cardiotocógrafo, Oximetro/Omimetro, Carro de parada com desfibrilador), R$1.516.227,45 investidos em obras e R$133.050,00 através de Emenda parlamentar; Reforma da sala vermelha adulto e pediátrica, Reforma do Centro Cirúrgico, Requalificação da triagem obstétrica e Enfermaria 4, Instalação de ar-condicionado no ambulatório e recepção geral.</v>
      </c>
      <c r="G16" s="61" t="s">
        <v>63</v>
      </c>
      <c r="H16" s="61" t="s">
        <v>4</v>
      </c>
      <c r="I16" s="58" t="s">
        <v>85</v>
      </c>
      <c r="J16" s="208" t="str">
        <f t="array" ref="J16">_xlfn.XLOOKUP(E16, 'DESCONTINUADA Hospitais Regiona'!B:B, 'DESCONTINUADA Hospitais Regiona'!I:I)</f>
        <v>-</v>
      </c>
      <c r="K16" s="208">
        <f t="array" ref="K16">_xlfn.XLOOKUP(E16, 'DESCONTINUADA Hospitais Regiona'!B:B, 'DESCONTINUADA Hospitais Regiona'!H:H)</f>
        <v>57</v>
      </c>
      <c r="L16" s="208" t="str">
        <f t="array" ref="L16">_xlfn.XLOOKUP(E16, 'DESCONTINUADA Hospitais Regiona'!B:B, 'DESCONTINUADA Hospitais Regiona'!J:J)</f>
        <v>-</v>
      </c>
      <c r="M16" s="208" t="str">
        <f t="array" ref="M16">_xlfn.XLOOKUP(E16, 'DESCONTINUADA Hospitais Regiona'!B:B, 'DESCONTINUADA Hospitais Regiona'!K:K)</f>
        <v>-</v>
      </c>
      <c r="N16" s="358" t="str">
        <f t="array" ref="N16">_xlfn.XLOOKUP(E16, 'DESCONTINUADA Hospitais Regiona'!B:B, 'DESCONTINUADA Hospitais Regiona'!L:L)</f>
        <v>Serviço de Emergencia em obstetrícia, pediatria e Clinica médica. Dispôe de ambulatório e apoio diagnóstico
</v>
      </c>
      <c r="O16" s="359">
        <f t="array" ref="O16">_xlfn.XLOOKUP(E16, 'DESCONTINUADA Hospitais Regiona'!B:B, 'DESCONTINUADA Hospitais Regiona'!M:M)</f>
        <v>473</v>
      </c>
      <c r="P16" s="208" t="str">
        <f t="array" ref="P16">_xlfn.XLOOKUP(E16, 'DESCONTINUADA Hospitais Regiona'!B:B, 'DESCONTINUADA Hospitais Regiona'!N:N)</f>
        <v>-</v>
      </c>
      <c r="Q16" s="211" t="str">
        <f t="array" ref="Q16">_xlfn.XLOOKUP(E16, 'DESCONTINUADA Hospitais Regiona'!B:B, 'DESCONTINUADA Hospitais Regiona'!O:O)</f>
        <v>-</v>
      </c>
      <c r="R16" s="211">
        <f t="array" ref="R16">_xlfn.XLOOKUP(E16, 'DESCONTINUADA Hospitais Regiona'!B:B, 'DESCONTINUADA Hospitais Regiona'!P:P)</f>
        <v>2670011.77</v>
      </c>
      <c r="S16" s="211" t="str">
        <f t="array" ref="S16">_xlfn.XLOOKUP(E16, 'DESCONTINUADA Hospitais Regiona'!B:B, 'DESCONTINUADA Hospitais Regiona'!Q:Q)</f>
        <v>-</v>
      </c>
      <c r="T16" s="211" t="str">
        <f t="array" ref="T16">_xlfn.XLOOKUP(E16, 'DESCONTINUADA Hospitais Regiona'!B:B, 'DESCONTINUADA Hospitais Regiona'!R:R)</f>
        <v>-</v>
      </c>
      <c r="U16" s="208" t="str">
        <f t="array" ref="U16">_xlfn.XLOOKUP(E16, 'DESCONTINUADA Hospitais Regiona'!B:B, 'DESCONTINUADA Hospitais Regiona'!S:S)</f>
        <v>-</v>
      </c>
      <c r="V16" s="211">
        <f t="array" ref="V16">_xlfn.XLOOKUP(E16, 'DESCONTINUADA Hospitais Regiona'!B:B, 'DESCONTINUADA Hospitais Regiona'!T:T)</f>
        <v>31416979.37</v>
      </c>
      <c r="W16" s="208"/>
      <c r="X16" s="357" t="str">
        <f t="array" ref="X16">_xlfn.XLOOKUP(E16, 'DESCONTINUADA Hospitais Regiona'!B:B, 'DESCONTINUADA Hospitais Regiona'!U:U)</f>
        <v>Aquisição de equipamentos através de plano de investimento, no valor de R$R$ 876.821,53 (Incubadora, berço aquecido, foco de teto, Microscópio biológico trinocular
com objetivas planacromáticas,Monitor Multiparamêtro, cardiotocógrafo, Oximetro/Omimetro, Carro de parada com desfibrilador), R$1.516.227,45 investidos em obras e R$133.050,00 através de Emenda parlamentar; Reforma da sala vermelha adulto e pediátrica, Reforma do Centro Cirúrgico, Requalificação da triagem obstétrica e Enfermaria 4, Instalação de ar-condicionado no ambulatório e recepção geral.</v>
      </c>
      <c r="Y16" s="361"/>
      <c r="Z16" s="362"/>
    </row>
    <row r="17" ht="137.25" customHeight="1">
      <c r="A17" s="363">
        <v>2616407.0</v>
      </c>
      <c r="B17" s="355" t="s">
        <v>417</v>
      </c>
      <c r="C17" s="356" t="s">
        <v>418</v>
      </c>
      <c r="D17" s="58" t="s">
        <v>1</v>
      </c>
      <c r="E17" s="314" t="s">
        <v>264</v>
      </c>
      <c r="F17" s="357" t="str">
        <f t="array" ref="F17">TEXTJOIN(CHAR(10), TRUE, 
  "*" &amp; E17 &amp; "*", 
  "Status: " &amp; _xlfn.XLOOKUP(E17, 'DESCONTINUADA Hospitais Regiona'!B:B, 'DESCONTINUADA Hospitais Regiona'!C:C, "Não encontrado"), 
  "Tipo de Gestão: " &amp; _xlfn.XLOOKUP(E17, 'DESCONTINUADA Hospitais Regiona'!B:B, 'DESCONTINUADA Hospitais Regiona'!E:E, "Não encontrado"), 
  "OSS: " &amp; _xlfn.XLOOKUP(E17, 'DESCONTINUADA Hospitais Regiona'!B:B, 'DESCONTINUADA Hospitais Regiona'!D:D, "Não encontrado"), 
  "Geres: " &amp; _xlfn.XLOOKUP(E17, 'DESCONTINUADA Hospitais Regiona'!B:B, 'DESCONTINUADA Hospitais Regiona'!F:F, "Não encontrado"), 
  "Localização: " &amp; _xlfn.XLOOKUP(E17, 'DESCONTINUADA Hospitais Regiona'!B:B, 'DESCONTINUADA Hospitais Regiona'!G:G, "Não encontrado"), 
  "Nº de Leitos: " &amp; _xlfn.XLOOKUP(E17, 'DESCONTINUADA Hospitais Regiona'!B:B, 'DESCONTINUADA Hospitais Regiona'!H:H, "Não encontrado"),
  "Leitos abertos nesta gestão: " &amp; _xlfn.XLOOKUP(E17, 'DESCONTINUADA Hospitais Regiona'!B:B, 'DESCONTINUADA Hospitais Regiona'!I:I, "Não encontrado"),
  "Perfil: " &amp; _xlfn.XLOOKUP(E17, 'DESCONTINUADA Hospitais Regiona'!B:B, 'DESCONTINUADA Hospitais Regiona'!L:L, "Não encontrado"), 
  "Nº Profissionais Total: " &amp; _xlfn.XLOOKUP(E17, 'DESCONTINUADA Hospitais Regiona'!B:B, 'DESCONTINUADA Hospitais Regiona'!M:M, "Não encontrado"), 
  "Nº Profissionais convocados nesta gestão: " &amp; _xlfn.XLOOKUP(E17, 'DESCONTINUADA Hospitais Regiona'!B:B, 'DESCONTINUADA Hospitais Regiona'!N:N, "Não encontrado"), 
  "Valor do contrato de manutenção predial (anual): " &amp; _xlfn.XLOOKUP(E17, 'DESCONTINUADA Hospitais Regiona'!B:B, 'DESCONTINUADA Hospitais Regiona'!O:O, "Não encontrado"), 
  "Investimento nesta gestão: " &amp; TEXT(_xlfn.XLOOKUP(E17, 'DESCONTINUADA Hospitais Regiona'!B:B, 'DESCONTINUADA Hospitais Regiona'!P:P, 0), "R$ #.##0,00"), 
  "Aumento do cofinanciamento (Gestão Própria) - de 2023 a 2026: " &amp; TEXT(_xlfn.XLOOKUP(E17, 'DESCONTINUADA Hospitais Regiona'!B:B, 'DESCONTINUADA Hospitais Regiona'!S:S, 0), "0,00%"), 
  "Cofinanciamento 2022 (Apenas Gestão Própria): " &amp; TEXT(_xlfn.XLOOKUP(E17, 'DESCONTINUADA Hospitais Regiona'!B:B, 'DESCONTINUADA Hospitais Regiona'!Q:Q, 0), "R$ #.##0,00"), 
  "Cofinanciamento 2025 (Apenas Gestão Própria): " &amp; TEXT(_xlfn.XLOOKUP(E17, 'DESCONTINUADA Hospitais Regiona'!B:B, 'DESCONTINUADA Hospitais Regiona'!R:R, 0), "R$ #.##0,00"), 
  "Repasse (OS) em 2025: " &amp; TEXT(_xlfn.XLOOKUP(E17, 'DESCONTINUADA Hospitais Regiona'!B:B, 'DESCONTINUADA Hospitais Regiona'!T:T, 0), "R$ #.##0,00"), 
  "Principais avanços nessa gestão: " &amp; _xlfn.XLOOKUP(E17, 'DESCONTINUADA Hospitais Regiona'!B:B, 'DESCONTINUADA Hospitais Regiona'!U:U, "Não encontrado")
)</f>
        <v>*Hospital João Murilo de Oliveira*
Status: EM FUNCIONAMENTO
Tipo de Gestão: OSS
OSS: HTRI
Geres: I
Localização: Av. Henrique de Holanda, 87 - Casa - Matriz, Vitória de Santo Antão -PE
Nº de Leitos: 129
Leitos abertos nesta gestão: -
Perfil: Hospital geral com urgência/emergência 24h e assistência em Clínica Médica, Pediatria, Ortopedia e Obstetrícia (alto e baixo risco), além de serviços ambulatoriais e assistência materno-infantil.
Nº Profissionais Total: 965
Nº Profissionais convocados nesta gestão: -
Valor do contrato de manutenção predial (anual): -
Investimento nesta gestão: R$ 1.754.469,05000
Aumento do cofinanciamento (Gestão Própria) - de 2023 a 2026: -
Cofinanciamento 2022 (Apenas Gestão Própria): -
Cofinanciamento 2025 (Apenas Gestão Própria): -
Repasse (OS) em 2025: R$ 59.386.905,57000
Principais avanços nessa gestão: Plano de investimentos em equipamentos no valor de R$ 1.281.419,05, comteplando a aquisição de Aparelho de Anestesia com Monitor Multiparâmetros, Incubadora Neonatal (estacionária), Ventilador Pulmonar Pressométrico e Volumétrico, Bilirrubinômetro, Berço aquecido, Cardioversor, Mesa de Mayo, Berço Hospitalar com Grades. Implantação do prontuário eletrônico; Reforma nas salas de classificação de risco - Emergência Geral, Requalificação da Triagem Obstétrica,  Reforma da enfermaria atras de emenda parlamentar no valor de R$233.050,00. Incremento na escala da Obstetrícia, passando a 4 obstetras por plantão. Hospital em 2023 se tornou referencia em Gestação de Alto risco.</v>
      </c>
      <c r="G17" s="61" t="s">
        <v>63</v>
      </c>
      <c r="H17" s="61" t="s">
        <v>4</v>
      </c>
      <c r="I17" s="58" t="s">
        <v>132</v>
      </c>
      <c r="J17" s="208" t="str">
        <f t="array" ref="J17">_xlfn.XLOOKUP(E17, 'DESCONTINUADA Hospitais Regiona'!B:B, 'DESCONTINUADA Hospitais Regiona'!I:I)</f>
        <v>-</v>
      </c>
      <c r="K17" s="208">
        <f t="array" ref="K17">_xlfn.XLOOKUP(E17, 'DESCONTINUADA Hospitais Regiona'!B:B, 'DESCONTINUADA Hospitais Regiona'!H:H)</f>
        <v>129</v>
      </c>
      <c r="L17" s="208" t="str">
        <f t="array" ref="L17">_xlfn.XLOOKUP(E17, 'DESCONTINUADA Hospitais Regiona'!B:B, 'DESCONTINUADA Hospitais Regiona'!J:J)</f>
        <v>-</v>
      </c>
      <c r="M17" s="208" t="str">
        <f t="array" ref="M17">_xlfn.XLOOKUP(E17, 'DESCONTINUADA Hospitais Regiona'!B:B, 'DESCONTINUADA Hospitais Regiona'!K:K)</f>
        <v>-</v>
      </c>
      <c r="N17" s="358" t="str">
        <f t="array" ref="N17">_xlfn.XLOOKUP(E17, 'DESCONTINUADA Hospitais Regiona'!B:B, 'DESCONTINUADA Hospitais Regiona'!L:L)</f>
        <v>Hospital geral com urgência/emergência 24h e assistência em Clínica Médica, Pediatria, Ortopedia e Obstetrícia (alto e baixo risco), além de serviços ambulatoriais e assistência materno-infantil.</v>
      </c>
      <c r="O17" s="359">
        <f t="array" ref="O17">_xlfn.XLOOKUP(E17, 'DESCONTINUADA Hospitais Regiona'!B:B, 'DESCONTINUADA Hospitais Regiona'!M:M)</f>
        <v>965</v>
      </c>
      <c r="P17" s="208" t="str">
        <f t="array" ref="P17">_xlfn.XLOOKUP(E17, 'DESCONTINUADA Hospitais Regiona'!B:B, 'DESCONTINUADA Hospitais Regiona'!N:N)</f>
        <v>-</v>
      </c>
      <c r="Q17" s="211" t="str">
        <f t="array" ref="Q17">_xlfn.XLOOKUP(E17, 'DESCONTINUADA Hospitais Regiona'!B:B, 'DESCONTINUADA Hospitais Regiona'!O:O)</f>
        <v>-</v>
      </c>
      <c r="R17" s="211">
        <f t="array" ref="R17">_xlfn.XLOOKUP(E17, 'DESCONTINUADA Hospitais Regiona'!B:B, 'DESCONTINUADA Hospitais Regiona'!P:P)</f>
        <v>1754469.05</v>
      </c>
      <c r="S17" s="211" t="str">
        <f t="array" ref="S17">_xlfn.XLOOKUP(E17, 'DESCONTINUADA Hospitais Regiona'!B:B, 'DESCONTINUADA Hospitais Regiona'!Q:Q)</f>
        <v>-</v>
      </c>
      <c r="T17" s="211" t="str">
        <f t="array" ref="T17">_xlfn.XLOOKUP(E17, 'DESCONTINUADA Hospitais Regiona'!B:B, 'DESCONTINUADA Hospitais Regiona'!R:R)</f>
        <v>-</v>
      </c>
      <c r="U17" s="208" t="str">
        <f t="array" ref="U17">_xlfn.XLOOKUP(E17, 'DESCONTINUADA Hospitais Regiona'!B:B, 'DESCONTINUADA Hospitais Regiona'!S:S)</f>
        <v>-</v>
      </c>
      <c r="V17" s="211">
        <f t="array" ref="V17">_xlfn.XLOOKUP(E17, 'DESCONTINUADA Hospitais Regiona'!B:B, 'DESCONTINUADA Hospitais Regiona'!T:T)</f>
        <v>59386905.57</v>
      </c>
      <c r="W17" s="208"/>
      <c r="X17" s="357" t="str">
        <f t="array" ref="X17">_xlfn.XLOOKUP(E17, 'DESCONTINUADA Hospitais Regiona'!B:B, 'DESCONTINUADA Hospitais Regiona'!U:U)</f>
        <v>Plano de investimentos em equipamentos no valor de R$ 1.281.419,05, comteplando a aquisição de Aparelho de Anestesia com Monitor Multiparâmetros, Incubadora Neonatal (estacionária), Ventilador Pulmonar Pressométrico e Volumétrico, Bilirrubinômetro, Berço aquecido, Cardioversor, Mesa de Mayo, Berço Hospitalar com Grades. Implantação do prontuário eletrônico; Reforma nas salas de classificação de risco - Emergência Geral, Requalificação da Triagem Obstétrica,  Reforma da enfermaria atras de emenda parlamentar no valor de R$233.050,00. Incremento na escala da Obstetrícia, passando a 4 obstetras por plantão. Hospital em 2023 se tornou referencia em Gestação de Alto risco.</v>
      </c>
      <c r="Y17" s="361"/>
      <c r="Z17" s="362"/>
    </row>
    <row r="18" ht="137.25" customHeight="1">
      <c r="A18" s="396">
        <v>2610004.0</v>
      </c>
      <c r="B18" s="397" t="s">
        <v>419</v>
      </c>
      <c r="C18" s="398" t="s">
        <v>418</v>
      </c>
      <c r="D18" s="58" t="s">
        <v>1</v>
      </c>
      <c r="E18" s="314" t="s">
        <v>271</v>
      </c>
      <c r="F18" s="357" t="str">
        <f t="array" ref="F18">TEXTJOIN(CHAR(10), TRUE, 
  "*" &amp; E18 &amp; "*", 
  "Status: " &amp; _xlfn.XLOOKUP(E18, 'DESCONTINUADA Hospitais Regiona'!B:B, 'DESCONTINUADA Hospitais Regiona'!C:C, "Não encontrado"), 
  "Tipo de Gestão: " &amp; _xlfn.XLOOKUP(E18, 'DESCONTINUADA Hospitais Regiona'!B:B, 'DESCONTINUADA Hospitais Regiona'!E:E, "Não encontrado"), 
  "OSS: " &amp; _xlfn.XLOOKUP(E18, 'DESCONTINUADA Hospitais Regiona'!B:B, 'DESCONTINUADA Hospitais Regiona'!D:D, "Não encontrado"), 
  "Geres: " &amp; _xlfn.XLOOKUP(E18, 'DESCONTINUADA Hospitais Regiona'!B:B, 'DESCONTINUADA Hospitais Regiona'!F:F, "Não encontrado"), 
  "Localização: " &amp; _xlfn.XLOOKUP(E18, 'DESCONTINUADA Hospitais Regiona'!B:B, 'DESCONTINUADA Hospitais Regiona'!G:G, "Não encontrado"), 
  "Nº de Leitos: " &amp; _xlfn.XLOOKUP(E18, 'DESCONTINUADA Hospitais Regiona'!B:B, 'DESCONTINUADA Hospitais Regiona'!H:H, "Não encontrado"),
  "Leitos abertos nesta gestão: " &amp; _xlfn.XLOOKUP(E18, 'DESCONTINUADA Hospitais Regiona'!B:B, 'DESCONTINUADA Hospitais Regiona'!I:I, "Não encontrado"),
  "Perfil: " &amp; _xlfn.XLOOKUP(E18, 'DESCONTINUADA Hospitais Regiona'!B:B, 'DESCONTINUADA Hospitais Regiona'!L:L, "Não encontrado"), 
  "Nº Profissionais Total: " &amp; _xlfn.XLOOKUP(E18, 'DESCONTINUADA Hospitais Regiona'!B:B, 'DESCONTINUADA Hospitais Regiona'!M:M, "Não encontrado"), 
  "Nº Profissionais convocados nesta gestão: " &amp; _xlfn.XLOOKUP(E18, 'DESCONTINUADA Hospitais Regiona'!B:B, 'DESCONTINUADA Hospitais Regiona'!N:N, "Não encontrado"), 
  "Valor do contrato de manutenção predial (anual): " &amp; _xlfn.XLOOKUP(E18, 'DESCONTINUADA Hospitais Regiona'!B:B, 'DESCONTINUADA Hospitais Regiona'!O:O, "Não encontrado"), 
  "Investimento nesta gestão: " &amp; TEXT(_xlfn.XLOOKUP(E18, 'DESCONTINUADA Hospitais Regiona'!B:B, 'DESCONTINUADA Hospitais Regiona'!P:P, 0), "R$ #.##0,00"), 
  "Aumento do cofinanciamento (Gestão Própria) - de 2023 a 2026: " &amp; TEXT(_xlfn.XLOOKUP(E18, 'DESCONTINUADA Hospitais Regiona'!B:B, 'DESCONTINUADA Hospitais Regiona'!S:S, 0), "0,00%"), 
  "Cofinanciamento 2022 (Apenas Gestão Própria): " &amp; TEXT(_xlfn.XLOOKUP(E18, 'DESCONTINUADA Hospitais Regiona'!B:B, 'DESCONTINUADA Hospitais Regiona'!Q:Q, 0), "R$ #.##0,00"), 
  "Cofinanciamento 2025 (Apenas Gestão Própria): " &amp; TEXT(_xlfn.XLOOKUP(E18, 'DESCONTINUADA Hospitais Regiona'!B:B, 'DESCONTINUADA Hospitais Regiona'!R:R, 0), "R$ #.##0,00"), 
  "Repasse (OS) em 2025: " &amp; TEXT(_xlfn.XLOOKUP(E18, 'DESCONTINUADA Hospitais Regiona'!B:B, 'DESCONTINUADA Hospitais Regiona'!T:T, 0), "R$ #.##0,00"), 
  "Principais avanços nessa gestão: " &amp; _xlfn.XLOOKUP(E18, 'DESCONTINUADA Hospitais Regiona'!B:B, 'DESCONTINUADA Hospitais Regiona'!U:U, "Não encontrado")
)</f>
        <v>*Hospital Regional Sílvio Magalhães Palmares*
Status: EM FUNCIONAMENTO
Tipo de Gestão: OSS
OSS: FMSA
Geres: III
Localização: Br 101, Km 185, s/n Engenho Quilombo dos, Palmares - PE
Nº de Leitos: 184
Leitos abertos nesta gestão: -
Perfil: Hospital regional de média e alta complexidade, referência para a Mata Sul. Atua em urgência/emergência, internação e ambulatório, com Clínica Médica, Cirurgia Geral, Traumato-Ortopedia, Pediatria, Obstetrícia, UTI Adulto e Neopediátrica, além de serviços diagnósticos e terapêuticos. É também referência para pacientes com microcefalia.
Nº Profissionais Total: 1400
Nº Profissionais convocados nesta gestão: -
Valor do contrato de manutenção predial (anual): -
Investimento nesta gestão: R$ 6.740.221,74000
Aumento do cofinanciamento (Gestão Própria) - de 2023 a 2026: -
Cofinanciamento 2022 (Apenas Gestão Própria): -
Cofinanciamento 2025 (Apenas Gestão Própria): -
Repasse (OS) em 2025: R$ 63.214.523,66000
Principais avanços nessa gestão: Modernização do parque tecnológico com aquisição de equipamentos e mobiliários, através de plano de investimento no valor de mais de R$2,5 milhões, contemplanto a aquisição de Tomógrafo Computadorizado, Aparelho de Anestesia, Cama PPP.  R$3.752.080,02 investidos para revitalização do hospital e R$408.405,22 através de emendas parlamentares para aquisição de equipamentos e insumos. Implantação do Centro de Tratamento de Acidente Vascular Cerebral (Alteplase); Climatização das enfermarias e da emergência; Reforma da Fachada e Troca do Piso das clínicas: Pediátrica, Obstétrica e UTI Geral Adulto; Implantação do Programa Cuida PE, de Redução das Filas de espera para Cirurgias.
</v>
      </c>
      <c r="G18" s="61" t="s">
        <v>63</v>
      </c>
      <c r="H18" s="61" t="s">
        <v>4</v>
      </c>
      <c r="I18" s="58" t="s">
        <v>132</v>
      </c>
      <c r="J18" s="208" t="str">
        <f t="array" ref="J18">_xlfn.XLOOKUP(E18, 'DESCONTINUADA Hospitais Regiona'!B:B, 'DESCONTINUADA Hospitais Regiona'!I:I)</f>
        <v>-</v>
      </c>
      <c r="K18" s="208">
        <f t="array" ref="K18">_xlfn.XLOOKUP(E18, 'DESCONTINUADA Hospitais Regiona'!B:B, 'DESCONTINUADA Hospitais Regiona'!H:H)</f>
        <v>184</v>
      </c>
      <c r="L18" s="208" t="str">
        <f t="array" ref="L18">_xlfn.XLOOKUP(E18, 'DESCONTINUADA Hospitais Regiona'!B:B, 'DESCONTINUADA Hospitais Regiona'!J:J)</f>
        <v>-</v>
      </c>
      <c r="M18" s="208" t="str">
        <f t="array" ref="M18">_xlfn.XLOOKUP(E18, 'DESCONTINUADA Hospitais Regiona'!B:B, 'DESCONTINUADA Hospitais Regiona'!K:K)</f>
        <v>-</v>
      </c>
      <c r="N18" s="358" t="str">
        <f t="array" ref="N18">_xlfn.XLOOKUP(E18, 'DESCONTINUADA Hospitais Regiona'!B:B, 'DESCONTINUADA Hospitais Regiona'!L:L)</f>
        <v>Hospital regional de média e alta complexidade, referência para a Mata Sul. Atua em urgência/emergência, internação e ambulatório, com Clínica Médica, Cirurgia Geral, Traumato-Ortopedia, Pediatria, Obstetrícia, UTI Adulto e Neopediátrica, além de serviços diagnósticos e terapêuticos. É também referência para pacientes com microcefalia.</v>
      </c>
      <c r="O18" s="359">
        <f t="array" ref="O18">_xlfn.XLOOKUP(E18, 'DESCONTINUADA Hospitais Regiona'!B:B, 'DESCONTINUADA Hospitais Regiona'!M:M)</f>
        <v>1400</v>
      </c>
      <c r="P18" s="208" t="str">
        <f t="array" ref="P18">_xlfn.XLOOKUP(E18, 'DESCONTINUADA Hospitais Regiona'!B:B, 'DESCONTINUADA Hospitais Regiona'!N:N)</f>
        <v>-</v>
      </c>
      <c r="Q18" s="211" t="str">
        <f t="array" ref="Q18">_xlfn.XLOOKUP(E18, 'DESCONTINUADA Hospitais Regiona'!B:B, 'DESCONTINUADA Hospitais Regiona'!O:O)</f>
        <v>-</v>
      </c>
      <c r="R18" s="211">
        <f t="array" ref="R18">_xlfn.XLOOKUP(E18, 'DESCONTINUADA Hospitais Regiona'!B:B, 'DESCONTINUADA Hospitais Regiona'!P:P)</f>
        <v>6740221.74</v>
      </c>
      <c r="S18" s="211" t="str">
        <f t="array" ref="S18">_xlfn.XLOOKUP(E18, 'DESCONTINUADA Hospitais Regiona'!B:B, 'DESCONTINUADA Hospitais Regiona'!Q:Q)</f>
        <v>-</v>
      </c>
      <c r="T18" s="211" t="str">
        <f t="array" ref="T18">_xlfn.XLOOKUP(E18, 'DESCONTINUADA Hospitais Regiona'!B:B, 'DESCONTINUADA Hospitais Regiona'!R:R)</f>
        <v>-</v>
      </c>
      <c r="U18" s="208" t="str">
        <f t="array" ref="U18">_xlfn.XLOOKUP(E18, 'DESCONTINUADA Hospitais Regiona'!B:B, 'DESCONTINUADA Hospitais Regiona'!S:S)</f>
        <v>-</v>
      </c>
      <c r="V18" s="211">
        <f t="array" ref="V18">_xlfn.XLOOKUP(E18, 'DESCONTINUADA Hospitais Regiona'!B:B, 'DESCONTINUADA Hospitais Regiona'!T:T)</f>
        <v>63214523.66</v>
      </c>
      <c r="W18" s="208"/>
      <c r="X18" s="357" t="str">
        <f t="array" ref="X18">_xlfn.XLOOKUP(E18, 'DESCONTINUADA Hospitais Regiona'!B:B, 'DESCONTINUADA Hospitais Regiona'!U:U)</f>
        <v>Modernização do parque tecnológico com aquisição de equipamentos e mobiliários, através de plano de investimento no valor de mais de R$2,5 milhões, contemplanto a aquisição de Tomógrafo Computadorizado, Aparelho de Anestesia, Cama PPP.  R$3.752.080,02 investidos para revitalização do hospital e R$408.405,22 através de emendas parlamentares para aquisição de equipamentos e insumos. Implantação do Centro de Tratamento de Acidente Vascular Cerebral (Alteplase); Climatização das enfermarias e da emergência; Reforma da Fachada e Troca do Piso das clínicas: Pediátrica, Obstétrica e UTI Geral Adulto; Implantação do Programa Cuida PE, de Redução das Filas de espera para Cirurgias.
</v>
      </c>
      <c r="Y18" s="361"/>
      <c r="Z18" s="362"/>
    </row>
    <row r="19" ht="137.25" customHeight="1">
      <c r="A19" s="53">
        <v>2604106.0</v>
      </c>
      <c r="B19" s="392" t="s">
        <v>315</v>
      </c>
      <c r="C19" s="311" t="s">
        <v>317</v>
      </c>
      <c r="D19" s="58" t="s">
        <v>1</v>
      </c>
      <c r="E19" s="314" t="s">
        <v>279</v>
      </c>
      <c r="F19" s="357" t="str">
        <f t="array" ref="F19">TEXTJOIN(CHAR(10), TRUE, 
  "*" &amp; E19 &amp; "*", 
  "Status: " &amp; _xlfn.XLOOKUP(E19, 'DESCONTINUADA Hospitais Regiona'!B:B, 'DESCONTINUADA Hospitais Regiona'!C:C, "Não encontrado"), 
  "Tipo de Gestão: " &amp; _xlfn.XLOOKUP(E19, 'DESCONTINUADA Hospitais Regiona'!B:B, 'DESCONTINUADA Hospitais Regiona'!E:E, "Não encontrado"), 
  "OSS: " &amp; _xlfn.XLOOKUP(E19, 'DESCONTINUADA Hospitais Regiona'!B:B, 'DESCONTINUADA Hospitais Regiona'!D:D, "Não encontrado"), 
  "Geres: " &amp; _xlfn.XLOOKUP(E19, 'DESCONTINUADA Hospitais Regiona'!B:B, 'DESCONTINUADA Hospitais Regiona'!F:F, "Não encontrado"), 
  "Localização: " &amp; _xlfn.XLOOKUP(E19, 'DESCONTINUADA Hospitais Regiona'!B:B, 'DESCONTINUADA Hospitais Regiona'!G:G, "Não encontrado"), 
  "Nº de Leitos: " &amp; _xlfn.XLOOKUP(E19, 'DESCONTINUADA Hospitais Regiona'!B:B, 'DESCONTINUADA Hospitais Regiona'!H:H, "Não encontrado"),
  "Leitos abertos nesta gestão: " &amp; _xlfn.XLOOKUP(E19, 'DESCONTINUADA Hospitais Regiona'!B:B, 'DESCONTINUADA Hospitais Regiona'!I:I, "Não encontrado"),
  "Perfil: " &amp; _xlfn.XLOOKUP(E19, 'DESCONTINUADA Hospitais Regiona'!B:B, 'DESCONTINUADA Hospitais Regiona'!L:L, "Não encontrado"), 
  "Nº Profissionais Total: " &amp; _xlfn.XLOOKUP(E19, 'DESCONTINUADA Hospitais Regiona'!B:B, 'DESCONTINUADA Hospitais Regiona'!M:M, "Não encontrado"), 
  "Nº Profissionais convocados nesta gestão: " &amp; _xlfn.XLOOKUP(E19, 'DESCONTINUADA Hospitais Regiona'!B:B, 'DESCONTINUADA Hospitais Regiona'!N:N, "Não encontrado"), 
  "Valor do contrato de manutenção predial (anual): " &amp; _xlfn.XLOOKUP(E19, 'DESCONTINUADA Hospitais Regiona'!B:B, 'DESCONTINUADA Hospitais Regiona'!O:O, "Não encontrado"), 
  "Investimento nesta gestão: " &amp; TEXT(_xlfn.XLOOKUP(E19, 'DESCONTINUADA Hospitais Regiona'!B:B, 'DESCONTINUADA Hospitais Regiona'!P:P, 0), "R$ #.##0,00"), 
  "Aumento do cofinanciamento (Gestão Própria) - de 2023 a 2026: " &amp; TEXT(_xlfn.XLOOKUP(E19, 'DESCONTINUADA Hospitais Regiona'!B:B, 'DESCONTINUADA Hospitais Regiona'!S:S, 0), "0,00%"), 
  "Cofinanciamento 2022 (Apenas Gestão Própria): " &amp; TEXT(_xlfn.XLOOKUP(E19, 'DESCONTINUADA Hospitais Regiona'!B:B, 'DESCONTINUADA Hospitais Regiona'!Q:Q, 0), "R$ #.##0,00"), 
  "Cofinanciamento 2025 (Apenas Gestão Própria): " &amp; TEXT(_xlfn.XLOOKUP(E19, 'DESCONTINUADA Hospitais Regiona'!B:B, 'DESCONTINUADA Hospitais Regiona'!R:R, 0), "R$ #.##0,00"), 
  "Repasse (OS) em 2025: " &amp; TEXT(_xlfn.XLOOKUP(E19, 'DESCONTINUADA Hospitais Regiona'!B:B, 'DESCONTINUADA Hospitais Regiona'!T:T, 0), "R$ #.##0,00"), 
  "Principais avanços nessa gestão: " &amp; _xlfn.XLOOKUP(E19, 'DESCONTINUADA Hospitais Regiona'!B:B, 'DESCONTINUADA Hospitais Regiona'!U:U, "Não encontrado")
)</f>
        <v>*Hospital Mestre Vitalino*
Status: EM FUNCIONAMENTO
Tipo de Gestão: OSS
OSS: HTRI
Geres: IV
Localização: BR-104, 756 - Luiz Gonzaga, Caruaru - PE
Nº de Leitos: 207
Leitos abertos nesta gestão: -
Perfil: Hospital de grande porte, referência em média e alta complexidade para o Agreste. Atua em urgência e emergência, internação e atendimento especializado, com destaque para Clínica Médica, Cirurgia Geral, Cardiologia, Neurologia e Pediatria. Possui ainda serviços especializados em Oncologia, Nefrologia, Cirurgia Cardíaca, Urologia, Arritmologia e pediatria.
Nº Profissionais Total: 2710
Nº Profissionais convocados nesta gestão: -
Valor do contrato de manutenção predial (anual): -
Investimento nesta gestão: R$ 19.943.747,38000
Aumento do cofinanciamento (Gestão Própria) - de 2023 a 2026: -
Cofinanciamento 2022 (Apenas Gestão Própria): -
Cofinanciamento 2025 (Apenas Gestão Própria): -
Repasse (OS) em 2025: R$ 243.376.261,68000
Principais avanços nessa gestão: Plano de Investimento para compra de equipmanetos como Tomografia Computadorizada, Aparelho de Anestesia, Aparelho de Raios X, Bisturi Elétrico (a partir de 151 W), Cardioversor, Carro Maca Avançado, Central de Monitoração para UTI, Esterilizador por Métodos Físicos, Monitor Multiparâmetros, Sistema de Vídeo Endoscopia Flexível, foco cirúrgico fixo, ultrasound system. Aquisição de 100 macas, Aquisição do segundo Angiografo.</v>
      </c>
      <c r="G19" s="61" t="s">
        <v>63</v>
      </c>
      <c r="H19" s="61" t="s">
        <v>4</v>
      </c>
      <c r="I19" s="58" t="s">
        <v>153</v>
      </c>
      <c r="J19" s="208" t="str">
        <f t="array" ref="J19">_xlfn.XLOOKUP(E19, 'DESCONTINUADA Hospitais Regiona'!B:B, 'DESCONTINUADA Hospitais Regiona'!I:I)</f>
        <v>-</v>
      </c>
      <c r="K19" s="208">
        <f t="array" ref="K19">_xlfn.XLOOKUP(E19, 'DESCONTINUADA Hospitais Regiona'!B:B, 'DESCONTINUADA Hospitais Regiona'!H:H)</f>
        <v>207</v>
      </c>
      <c r="L19" s="208" t="str">
        <f t="array" ref="L19">_xlfn.XLOOKUP(E19, 'DESCONTINUADA Hospitais Regiona'!B:B, 'DESCONTINUADA Hospitais Regiona'!J:J)</f>
        <v>-</v>
      </c>
      <c r="M19" s="208" t="str">
        <f t="array" ref="M19">_xlfn.XLOOKUP(E19, 'DESCONTINUADA Hospitais Regiona'!B:B, 'DESCONTINUADA Hospitais Regiona'!K:K)</f>
        <v>-</v>
      </c>
      <c r="N19" s="358" t="str">
        <f t="array" ref="N19">_xlfn.XLOOKUP(E19, 'DESCONTINUADA Hospitais Regiona'!B:B, 'DESCONTINUADA Hospitais Regiona'!L:L)</f>
        <v>Hospital de grande porte, referência em média e alta complexidade para o Agreste. Atua em urgência e emergência, internação e atendimento especializado, com destaque para Clínica Médica, Cirurgia Geral, Cardiologia, Neurologia e Pediatria. Possui ainda serviços especializados em Oncologia, Nefrologia, Cirurgia Cardíaca, Urologia, Arritmologia e pediatria.</v>
      </c>
      <c r="O19" s="359">
        <f t="array" ref="O19">_xlfn.XLOOKUP(E19, 'DESCONTINUADA Hospitais Regiona'!B:B, 'DESCONTINUADA Hospitais Regiona'!M:M)</f>
        <v>2710</v>
      </c>
      <c r="P19" s="208" t="str">
        <f t="array" ref="P19">_xlfn.XLOOKUP(E19, 'DESCONTINUADA Hospitais Regiona'!B:B, 'DESCONTINUADA Hospitais Regiona'!N:N)</f>
        <v>-</v>
      </c>
      <c r="Q19" s="211" t="str">
        <f t="array" ref="Q19">_xlfn.XLOOKUP(E19, 'DESCONTINUADA Hospitais Regiona'!B:B, 'DESCONTINUADA Hospitais Regiona'!O:O)</f>
        <v>-</v>
      </c>
      <c r="R19" s="211">
        <f t="array" ref="R19">_xlfn.XLOOKUP(E19, 'DESCONTINUADA Hospitais Regiona'!B:B, 'DESCONTINUADA Hospitais Regiona'!P:P)</f>
        <v>19943747.38</v>
      </c>
      <c r="S19" s="211" t="str">
        <f t="array" ref="S19">_xlfn.XLOOKUP(E19, 'DESCONTINUADA Hospitais Regiona'!B:B, 'DESCONTINUADA Hospitais Regiona'!Q:Q)</f>
        <v>-</v>
      </c>
      <c r="T19" s="211" t="str">
        <f t="array" ref="T19">_xlfn.XLOOKUP(E19, 'DESCONTINUADA Hospitais Regiona'!B:B, 'DESCONTINUADA Hospitais Regiona'!R:R)</f>
        <v>-</v>
      </c>
      <c r="U19" s="208" t="str">
        <f t="array" ref="U19">_xlfn.XLOOKUP(E19, 'DESCONTINUADA Hospitais Regiona'!B:B, 'DESCONTINUADA Hospitais Regiona'!S:S)</f>
        <v>-</v>
      </c>
      <c r="V19" s="211">
        <f t="array" ref="V19">_xlfn.XLOOKUP(E19, 'DESCONTINUADA Hospitais Regiona'!B:B, 'DESCONTINUADA Hospitais Regiona'!T:T)</f>
        <v>243376261.7</v>
      </c>
      <c r="W19" s="208"/>
      <c r="X19" s="357" t="str">
        <f t="array" ref="X19">_xlfn.XLOOKUP(E19, 'DESCONTINUADA Hospitais Regiona'!B:B, 'DESCONTINUADA Hospitais Regiona'!U:U)</f>
        <v>Plano de Investimento para compra de equipmanetos como Tomografia Computadorizada, Aparelho de Anestesia, Aparelho de Raios X, Bisturi Elétrico (a partir de 151 W), Cardioversor, Carro Maca Avançado, Central de Monitoração para UTI, Esterilizador por Métodos Físicos, Monitor Multiparâmetros, Sistema de Vídeo Endoscopia Flexível, foco cirúrgico fixo, ultrasound system. Aquisição de 100 macas, Aquisição do segundo Angiografo.</v>
      </c>
      <c r="Y19" s="361"/>
      <c r="Z19" s="362"/>
    </row>
    <row r="20" ht="137.25" customHeight="1">
      <c r="A20" s="53">
        <v>2604106.0</v>
      </c>
      <c r="B20" s="392" t="s">
        <v>315</v>
      </c>
      <c r="C20" s="311" t="s">
        <v>317</v>
      </c>
      <c r="D20" s="58" t="s">
        <v>1</v>
      </c>
      <c r="E20" s="314" t="s">
        <v>287</v>
      </c>
      <c r="F20" s="357" t="str">
        <f t="array" ref="F20">TEXTJOIN(CHAR(10), TRUE, 
  "*" &amp; E20 &amp; "*", 
  "Status: " &amp; _xlfn.XLOOKUP(E20, 'DESCONTINUADA Hospitais Regiona'!B:B, 'DESCONTINUADA Hospitais Regiona'!C:C, "Não encontrado"), 
  "Tipo de Gestão: " &amp; _xlfn.XLOOKUP(E20, 'DESCONTINUADA Hospitais Regiona'!B:B, 'DESCONTINUADA Hospitais Regiona'!E:E, "Não encontrado"), 
  "OSS: " &amp; _xlfn.XLOOKUP(E20, 'DESCONTINUADA Hospitais Regiona'!B:B, 'DESCONTINUADA Hospitais Regiona'!D:D, "Não encontrado"), 
  "Geres: " &amp; _xlfn.XLOOKUP(E20, 'DESCONTINUADA Hospitais Regiona'!B:B, 'DESCONTINUADA Hospitais Regiona'!F:F, "Não encontrado"), 
  "Localização: " &amp; _xlfn.XLOOKUP(E20, 'DESCONTINUADA Hospitais Regiona'!B:B, 'DESCONTINUADA Hospitais Regiona'!G:G, "Não encontrado"), 
  "Nº de Leitos: " &amp; _xlfn.XLOOKUP(E20, 'DESCONTINUADA Hospitais Regiona'!B:B, 'DESCONTINUADA Hospitais Regiona'!H:H, "Não encontrado"),
  "Leitos abertos nesta gestão: " &amp; _xlfn.XLOOKUP(E20, 'DESCONTINUADA Hospitais Regiona'!B:B, 'DESCONTINUADA Hospitais Regiona'!I:I, "Não encontrado"),
  "Perfil: " &amp; _xlfn.XLOOKUP(E20, 'DESCONTINUADA Hospitais Regiona'!B:B, 'DESCONTINUADA Hospitais Regiona'!L:L, "Não encontrado"), 
  "Nº Profissionais Total: " &amp; _xlfn.XLOOKUP(E20, 'DESCONTINUADA Hospitais Regiona'!B:B, 'DESCONTINUADA Hospitais Regiona'!M:M, "Não encontrado"), 
  "Nº Profissionais convocados nesta gestão: " &amp; _xlfn.XLOOKUP(E20, 'DESCONTINUADA Hospitais Regiona'!B:B, 'DESCONTINUADA Hospitais Regiona'!N:N, "Não encontrado"), 
  "Valor do contrato de manutenção predial (anual): " &amp; _xlfn.XLOOKUP(E20, 'DESCONTINUADA Hospitais Regiona'!B:B, 'DESCONTINUADA Hospitais Regiona'!O:O, "Não encontrado"), 
  "Investimento nesta gestão: " &amp; TEXT(_xlfn.XLOOKUP(E20, 'DESCONTINUADA Hospitais Regiona'!B:B, 'DESCONTINUADA Hospitais Regiona'!P:P, 0), "R$ #.##0,00"), 
  "Aumento do cofinanciamento (Gestão Própria) - de 2023 a 2026: " &amp; TEXT(_xlfn.XLOOKUP(E20, 'DESCONTINUADA Hospitais Regiona'!B:B, 'DESCONTINUADA Hospitais Regiona'!S:S, 0), "0,00%"), 
  "Cofinanciamento 2022 (Apenas Gestão Própria): " &amp; TEXT(_xlfn.XLOOKUP(E20, 'DESCONTINUADA Hospitais Regiona'!B:B, 'DESCONTINUADA Hospitais Regiona'!Q:Q, 0), "R$ #.##0,00"), 
  "Cofinanciamento 2025 (Apenas Gestão Própria): " &amp; TEXT(_xlfn.XLOOKUP(E20, 'DESCONTINUADA Hospitais Regiona'!B:B, 'DESCONTINUADA Hospitais Regiona'!R:R, 0), "R$ #.##0,00"), 
  "Repasse (OS) em 2025: " &amp; TEXT(_xlfn.XLOOKUP(E20, 'DESCONTINUADA Hospitais Regiona'!B:B, 'DESCONTINUADA Hospitais Regiona'!T:T, 0), "R$ #.##0,00"), 
  "Principais avanços nessa gestão: " &amp; _xlfn.XLOOKUP(E20, 'DESCONTINUADA Hospitais Regiona'!B:B, 'DESCONTINUADA Hospitais Regiona'!U:U, "Não encontrado")
)</f>
        <v>*Hospital São Sebastião*
Status: EM FUNCIONAMENTO
Tipo de Gestão: OSS
OSS: HCP
Geres: IV
Localização: Avenida Agamenom Magalhães, s/n - Maurício de Nassau, Caruaru 
Nº de Leitos: 60
Leitos abertos nesta gestão: -
Perfil: Hospital de retaguarda de baixa e média complexidade, com atendimento 24h em Clínica Médica. Dá suporte às unidades de referência da Rede de Urgência e Emergência da II Macrorregião e dispõe de serviços de apoio diagnóstico e terapêutico, incluindo laboratório, radiologia, ultrassonografia, eletrocardiograma, ecocardiograma, endoscopia, colonoscopia e hemodiálise para pacientes internados.
Nº Profissionais Total: 217
Nº Profissionais convocados nesta gestão: -
Valor do contrato de manutenção predial (anual): -
Investimento nesta gestão: R$ 4.922.953,63000
Aumento do cofinanciamento (Gestão Própria) - de 2023 a 2026: -
Cofinanciamento 2022 (Apenas Gestão Própria): -
Cofinanciamento 2025 (Apenas Gestão Própria): -
Repasse (OS) em 2025: R$ 17.226.056,32000
Principais avanços nessa gestão: Modernização do parque tecnológico com aquisição de equipamentos hospitalares através de plano de investimento, no valor de R$922.953,63, com aquisição de Condicionador de ar 60.000 BTUS, ventilador pulmonar, carro térmico para transporte, câmara fria para 2 óbitos, balança antropométrica digital - adulto e Emenda parlamentar federal incremento do Teto MAC para fortalecimento da capacidade assistencial da unidade no valor de R$4.000.000,00. Reforma na Estrutura de Madeira da Cobertura dos Setores de Estabilização e Enfermarias e Substituição da Chave de Transferência do Gerador de Energia</v>
      </c>
      <c r="G20" s="61" t="s">
        <v>63</v>
      </c>
      <c r="H20" s="61" t="s">
        <v>4</v>
      </c>
      <c r="I20" s="58" t="s">
        <v>153</v>
      </c>
      <c r="J20" s="208" t="str">
        <f t="array" ref="J20">_xlfn.XLOOKUP(E20, 'DESCONTINUADA Hospitais Regiona'!B:B, 'DESCONTINUADA Hospitais Regiona'!I:I)</f>
        <v>-</v>
      </c>
      <c r="K20" s="208">
        <f t="array" ref="K20">_xlfn.XLOOKUP(E20, 'DESCONTINUADA Hospitais Regiona'!B:B, 'DESCONTINUADA Hospitais Regiona'!H:H)</f>
        <v>60</v>
      </c>
      <c r="L20" s="208" t="str">
        <f t="array" ref="L20">_xlfn.XLOOKUP(E20, 'DESCONTINUADA Hospitais Regiona'!B:B, 'DESCONTINUADA Hospitais Regiona'!J:J)</f>
        <v>-</v>
      </c>
      <c r="M20" s="208" t="str">
        <f t="array" ref="M20">_xlfn.XLOOKUP(E20, 'DESCONTINUADA Hospitais Regiona'!B:B, 'DESCONTINUADA Hospitais Regiona'!K:K)</f>
        <v>-</v>
      </c>
      <c r="N20" s="358" t="str">
        <f t="array" ref="N20">_xlfn.XLOOKUP(E20, 'DESCONTINUADA Hospitais Regiona'!B:B, 'DESCONTINUADA Hospitais Regiona'!L:L)</f>
        <v>Hospital de retaguarda de baixa e média complexidade, com atendimento 24h em Clínica Médica. Dá suporte às unidades de referência da Rede de Urgência e Emergência da II Macrorregião e dispõe de serviços de apoio diagnóstico e terapêutico, incluindo laboratório, radiologia, ultrassonografia, eletrocardiograma, ecocardiograma, endoscopia, colonoscopia e hemodiálise para pacientes internados.</v>
      </c>
      <c r="O20" s="359">
        <f t="array" ref="O20">_xlfn.XLOOKUP(E20, 'DESCONTINUADA Hospitais Regiona'!B:B, 'DESCONTINUADA Hospitais Regiona'!M:M)</f>
        <v>217</v>
      </c>
      <c r="P20" s="208" t="str">
        <f t="array" ref="P20">_xlfn.XLOOKUP(E20, 'DESCONTINUADA Hospitais Regiona'!B:B, 'DESCONTINUADA Hospitais Regiona'!N:N)</f>
        <v>-</v>
      </c>
      <c r="Q20" s="211" t="str">
        <f t="array" ref="Q20">_xlfn.XLOOKUP(E20, 'DESCONTINUADA Hospitais Regiona'!B:B, 'DESCONTINUADA Hospitais Regiona'!O:O)</f>
        <v>-</v>
      </c>
      <c r="R20" s="211">
        <f t="array" ref="R20">_xlfn.XLOOKUP(E20, 'DESCONTINUADA Hospitais Regiona'!B:B, 'DESCONTINUADA Hospitais Regiona'!P:P)</f>
        <v>4922953.63</v>
      </c>
      <c r="S20" s="211" t="str">
        <f t="array" ref="S20">_xlfn.XLOOKUP(E20, 'DESCONTINUADA Hospitais Regiona'!B:B, 'DESCONTINUADA Hospitais Regiona'!Q:Q)</f>
        <v>-</v>
      </c>
      <c r="T20" s="211" t="str">
        <f t="array" ref="T20">_xlfn.XLOOKUP(E20, 'DESCONTINUADA Hospitais Regiona'!B:B, 'DESCONTINUADA Hospitais Regiona'!R:R)</f>
        <v>-</v>
      </c>
      <c r="U20" s="208" t="str">
        <f t="array" ref="U20">_xlfn.XLOOKUP(E20, 'DESCONTINUADA Hospitais Regiona'!B:B, 'DESCONTINUADA Hospitais Regiona'!S:S)</f>
        <v>-</v>
      </c>
      <c r="V20" s="211">
        <f t="array" ref="V20">_xlfn.XLOOKUP(E20, 'DESCONTINUADA Hospitais Regiona'!B:B, 'DESCONTINUADA Hospitais Regiona'!T:T)</f>
        <v>17226056.32</v>
      </c>
      <c r="W20" s="208"/>
      <c r="X20" s="357" t="str">
        <f t="array" ref="X20">_xlfn.XLOOKUP(E20, 'DESCONTINUADA Hospitais Regiona'!B:B, 'DESCONTINUADA Hospitais Regiona'!U:U)</f>
        <v>Modernização do parque tecnológico com aquisição de equipamentos hospitalares através de plano de investimento, no valor de R$922.953,63, com aquisição de Condicionador de ar 60.000 BTUS, ventilador pulmonar, carro térmico para transporte, câmara fria para 2 óbitos, balança antropométrica digital - adulto e Emenda parlamentar federal incremento do Teto MAC para fortalecimento da capacidade assistencial da unidade no valor de R$4.000.000,00. Reforma na Estrutura de Madeira da Cobertura dos Setores de Estabilização e Enfermarias e Substituição da Chave de Transferência do Gerador de Energia</v>
      </c>
      <c r="Y20" s="361"/>
      <c r="Z20" s="362"/>
    </row>
    <row r="21" ht="137.25" customHeight="1">
      <c r="A21" s="396">
        <v>2606002.0</v>
      </c>
      <c r="B21" s="397" t="s">
        <v>420</v>
      </c>
      <c r="C21" s="398" t="s">
        <v>421</v>
      </c>
      <c r="D21" s="58" t="s">
        <v>1</v>
      </c>
      <c r="E21" s="314" t="s">
        <v>295</v>
      </c>
      <c r="F21" s="357" t="str">
        <f t="array" ref="F21">TEXTJOIN(CHAR(10), TRUE, 
  "*" &amp; E21 &amp; "*", 
  "Status: " &amp; _xlfn.XLOOKUP(E21, 'DESCONTINUADA Hospitais Regiona'!B:B, 'DESCONTINUADA Hospitais Regiona'!C:C, "Não encontrado"), 
  "Tipo de Gestão: " &amp; _xlfn.XLOOKUP(E21, 'DESCONTINUADA Hospitais Regiona'!B:B, 'DESCONTINUADA Hospitais Regiona'!E:E, "Não encontrado"), 
  "OSS: " &amp; _xlfn.XLOOKUP(E21, 'DESCONTINUADA Hospitais Regiona'!B:B, 'DESCONTINUADA Hospitais Regiona'!D:D, "Não encontrado"), 
  "Geres: " &amp; _xlfn.XLOOKUP(E21, 'DESCONTINUADA Hospitais Regiona'!B:B, 'DESCONTINUADA Hospitais Regiona'!F:F, "Não encontrado"), 
  "Localização: " &amp; _xlfn.XLOOKUP(E21, 'DESCONTINUADA Hospitais Regiona'!B:B, 'DESCONTINUADA Hospitais Regiona'!G:G, "Não encontrado"), 
  "Nº de Leitos: " &amp; _xlfn.XLOOKUP(E21, 'DESCONTINUADA Hospitais Regiona'!B:B, 'DESCONTINUADA Hospitais Regiona'!H:H, "Não encontrado"),
  "Leitos abertos nesta gestão: " &amp; _xlfn.XLOOKUP(E21, 'DESCONTINUADA Hospitais Regiona'!B:B, 'DESCONTINUADA Hospitais Regiona'!I:I, "Não encontrado"),
  "Perfil: " &amp; _xlfn.XLOOKUP(E21, 'DESCONTINUADA Hospitais Regiona'!B:B, 'DESCONTINUADA Hospitais Regiona'!L:L, "Não encontrado"), 
  "Nº Profissionais Total: " &amp; _xlfn.XLOOKUP(E21, 'DESCONTINUADA Hospitais Regiona'!B:B, 'DESCONTINUADA Hospitais Regiona'!M:M, "Não encontrado"), 
  "Nº Profissionais convocados nesta gestão: " &amp; _xlfn.XLOOKUP(E21, 'DESCONTINUADA Hospitais Regiona'!B:B, 'DESCONTINUADA Hospitais Regiona'!N:N, "Não encontrado"), 
  "Valor do contrato de manutenção predial (anual): " &amp; _xlfn.XLOOKUP(E21, 'DESCONTINUADA Hospitais Regiona'!B:B, 'DESCONTINUADA Hospitais Regiona'!O:O, "Não encontrado"), 
  "Investimento nesta gestão: " &amp; TEXT(_xlfn.XLOOKUP(E21, 'DESCONTINUADA Hospitais Regiona'!B:B, 'DESCONTINUADA Hospitais Regiona'!P:P, 0), "R$ #.##0,00"), 
  "Aumento do cofinanciamento (Gestão Própria) - de 2023 a 2026: " &amp; TEXT(_xlfn.XLOOKUP(E21, 'DESCONTINUADA Hospitais Regiona'!B:B, 'DESCONTINUADA Hospitais Regiona'!S:S, 0), "0,00%"), 
  "Cofinanciamento 2022 (Apenas Gestão Própria): " &amp; TEXT(_xlfn.XLOOKUP(E21, 'DESCONTINUADA Hospitais Regiona'!B:B, 'DESCONTINUADA Hospitais Regiona'!Q:Q, 0), "R$ #.##0,00"), 
  "Cofinanciamento 2025 (Apenas Gestão Própria): " &amp; TEXT(_xlfn.XLOOKUP(E21, 'DESCONTINUADA Hospitais Regiona'!B:B, 'DESCONTINUADA Hospitais Regiona'!R:R, 0), "R$ #.##0,00"), 
  "Repasse (OS) em 2025: " &amp; TEXT(_xlfn.XLOOKUP(E21, 'DESCONTINUADA Hospitais Regiona'!B:B, 'DESCONTINUADA Hospitais Regiona'!T:T, 0), "R$ #.##0,00"), 
  "Principais avanços nessa gestão: " &amp; _xlfn.XLOOKUP(E21, 'DESCONTINUADA Hospitais Regiona'!B:B, 'DESCONTINUADA Hospitais Regiona'!U:U, "Não encontrado")
)</f>
        <v>*Hospital Regional Dom Moura*
Status: EM FUNCIONAMENTO
Tipo de Gestão: Gestão própria
OSS: -
Geres: V
Localização: Avenida Simoa Gomes, s/n - Heliópolis, Garanhuns.
Nº de Leitos: 156
Leitos abertos nesta gestão: 5
Perfil: Urgência: cirurgia geral, clínica médica, clínica cirúrgica, obstetrícia, pediatria e traumatologia. Ambulatório: cardiologia, ginecologista, dermatologista, neurologista, neuropediatria, psiquiatria, pediátria, geriatria, mastologia, proctologista, traumatologia, urologia, angiologia, CAF e cirurgia geral.
Nº Profissionais Total: 596
Nº Profissionais convocados nesta gestão: 386
Valor do contrato de manutenção predial (anual): 5359937,89
Investimento nesta gestão: R$ 21.869.869,14000
Aumento do cofinanciamento (Gestão Própria) - de 2023 a 2026: 058%
Cofinanciamento 2022 (Apenas Gestão Própria): R$ 8.807.953,09000
Cofinanciamento 2025 (Apenas Gestão Própria): R$ 13.917.889,95000
Repasse (OS) em 2025: -
Principais avanços nessa gestão: Implantação do Centro de Imagem, Implantação da UTI pediátrica (5 leitos), Implantação do Serviço de Gestão de Transporte (SETRANS),  Aquisição de 01 ambulância de suporte avançado, Revitalização da residência multiprofissional; Implantação do sistema de classificação de risco obstétrico; Criação do Espaço Acolher; Aquisição de 151 camas hospitalares;  Reforma do Central de Material e Esterilização - CME, em andamento; Incremento de recursos humanos; Requalificação do setor da ortopedia, em andamento;  Aquisição de mobílias; Aquisição de instrumentais cirúrgicos; Aquisição de autoclave; Aquisição de equipamentos médico-hospitalar; Implantação de 31 cargos de liderança para servidores-FSUS; </v>
      </c>
      <c r="G21" s="61" t="s">
        <v>63</v>
      </c>
      <c r="H21" s="61" t="s">
        <v>75</v>
      </c>
      <c r="I21" s="58" t="s">
        <v>183</v>
      </c>
      <c r="J21" s="208">
        <f t="array" ref="J21">_xlfn.XLOOKUP(E21, 'DESCONTINUADA Hospitais Regiona'!B:B, 'DESCONTINUADA Hospitais Regiona'!I:I)</f>
        <v>5</v>
      </c>
      <c r="K21" s="208">
        <f t="array" ref="K21">_xlfn.XLOOKUP(E21, 'DESCONTINUADA Hospitais Regiona'!B:B, 'DESCONTINUADA Hospitais Regiona'!H:H)</f>
        <v>156</v>
      </c>
      <c r="L21" s="208" t="str">
        <f t="array" ref="L21">_xlfn.XLOOKUP(E21, 'DESCONTINUADA Hospitais Regiona'!B:B, 'DESCONTINUADA Hospitais Regiona'!J:J)</f>
        <v>UTI Pediátrica</v>
      </c>
      <c r="M21" s="208" t="str">
        <f t="array" ref="M21">_xlfn.XLOOKUP(E21, 'DESCONTINUADA Hospitais Regiona'!B:B, 'DESCONTINUADA Hospitais Regiona'!K:K)</f>
        <v>-</v>
      </c>
      <c r="N21" s="358" t="str">
        <f t="array" ref="N21">_xlfn.XLOOKUP(E21, 'DESCONTINUADA Hospitais Regiona'!B:B, 'DESCONTINUADA Hospitais Regiona'!L:L)</f>
        <v>Urgência: cirurgia geral, clínica médica, clínica cirúrgica, obstetrícia, pediatria e traumatologia. Ambulatório: cardiologia, ginecologista, dermatologista, neurologista, neuropediatria, psiquiatria, pediátria, geriatria, mastologia, proctologista, traumatologia, urologia, angiologia, CAF e cirurgia geral.</v>
      </c>
      <c r="O21" s="359">
        <f t="array" ref="O21">_xlfn.XLOOKUP(E21, 'DESCONTINUADA Hospitais Regiona'!B:B, 'DESCONTINUADA Hospitais Regiona'!M:M)</f>
        <v>596</v>
      </c>
      <c r="P21" s="208">
        <f t="array" ref="P21">_xlfn.XLOOKUP(E21, 'DESCONTINUADA Hospitais Regiona'!B:B, 'DESCONTINUADA Hospitais Regiona'!N:N)</f>
        <v>386</v>
      </c>
      <c r="Q21" s="211">
        <f t="array" ref="Q21">_xlfn.XLOOKUP(E21, 'DESCONTINUADA Hospitais Regiona'!B:B, 'DESCONTINUADA Hospitais Regiona'!O:O)</f>
        <v>5359937.89</v>
      </c>
      <c r="R21" s="211">
        <f t="array" ref="R21">_xlfn.XLOOKUP(E21, 'DESCONTINUADA Hospitais Regiona'!B:B, 'DESCONTINUADA Hospitais Regiona'!P:P)</f>
        <v>21869869.14</v>
      </c>
      <c r="S21" s="211">
        <f t="array" ref="S21">_xlfn.XLOOKUP(E21, 'DESCONTINUADA Hospitais Regiona'!B:B, 'DESCONTINUADA Hospitais Regiona'!Q:Q)</f>
        <v>8807953.09</v>
      </c>
      <c r="T21" s="211">
        <f t="array" ref="T21">_xlfn.XLOOKUP(E21, 'DESCONTINUADA Hospitais Regiona'!B:B, 'DESCONTINUADA Hospitais Regiona'!R:R)</f>
        <v>13917889.95</v>
      </c>
      <c r="U21" s="360">
        <f t="array" ref="U21">_xlfn.XLOOKUP(E21, 'DESCONTINUADA Hospitais Regiona'!B:B, 'DESCONTINUADA Hospitais Regiona'!S:S)</f>
        <v>0.5801503264</v>
      </c>
      <c r="V21" s="211" t="str">
        <f t="array" ref="V21">_xlfn.XLOOKUP(E21, 'DESCONTINUADA Hospitais Regiona'!B:B, 'DESCONTINUADA Hospitais Regiona'!T:T)</f>
        <v>-</v>
      </c>
      <c r="W21" s="208"/>
      <c r="X21" s="357" t="str">
        <f t="array" ref="X21">_xlfn.XLOOKUP(E21, 'DESCONTINUADA Hospitais Regiona'!B:B, 'DESCONTINUADA Hospitais Regiona'!U:U)</f>
        <v>Implantação do Centro de Imagem, Implantação da UTI pediátrica (5 leitos), Implantação do Serviço de Gestão de Transporte (SETRANS),  Aquisição de 01 ambulância de suporte avançado, Revitalização da residência multiprofissional; Implantação do sistema de classificação de risco obstétrico; Criação do Espaço Acolher; Aquisição de 151 camas hospitalares;  Reforma do Central de Material e Esterilização - CME, em andamento; Incremento de recursos humanos; Requalificação do setor da ortopedia, em andamento;  Aquisição de mobílias; Aquisição de instrumentais cirúrgicos; Aquisição de autoclave; Aquisição de equipamentos médico-hospitalar; Implantação de 31 cargos de liderança para servidores-FSUS; </v>
      </c>
      <c r="Y21" s="361"/>
      <c r="Z21" s="362"/>
    </row>
    <row r="22" ht="137.25" customHeight="1">
      <c r="A22" s="53">
        <v>2612208.0</v>
      </c>
      <c r="B22" s="392" t="s">
        <v>422</v>
      </c>
      <c r="C22" s="311" t="s">
        <v>423</v>
      </c>
      <c r="D22" s="58" t="s">
        <v>1</v>
      </c>
      <c r="E22" s="314" t="s">
        <v>306</v>
      </c>
      <c r="F22" s="357" t="str">
        <f t="array" ref="F22">TEXTJOIN(CHAR(10), TRUE, 
  "*" &amp; E22 &amp; "*", 
  "Status: " &amp; _xlfn.XLOOKUP(E22, 'DESCONTINUADA Hospitais Regiona'!B:B, 'DESCONTINUADA Hospitais Regiona'!C:C, "Não encontrado"), 
  "Tipo de Gestão: " &amp; _xlfn.XLOOKUP(E22, 'DESCONTINUADA Hospitais Regiona'!B:B, 'DESCONTINUADA Hospitais Regiona'!E:E, "Não encontrado"), 
  "OSS: " &amp; _xlfn.XLOOKUP(E22, 'DESCONTINUADA Hospitais Regiona'!B:B, 'DESCONTINUADA Hospitais Regiona'!D:D, "Não encontrado"), 
  "Geres: " &amp; _xlfn.XLOOKUP(E22, 'DESCONTINUADA Hospitais Regiona'!B:B, 'DESCONTINUADA Hospitais Regiona'!F:F, "Não encontrado"), 
  "Localização: " &amp; _xlfn.XLOOKUP(E22, 'DESCONTINUADA Hospitais Regiona'!B:B, 'DESCONTINUADA Hospitais Regiona'!G:G, "Não encontrado"), 
  "Nº de Leitos: " &amp; _xlfn.XLOOKUP(E22, 'DESCONTINUADA Hospitais Regiona'!B:B, 'DESCONTINUADA Hospitais Regiona'!H:H, "Não encontrado"),
  "Leitos abertos nesta gestão: " &amp; _xlfn.XLOOKUP(E22, 'DESCONTINUADA Hospitais Regiona'!B:B, 'DESCONTINUADA Hospitais Regiona'!I:I, "Não encontrado"),
  "Perfil: " &amp; _xlfn.XLOOKUP(E22, 'DESCONTINUADA Hospitais Regiona'!B:B, 'DESCONTINUADA Hospitais Regiona'!L:L, "Não encontrado"), 
  "Nº Profissionais Total: " &amp; _xlfn.XLOOKUP(E22, 'DESCONTINUADA Hospitais Regiona'!B:B, 'DESCONTINUADA Hospitais Regiona'!M:M, "Não encontrado"), 
  "Nº Profissionais convocados nesta gestão: " &amp; _xlfn.XLOOKUP(E22, 'DESCONTINUADA Hospitais Regiona'!B:B, 'DESCONTINUADA Hospitais Regiona'!N:N, "Não encontrado"), 
  "Valor do contrato de manutenção predial (anual): " &amp; _xlfn.XLOOKUP(E22, 'DESCONTINUADA Hospitais Regiona'!B:B, 'DESCONTINUADA Hospitais Regiona'!O:O, "Não encontrado"), 
  "Investimento nesta gestão: " &amp; TEXT(_xlfn.XLOOKUP(E22, 'DESCONTINUADA Hospitais Regiona'!B:B, 'DESCONTINUADA Hospitais Regiona'!P:P, 0), "R$ #.##0,00"), 
  "Aumento do cofinanciamento (Gestão Própria) - de 2023 a 2026: " &amp; TEXT(_xlfn.XLOOKUP(E22, 'DESCONTINUADA Hospitais Regiona'!B:B, 'DESCONTINUADA Hospitais Regiona'!S:S, 0), "0,00%"), 
  "Cofinanciamento 2022 (Apenas Gestão Própria): " &amp; TEXT(_xlfn.XLOOKUP(E22, 'DESCONTINUADA Hospitais Regiona'!B:B, 'DESCONTINUADA Hospitais Regiona'!Q:Q, 0), "R$ #.##0,00"), 
  "Cofinanciamento 2025 (Apenas Gestão Própria): " &amp; TEXT(_xlfn.XLOOKUP(E22, 'DESCONTINUADA Hospitais Regiona'!B:B, 'DESCONTINUADA Hospitais Regiona'!R:R, 0), "R$ #.##0,00"), 
  "Repasse (OS) em 2025: " &amp; TEXT(_xlfn.XLOOKUP(E22, 'DESCONTINUADA Hospitais Regiona'!B:B, 'DESCONTINUADA Hospitais Regiona'!T:T, 0), "R$ #.##0,00"), 
  "Principais avanços nessa gestão: " &amp; _xlfn.XLOOKUP(E22, 'DESCONTINUADA Hospitais Regiona'!B:B, 'DESCONTINUADA Hospitais Regiona'!U:U, "Não encontrado")
)</f>
        <v>*Hospital Regional Inácio de Sá*
Status: EM FUNCIONAMENTO
Tipo de Gestão: Gestão própria
OSS: -
Geres: VII
Localização: Antônio Alençar Sampaio, 346 - Planalto, Salgueiro - PE
Nº de Leitos: 159
Leitos abertos nesta gestão: 20
Perfil: Rua Antônio Alençar Sampaio, 346, Planalto, Salgueiro.
Nº Profissionais Total: 998
Nº Profissionais convocados nesta gestão: 472
Valor do contrato de manutenção predial (anual): 5716381,14
Investimento nesta gestão: R$ 15.239.603,22000
Aumento do cofinanciamento (Gestão Própria) - de 2023 a 2026: 107%
Cofinanciamento 2022 (Apenas Gestão Própria): R$ 7.496.505,37000
Cofinanciamento 2025 (Apenas Gestão Própria): R$ 15.519.608,95000
Repasse (OS) em 2025: -
Principais avanços nessa gestão: Infraestrutura e modernização: Requalificação da lavanderia hospitalar; Aquisição de 61 computadores; Aquisição de 14 aparelhos de ar-condicionado; Aquisição de 05 refrigeradores duplex; Aquisição de novas camas hospitalares;  Aquisição de instrumentais cirúrgicos; Aquisição de camas Fowler; Aquisição de carrinhos-maca; Aquisição de carrinhos de curativos; Aquisição de cadeiras de banho; Aquisição de cadeiras de rodas; Aquisição de suportes de soro; Aquisição de biombos; Aquisição de longarinas; aquisição de cadeiras para auditório; Aquisição de cadeiras para o setor administrativo; Implantação do Ambulatório de Inserção de DIU, Criação de Farmácias Satélites, Implantação da realização de cirurgias bucomaxilofaciais, Implantação da realização de ecocardiograma, Aquisição de 01 ambulância UTI; Aquisição de instrumentais; Aquisição de 02 ambulâncias básicas; Implantação de 31 cargos de liderança para servidores-FSUS
</v>
      </c>
      <c r="G22" s="61" t="s">
        <v>63</v>
      </c>
      <c r="H22" s="61" t="s">
        <v>75</v>
      </c>
      <c r="I22" s="58" t="s">
        <v>213</v>
      </c>
      <c r="J22" s="208">
        <f t="array" ref="J22">_xlfn.XLOOKUP(E22, 'DESCONTINUADA Hospitais Regiona'!B:B, 'DESCONTINUADA Hospitais Regiona'!I:I)</f>
        <v>20</v>
      </c>
      <c r="K22" s="208">
        <f t="array" ref="K22">_xlfn.XLOOKUP(E22, 'DESCONTINUADA Hospitais Regiona'!B:B, 'DESCONTINUADA Hospitais Regiona'!H:H)</f>
        <v>159</v>
      </c>
      <c r="L22" s="208" t="str">
        <f t="array" ref="L22">_xlfn.XLOOKUP(E22, 'DESCONTINUADA Hospitais Regiona'!B:B, 'DESCONTINUADA Hospitais Regiona'!J:J)</f>
        <v>Enfermaria Cirúrgica</v>
      </c>
      <c r="M22" s="208" t="str">
        <f t="array" ref="M22">_xlfn.XLOOKUP(E22, 'DESCONTINUADA Hospitais Regiona'!B:B, 'DESCONTINUADA Hospitais Regiona'!K:K)</f>
        <v>-</v>
      </c>
      <c r="N22" s="358" t="str">
        <f t="array" ref="N22">_xlfn.XLOOKUP(E22, 'DESCONTINUADA Hospitais Regiona'!B:B, 'DESCONTINUADA Hospitais Regiona'!L:L)</f>
        <v>Rua Antônio Alençar Sampaio, 346, Planalto, Salgueiro.</v>
      </c>
      <c r="O22" s="359">
        <f t="array" ref="O22">_xlfn.XLOOKUP(E22, 'DESCONTINUADA Hospitais Regiona'!B:B, 'DESCONTINUADA Hospitais Regiona'!M:M)</f>
        <v>998</v>
      </c>
      <c r="P22" s="208">
        <f t="array" ref="P22">_xlfn.XLOOKUP(E22, 'DESCONTINUADA Hospitais Regiona'!B:B, 'DESCONTINUADA Hospitais Regiona'!N:N)</f>
        <v>472</v>
      </c>
      <c r="Q22" s="211">
        <f t="array" ref="Q22">_xlfn.XLOOKUP(E22, 'DESCONTINUADA Hospitais Regiona'!B:B, 'DESCONTINUADA Hospitais Regiona'!O:O)</f>
        <v>5716381.14</v>
      </c>
      <c r="R22" s="211">
        <f t="array" ref="R22">_xlfn.XLOOKUP(E22, 'DESCONTINUADA Hospitais Regiona'!B:B, 'DESCONTINUADA Hospitais Regiona'!P:P)</f>
        <v>15239603.22</v>
      </c>
      <c r="S22" s="211">
        <f t="array" ref="S22">_xlfn.XLOOKUP(E22, 'DESCONTINUADA Hospitais Regiona'!B:B, 'DESCONTINUADA Hospitais Regiona'!Q:Q)</f>
        <v>7496505.37</v>
      </c>
      <c r="T22" s="211">
        <f t="array" ref="T22">_xlfn.XLOOKUP(E22, 'DESCONTINUADA Hospitais Regiona'!B:B, 'DESCONTINUADA Hospitais Regiona'!R:R)</f>
        <v>15519608.95</v>
      </c>
      <c r="U22" s="360">
        <f t="array" ref="U22">_xlfn.XLOOKUP(E22, 'DESCONTINUADA Hospitais Regiona'!B:B, 'DESCONTINUADA Hospitais Regiona'!S:S)</f>
        <v>1.070245826</v>
      </c>
      <c r="V22" s="211" t="str">
        <f t="array" ref="V22">_xlfn.XLOOKUP(E22, 'DESCONTINUADA Hospitais Regiona'!B:B, 'DESCONTINUADA Hospitais Regiona'!T:T)</f>
        <v>-</v>
      </c>
      <c r="W22" s="208"/>
      <c r="X22" s="357" t="str">
        <f t="array" ref="X22">_xlfn.XLOOKUP(E22, 'DESCONTINUADA Hospitais Regiona'!B:B, 'DESCONTINUADA Hospitais Regiona'!U:U)</f>
        <v>Infraestrutura e modernização: Requalificação da lavanderia hospitalar; Aquisição de 61 computadores; Aquisição de 14 aparelhos de ar-condicionado; Aquisição de 05 refrigeradores duplex; Aquisição de novas camas hospitalares;  Aquisição de instrumentais cirúrgicos; Aquisição de camas Fowler; Aquisição de carrinhos-maca; Aquisição de carrinhos de curativos; Aquisição de cadeiras de banho; Aquisição de cadeiras de rodas; Aquisição de suportes de soro; Aquisição de biombos; Aquisição de longarinas; aquisição de cadeiras para auditório; Aquisição de cadeiras para o setor administrativo; Implantação do Ambulatório de Inserção de DIU, Criação de Farmácias Satélites, Implantação da realização de cirurgias bucomaxilofaciais, Implantação da realização de ecocardiograma, Aquisição de 01 ambulância UTI; Aquisição de instrumentais; Aquisição de 02 ambulâncias básicas; Implantação de 31 cargos de liderança para servidores-FSUS
</v>
      </c>
      <c r="Y22" s="361"/>
      <c r="Z22" s="362"/>
    </row>
    <row r="23" ht="137.25" customHeight="1">
      <c r="A23" s="53">
        <v>2601201.0</v>
      </c>
      <c r="B23" s="392" t="s">
        <v>424</v>
      </c>
      <c r="C23" s="311" t="s">
        <v>425</v>
      </c>
      <c r="D23" s="58" t="s">
        <v>1</v>
      </c>
      <c r="E23" s="314" t="s">
        <v>314</v>
      </c>
      <c r="F23" s="357" t="str">
        <f t="array" ref="F23">TEXTJOIN(CHAR(10), TRUE, 
  "*" &amp; E23 &amp; "*", 
  "Status: " &amp; _xlfn.XLOOKUP(E23, 'DESCONTINUADA Hospitais Regiona'!B:B, 'DESCONTINUADA Hospitais Regiona'!C:C, "Não encontrado"), 
  "Tipo de Gestão: " &amp; _xlfn.XLOOKUP(E23, 'DESCONTINUADA Hospitais Regiona'!B:B, 'DESCONTINUADA Hospitais Regiona'!E:E, "Não encontrado"), 
  "OSS: " &amp; _xlfn.XLOOKUP(E23, 'DESCONTINUADA Hospitais Regiona'!B:B, 'DESCONTINUADA Hospitais Regiona'!D:D, "Não encontrado"), 
  "Geres: " &amp; _xlfn.XLOOKUP(E23, 'DESCONTINUADA Hospitais Regiona'!B:B, 'DESCONTINUADA Hospitais Regiona'!F:F, "Não encontrado"), 
  "Localização: " &amp; _xlfn.XLOOKUP(E23, 'DESCONTINUADA Hospitais Regiona'!B:B, 'DESCONTINUADA Hospitais Regiona'!G:G, "Não encontrado"), 
  "Nº de Leitos: " &amp; _xlfn.XLOOKUP(E23, 'DESCONTINUADA Hospitais Regiona'!B:B, 'DESCONTINUADA Hospitais Regiona'!H:H, "Não encontrado"),
  "Leitos abertos nesta gestão: " &amp; _xlfn.XLOOKUP(E23, 'DESCONTINUADA Hospitais Regiona'!B:B, 'DESCONTINUADA Hospitais Regiona'!I:I, "Não encontrado"),
  "Perfil: " &amp; _xlfn.XLOOKUP(E23, 'DESCONTINUADA Hospitais Regiona'!B:B, 'DESCONTINUADA Hospitais Regiona'!L:L, "Não encontrado"), 
  "Nº Profissionais Total: " &amp; _xlfn.XLOOKUP(E23, 'DESCONTINUADA Hospitais Regiona'!B:B, 'DESCONTINUADA Hospitais Regiona'!M:M, "Não encontrado"), 
  "Nº Profissionais convocados nesta gestão: " &amp; _xlfn.XLOOKUP(E23, 'DESCONTINUADA Hospitais Regiona'!B:B, 'DESCONTINUADA Hospitais Regiona'!N:N, "Não encontrado"), 
  "Valor do contrato de manutenção predial (anual): " &amp; _xlfn.XLOOKUP(E23, 'DESCONTINUADA Hospitais Regiona'!B:B, 'DESCONTINUADA Hospitais Regiona'!O:O, "Não encontrado"), 
  "Investimento nesta gestão: " &amp; TEXT(_xlfn.XLOOKUP(E23, 'DESCONTINUADA Hospitais Regiona'!B:B, 'DESCONTINUADA Hospitais Regiona'!P:P, 0), "R$ #.##0,00"), 
  "Aumento do cofinanciamento (Gestão Própria) - de 2023 a 2026: " &amp; TEXT(_xlfn.XLOOKUP(E23, 'DESCONTINUADA Hospitais Regiona'!B:B, 'DESCONTINUADA Hospitais Regiona'!S:S, 0), "0,00%"), 
  "Cofinanciamento 2022 (Apenas Gestão Própria): " &amp; TEXT(_xlfn.XLOOKUP(E23, 'DESCONTINUADA Hospitais Regiona'!B:B, 'DESCONTINUADA Hospitais Regiona'!Q:Q, 0), "R$ #.##0,00"), 
  "Cofinanciamento 2025 (Apenas Gestão Própria): " &amp; TEXT(_xlfn.XLOOKUP(E23, 'DESCONTINUADA Hospitais Regiona'!B:B, 'DESCONTINUADA Hospitais Regiona'!R:R, 0), "R$ #.##0,00"), 
  "Repasse (OS) em 2025: " &amp; TEXT(_xlfn.XLOOKUP(E23, 'DESCONTINUADA Hospitais Regiona'!B:B, 'DESCONTINUADA Hospitais Regiona'!T:T, 0), "R$ #.##0,00"), 
  "Principais avanços nessa gestão: " &amp; _xlfn.XLOOKUP(E23, 'DESCONTINUADA Hospitais Regiona'!B:B, 'DESCONTINUADA Hospitais Regiona'!U:U, "Não encontrado")
)</f>
        <v>*Hospital Regional Ruy de Barros Correia*
Status: EM FUNCIONAMENTO
Tipo de Gestão: OSS
OSS: HTRI
Geres: VI
Localização: Av. Dr. Agamenon Magalhães, s/n - Centro, Arcoverde - PE
Nº de Leitos: 165
Leitos abertos nesta gestão: 4
Perfil: Unidade de média complexidade e referência para os 13 municípios da VI Gerência Regional de Saúde. Destaca-se na assistência materno-infantil e oferece urgência, internação e atendimento ambulatorial em especialidades como Cardiologia, Cirurgia Geral, Clínica Médica, Pediatria, Ginecologia, Obstetrícia, Traumato-ortopedia (pediatrica e adulto), Neurologia, Urologia e Cirurgia Vascular, além de pré-natal de alto risco e serviços multiprofissionais. 
Nº Profissionais Total: 1378
Nº Profissionais convocados nesta gestão: -
Valor do contrato de manutenção predial (anual): -
Investimento nesta gestão: R$ 5.769.003,71000
Aumento do cofinanciamento (Gestão Própria) - de 2023 a 2026: -
Cofinanciamento 2022 (Apenas Gestão Própria): -
Cofinanciamento 2025 (Apenas Gestão Própria): -
Repasse (OS) em 2025: R$ 69.648.653,69000
Principais avanços nessa gestão:  Modernização da infraestrutura em 2025, com aquisição de equipamentos e mobiliários e implementação do do Plano de Investimento no valor de R$2.991.567,24; Plano de Investimento – Prevenção e Combate a Incêndio no valor de R$R$ 1.011.334,01 e plano de investimento no valor de R$R$766 102,46 para reforma no setor de urgência e emergência; Captação de recurso federal: R$ 1.000.000,00 em 2023, via Emenda Parlamentar – Incremento do Teto MAC; Abertura do serviço de Cirurgia Geral; Abertura do serviço de Ortopedia Pediátrica; Aquisição de 01 Ambulância UTI.
</v>
      </c>
      <c r="G23" s="61" t="s">
        <v>63</v>
      </c>
      <c r="H23" s="61" t="s">
        <v>4</v>
      </c>
      <c r="I23" s="61" t="str">
        <f t="array" ref="I23">_xlfn.XLOOKUP(E23, 'DESCONTINUADA Hospitais Regiona'!B:B, 'DESCONTINUADA Hospitais Regiona'!F:F)</f>
        <v>VI</v>
      </c>
      <c r="J23" s="208">
        <f t="array" ref="J23">_xlfn.XLOOKUP(E23, 'DESCONTINUADA Hospitais Regiona'!B:B, 'DESCONTINUADA Hospitais Regiona'!I:I)</f>
        <v>4</v>
      </c>
      <c r="K23" s="208">
        <f t="array" ref="K23">_xlfn.XLOOKUP(E23, 'DESCONTINUADA Hospitais Regiona'!B:B, 'DESCONTINUADA Hospitais Regiona'!H:H)</f>
        <v>165</v>
      </c>
      <c r="L23" s="208" t="str">
        <f t="array" ref="L23">_xlfn.XLOOKUP(E23, 'DESCONTINUADA Hospitais Regiona'!B:B, 'DESCONTINUADA Hospitais Regiona'!J:J)</f>
        <v>UTI ADULTO</v>
      </c>
      <c r="M23" s="208" t="str">
        <f t="array" ref="M23">_xlfn.XLOOKUP(E23, 'DESCONTINUADA Hospitais Regiona'!B:B, 'DESCONTINUADA Hospitais Regiona'!K:K)</f>
        <v>-</v>
      </c>
      <c r="N23" s="358" t="str">
        <f t="array" ref="N23">_xlfn.XLOOKUP(E23, 'DESCONTINUADA Hospitais Regiona'!B:B, 'DESCONTINUADA Hospitais Regiona'!L:L)</f>
        <v>Unidade de média complexidade e referência para os 13 municípios da VI Gerência Regional de Saúde. Destaca-se na assistência materno-infantil e oferece urgência, internação e atendimento ambulatorial em especialidades como Cardiologia, Cirurgia Geral, Clínica Médica, Pediatria, Ginecologia, Obstetrícia, Traumato-ortopedia (pediatrica e adulto), Neurologia, Urologia e Cirurgia Vascular, além de pré-natal de alto risco e serviços multiprofissionais. </v>
      </c>
      <c r="O23" s="359">
        <f t="array" ref="O23">_xlfn.XLOOKUP(E23, 'DESCONTINUADA Hospitais Regiona'!B:B, 'DESCONTINUADA Hospitais Regiona'!M:M)</f>
        <v>1378</v>
      </c>
      <c r="P23" s="208" t="str">
        <f t="array" ref="P23">_xlfn.XLOOKUP(E23, 'DESCONTINUADA Hospitais Regiona'!B:B, 'DESCONTINUADA Hospitais Regiona'!N:N)</f>
        <v>-</v>
      </c>
      <c r="Q23" s="211" t="str">
        <f t="array" ref="Q23">_xlfn.XLOOKUP(E23, 'DESCONTINUADA Hospitais Regiona'!B:B, 'DESCONTINUADA Hospitais Regiona'!O:O)</f>
        <v>-</v>
      </c>
      <c r="R23" s="211">
        <f t="array" ref="R23">_xlfn.XLOOKUP(E23, 'DESCONTINUADA Hospitais Regiona'!B:B, 'DESCONTINUADA Hospitais Regiona'!P:P)</f>
        <v>5769003.71</v>
      </c>
      <c r="S23" s="399" t="str">
        <f t="array" ref="S23">_xlfn.XLOOKUP(E23, 'DESCONTINUADA Hospitais Regiona'!B:B, 'DESCONTINUADA Hospitais Regiona'!Q:Q)</f>
        <v>-</v>
      </c>
      <c r="T23" s="399" t="str">
        <f t="array" ref="T23">_xlfn.XLOOKUP(E23, 'DESCONTINUADA Hospitais Regiona'!B:B, 'DESCONTINUADA Hospitais Regiona'!R:R)</f>
        <v>-</v>
      </c>
      <c r="U23" s="208" t="str">
        <f t="array" ref="U23">_xlfn.XLOOKUP(E23, 'DESCONTINUADA Hospitais Regiona'!B:B, 'DESCONTINUADA Hospitais Regiona'!S:S)</f>
        <v>-</v>
      </c>
      <c r="V23" s="211">
        <f t="array" ref="V23">_xlfn.XLOOKUP(E23, 'DESCONTINUADA Hospitais Regiona'!B:B, 'DESCONTINUADA Hospitais Regiona'!T:T)</f>
        <v>69648653.69</v>
      </c>
      <c r="W23" s="208"/>
      <c r="X23" s="357" t="str">
        <f t="array" ref="X23">_xlfn.XLOOKUP(E23, 'DESCONTINUADA Hospitais Regiona'!B:B, 'DESCONTINUADA Hospitais Regiona'!U:U)</f>
        <v> Modernização da infraestrutura em 2025, com aquisição de equipamentos e mobiliários e implementação do do Plano de Investimento no valor de R$2.991.567,24; Plano de Investimento – Prevenção e Combate a Incêndio no valor de R$R$ 1.011.334,01 e plano de investimento no valor de R$R$766 102,46 para reforma no setor de urgência e emergência; Captação de recurso federal: R$ 1.000.000,00 em 2023, via Emenda Parlamentar – Incremento do Teto MAC; Abertura do serviço de Cirurgia Geral; Abertura do serviço de Ortopedia Pediátrica; Aquisição de 01 Ambulância UTI.
</v>
      </c>
      <c r="Y23" s="361"/>
      <c r="Z23" s="362"/>
    </row>
    <row r="24" ht="137.25" customHeight="1">
      <c r="A24" s="53">
        <v>2609907.0</v>
      </c>
      <c r="B24" s="392" t="s">
        <v>426</v>
      </c>
      <c r="C24" s="311" t="s">
        <v>427</v>
      </c>
      <c r="D24" s="58" t="s">
        <v>1</v>
      </c>
      <c r="E24" s="314" t="s">
        <v>326</v>
      </c>
      <c r="F24" s="357" t="str">
        <f t="array" ref="F24">TEXTJOIN(CHAR(10), TRUE, 
  "*" &amp; E24 &amp; "*", 
  "Status: " &amp; _xlfn.XLOOKUP(E24, 'DESCONTINUADA Hospitais Regiona'!B:B, 'DESCONTINUADA Hospitais Regiona'!C:C, "Não encontrado"), 
  "Tipo de Gestão: " &amp; _xlfn.XLOOKUP(E24, 'DESCONTINUADA Hospitais Regiona'!B:B, 'DESCONTINUADA Hospitais Regiona'!E:E, "Não encontrado"), 
  "OSS: " &amp; _xlfn.XLOOKUP(E24, 'DESCONTINUADA Hospitais Regiona'!B:B, 'DESCONTINUADA Hospitais Regiona'!D:D, "Não encontrado"), 
  "Geres: " &amp; _xlfn.XLOOKUP(E24, 'DESCONTINUADA Hospitais Regiona'!B:B, 'DESCONTINUADA Hospitais Regiona'!F:F, "Não encontrado"), 
  "Localização: " &amp; _xlfn.XLOOKUP(E24, 'DESCONTINUADA Hospitais Regiona'!B:B, 'DESCONTINUADA Hospitais Regiona'!G:G, "Não encontrado"), 
  "Nº de Leitos: " &amp; _xlfn.XLOOKUP(E24, 'DESCONTINUADA Hospitais Regiona'!B:B, 'DESCONTINUADA Hospitais Regiona'!H:H, "Não encontrado"),
  "Leitos abertos nesta gestão: " &amp; _xlfn.XLOOKUP(E24, 'DESCONTINUADA Hospitais Regiona'!B:B, 'DESCONTINUADA Hospitais Regiona'!I:I, "Não encontrado"),
  "Perfil: " &amp; _xlfn.XLOOKUP(E24, 'DESCONTINUADA Hospitais Regiona'!B:B, 'DESCONTINUADA Hospitais Regiona'!L:L, "Não encontrado"), 
  "Nº Profissionais Total: " &amp; _xlfn.XLOOKUP(E24, 'DESCONTINUADA Hospitais Regiona'!B:B, 'DESCONTINUADA Hospitais Regiona'!M:M, "Não encontrado"), 
  "Nº Profissionais convocados nesta gestão: " &amp; _xlfn.XLOOKUP(E24, 'DESCONTINUADA Hospitais Regiona'!B:B, 'DESCONTINUADA Hospitais Regiona'!N:N, "Não encontrado"), 
  "Valor do contrato de manutenção predial (anual): " &amp; _xlfn.XLOOKUP(E24, 'DESCONTINUADA Hospitais Regiona'!B:B, 'DESCONTINUADA Hospitais Regiona'!O:O, "Não encontrado"), 
  "Investimento nesta gestão: " &amp; TEXT(_xlfn.XLOOKUP(E24, 'DESCONTINUADA Hospitais Regiona'!B:B, 'DESCONTINUADA Hospitais Regiona'!P:P, 0), "R$ #.##0,00"), 
  "Aumento do cofinanciamento (Gestão Própria) - de 2023 a 2026: " &amp; TEXT(_xlfn.XLOOKUP(E24, 'DESCONTINUADA Hospitais Regiona'!B:B, 'DESCONTINUADA Hospitais Regiona'!S:S, 0), "0,00%"), 
  "Cofinanciamento 2022 (Apenas Gestão Própria): " &amp; TEXT(_xlfn.XLOOKUP(E24, 'DESCONTINUADA Hospitais Regiona'!B:B, 'DESCONTINUADA Hospitais Regiona'!Q:Q, 0), "R$ #.##0,00"), 
  "Cofinanciamento 2025 (Apenas Gestão Própria): " &amp; TEXT(_xlfn.XLOOKUP(E24, 'DESCONTINUADA Hospitais Regiona'!B:B, 'DESCONTINUADA Hospitais Regiona'!R:R, 0), "R$ #.##0,00"), 
  "Repasse (OS) em 2025: " &amp; TEXT(_xlfn.XLOOKUP(E24, 'DESCONTINUADA Hospitais Regiona'!B:B, 'DESCONTINUADA Hospitais Regiona'!T:T, 0), "R$ #.##0,00"), 
  "Principais avanços nessa gestão: " &amp; _xlfn.XLOOKUP(E24, 'DESCONTINUADA Hospitais Regiona'!B:B, 'DESCONTINUADA Hospitais Regiona'!U:U, "Não encontrado")
)</f>
        <v>*Hospital Regional Fernando Bezerra*
Status: EM FUNCIONAMENTO
Tipo de Gestão: OSS
OSS: ISMEP
Geres: IX
Localização: R. Teobaldo Gomes Torres, 510 - Centro, Ouricuri - PE
Nº de Leitos: 53
Leitos abertos nesta gestão: 10
Perfil: Hospital regional de média complexidade, referência para os 11 municípios da IX GERES/Sertão do Araripe. Presta atendimento de urgência e emergência, internação, ambulatório e assistência em especialidades como Clínica Médica, Cirurgia Geral, Ginecologia/Obstetrícia, Pediatria e Traumato-Ortopedia, além de outras especialidades ambulatoriais.
Nº Profissionais Total: 794
Nº Profissionais convocados nesta gestão: -
Valor do contrato de manutenção predial (anual): -
Investimento nesta gestão: R$ 7.128.698,26000
Aumento do cofinanciamento (Gestão Própria) - de 2023 a 2026: -
Cofinanciamento 2022 (Apenas Gestão Própria): -
Cofinanciamento 2025 (Apenas Gestão Própria): -
Repasse (OS) em 2025: R$ 31.990.404,32
Principais avanços nessa gestão: Planos de investimento (R$5.132.298,00) para modernização do parque tecnologico, incluindo Aparelho de Anestesia, Foco Cirúrgico de teto, Ultrassom Diagnóstico com Aplicação Transesofágica, Aparelho de Raio X, Cardiovers, Sistema de Vídeo Endoscopia Rígida, camas hospitalaes, autoclave, lavadora de roupa hospitalar. Abertura de 10 leitos de UTI pediatrica. Requalificação de 10 leitos de UTI Covid para UTI Geral Adulto Tipo II, ampliando para 20 leitos de UTI Adulto. Climatização das enfermarias da maternidade e da emergência, Reforma dos repousos dos profissionais, Assinado ordem de serviço para reforma da Emergencia.</v>
      </c>
      <c r="G24" s="61" t="s">
        <v>63</v>
      </c>
      <c r="H24" s="61" t="s">
        <v>4</v>
      </c>
      <c r="I24" s="58" t="s">
        <v>224</v>
      </c>
      <c r="J24" s="208">
        <f t="array" ref="J24">_xlfn.XLOOKUP(E24, 'DESCONTINUADA Hospitais Regiona'!B:B, 'DESCONTINUADA Hospitais Regiona'!I:I)</f>
        <v>10</v>
      </c>
      <c r="K24" s="208">
        <f t="array" ref="K24">_xlfn.XLOOKUP(E24, 'DESCONTINUADA Hospitais Regiona'!B:B, 'DESCONTINUADA Hospitais Regiona'!H:H)</f>
        <v>53</v>
      </c>
      <c r="L24" s="208" t="str">
        <f t="array" ref="L24">_xlfn.XLOOKUP(E24, 'DESCONTINUADA Hospitais Regiona'!B:B, 'DESCONTINUADA Hospitais Regiona'!J:J)</f>
        <v>UTI Pediátrica</v>
      </c>
      <c r="M24" s="208" t="str">
        <f t="array" ref="M24">_xlfn.XLOOKUP(E24, 'DESCONTINUADA Hospitais Regiona'!B:B, 'DESCONTINUADA Hospitais Regiona'!K:K)</f>
        <v>-</v>
      </c>
      <c r="N24" s="358" t="str">
        <f t="array" ref="N24">_xlfn.XLOOKUP(E24, 'DESCONTINUADA Hospitais Regiona'!B:B, 'DESCONTINUADA Hospitais Regiona'!L:L)</f>
        <v>Hospital regional de média complexidade, referência para os 11 municípios da IX GERES/Sertão do Araripe. Presta atendimento de urgência e emergência, internação, ambulatório e assistência em especialidades como Clínica Médica, Cirurgia Geral, Ginecologia/Obstetrícia, Pediatria e Traumato-Ortopedia, além de outras especialidades ambulatoriais.</v>
      </c>
      <c r="O24" s="359">
        <f t="array" ref="O24">_xlfn.XLOOKUP(E24, 'DESCONTINUADA Hospitais Regiona'!B:B, 'DESCONTINUADA Hospitais Regiona'!M:M)</f>
        <v>794</v>
      </c>
      <c r="P24" s="208" t="str">
        <f t="array" ref="P24">_xlfn.XLOOKUP(E24, 'DESCONTINUADA Hospitais Regiona'!B:B, 'DESCONTINUADA Hospitais Regiona'!N:N)</f>
        <v>-</v>
      </c>
      <c r="Q24" s="211" t="str">
        <f t="array" ref="Q24">_xlfn.XLOOKUP(E24, 'DESCONTINUADA Hospitais Regiona'!B:B, 'DESCONTINUADA Hospitais Regiona'!O:O)</f>
        <v>-</v>
      </c>
      <c r="R24" s="211">
        <f t="array" ref="R24">_xlfn.XLOOKUP(E24, 'DESCONTINUADA Hospitais Regiona'!B:B, 'DESCONTINUADA Hospitais Regiona'!P:P)</f>
        <v>7128698.26</v>
      </c>
      <c r="S24" s="208" t="str">
        <f t="array" ref="S24">_xlfn.XLOOKUP(E24, 'DESCONTINUADA Hospitais Regiona'!B:B, 'DESCONTINUADA Hospitais Regiona'!Q:Q)</f>
        <v>-</v>
      </c>
      <c r="T24" s="208" t="str">
        <f t="array" ref="T24">_xlfn.XLOOKUP(E24, 'DESCONTINUADA Hospitais Regiona'!B:B, 'DESCONTINUADA Hospitais Regiona'!R:R)</f>
        <v>-</v>
      </c>
      <c r="U24" s="208" t="str">
        <f t="array" ref="U24">_xlfn.XLOOKUP(E24, 'DESCONTINUADA Hospitais Regiona'!B:B, 'DESCONTINUADA Hospitais Regiona'!S:S)</f>
        <v>-</v>
      </c>
      <c r="V24" s="211" t="str">
        <f t="array" ref="V24">_xlfn.XLOOKUP(E24, 'DESCONTINUADA Hospitais Regiona'!B:B, 'DESCONTINUADA Hospitais Regiona'!T:T)</f>
        <v>R$ 31.990.404,32</v>
      </c>
      <c r="W24" s="208"/>
      <c r="X24" s="357" t="str">
        <f t="array" ref="X24">_xlfn.XLOOKUP(E24, 'DESCONTINUADA Hospitais Regiona'!B:B, 'DESCONTINUADA Hospitais Regiona'!U:U)</f>
        <v>Planos de investimento (R$5.132.298,00) para modernização do parque tecnologico, incluindo Aparelho de Anestesia, Foco Cirúrgico de teto, Ultrassom Diagnóstico com Aplicação Transesofágica, Aparelho de Raio X, Cardiovers, Sistema de Vídeo Endoscopia Rígida, camas hospitalaes, autoclave, lavadora de roupa hospitalar. Abertura de 10 leitos de UTI pediatrica. Requalificação de 10 leitos de UTI Covid para UTI Geral Adulto Tipo II, ampliando para 20 leitos de UTI Adulto. Climatização das enfermarias da maternidade e da emergência, Reforma dos repousos dos profissionais, Assinado ordem de serviço para reforma da Emergencia.</v>
      </c>
      <c r="Y24" s="361"/>
      <c r="Z24" s="362"/>
    </row>
    <row r="25" ht="137.25" customHeight="1">
      <c r="A25" s="53">
        <v>2613909.0</v>
      </c>
      <c r="B25" s="392" t="s">
        <v>429</v>
      </c>
      <c r="C25" s="311" t="s">
        <v>430</v>
      </c>
      <c r="D25" s="58" t="s">
        <v>1</v>
      </c>
      <c r="E25" s="314" t="s">
        <v>341</v>
      </c>
      <c r="F25" s="357" t="str">
        <f t="array" ref="F25">TEXTJOIN(CHAR(10), TRUE, 
  "*" &amp; E25 &amp; "*", 
  "Status: " &amp; _xlfn.XLOOKUP(E25, 'DESCONTINUADA Hospitais Regiona'!B:B, 'DESCONTINUADA Hospitais Regiona'!C:C, "Não encontrado"), 
  "Tipo de Gestão: " &amp; _xlfn.XLOOKUP(E25, 'DESCONTINUADA Hospitais Regiona'!B:B, 'DESCONTINUADA Hospitais Regiona'!E:E, "Não encontrado"), 
  "OSS: " &amp; _xlfn.XLOOKUP(E25, 'DESCONTINUADA Hospitais Regiona'!B:B, 'DESCONTINUADA Hospitais Regiona'!D:D, "Não encontrado"), 
  "Geres: " &amp; _xlfn.XLOOKUP(E25, 'DESCONTINUADA Hospitais Regiona'!B:B, 'DESCONTINUADA Hospitais Regiona'!F:F, "Não encontrado"), 
  "Localização: " &amp; _xlfn.XLOOKUP(E25, 'DESCONTINUADA Hospitais Regiona'!B:B, 'DESCONTINUADA Hospitais Regiona'!G:G, "Não encontrado"), 
  "Nº de Leitos: " &amp; _xlfn.XLOOKUP(E25, 'DESCONTINUADA Hospitais Regiona'!B:B, 'DESCONTINUADA Hospitais Regiona'!H:H, "Não encontrado"),
  "Leitos abertos nesta gestão: " &amp; _xlfn.XLOOKUP(E25, 'DESCONTINUADA Hospitais Regiona'!B:B, 'DESCONTINUADA Hospitais Regiona'!I:I, "Não encontrado"),
  "Perfil: " &amp; _xlfn.XLOOKUP(E25, 'DESCONTINUADA Hospitais Regiona'!B:B, 'DESCONTINUADA Hospitais Regiona'!L:L, "Não encontrado"), 
  "Nº Profissionais Total: " &amp; _xlfn.XLOOKUP(E25, 'DESCONTINUADA Hospitais Regiona'!B:B, 'DESCONTINUADA Hospitais Regiona'!M:M, "Não encontrado"), 
  "Nº Profissionais convocados nesta gestão: " &amp; _xlfn.XLOOKUP(E25, 'DESCONTINUADA Hospitais Regiona'!B:B, 'DESCONTINUADA Hospitais Regiona'!N:N, "Não encontrado"), 
  "Valor do contrato de manutenção predial (anual): " &amp; _xlfn.XLOOKUP(E25, 'DESCONTINUADA Hospitais Regiona'!B:B, 'DESCONTINUADA Hospitais Regiona'!O:O, "Não encontrado"), 
  "Investimento nesta gestão: " &amp; TEXT(_xlfn.XLOOKUP(E25, 'DESCONTINUADA Hospitais Regiona'!B:B, 'DESCONTINUADA Hospitais Regiona'!P:P, 0), "R$ #.##0,00"), 
  "Aumento do cofinanciamento (Gestão Própria) - de 2023 a 2026: " &amp; TEXT(_xlfn.XLOOKUP(E25, 'DESCONTINUADA Hospitais Regiona'!B:B, 'DESCONTINUADA Hospitais Regiona'!S:S, 0), "0,00%"), 
  "Cofinanciamento 2022 (Apenas Gestão Própria): " &amp; TEXT(_xlfn.XLOOKUP(E25, 'DESCONTINUADA Hospitais Regiona'!B:B, 'DESCONTINUADA Hospitais Regiona'!Q:Q, 0), "R$ #.##0,00"), 
  "Cofinanciamento 2025 (Apenas Gestão Própria): " &amp; TEXT(_xlfn.XLOOKUP(E25, 'DESCONTINUADA Hospitais Regiona'!B:B, 'DESCONTINUADA Hospitais Regiona'!R:R, 0), "R$ #.##0,00"), 
  "Repasse (OS) em 2025: " &amp; TEXT(_xlfn.XLOOKUP(E25, 'DESCONTINUADA Hospitais Regiona'!B:B, 'DESCONTINUADA Hospitais Regiona'!T:T, 0), "R$ #.##0,00"), 
  "Principais avanços nessa gestão: " &amp; _xlfn.XLOOKUP(E25, 'DESCONTINUADA Hospitais Regiona'!B:B, 'DESCONTINUADA Hospitais Regiona'!U:U, "Não encontrado")
)</f>
        <v>*Hospital Professor Agamenon Magalhães*
Status: EM FUNCIONAMENTO
Tipo de Gestão: Gestão própria
OSS: -
Geres: I
Localização: R. Manoel Pereira da Silva, 871 - Centro, Serra Talhada - PE, 56903-360
Nº de Leitos: 66
Leitos abertos nesta gestão: 
Perfil: Urgência: Cirurgia geral, Traumatologia, Pediatria, Clínica Médica, Obstetrícia, Odontologia. Ambulatório: Neuropediatria, endocrinologia, radiologia, pediatria, psiquiatria, otorrinolaringologia, projeto boa visão, dermatologia, oftalmologia, tocoginecologia, reumatologista, pediatria, cirurgião bucomaxilo, ultrassonografia, cardiologista, neurologista, geriatra, médico do trabalho, climatério, colposcopia, psicologia, otorrino pediátrico , pediatria neurodivergente, periodontia, odontopediatria, odontologia, pneumo/pediatra.
Nº Profissionais Total: 627
Nº Profissionais convocados nesta gestão: 210
Valor do contrato de manutenção predial (anual): 4237827,79
Investimento nesta gestão: R$ 11.033.870,34000
Aumento do cofinanciamento (Gestão Própria) - de 2023 a 2026: 114%
Cofinanciamento 2022 (Apenas Gestão Própria): R$ 5.515.170,69000
Cofinanciamento 2025 (Apenas Gestão Própria): R$ 11.783.760,69000
Repasse (OS) em 2025: -
Principais avanços nessa gestão: Aquisição de incubadoras de transporte; Aquisição de incubadoras neonatais; Aquisição de cardiotocógrafos; Aquisição de berços aquecidos; Aquisição de berços de acrílico; Fortalecimento da assistência obstétrica e neonatal; Qualificação da estrutura destinada ao atendimento materno-infantil; Requalificação da lavanderia hospitalar; Aquisição de 61 computadores; Aquisição de 14 aparelhos de ar-condicionado; Aquisição de 05 refrigeradores duplex; Aquisição de novas camas hospitalares; Aquisição de camas Fowler; Aquisição de carrinhos-maca; Aquisição de carrinhos de curativos; Aquisição de cadeiras de banho; Aquisição de cadeiras de rodas; Aquisição de suportes de soro; Aquisição de biombos; Aquisição de longarinas; Aquisição de cadeiras para auditório; Aquisição de cadeiras para o setor administrativo; 01 contador de células; 02 incubadoras de transporte;
03 incubadoras neonatais; 01 equipamento de Raio-X Digital; 01 aparelho de Ultrassonografia; 02 cardiotocógrafos; 32 bombas de infusão; 03 ventiladores pulmonares;
08 monitores multiparâmetros; 02 cardioversores; 02 focos cirúrgicos de teto SkyLED;
01 bisturi elétrico; 01 mesa cirúrgica elétrica; 03 mesas cirúrgicas para o bloco cirúrgico;
02 ressectoscópios; 07 aspiradores cirúrgicos; Arco cirúrgico; Motor cirúrgico; Aparelho de anestesia com monitor incorporado; Berços aquecidos; 01 umidificador; Aquisição de 01 ambulância UTI; Aquisição de instrumentais; Substituição de todas as camas; 10 carros-maca; 05 carrinhos de curativos; 20 cadeiras de banho; 10 cadeiras de rodas; 25 berços de acrílico; 75 suportes de soro; 25 biombos; 30 longarinas; 50 cadeiras para auditório; 50 cadeiras;  Aquisição de 02 ambulâncias básicas; 07 laringoscópios adultos; 05 laringoscópios pediátricos; 03 laringoscópios neonatais; 08 kits de laringoscópio; 10 lâmpadas para laringoscópios; 07 estetoscópios cardiológicos; 04 cabos de oxímetro;
10 torpedos/cilindros de oxigênio; 15 cilindros de oxigênio;
</v>
      </c>
      <c r="G25" s="61" t="s">
        <v>63</v>
      </c>
      <c r="H25" s="61" t="s">
        <v>75</v>
      </c>
      <c r="I25" s="58" t="s">
        <v>85</v>
      </c>
      <c r="J25" s="208" t="str">
        <f t="array" ref="J25">_xlfn.XLOOKUP(E25, 'DESCONTINUADA Hospitais Regiona'!B:B, 'DESCONTINUADA Hospitais Regiona'!I:I)</f>
        <v/>
      </c>
      <c r="K25" s="208">
        <f t="array" ref="K25">_xlfn.XLOOKUP(E25, 'DESCONTINUADA Hospitais Regiona'!B:B, 'DESCONTINUADA Hospitais Regiona'!H:H)</f>
        <v>66</v>
      </c>
      <c r="L25" s="208" t="str">
        <f t="array" ref="L25">_xlfn.XLOOKUP(E25, 'DESCONTINUADA Hospitais Regiona'!B:B, 'DESCONTINUADA Hospitais Regiona'!J:J)</f>
        <v/>
      </c>
      <c r="M25" s="208" t="str">
        <f t="array" ref="M25">_xlfn.XLOOKUP(E25, 'DESCONTINUADA Hospitais Regiona'!B:B, 'DESCONTINUADA Hospitais Regiona'!K:K)</f>
        <v/>
      </c>
      <c r="N25" s="358" t="str">
        <f t="array" ref="N25">_xlfn.XLOOKUP(E25, 'DESCONTINUADA Hospitais Regiona'!B:B, 'DESCONTINUADA Hospitais Regiona'!L:L)</f>
        <v>Urgência: Cirurgia geral, Traumatologia, Pediatria, Clínica Médica, Obstetrícia, Odontologia. Ambulatório: Neuropediatria, endocrinologia, radiologia, pediatria, psiquiatria, otorrinolaringologia, projeto boa visão, dermatologia, oftalmologia, tocoginecologia, reumatologista, pediatria, cirurgião bucomaxilo, ultrassonografia, cardiologista, neurologista, geriatra, médico do trabalho, climatério, colposcopia, psicologia, otorrino pediátrico , pediatria neurodivergente, periodontia, odontopediatria, odontologia, pneumo/pediatra.</v>
      </c>
      <c r="O25" s="359">
        <f t="array" ref="O25">_xlfn.XLOOKUP(E25, 'DESCONTINUADA Hospitais Regiona'!B:B, 'DESCONTINUADA Hospitais Regiona'!M:M)</f>
        <v>627</v>
      </c>
      <c r="P25" s="208">
        <f t="array" ref="P25">_xlfn.XLOOKUP(E25, 'DESCONTINUADA Hospitais Regiona'!B:B, 'DESCONTINUADA Hospitais Regiona'!N:N)</f>
        <v>210</v>
      </c>
      <c r="Q25" s="211">
        <f t="array" ref="Q25">_xlfn.XLOOKUP(E25, 'DESCONTINUADA Hospitais Regiona'!B:B, 'DESCONTINUADA Hospitais Regiona'!O:O)</f>
        <v>4237827.79</v>
      </c>
      <c r="R25" s="211">
        <f t="array" ref="R25">_xlfn.XLOOKUP(E25, 'DESCONTINUADA Hospitais Regiona'!B:B, 'DESCONTINUADA Hospitais Regiona'!P:P)</f>
        <v>11033870.34</v>
      </c>
      <c r="S25" s="211">
        <f t="array" ref="S25">_xlfn.XLOOKUP(E25, 'DESCONTINUADA Hospitais Regiona'!B:B, 'DESCONTINUADA Hospitais Regiona'!Q:Q)</f>
        <v>5515170.69</v>
      </c>
      <c r="T25" s="211">
        <f t="array" ref="T25">_xlfn.XLOOKUP(E25, 'DESCONTINUADA Hospitais Regiona'!B:B, 'DESCONTINUADA Hospitais Regiona'!R:R)</f>
        <v>11783760.69</v>
      </c>
      <c r="U25" s="360">
        <f t="array" ref="U25">_xlfn.XLOOKUP(E25, 'DESCONTINUADA Hospitais Regiona'!B:B, 'DESCONTINUADA Hospitais Regiona'!S:S)</f>
        <v>1.136608521</v>
      </c>
      <c r="V25" s="211" t="str">
        <f t="array" ref="V25">_xlfn.XLOOKUP(E25, 'DESCONTINUADA Hospitais Regiona'!B:B, 'DESCONTINUADA Hospitais Regiona'!T:T)</f>
        <v>-</v>
      </c>
      <c r="W25" s="208"/>
      <c r="X25" s="357" t="str">
        <f t="array" ref="X25">_xlfn.XLOOKUP(E25, 'DESCONTINUADA Hospitais Regiona'!B:B, 'DESCONTINUADA Hospitais Regiona'!U:U)</f>
        <v>Aquisição de incubadoras de transporte; Aquisição de incubadoras neonatais; Aquisição de cardiotocógrafos; Aquisição de berços aquecidos; Aquisição de berços de acrílico; Fortalecimento da assistência obstétrica e neonatal; Qualificação da estrutura destinada ao atendimento materno-infantil; Requalificação da lavanderia hospitalar; Aquisição de 61 computadores; Aquisição de 14 aparelhos de ar-condicionado; Aquisição de 05 refrigeradores duplex; Aquisição de novas camas hospitalares; Aquisição de camas Fowler; Aquisição de carrinhos-maca; Aquisição de carrinhos de curativos; Aquisição de cadeiras de banho; Aquisição de cadeiras de rodas; Aquisição de suportes de soro; Aquisição de biombos; Aquisição de longarinas; Aquisição de cadeiras para auditório; Aquisição de cadeiras para o setor administrativo; 01 contador de células; 02 incubadoras de transporte;
03 incubadoras neonatais; 01 equipamento de Raio-X Digital; 01 aparelho de Ultrassonografia; 02 cardiotocógrafos; 32 bombas de infusão; 03 ventiladores pulmonares;
08 monitores multiparâmetros; 02 cardioversores; 02 focos cirúrgicos de teto SkyLED;
01 bisturi elétrico; 01 mesa cirúrgica elétrica; 03 mesas cirúrgicas para o bloco cirúrgico;
02 ressectoscópios; 07 aspiradores cirúrgicos; Arco cirúrgico; Motor cirúrgico; Aparelho de anestesia com monitor incorporado; Berços aquecidos; 01 umidificador; Aquisição de 01 ambulância UTI; Aquisição de instrumentais; Substituição de todas as camas; 10 carros-maca; 05 carrinhos de curativos; 20 cadeiras de banho; 10 cadeiras de rodas; 25 berços de acrílico; 75 suportes de soro; 25 biombos; 30 longarinas; 50 cadeiras para auditório; 50 cadeiras;  Aquisição de 02 ambulâncias básicas; 07 laringoscópios adultos; 05 laringoscópios pediátricos; 03 laringoscópios neonatais; 08 kits de laringoscópio; 10 lâmpadas para laringoscópios; 07 estetoscópios cardiológicos; 04 cabos de oxímetro;
10 torpedos/cilindros de oxigênio; 15 cilindros de oxigênio;
</v>
      </c>
      <c r="Y25" s="361"/>
      <c r="Z25" s="362"/>
    </row>
    <row r="26" ht="137.25" customHeight="1">
      <c r="A26" s="53">
        <v>2613909.0</v>
      </c>
      <c r="B26" s="392" t="s">
        <v>429</v>
      </c>
      <c r="C26" s="311" t="s">
        <v>430</v>
      </c>
      <c r="D26" s="58" t="s">
        <v>1</v>
      </c>
      <c r="E26" s="314" t="s">
        <v>354</v>
      </c>
      <c r="F26" s="357" t="str">
        <f t="array" ref="F26">TEXTJOIN(CHAR(10), TRUE, 
  "*" &amp; E26 &amp; "*", 
  "Status: " &amp; _xlfn.XLOOKUP(E26, 'DESCONTINUADA Hospitais Regiona'!B:B, 'DESCONTINUADA Hospitais Regiona'!C:C, "Não encontrado"), 
  "Tipo de Gestão: " &amp; _xlfn.XLOOKUP(E26, 'DESCONTINUADA Hospitais Regiona'!B:B, 'DESCONTINUADA Hospitais Regiona'!E:E, "Não encontrado"), 
  "OSS: " &amp; _xlfn.XLOOKUP(E26, 'DESCONTINUADA Hospitais Regiona'!B:B, 'DESCONTINUADA Hospitais Regiona'!D:D, "Não encontrado"), 
  "Geres: " &amp; _xlfn.XLOOKUP(E26, 'DESCONTINUADA Hospitais Regiona'!B:B, 'DESCONTINUADA Hospitais Regiona'!F:F, "Não encontrado"), 
  "Localização: " &amp; _xlfn.XLOOKUP(E26, 'DESCONTINUADA Hospitais Regiona'!B:B, 'DESCONTINUADA Hospitais Regiona'!G:G, "Não encontrado"), 
  "Nº de Leitos: " &amp; _xlfn.XLOOKUP(E26, 'DESCONTINUADA Hospitais Regiona'!B:B, 'DESCONTINUADA Hospitais Regiona'!H:H, "Não encontrado"),
  "Leitos abertos nesta gestão: " &amp; _xlfn.XLOOKUP(E26, 'DESCONTINUADA Hospitais Regiona'!B:B, 'DESCONTINUADA Hospitais Regiona'!I:I, "Não encontrado"),
  "Perfil: " &amp; _xlfn.XLOOKUP(E26, 'DESCONTINUADA Hospitais Regiona'!B:B, 'DESCONTINUADA Hospitais Regiona'!L:L, "Não encontrado"), 
  "Nº Profissionais Total: " &amp; _xlfn.XLOOKUP(E26, 'DESCONTINUADA Hospitais Regiona'!B:B, 'DESCONTINUADA Hospitais Regiona'!M:M, "Não encontrado"), 
  "Nº Profissionais convocados nesta gestão: " &amp; _xlfn.XLOOKUP(E26, 'DESCONTINUADA Hospitais Regiona'!B:B, 'DESCONTINUADA Hospitais Regiona'!N:N, "Não encontrado"), 
  "Valor do contrato de manutenção predial (anual): " &amp; _xlfn.XLOOKUP(E26, 'DESCONTINUADA Hospitais Regiona'!B:B, 'DESCONTINUADA Hospitais Regiona'!O:O, "Não encontrado"), 
  "Investimento nesta gestão: " &amp; TEXT(_xlfn.XLOOKUP(E26, 'DESCONTINUADA Hospitais Regiona'!B:B, 'DESCONTINUADA Hospitais Regiona'!P:P, 0), "R$ #.##0,00"), 
  "Aumento do cofinanciamento (Gestão Própria) - de 2023 a 2026: " &amp; TEXT(_xlfn.XLOOKUP(E26, 'DESCONTINUADA Hospitais Regiona'!B:B, 'DESCONTINUADA Hospitais Regiona'!S:S, 0), "0,00%"), 
  "Cofinanciamento 2022 (Apenas Gestão Própria): " &amp; TEXT(_xlfn.XLOOKUP(E26, 'DESCONTINUADA Hospitais Regiona'!B:B, 'DESCONTINUADA Hospitais Regiona'!Q:Q, 0), "R$ #.##0,00"), 
  "Cofinanciamento 2025 (Apenas Gestão Própria): " &amp; TEXT(_xlfn.XLOOKUP(E26, 'DESCONTINUADA Hospitais Regiona'!B:B, 'DESCONTINUADA Hospitais Regiona'!R:R, 0), "R$ #.##0,00"), 
  "Repasse (OS) em 2025: " &amp; TEXT(_xlfn.XLOOKUP(E26, 'DESCONTINUADA Hospitais Regiona'!B:B, 'DESCONTINUADA Hospitais Regiona'!T:T, 0), "R$ #.##0,00"), 
  "Principais avanços nessa gestão: " &amp; _xlfn.XLOOKUP(E26, 'DESCONTINUADA Hospitais Regiona'!B:B, 'DESCONTINUADA Hospitais Regiona'!U:U, "Não encontrado")
)</f>
        <v>*Hospital do Sertão Governador Eduardo Campos*
Status: EM FUNCIONAMENTO
Tipo de Gestão: OSS
OSS: HTRI
Geres: XI
Localização: BR-232 - Serra Talhada, PE
Nº de Leitos: 222
Leitos abertos nesta gestão: 92
Perfil: Hospital regional de média e alta complexidade, com assistência em Clínica Médica, Cirurgia Geral, Cirurgia Vascular, Pediatria, Traumato-Ortopedia, Neurologia, Cardiologia, além de cuidados intensivos e suporte diagnóstico.
Nº Profissionais Total: 1154
Nº Profissionais convocados nesta gestão: -
Valor do contrato de manutenção predial (anual): -
Investimento nesta gestão: R$ 5.715.620,47000
Aumento do cofinanciamento (Gestão Própria) - de 2023 a 2026: -
Cofinanciamento 2022 (Apenas Gestão Própria): -
Cofinanciamento 2025 (Apenas Gestão Própria): -
Repasse (OS) em 2025: R$ 67.158.947,59000
Principais avanços nessa gestão: Plano de investimento de R$2 602 746,05, para compra de equipamentos incluindo Máquina de hemodiálise, sistema de vídeo endoscopia e broncoscopia
flexível, moniotr, cardioversos, centro de monitoramento para UTI, camas, poltronas, macas, polígrafo, aparalho de mapa. Aquisição de um Angografico, Implantação do serviço de cirurgia vascular na emergência.
Implantação da emergência cardiológica, Início da trombólise para tratamento de AVC. 
Aumento de 92 leitos de enfermaria.</v>
      </c>
      <c r="G26" s="61" t="s">
        <v>63</v>
      </c>
      <c r="H26" s="61" t="s">
        <v>4</v>
      </c>
      <c r="I26" s="61" t="str">
        <f t="array" ref="I26">_xlfn.XLOOKUP(E26, 'DESCONTINUADA Hospitais Regiona'!B:B, 'DESCONTINUADA Hospitais Regiona'!F:F)</f>
        <v>XI</v>
      </c>
      <c r="J26" s="208">
        <f t="array" ref="J26">_xlfn.XLOOKUP(E26, 'DESCONTINUADA Hospitais Regiona'!B:B, 'DESCONTINUADA Hospitais Regiona'!I:I)</f>
        <v>92</v>
      </c>
      <c r="K26" s="208">
        <f t="array" ref="K26">_xlfn.XLOOKUP(E26, 'DESCONTINUADA Hospitais Regiona'!B:B, 'DESCONTINUADA Hospitais Regiona'!H:H)</f>
        <v>222</v>
      </c>
      <c r="L26" s="208" t="str">
        <f t="array" ref="L26">_xlfn.XLOOKUP(E26, 'DESCONTINUADA Hospitais Regiona'!B:B, 'DESCONTINUADA Hospitais Regiona'!J:J)</f>
        <v>Enfermaria</v>
      </c>
      <c r="M26" s="208" t="str">
        <f t="array" ref="M26">_xlfn.XLOOKUP(E26, 'DESCONTINUADA Hospitais Regiona'!B:B, 'DESCONTINUADA Hospitais Regiona'!K:K)</f>
        <v>-</v>
      </c>
      <c r="N26" s="358" t="str">
        <f t="array" ref="N26">_xlfn.XLOOKUP(E26, 'DESCONTINUADA Hospitais Regiona'!B:B, 'DESCONTINUADA Hospitais Regiona'!L:L)</f>
        <v>Hospital regional de média e alta complexidade, com assistência em Clínica Médica, Cirurgia Geral, Cirurgia Vascular, Pediatria, Traumato-Ortopedia, Neurologia, Cardiologia, além de cuidados intensivos e suporte diagnóstico.</v>
      </c>
      <c r="O26" s="359">
        <f t="array" ref="O26">_xlfn.XLOOKUP(E26, 'DESCONTINUADA Hospitais Regiona'!B:B, 'DESCONTINUADA Hospitais Regiona'!M:M)</f>
        <v>1154</v>
      </c>
      <c r="P26" s="208" t="str">
        <f t="array" ref="P26">_xlfn.XLOOKUP(E26, 'DESCONTINUADA Hospitais Regiona'!B:B, 'DESCONTINUADA Hospitais Regiona'!N:N)</f>
        <v>-</v>
      </c>
      <c r="Q26" s="211" t="str">
        <f t="array" ref="Q26">_xlfn.XLOOKUP(E26, 'DESCONTINUADA Hospitais Regiona'!B:B, 'DESCONTINUADA Hospitais Regiona'!O:O)</f>
        <v>-</v>
      </c>
      <c r="R26" s="211">
        <f t="array" ref="R26">_xlfn.XLOOKUP(E26, 'DESCONTINUADA Hospitais Regiona'!B:B, 'DESCONTINUADA Hospitais Regiona'!P:P)</f>
        <v>5715620.47</v>
      </c>
      <c r="S26" s="211" t="str">
        <f t="array" ref="S26">_xlfn.XLOOKUP(E26, 'DESCONTINUADA Hospitais Regiona'!B:B, 'DESCONTINUADA Hospitais Regiona'!Q:Q)</f>
        <v>-</v>
      </c>
      <c r="T26" s="211" t="str">
        <f t="array" ref="T26">_xlfn.XLOOKUP(E26, 'DESCONTINUADA Hospitais Regiona'!B:B, 'DESCONTINUADA Hospitais Regiona'!R:R)</f>
        <v>-</v>
      </c>
      <c r="U26" s="208" t="str">
        <f t="array" ref="U26">_xlfn.XLOOKUP(E26, 'DESCONTINUADA Hospitais Regiona'!B:B, 'DESCONTINUADA Hospitais Regiona'!S:S)</f>
        <v>-</v>
      </c>
      <c r="V26" s="211">
        <f t="array" ref="V26">_xlfn.XLOOKUP(E26, 'DESCONTINUADA Hospitais Regiona'!B:B, 'DESCONTINUADA Hospitais Regiona'!T:T)</f>
        <v>67158947.59</v>
      </c>
      <c r="W26" s="208"/>
      <c r="X26" s="357" t="str">
        <f t="array" ref="X26">_xlfn.XLOOKUP(E26, 'DESCONTINUADA Hospitais Regiona'!B:B, 'DESCONTINUADA Hospitais Regiona'!U:U)</f>
        <v>Plano de investimento de R$2 602 746,05, para compra de equipamentos incluindo Máquina de hemodiálise, sistema de vídeo endoscopia e broncoscopia
flexível, moniotr, cardioversos, centro de monitoramento para UTI, camas, poltronas, macas, polígrafo, aparalho de mapa. Aquisição de um Angografico, Implantação do serviço de cirurgia vascular na emergência.
Implantação da emergência cardiológica, Início da trombólise para tratamento de AVC. 
Aumento de 92 leitos de enfermaria.</v>
      </c>
      <c r="Y26" s="361"/>
      <c r="Z26" s="362"/>
    </row>
    <row r="27" ht="137.25" customHeight="1">
      <c r="A27" s="53">
        <v>2600104.0</v>
      </c>
      <c r="B27" s="392" t="s">
        <v>431</v>
      </c>
      <c r="C27" s="311" t="s">
        <v>430</v>
      </c>
      <c r="D27" s="58" t="s">
        <v>1</v>
      </c>
      <c r="E27" s="314" t="s">
        <v>368</v>
      </c>
      <c r="F27" s="357" t="str">
        <f t="array" ref="F27">TEXTJOIN(CHAR(10), TRUE, 
  "*" &amp; E27 &amp; "*", 
  "Status: " &amp; _xlfn.XLOOKUP(E27, 'DESCONTINUADA Hospitais Regiona'!B:B, 'DESCONTINUADA Hospitais Regiona'!C:C, "Não encontrado"), 
  "Tipo de Gestão: " &amp; _xlfn.XLOOKUP(E27, 'DESCONTINUADA Hospitais Regiona'!B:B, 'DESCONTINUADA Hospitais Regiona'!E:E, "Não encontrado"), 
  "OSS: " &amp; _xlfn.XLOOKUP(E27, 'DESCONTINUADA Hospitais Regiona'!B:B, 'DESCONTINUADA Hospitais Regiona'!D:D, "Não encontrado"), 
  "Geres: " &amp; _xlfn.XLOOKUP(E27, 'DESCONTINUADA Hospitais Regiona'!B:B, 'DESCONTINUADA Hospitais Regiona'!F:F, "Não encontrado"), 
  "Localização: " &amp; _xlfn.XLOOKUP(E27, 'DESCONTINUADA Hospitais Regiona'!B:B, 'DESCONTINUADA Hospitais Regiona'!G:G, "Não encontrado"), 
  "Nº de Leitos: " &amp; _xlfn.XLOOKUP(E27, 'DESCONTINUADA Hospitais Regiona'!B:B, 'DESCONTINUADA Hospitais Regiona'!H:H, "Não encontrado"),
  "Leitos abertos nesta gestão: " &amp; _xlfn.XLOOKUP(E27, 'DESCONTINUADA Hospitais Regiona'!B:B, 'DESCONTINUADA Hospitais Regiona'!I:I, "Não encontrado"),
  "Perfil: " &amp; _xlfn.XLOOKUP(E27, 'DESCONTINUADA Hospitais Regiona'!B:B, 'DESCONTINUADA Hospitais Regiona'!L:L, "Não encontrado"), 
  "Nº Profissionais Total: " &amp; _xlfn.XLOOKUP(E27, 'DESCONTINUADA Hospitais Regiona'!B:B, 'DESCONTINUADA Hospitais Regiona'!M:M, "Não encontrado"), 
  "Nº Profissionais convocados nesta gestão: " &amp; _xlfn.XLOOKUP(E27, 'DESCONTINUADA Hospitais Regiona'!B:B, 'DESCONTINUADA Hospitais Regiona'!N:N, "Não encontrado"), 
  "Valor do contrato de manutenção predial (anual): " &amp; _xlfn.XLOOKUP(E27, 'DESCONTINUADA Hospitais Regiona'!B:B, 'DESCONTINUADA Hospitais Regiona'!O:O, "Não encontrado"), 
  "Investimento nesta gestão: " &amp; TEXT(_xlfn.XLOOKUP(E27, 'DESCONTINUADA Hospitais Regiona'!B:B, 'DESCONTINUADA Hospitais Regiona'!P:P, 0), "R$ #.##0,00"), 
  "Aumento do cofinanciamento (Gestão Própria) - de 2023 a 2026: " &amp; TEXT(_xlfn.XLOOKUP(E27, 'DESCONTINUADA Hospitais Regiona'!B:B, 'DESCONTINUADA Hospitais Regiona'!S:S, 0), "0,00%"), 
  "Cofinanciamento 2022 (Apenas Gestão Própria): " &amp; TEXT(_xlfn.XLOOKUP(E27, 'DESCONTINUADA Hospitais Regiona'!B:B, 'DESCONTINUADA Hospitais Regiona'!Q:Q, 0), "R$ #.##0,00"), 
  "Cofinanciamento 2025 (Apenas Gestão Própria): " &amp; TEXT(_xlfn.XLOOKUP(E27, 'DESCONTINUADA Hospitais Regiona'!B:B, 'DESCONTINUADA Hospitais Regiona'!R:R, 0), "R$ #.##0,00"), 
  "Repasse (OS) em 2025: " &amp; TEXT(_xlfn.XLOOKUP(E27, 'DESCONTINUADA Hospitais Regiona'!B:B, 'DESCONTINUADA Hospitais Regiona'!T:T, 0), "R$ #.##0,00"), 
  "Principais avanços nessa gestão: " &amp; _xlfn.XLOOKUP(E27, 'DESCONTINUADA Hospitais Regiona'!B:B, 'DESCONTINUADA Hospitais Regiona'!U:U, "Não encontrado")
)</f>
        <v>*Hospital Regional Emília Câmara*
Status: EM FUNCIONAMENTO
Tipo de Gestão: OSS
OSS: HTRI
Geres: X
Localização: R. Manoel Virgínio Sobrinho, 156-238, Afogados da Ingazeira - PE
Nº de Leitos: 125
Leitos abertos nesta gestão: 10
Perfil: Hospital regional do SUS de média e alta complexidade, referência para os 12 municípios da X GERES. Atua nas áreas materno-infantil, Cirurgia Geral, Clínica Médica, emergência dialítica, Ginecologia/Obstetrícia, Ortopedia, Pediatria, Psiquiatria e Traumato-Ortopedia.
Nº Profissionais Total: 688
Nº Profissionais convocados nesta gestão: -
Valor do contrato de manutenção predial (anual): -
Investimento nesta gestão: R$ 5.665.366,95000
Aumento do cofinanciamento (Gestão Própria) - de 2023 a 2026: -
Cofinanciamento 2022 (Apenas Gestão Própria): -
Cofinanciamento 2025 (Apenas Gestão Própria): -
Repasse (OS) em 2025: R$ 41.536.109,67000
Principais avanços nessa gestão: Plano de investimento no valor de  no valor de R$ 4.989.152,95 para modernização do parque tecnologico com a aquisição de equipamentos como Arco cirúrgico,mesa cirúrgica elétrica, dopler vascular portátil, DEA, carrinho de anestesia, foco cirúrgico, ventilador pumocar, aspirador cirúrgico,  berço aquecido, incubadora, carrinho de emergência, mobiliários, compudador. Ampliação da área de Pré-Parto, Ampliação de 10 Leitos de UTI Pediátrica, Reforma e Ampliação do Ambulatório, Conversão e requalificação de 10 leitos de UTI Covid em UTI Geral, Construção da Farmácia satélite da emergência, Inauguração do Centro de Parto Humanizado.</v>
      </c>
      <c r="G27" s="61" t="s">
        <v>63</v>
      </c>
      <c r="H27" s="61" t="s">
        <v>4</v>
      </c>
      <c r="I27" s="58" t="s">
        <v>236</v>
      </c>
      <c r="J27" s="208">
        <f t="array" ref="J27">_xlfn.XLOOKUP(E27, 'DESCONTINUADA Hospitais Regiona'!B:B, 'DESCONTINUADA Hospitais Regiona'!I:I)</f>
        <v>10</v>
      </c>
      <c r="K27" s="208">
        <f t="array" ref="K27">_xlfn.XLOOKUP(E27, 'DESCONTINUADA Hospitais Regiona'!B:B, 'DESCONTINUADA Hospitais Regiona'!H:H)</f>
        <v>125</v>
      </c>
      <c r="L27" s="208" t="str">
        <f t="array" ref="L27">_xlfn.XLOOKUP(E27, 'DESCONTINUADA Hospitais Regiona'!B:B, 'DESCONTINUADA Hospitais Regiona'!J:J)</f>
        <v>UTI Pediátrica</v>
      </c>
      <c r="M27" s="208" t="str">
        <f t="array" ref="M27">_xlfn.XLOOKUP(E27, 'DESCONTINUADA Hospitais Regiona'!B:B, 'DESCONTINUADA Hospitais Regiona'!K:K)</f>
        <v>-</v>
      </c>
      <c r="N27" s="358" t="str">
        <f t="array" ref="N27">_xlfn.XLOOKUP(E27, 'DESCONTINUADA Hospitais Regiona'!B:B, 'DESCONTINUADA Hospitais Regiona'!L:L)</f>
        <v>Hospital regional do SUS de média e alta complexidade, referência para os 12 municípios da X GERES. Atua nas áreas materno-infantil, Cirurgia Geral, Clínica Médica, emergência dialítica, Ginecologia/Obstetrícia, Ortopedia, Pediatria, Psiquiatria e Traumato-Ortopedia.</v>
      </c>
      <c r="O27" s="359">
        <f t="array" ref="O27">_xlfn.XLOOKUP(E27, 'DESCONTINUADA Hospitais Regiona'!B:B, 'DESCONTINUADA Hospitais Regiona'!M:M)</f>
        <v>688</v>
      </c>
      <c r="P27" s="208" t="str">
        <f t="array" ref="P27">_xlfn.XLOOKUP(E27, 'DESCONTINUADA Hospitais Regiona'!B:B, 'DESCONTINUADA Hospitais Regiona'!N:N)</f>
        <v>-</v>
      </c>
      <c r="Q27" s="211" t="str">
        <f t="array" ref="Q27">_xlfn.XLOOKUP(E27, 'DESCONTINUADA Hospitais Regiona'!B:B, 'DESCONTINUADA Hospitais Regiona'!O:O)</f>
        <v>-</v>
      </c>
      <c r="R27" s="211">
        <f t="array" ref="R27">_xlfn.XLOOKUP(E27, 'DESCONTINUADA Hospitais Regiona'!B:B, 'DESCONTINUADA Hospitais Regiona'!P:P)</f>
        <v>5665366.95</v>
      </c>
      <c r="S27" s="211" t="str">
        <f t="array" ref="S27">_xlfn.XLOOKUP(E27, 'DESCONTINUADA Hospitais Regiona'!B:B, 'DESCONTINUADA Hospitais Regiona'!Q:Q)</f>
        <v>-</v>
      </c>
      <c r="T27" s="211" t="str">
        <f t="array" ref="T27">_xlfn.XLOOKUP(E27, 'DESCONTINUADA Hospitais Regiona'!B:B, 'DESCONTINUADA Hospitais Regiona'!R:R)</f>
        <v>-</v>
      </c>
      <c r="U27" s="208" t="str">
        <f t="array" ref="U27">_xlfn.XLOOKUP(E27, 'DESCONTINUADA Hospitais Regiona'!B:B, 'DESCONTINUADA Hospitais Regiona'!S:S)</f>
        <v>-</v>
      </c>
      <c r="V27" s="211">
        <f t="array" ref="V27">_xlfn.XLOOKUP(E27, 'DESCONTINUADA Hospitais Regiona'!B:B, 'DESCONTINUADA Hospitais Regiona'!T:T)</f>
        <v>41536109.67</v>
      </c>
      <c r="W27" s="208"/>
      <c r="X27" s="357" t="str">
        <f t="array" ref="X27">_xlfn.XLOOKUP(E27, 'DESCONTINUADA Hospitais Regiona'!B:B, 'DESCONTINUADA Hospitais Regiona'!U:U)</f>
        <v>Plano de investimento no valor de  no valor de R$ 4.989.152,95 para modernização do parque tecnologico com a aquisição de equipamentos como Arco cirúrgico,mesa cirúrgica elétrica, dopler vascular portátil, DEA, carrinho de anestesia, foco cirúrgico, ventilador pumocar, aspirador cirúrgico,  berço aquecido, incubadora, carrinho de emergência, mobiliários, compudador. Ampliação da área de Pré-Parto, Ampliação de 10 Leitos de UTI Pediátrica, Reforma e Ampliação do Ambulatório, Conversão e requalificação de 10 leitos de UTI Covid em UTI Geral, Construção da Farmácia satélite da emergência, Inauguração do Centro de Parto Humanizado.</v>
      </c>
      <c r="Y27" s="361"/>
      <c r="Z27" s="362"/>
    </row>
    <row r="28" ht="137.25" customHeight="1">
      <c r="A28" s="53">
        <v>2611101.0</v>
      </c>
      <c r="B28" s="392" t="s">
        <v>432</v>
      </c>
      <c r="C28" s="311" t="s">
        <v>433</v>
      </c>
      <c r="D28" s="58" t="s">
        <v>1</v>
      </c>
      <c r="E28" s="314" t="s">
        <v>378</v>
      </c>
      <c r="F28" s="357" t="str">
        <f t="array" ref="F28">TEXTJOIN(CHAR(10), TRUE, 
  "*" &amp; E28 &amp; "*", 
  "Status: " &amp; _xlfn.XLOOKUP(E28, 'DESCONTINUADA Hospitais Regiona'!B:B, 'DESCONTINUADA Hospitais Regiona'!C:C, "Não encontrado"), 
  "Tipo de Gestão: " &amp; _xlfn.XLOOKUP(E28, 'DESCONTINUADA Hospitais Regiona'!B:B, 'DESCONTINUADA Hospitais Regiona'!E:E, "Não encontrado"), 
  "OSS: " &amp; _xlfn.XLOOKUP(E28, 'DESCONTINUADA Hospitais Regiona'!B:B, 'DESCONTINUADA Hospitais Regiona'!D:D, "Não encontrado"), 
  "Geres: " &amp; _xlfn.XLOOKUP(E28, 'DESCONTINUADA Hospitais Regiona'!B:B, 'DESCONTINUADA Hospitais Regiona'!F:F, "Não encontrado"), 
  "Localização: " &amp; _xlfn.XLOOKUP(E28, 'DESCONTINUADA Hospitais Regiona'!B:B, 'DESCONTINUADA Hospitais Regiona'!G:G, "Não encontrado"), 
  "Nº de Leitos: " &amp; _xlfn.XLOOKUP(E28, 'DESCONTINUADA Hospitais Regiona'!B:B, 'DESCONTINUADA Hospitais Regiona'!H:H, "Não encontrado"),
  "Leitos abertos nesta gestão: " &amp; _xlfn.XLOOKUP(E28, 'DESCONTINUADA Hospitais Regiona'!B:B, 'DESCONTINUADA Hospitais Regiona'!I:I, "Não encontrado"),
  "Perfil: " &amp; _xlfn.XLOOKUP(E28, 'DESCONTINUADA Hospitais Regiona'!B:B, 'DESCONTINUADA Hospitais Regiona'!L:L, "Não encontrado"), 
  "Nº Profissionais Total: " &amp; _xlfn.XLOOKUP(E28, 'DESCONTINUADA Hospitais Regiona'!B:B, 'DESCONTINUADA Hospitais Regiona'!M:M, "Não encontrado"), 
  "Nº Profissionais convocados nesta gestão: " &amp; _xlfn.XLOOKUP(E28, 'DESCONTINUADA Hospitais Regiona'!B:B, 'DESCONTINUADA Hospitais Regiona'!N:N, "Não encontrado"), 
  "Valor do contrato de manutenção predial (anual): " &amp; _xlfn.XLOOKUP(E28, 'DESCONTINUADA Hospitais Regiona'!B:B, 'DESCONTINUADA Hospitais Regiona'!O:O, "Não encontrado"), 
  "Investimento nesta gestão: " &amp; TEXT(_xlfn.XLOOKUP(E28, 'DESCONTINUADA Hospitais Regiona'!B:B, 'DESCONTINUADA Hospitais Regiona'!P:P, 0), "R$ #.##0,00"), 
  "Aumento do cofinanciamento (Gestão Própria) - de 2023 a 2026: " &amp; TEXT(_xlfn.XLOOKUP(E28, 'DESCONTINUADA Hospitais Regiona'!B:B, 'DESCONTINUADA Hospitais Regiona'!S:S, 0), "0,00%"), 
  "Cofinanciamento 2022 (Apenas Gestão Própria): " &amp; TEXT(_xlfn.XLOOKUP(E28, 'DESCONTINUADA Hospitais Regiona'!B:B, 'DESCONTINUADA Hospitais Regiona'!Q:Q, 0), "R$ #.##0,00"), 
  "Cofinanciamento 2025 (Apenas Gestão Própria): " &amp; TEXT(_xlfn.XLOOKUP(E28, 'DESCONTINUADA Hospitais Regiona'!B:B, 'DESCONTINUADA Hospitais Regiona'!R:R, 0), "R$ #.##0,00"), 
  "Repasse (OS) em 2025: " &amp; TEXT(_xlfn.XLOOKUP(E28, 'DESCONTINUADA Hospitais Regiona'!B:B, 'DESCONTINUADA Hospitais Regiona'!T:T, 0), "R$ #.##0,00"), 
  "Principais avanços nessa gestão: " &amp; _xlfn.XLOOKUP(E28, 'DESCONTINUADA Hospitais Regiona'!B:B, 'DESCONTINUADA Hospitais Regiona'!U:U, "Não encontrado")
)</f>
        <v>*Hospital Dom Malan*
Status: EM FUNCIONAMENTO
Tipo de Gestão: OSS
OSS: ISMEP
Geres: VIII
Localização: R. Joaquim Nabuco, s/n - Centro, Petrolina - PE
Nº de Leitos: 239
Leitos abertos nesta gestão: 10
Perfil: Hospital de alta complexidade especializado na assistência materno-infantil, referência regional em Pediatria, Ginecologia e Obstetrícia, gestação de alto risco e cuidados intensivos neonatais e pediátricos. Dispõe de ambulatório de centro de diagnóstico.
Nº Profissionais Total: 1464
Nº Profissionais convocados nesta gestão: -
Valor do contrato de manutenção predial (anual): -
Investimento nesta gestão: R$ 6.126.105,76000
Aumento do cofinanciamento (Gestão Própria) - de 2023 a 2026: -
Cofinanciamento 2022 (Apenas Gestão Própria): -
Cofinanciamento 2025 (Apenas Gestão Própria): -
Repasse (OS) em 2025: R$ 100.419.517,08000
Principais avanços nessa gestão: Plano de investimento, no valor de R$2.591.398,33; para modernização do parque tecnologico com a aquisição de Mesa cirúrgica elétrica, Ultrassom, Autoclave, Berço Aquecido , Cama
Hospitalar, Cardioversor, Incubadora Neonatal, Incubadora de Transporte Neonatal, Mesa Cirúrgica Elétrica, Monitor Multiparâmetro entre outros equipamentos.
Construção do Centro de Estudos; Climatização Completa da Pediatria: Instalação de novos sistemas de ar-condicionado em todas as alas do setor pediátrico; Climatização do Alojamento Conjunto, Modernização do CME: Reforma estrutural e instalação de duas novas autoclaves de alta capacidade tecnológica e mudança da rede de gás, Reforma do Ambulatório com a Reestruturação, aquisição de equipamentos e mobiliário, 1ª etapa do ambulatório. Aquisição de um novo mamografo e ampliação da oferta de mamografia. Abertura de 10 Leitos de UTI pediatrica.</v>
      </c>
      <c r="G28" s="61" t="s">
        <v>63</v>
      </c>
      <c r="H28" s="61" t="s">
        <v>4</v>
      </c>
      <c r="I28" s="58" t="s">
        <v>263</v>
      </c>
      <c r="J28" s="208">
        <f t="array" ref="J28">_xlfn.XLOOKUP(E28, 'DESCONTINUADA Hospitais Regiona'!B:B, 'DESCONTINUADA Hospitais Regiona'!I:I)</f>
        <v>10</v>
      </c>
      <c r="K28" s="208">
        <f t="array" ref="K28">_xlfn.XLOOKUP(E28, 'DESCONTINUADA Hospitais Regiona'!B:B, 'DESCONTINUADA Hospitais Regiona'!H:H)</f>
        <v>239</v>
      </c>
      <c r="L28" s="208" t="str">
        <f t="array" ref="L28">_xlfn.XLOOKUP(E28, 'DESCONTINUADA Hospitais Regiona'!B:B, 'DESCONTINUADA Hospitais Regiona'!J:J)</f>
        <v>UTI Infantil</v>
      </c>
      <c r="M28" s="208" t="str">
        <f t="array" ref="M28">_xlfn.XLOOKUP(E28, 'DESCONTINUADA Hospitais Regiona'!B:B, 'DESCONTINUADA Hospitais Regiona'!K:K)</f>
        <v>-</v>
      </c>
      <c r="N28" s="358" t="str">
        <f t="array" ref="N28">_xlfn.XLOOKUP(E28, 'DESCONTINUADA Hospitais Regiona'!B:B, 'DESCONTINUADA Hospitais Regiona'!L:L)</f>
        <v>Hospital de alta complexidade especializado na assistência materno-infantil, referência regional em Pediatria, Ginecologia e Obstetrícia, gestação de alto risco e cuidados intensivos neonatais e pediátricos. Dispõe de ambulatório de centro de diagnóstico.</v>
      </c>
      <c r="O28" s="359">
        <f t="array" ref="O28">_xlfn.XLOOKUP(E28, 'DESCONTINUADA Hospitais Regiona'!B:B, 'DESCONTINUADA Hospitais Regiona'!M:M)</f>
        <v>1464</v>
      </c>
      <c r="P28" s="208" t="str">
        <f t="array" ref="P28">_xlfn.XLOOKUP(E28, 'DESCONTINUADA Hospitais Regiona'!B:B, 'DESCONTINUADA Hospitais Regiona'!N:N)</f>
        <v>-</v>
      </c>
      <c r="Q28" s="211" t="str">
        <f t="array" ref="Q28">_xlfn.XLOOKUP(E28, 'DESCONTINUADA Hospitais Regiona'!B:B, 'DESCONTINUADA Hospitais Regiona'!O:O)</f>
        <v>-</v>
      </c>
      <c r="R28" s="211">
        <f t="array" ref="R28">_xlfn.XLOOKUP(E28, 'DESCONTINUADA Hospitais Regiona'!B:B, 'DESCONTINUADA Hospitais Regiona'!P:P)</f>
        <v>6126105.76</v>
      </c>
      <c r="S28" s="211" t="str">
        <f t="array" ref="S28">_xlfn.XLOOKUP(E28, 'DESCONTINUADA Hospitais Regiona'!B:B, 'DESCONTINUADA Hospitais Regiona'!Q:Q)</f>
        <v>-</v>
      </c>
      <c r="T28" s="211" t="str">
        <f t="array" ref="T28">_xlfn.XLOOKUP(E28, 'DESCONTINUADA Hospitais Regiona'!B:B, 'DESCONTINUADA Hospitais Regiona'!R:R)</f>
        <v>-</v>
      </c>
      <c r="U28" s="208" t="str">
        <f t="array" ref="U28">_xlfn.XLOOKUP(E28, 'DESCONTINUADA Hospitais Regiona'!B:B, 'DESCONTINUADA Hospitais Regiona'!S:S)</f>
        <v>-</v>
      </c>
      <c r="V28" s="211">
        <f t="array" ref="V28">_xlfn.XLOOKUP(E28, 'DESCONTINUADA Hospitais Regiona'!B:B, 'DESCONTINUADA Hospitais Regiona'!T:T)</f>
        <v>100419517.1</v>
      </c>
      <c r="W28" s="208"/>
      <c r="X28" s="357" t="str">
        <f t="array" ref="X28">_xlfn.XLOOKUP(E28, 'DESCONTINUADA Hospitais Regiona'!B:B, 'DESCONTINUADA Hospitais Regiona'!U:U)</f>
        <v>Plano de investimento, no valor de R$2.591.398,33; para modernização do parque tecnologico com a aquisição de Mesa cirúrgica elétrica, Ultrassom, Autoclave, Berço Aquecido , Cama
Hospitalar, Cardioversor, Incubadora Neonatal, Incubadora de Transporte Neonatal, Mesa Cirúrgica Elétrica, Monitor Multiparâmetro entre outros equipamentos.
Construção do Centro de Estudos; Climatização Completa da Pediatria: Instalação de novos sistemas de ar-condicionado em todas as alas do setor pediátrico; Climatização do Alojamento Conjunto, Modernização do CME: Reforma estrutural e instalação de duas novas autoclaves de alta capacidade tecnológica e mudança da rede de gás, Reforma do Ambulatório com a Reestruturação, aquisição de equipamentos e mobiliário, 1ª etapa do ambulatório. Aquisição de um novo mamografo e ampliação da oferta de mamografia. Abertura de 10 Leitos de UTI pediatrica.</v>
      </c>
      <c r="Y28" s="361"/>
      <c r="Z28" s="362"/>
    </row>
    <row r="29" ht="137.25" customHeight="1">
      <c r="A29" s="53">
        <v>2604106.0</v>
      </c>
      <c r="B29" s="392" t="s">
        <v>315</v>
      </c>
      <c r="C29" s="311" t="s">
        <v>317</v>
      </c>
      <c r="D29" s="58" t="s">
        <v>1</v>
      </c>
      <c r="E29" s="314" t="s">
        <v>389</v>
      </c>
      <c r="F29" s="357" t="str">
        <f t="array" ref="F29">TEXTJOIN(CHAR(10), TRUE, 
  "*" &amp; E29 &amp; "*", 
  "Status: " &amp; _xlfn.XLOOKUP(E29, 'DESCONTINUADA Hospitais Regiona'!B:B, 'DESCONTINUADA Hospitais Regiona'!C:C, "Não encontrado"), 
  "Tipo de Gestão: " &amp; _xlfn.XLOOKUP(E29, 'DESCONTINUADA Hospitais Regiona'!B:B, 'DESCONTINUADA Hospitais Regiona'!E:E, "Não encontrado"), 
  "OSS: " &amp; _xlfn.XLOOKUP(E29, 'DESCONTINUADA Hospitais Regiona'!B:B, 'DESCONTINUADA Hospitais Regiona'!D:D, "Não encontrado"), 
  "Geres: " &amp; _xlfn.XLOOKUP(E29, 'DESCONTINUADA Hospitais Regiona'!B:B, 'DESCONTINUADA Hospitais Regiona'!F:F, "Não encontrado"), 
  "Localização: " &amp; _xlfn.XLOOKUP(E29, 'DESCONTINUADA Hospitais Regiona'!B:B, 'DESCONTINUADA Hospitais Regiona'!G:G, "Não encontrado"), 
  "Nº de Leitos: " &amp; _xlfn.XLOOKUP(E29, 'DESCONTINUADA Hospitais Regiona'!B:B, 'DESCONTINUADA Hospitais Regiona'!H:H, "Não encontrado"),
  "Leitos abertos nesta gestão: " &amp; _xlfn.XLOOKUP(E29, 'DESCONTINUADA Hospitais Regiona'!B:B, 'DESCONTINUADA Hospitais Regiona'!I:I, "Não encontrado"),
  "Perfil: " &amp; _xlfn.XLOOKUP(E29, 'DESCONTINUADA Hospitais Regiona'!B:B, 'DESCONTINUADA Hospitais Regiona'!L:L, "Não encontrado"), 
  "Nº Profissionais Total: " &amp; _xlfn.XLOOKUP(E29, 'DESCONTINUADA Hospitais Regiona'!B:B, 'DESCONTINUADA Hospitais Regiona'!M:M, "Não encontrado"), 
  "Nº Profissionais convocados nesta gestão: " &amp; _xlfn.XLOOKUP(E29, 'DESCONTINUADA Hospitais Regiona'!B:B, 'DESCONTINUADA Hospitais Regiona'!N:N, "Não encontrado"), 
  "Valor do contrato de manutenção predial (anual): " &amp; _xlfn.XLOOKUP(E29, 'DESCONTINUADA Hospitais Regiona'!B:B, 'DESCONTINUADA Hospitais Regiona'!O:O, "Não encontrado"), 
  "Investimento nesta gestão: " &amp; TEXT(_xlfn.XLOOKUP(E29, 'DESCONTINUADA Hospitais Regiona'!B:B, 'DESCONTINUADA Hospitais Regiona'!P:P, 0), "R$ #.##0,00"), 
  "Aumento do cofinanciamento (Gestão Própria) - de 2023 a 2026: " &amp; TEXT(_xlfn.XLOOKUP(E29, 'DESCONTINUADA Hospitais Regiona'!B:B, 'DESCONTINUADA Hospitais Regiona'!S:S, 0), "0,00%"), 
  "Cofinanciamento 2022 (Apenas Gestão Própria): " &amp; TEXT(_xlfn.XLOOKUP(E29, 'DESCONTINUADA Hospitais Regiona'!B:B, 'DESCONTINUADA Hospitais Regiona'!Q:Q, 0), "R$ #.##0,00"), 
  "Cofinanciamento 2025 (Apenas Gestão Própria): " &amp; TEXT(_xlfn.XLOOKUP(E29, 'DESCONTINUADA Hospitais Regiona'!B:B, 'DESCONTINUADA Hospitais Regiona'!R:R, 0), "R$ #.##0,00"), 
  "Repasse (OS) em 2025: " &amp; TEXT(_xlfn.XLOOKUP(E29, 'DESCONTINUADA Hospitais Regiona'!B:B, 'DESCONTINUADA Hospitais Regiona'!T:T, 0), "R$ #.##0,00"), 
  "Principais avanços nessa gestão: " &amp; _xlfn.XLOOKUP(E29, 'DESCONTINUADA Hospitais Regiona'!B:B, 'DESCONTINUADA Hospitais Regiona'!U:U, "Não encontrado")
)</f>
        <v>*Hospital da Mulher do Agreste*
Status: EM FUNCIONAMENTO
Tipo de Gestão: OSS
OSS: HCP
Geres: IV
Localização: Av. José Rodrigues de Jesus - Santa Rosa, Caruaru - PE
Nº de Leitos: 164
Leitos abertos nesta gestão: Hospital Aberto em 2025 com 164 leitos
Perfil: Hospital especializado em saúde da mulher e atenção materno-infantil, de média e alta complexidade, com foco em obstetrícia e ginecologia; gestação de alto risco, UTI adulta e neonatal, bloco cirúrgico, Centro de Parto Normal, Casa da Gestante/Bebê/Puérpera e ambulatórios especializados.
Nº Profissionais Total: 1031
Nº Profissionais convocados nesta gestão: -
Valor do contrato de manutenção predial (anual): -
Investimento nesta gestão: R$ 5.845.658,18000
Aumento do cofinanciamento (Gestão Própria) - de 2023 a 2026: -
Cofinanciamento 2022 (Apenas Gestão Própria): -
Cofinanciamento 2025 (Apenas Gestão Própria): -
Repasse (OS) em 2025: R$ 44.712.253,07000
Principais avanços nessa gestão: Conclusão e inauguração do hospital em maio de 2025; implantação da assistência materno-infantil de alta complexidade no Agreste; estruturação de 198 leitos; atendimento a gestantes de alto risco de 53 municípios; implantação de UTI adulta e neonatal, bloco cirúrgico com 5 salas, Casa da Gestante, Bebê e Puérpera, espaço Canguru e ambulatórios especializados; fortalecimento da regionalização da assistência à saúde da mulher.</v>
      </c>
      <c r="G29" s="61" t="s">
        <v>63</v>
      </c>
      <c r="H29" s="61" t="s">
        <v>4</v>
      </c>
      <c r="I29" s="58" t="s">
        <v>153</v>
      </c>
      <c r="J29" s="208" t="str">
        <f t="array" ref="J29">_xlfn.XLOOKUP(E29, 'DESCONTINUADA Hospitais Regiona'!B:B, 'DESCONTINUADA Hospitais Regiona'!I:I)</f>
        <v>Hospital Aberto em 2025 com 164 leitos</v>
      </c>
      <c r="K29" s="208">
        <f t="array" ref="K29">_xlfn.XLOOKUP(E29, 'DESCONTINUADA Hospitais Regiona'!B:B, 'DESCONTINUADA Hospitais Regiona'!H:H)</f>
        <v>164</v>
      </c>
      <c r="L29" s="208" t="str">
        <f t="array" ref="L29">_xlfn.XLOOKUP(E29, 'DESCONTINUADA Hospitais Regiona'!B:B, 'DESCONTINUADA Hospitais Regiona'!J:J)</f>
        <v/>
      </c>
      <c r="M29" s="208" t="str">
        <f t="array" ref="M29">_xlfn.XLOOKUP(E29, 'DESCONTINUADA Hospitais Regiona'!B:B, 'DESCONTINUADA Hospitais Regiona'!K:K)</f>
        <v>-</v>
      </c>
      <c r="N29" s="358" t="str">
        <f t="array" ref="N29">_xlfn.XLOOKUP(E29, 'DESCONTINUADA Hospitais Regiona'!B:B, 'DESCONTINUADA Hospitais Regiona'!L:L)</f>
        <v>Hospital especializado em saúde da mulher e atenção materno-infantil, de média e alta complexidade, com foco em obstetrícia e ginecologia; gestação de alto risco, UTI adulta e neonatal, bloco cirúrgico, Centro de Parto Normal, Casa da Gestante/Bebê/Puérpera e ambulatórios especializados.</v>
      </c>
      <c r="O29" s="359">
        <f t="array" ref="O29">_xlfn.XLOOKUP(E29, 'DESCONTINUADA Hospitais Regiona'!B:B, 'DESCONTINUADA Hospitais Regiona'!M:M)</f>
        <v>1031</v>
      </c>
      <c r="P29" s="208" t="str">
        <f t="array" ref="P29">_xlfn.XLOOKUP(E29, 'DESCONTINUADA Hospitais Regiona'!B:B, 'DESCONTINUADA Hospitais Regiona'!N:N)</f>
        <v>-</v>
      </c>
      <c r="Q29" s="211" t="str">
        <f t="array" ref="Q29">_xlfn.XLOOKUP(E29, 'DESCONTINUADA Hospitais Regiona'!B:B, 'DESCONTINUADA Hospitais Regiona'!O:O)</f>
        <v>-</v>
      </c>
      <c r="R29" s="211">
        <f t="array" ref="R29">_xlfn.XLOOKUP(E29, 'DESCONTINUADA Hospitais Regiona'!B:B, 'DESCONTINUADA Hospitais Regiona'!P:P)</f>
        <v>5845658.18</v>
      </c>
      <c r="S29" s="211" t="str">
        <f t="array" ref="S29">_xlfn.XLOOKUP(E29, 'DESCONTINUADA Hospitais Regiona'!B:B, 'DESCONTINUADA Hospitais Regiona'!Q:Q)</f>
        <v>-</v>
      </c>
      <c r="T29" s="211" t="str">
        <f t="array" ref="T29">_xlfn.XLOOKUP(E29, 'DESCONTINUADA Hospitais Regiona'!B:B, 'DESCONTINUADA Hospitais Regiona'!R:R)</f>
        <v>-</v>
      </c>
      <c r="U29" s="208" t="str">
        <f t="array" ref="U29">_xlfn.XLOOKUP(E29, 'DESCONTINUADA Hospitais Regiona'!B:B, 'DESCONTINUADA Hospitais Regiona'!S:S)</f>
        <v>-</v>
      </c>
      <c r="V29" s="211">
        <f t="array" ref="V29">_xlfn.XLOOKUP(E29, 'DESCONTINUADA Hospitais Regiona'!B:B, 'DESCONTINUADA Hospitais Regiona'!T:T)</f>
        <v>44712253.07</v>
      </c>
      <c r="W29" s="208"/>
      <c r="X29" s="357" t="str">
        <f t="array" ref="X29">_xlfn.XLOOKUP(E29, 'DESCONTINUADA Hospitais Regiona'!B:B, 'DESCONTINUADA Hospitais Regiona'!U:U)</f>
        <v>Conclusão e inauguração do hospital em maio de 2025; implantação da assistência materno-infantil de alta complexidade no Agreste; estruturação de 198 leitos; atendimento a gestantes de alto risco de 53 municípios; implantação de UTI adulta e neonatal, bloco cirúrgico com 5 salas, Casa da Gestante, Bebê e Puérpera, espaço Canguru e ambulatórios especializados; fortalecimento da regionalização da assistência à saúde da mulher.</v>
      </c>
      <c r="Y29" s="361"/>
      <c r="Z29" s="362"/>
    </row>
    <row r="30" ht="137.25" customHeight="1">
      <c r="A30" s="363">
        <v>2611606.0</v>
      </c>
      <c r="B30" s="355" t="s">
        <v>96</v>
      </c>
      <c r="C30" s="356" t="s">
        <v>104</v>
      </c>
      <c r="D30" s="58" t="s">
        <v>1</v>
      </c>
      <c r="E30" s="61" t="s">
        <v>396</v>
      </c>
      <c r="F30" s="357" t="str">
        <f t="array" ref="F30">TEXTJOIN(CHAR(10), TRUE, 
  "*" &amp; E30 &amp; "*", 
  "Status: " &amp; _xlfn.XLOOKUP(E30, 'DESCONTINUADA Hospitais Regiona'!B:B, 'DESCONTINUADA Hospitais Regiona'!C:C, "Não encontrado"), 
  "Tipo de Gestão: " &amp; _xlfn.XLOOKUP(E30, 'DESCONTINUADA Hospitais Regiona'!B:B, 'DESCONTINUADA Hospitais Regiona'!E:E, "Não encontrado"), 
  "OSS: " &amp; _xlfn.XLOOKUP(E30, 'DESCONTINUADA Hospitais Regiona'!B:B, 'DESCONTINUADA Hospitais Regiona'!D:D, "Não encontrado"), 
  "Geres: " &amp; _xlfn.XLOOKUP(E30, 'DESCONTINUADA Hospitais Regiona'!B:B, 'DESCONTINUADA Hospitais Regiona'!F:F, "Não encontrado"), 
  "Localização: " &amp; _xlfn.XLOOKUP(E30, 'DESCONTINUADA Hospitais Regiona'!B:B, 'DESCONTINUADA Hospitais Regiona'!G:G, "Não encontrado"), 
  "Nº de Leitos: " &amp; _xlfn.XLOOKUP(E30, 'DESCONTINUADA Hospitais Regiona'!B:B, 'DESCONTINUADA Hospitais Regiona'!H:H, "Não encontrado"),
  "Leitos abertos nesta gestão: " &amp; _xlfn.XLOOKUP(E30, 'DESCONTINUADA Hospitais Regiona'!B:B, 'DESCONTINUADA Hospitais Regiona'!I:I, "Não encontrado"),
  "Perfil: " &amp; _xlfn.XLOOKUP(E30, 'DESCONTINUADA Hospitais Regiona'!B:B, 'DESCONTINUADA Hospitais Regiona'!L:L, "Não encontrado"), 
  "Nº Profissionais Total: " &amp; _xlfn.XLOOKUP(E30, 'DESCONTINUADA Hospitais Regiona'!B:B, 'DESCONTINUADA Hospitais Regiona'!M:M, "Não encontrado"), 
  "Nº Profissionais convocados nesta gestão: " &amp; _xlfn.XLOOKUP(E30, 'DESCONTINUADA Hospitais Regiona'!B:B, 'DESCONTINUADA Hospitais Regiona'!N:N, "Não encontrado"), 
  "Valor do contrato de manutenção predial (anual): " &amp; _xlfn.XLOOKUP(E30, 'DESCONTINUADA Hospitais Regiona'!B:B, 'DESCONTINUADA Hospitais Regiona'!O:O, "Não encontrado"), 
  "Investimento nesta gestão: " &amp; TEXT(_xlfn.XLOOKUP(E30, 'DESCONTINUADA Hospitais Regiona'!B:B, 'DESCONTINUADA Hospitais Regiona'!P:P, 0), "R$ #.##0,00"), 
  "Aumento do cofinanciamento (Gestão Própria) - de 2023 a 2026: " &amp; TEXT(_xlfn.XLOOKUP(E30, 'DESCONTINUADA Hospitais Regiona'!B:B, 'DESCONTINUADA Hospitais Regiona'!S:S, 0), "0,00%"), 
  "Cofinanciamento 2022 (Apenas Gestão Própria): " &amp; TEXT(_xlfn.XLOOKUP(E30, 'DESCONTINUADA Hospitais Regiona'!B:B, 'DESCONTINUADA Hospitais Regiona'!Q:Q, 0), "R$ #.##0,00"), 
  "Cofinanciamento 2025 (Apenas Gestão Própria): " &amp; TEXT(_xlfn.XLOOKUP(E30, 'DESCONTINUADA Hospitais Regiona'!B:B, 'DESCONTINUADA Hospitais Regiona'!R:R, 0), "R$ #.##0,00"), 
  "Repasse (OS) em 2025: " &amp; TEXT(_xlfn.XLOOKUP(E30, 'DESCONTINUADA Hospitais Regiona'!B:B, 'DESCONTINUADA Hospitais Regiona'!T:T, 0), "R$ #.##0,00"), 
  "Principais avanços nessa gestão: " &amp; _xlfn.XLOOKUP(E30, 'DESCONTINUADA Hospitais Regiona'!B:B, 'DESCONTINUADA Hospitais Regiona'!U:U, "Não encontrado")
)</f>
        <v>*Hemope *
Status: EM FUNCIONAMENTO
Tipo de Gestão: Especializado
OSS: -
Geres: I
Localização: Rua Joaquim Nabuco, 171, Graças, Recife. 
Nº de Leitos: 62
Leitos abertos nesta gestão: 7
Perfil: Hematologia urgência e pediátria. Ambulatório: cardiologia, ortopedia, endocrinologia, neurologia, hematologia pediátrico, hematologia adulto, psicologia, terapia ocupacional, fisioterapia, nutrição e odontologia. 
Nº Profissionais Total: 194
Nº Profissionais convocados nesta gestão: -
Valor do contrato de manutenção predial (anual): 
Investimento nesta gestão: R$ 15.344.768,17000
Aumento do cofinanciamento (Gestão Própria) - de 2023 a 2026: - 
Cofinanciamento 2022 (Apenas Gestão Própria): -
Cofinanciamento 2025 (Apenas Gestão Própria): -
Repasse (OS) em 2025: -
Principais avanços nessa gestão: Criação do setor de imunohematologia do doador, inauguração do serviço de pronto atendimento SPA-Adulto, implantação do núcleo interno de regulação-NIR; </v>
      </c>
      <c r="G30" s="61" t="s">
        <v>63</v>
      </c>
      <c r="H30" s="61" t="s">
        <v>397</v>
      </c>
      <c r="I30" s="58" t="s">
        <v>85</v>
      </c>
      <c r="J30" s="208">
        <f t="array" ref="J30">_xlfn.XLOOKUP(E30, 'DESCONTINUADA Hospitais Regiona'!B:B, 'DESCONTINUADA Hospitais Regiona'!I:I)</f>
        <v>7</v>
      </c>
      <c r="K30" s="208">
        <f t="array" ref="K30">_xlfn.XLOOKUP(E30, 'DESCONTINUADA Hospitais Regiona'!B:B, 'DESCONTINUADA Hospitais Regiona'!H:H)</f>
        <v>62</v>
      </c>
      <c r="L30" s="208" t="str">
        <f t="array" ref="L30">_xlfn.XLOOKUP(E30, 'DESCONTINUADA Hospitais Regiona'!B:B, 'DESCONTINUADA Hospitais Regiona'!J:J)</f>
        <v>Serviços de Pronto Atendimento (SPA)</v>
      </c>
      <c r="M30" s="208" t="str">
        <f t="array" ref="M30">_xlfn.XLOOKUP(E30, 'DESCONTINUADA Hospitais Regiona'!B:B, 'DESCONTINUADA Hospitais Regiona'!K:K)</f>
        <v/>
      </c>
      <c r="N30" s="358" t="str">
        <f t="array" ref="N30">_xlfn.XLOOKUP(E30, 'DESCONTINUADA Hospitais Regiona'!B:B, 'DESCONTINUADA Hospitais Regiona'!L:L)</f>
        <v>Hematologia urgência e pediátria. Ambulatório: cardiologia, ortopedia, endocrinologia, neurologia, hematologia pediátrico, hematologia adulto, psicologia, terapia ocupacional, fisioterapia, nutrição e odontologia. </v>
      </c>
      <c r="O30" s="359">
        <f t="array" ref="O30">_xlfn.XLOOKUP(E30, 'DESCONTINUADA Hospitais Regiona'!B:B, 'DESCONTINUADA Hospitais Regiona'!M:M)</f>
        <v>194</v>
      </c>
      <c r="P30" s="208" t="str">
        <f t="array" ref="P30">_xlfn.XLOOKUP(E30, 'DESCONTINUADA Hospitais Regiona'!B:B, 'DESCONTINUADA Hospitais Regiona'!N:N)</f>
        <v>-</v>
      </c>
      <c r="Q30" s="211" t="str">
        <f t="array" ref="Q30">_xlfn.XLOOKUP(E30, 'DESCONTINUADA Hospitais Regiona'!B:B, 'DESCONTINUADA Hospitais Regiona'!O:O)</f>
        <v/>
      </c>
      <c r="R30" s="211">
        <f t="array" ref="R30">_xlfn.XLOOKUP(E30, 'DESCONTINUADA Hospitais Regiona'!B:B, 'DESCONTINUADA Hospitais Regiona'!P:P)</f>
        <v>15344768.17</v>
      </c>
      <c r="S30" s="211" t="str">
        <f t="array" ref="S30">_xlfn.XLOOKUP(E30, 'DESCONTINUADA Hospitais Regiona'!B:B, 'DESCONTINUADA Hospitais Regiona'!Q:Q)</f>
        <v>-</v>
      </c>
      <c r="T30" s="211" t="str">
        <f t="array" ref="T30">_xlfn.XLOOKUP(E30, 'DESCONTINUADA Hospitais Regiona'!B:B, 'DESCONTINUADA Hospitais Regiona'!R:R)</f>
        <v>-</v>
      </c>
      <c r="U30" s="208" t="str">
        <f t="array" ref="U30">_xlfn.XLOOKUP(E30, 'DESCONTINUADA Hospitais Regiona'!B:B, 'DESCONTINUADA Hospitais Regiona'!S:S)</f>
        <v>- 
</v>
      </c>
      <c r="V30" s="211" t="str">
        <f t="array" ref="V30">_xlfn.XLOOKUP(E30, 'DESCONTINUADA Hospitais Regiona'!B:B, 'DESCONTINUADA Hospitais Regiona'!T:T)</f>
        <v>-</v>
      </c>
      <c r="W30" s="208"/>
      <c r="X30" s="357" t="str">
        <f t="array" ref="X30">_xlfn.XLOOKUP(E30, 'DESCONTINUADA Hospitais Regiona'!B:B, 'DESCONTINUADA Hospitais Regiona'!U:U)</f>
        <v>Criação do setor de imunohematologia do doador, inauguração do serviço de pronto atendimento SPA-Adulto, implantação do núcleo interno de regulação-NIR; </v>
      </c>
      <c r="Y30" s="361"/>
      <c r="Z30" s="362"/>
    </row>
    <row r="31" ht="137.25" customHeight="1">
      <c r="A31" s="53">
        <v>2608909.0</v>
      </c>
      <c r="B31" s="392" t="s">
        <v>436</v>
      </c>
      <c r="C31" s="311" t="s">
        <v>437</v>
      </c>
      <c r="D31" s="58" t="s">
        <v>1</v>
      </c>
      <c r="E31" s="61" t="s">
        <v>404</v>
      </c>
      <c r="F31" s="357" t="str">
        <f t="array" ref="F31">TEXTJOIN(CHAR(10), TRUE, 
  "*" &amp; E31 &amp; "*", 
  "Status: " &amp; _xlfn.XLOOKUP(E31, 'DESCONTINUADA Hospitais Regiona'!B:B, 'DESCONTINUADA Hospitais Regiona'!C:C, "Não encontrado"), 
  "Tipo de Gestão: " &amp; _xlfn.XLOOKUP(E31, 'DESCONTINUADA Hospitais Regiona'!B:B, 'DESCONTINUADA Hospitais Regiona'!E:E, "Não encontrado"), 
  "OSS: " &amp; _xlfn.XLOOKUP(E31, 'DESCONTINUADA Hospitais Regiona'!B:B, 'DESCONTINUADA Hospitais Regiona'!D:D, "Não encontrado"), 
  "Geres: " &amp; _xlfn.XLOOKUP(E31, 'DESCONTINUADA Hospitais Regiona'!B:B, 'DESCONTINUADA Hospitais Regiona'!F:F, "Não encontrado"), 
  "Localização: " &amp; _xlfn.XLOOKUP(E31, 'DESCONTINUADA Hospitais Regiona'!B:B, 'DESCONTINUADA Hospitais Regiona'!G:G, "Não encontrado"), 
  "Nº de Leitos: " &amp; _xlfn.XLOOKUP(E31, 'DESCONTINUADA Hospitais Regiona'!B:B, 'DESCONTINUADA Hospitais Regiona'!H:H, "Não encontrado"),
  "Leitos abertos nesta gestão: " &amp; _xlfn.XLOOKUP(E31, 'DESCONTINUADA Hospitais Regiona'!B:B, 'DESCONTINUADA Hospitais Regiona'!I:I, "Não encontrado"),
  "Perfil: " &amp; _xlfn.XLOOKUP(E31, 'DESCONTINUADA Hospitais Regiona'!B:B, 'DESCONTINUADA Hospitais Regiona'!L:L, "Não encontrado"), 
  "Nº Profissionais Total: " &amp; _xlfn.XLOOKUP(E31, 'DESCONTINUADA Hospitais Regiona'!B:B, 'DESCONTINUADA Hospitais Regiona'!M:M, "Não encontrado"), 
  "Nº Profissionais convocados nesta gestão: " &amp; _xlfn.XLOOKUP(E31, 'DESCONTINUADA Hospitais Regiona'!B:B, 'DESCONTINUADA Hospitais Regiona'!N:N, "Não encontrado"), 
  "Valor do contrato de manutenção predial (anual): " &amp; _xlfn.XLOOKUP(E31, 'DESCONTINUADA Hospitais Regiona'!B:B, 'DESCONTINUADA Hospitais Regiona'!O:O, "Não encontrado"), 
  "Investimento nesta gestão: " &amp; TEXT(_xlfn.XLOOKUP(E31, 'DESCONTINUADA Hospitais Regiona'!B:B, 'DESCONTINUADA Hospitais Regiona'!P:P, 0), "R$ #.##0,00"), 
  "Aumento do cofinanciamento (Gestão Própria) - de 2023 a 2026: " &amp; TEXT(_xlfn.XLOOKUP(E31, 'DESCONTINUADA Hospitais Regiona'!B:B, 'DESCONTINUADA Hospitais Regiona'!S:S, 0), "0,00%"), 
  "Cofinanciamento 2022 (Apenas Gestão Própria): " &amp; TEXT(_xlfn.XLOOKUP(E31, 'DESCONTINUADA Hospitais Regiona'!B:B, 'DESCONTINUADA Hospitais Regiona'!Q:Q, 0), "R$ #.##0,00"), 
  "Cofinanciamento 2025 (Apenas Gestão Própria): " &amp; TEXT(_xlfn.XLOOKUP(E31, 'DESCONTINUADA Hospitais Regiona'!B:B, 'DESCONTINUADA Hospitais Regiona'!R:R, 0), "R$ #.##0,00"), 
  "Repasse (OS) em 2025: " &amp; TEXT(_xlfn.XLOOKUP(E31, 'DESCONTINUADA Hospitais Regiona'!B:B, 'DESCONTINUADA Hospitais Regiona'!T:T, 0), "R$ #.##0,00"), 
  "Principais avanços nessa gestão: " &amp; _xlfn.XLOOKUP(E31, 'DESCONTINUADA Hospitais Regiona'!B:B, 'DESCONTINUADA Hospitais Regiona'!U:U, "Não encontrado")
)</f>
        <v>*Hospital Regional José Fernandes Salsa*
Status: EM FUNCIONAMENTO
Tipo de Gestão: Gestão própria
OSS: -
Geres: II
Localização: R. Padre Nicolau Pímentel, 244 - José Fernades Salsa, Limoeiro - PE, 55700-000
Nº de Leitos: 79
Leitos abertos nesta gestão: 
Perfil: Traumatologia, Obstetrícia, Pediatria, Odontologia, Cirurgia Geral e Clínica Médica.
Nº Profissionais Total: 841
Nº Profissionais convocados nesta gestão: 319
Valor do contrato de manutenção predial (anual): 3600000
Investimento nesta gestão: R$ 32.722.233,26000
Aumento do cofinanciamento (Gestão Própria) - de 2023 a 2026: 011%
Cofinanciamento 2022 (Apenas Gestão Própria): R$ 4.876.623,35000
Cofinanciamento 2025 (Apenas Gestão Própria): R$ 5.433.963,22000
Repasse (OS) em 2025: R$ ,000
Principais avanços nessa gestão: Aquisição de nova autoclave e compressor para funcionamento do CME; Aquisição de dois aparelhos para realização de exames de endoscopia; Aquisição de 02 ambulâncias;; Aquisição de equipamentos médico-hospitalares, incluindo bisturi elétrico, aparelho de ultrassonografia com doppler, analisador de gases sanguíneos, perfuradores cirúrgicos para ortopedia, incubadora de transporte, bilirrubinômetro e ressuscitador pulmonar infantil e otoscópio, aparelho de raio-x portátil digital e fixo, Incubadora neonatal, incubadora de transporte, eletrocardiógrafo,  12 kits instrumentais básico menor, 04 kits instrumentais básico médio, 02 kits de instrumentais básico maior, aparelho de ultrassom portátil+ecocardiograma, compressor 4D; Aquisição de mobiliário hospitalar, como camas hospitalares manuais e elétricas (21 unidades), macas para consultório, cadeiras de rodas, mesas de cabeceira, mesas auxiliares, poltronas, longarinas,  armário alto, armários baixos, mesas estação de trabalho , guarda-roupas em aço, escadas hospitalares e carrinhos auxiliares, poltrona para obeso, carros macas, estante aramadas; Aquisição de equipamentos de apoio e eletrodomésticos para a unidade, incluindo micro-ondas, refrigeradores e freezer, aparelho de tv, bebedouro; Aquisição de instrumentais; Aquisição de 60 computadores; Criação de farmácia satélite na emergência;
</v>
      </c>
      <c r="G31" s="61" t="s">
        <v>63</v>
      </c>
      <c r="H31" s="61" t="s">
        <v>75</v>
      </c>
      <c r="I31" s="58" t="s">
        <v>99</v>
      </c>
      <c r="J31" s="208" t="str">
        <f t="array" ref="J31">_xlfn.XLOOKUP(E31, 'DESCONTINUADA Hospitais Regiona'!B:B, 'DESCONTINUADA Hospitais Regiona'!I:I)</f>
        <v/>
      </c>
      <c r="K31" s="208">
        <f t="array" ref="K31">_xlfn.XLOOKUP(E31, 'DESCONTINUADA Hospitais Regiona'!B:B, 'DESCONTINUADA Hospitais Regiona'!H:H)</f>
        <v>79</v>
      </c>
      <c r="L31" s="208" t="str">
        <f t="array" ref="L31">_xlfn.XLOOKUP(E31, 'DESCONTINUADA Hospitais Regiona'!B:B, 'DESCONTINUADA Hospitais Regiona'!J:J)</f>
        <v/>
      </c>
      <c r="M31" s="208" t="str">
        <f t="array" ref="M31">_xlfn.XLOOKUP(E31, 'DESCONTINUADA Hospitais Regiona'!B:B, 'DESCONTINUADA Hospitais Regiona'!K:K)</f>
        <v/>
      </c>
      <c r="N31" s="358" t="str">
        <f t="array" ref="N31">_xlfn.XLOOKUP(E31, 'DESCONTINUADA Hospitais Regiona'!B:B, 'DESCONTINUADA Hospitais Regiona'!L:L)</f>
        <v>Traumatologia, Obstetrícia, Pediatria, Odontologia, Cirurgia Geral e Clínica Médica.
</v>
      </c>
      <c r="O31" s="359">
        <f t="array" ref="O31">_xlfn.XLOOKUP(E31, 'DESCONTINUADA Hospitais Regiona'!B:B, 'DESCONTINUADA Hospitais Regiona'!M:M)</f>
        <v>841</v>
      </c>
      <c r="P31" s="208">
        <f t="array" ref="P31">_xlfn.XLOOKUP(E31, 'DESCONTINUADA Hospitais Regiona'!B:B, 'DESCONTINUADA Hospitais Regiona'!N:N)</f>
        <v>319</v>
      </c>
      <c r="Q31" s="211">
        <f t="array" ref="Q31">_xlfn.XLOOKUP(E31, 'DESCONTINUADA Hospitais Regiona'!B:B, 'DESCONTINUADA Hospitais Regiona'!O:O)</f>
        <v>3600000</v>
      </c>
      <c r="R31" s="211">
        <f t="array" ref="R31">_xlfn.XLOOKUP(E31, 'DESCONTINUADA Hospitais Regiona'!B:B, 'DESCONTINUADA Hospitais Regiona'!P:P)</f>
        <v>32722233.26</v>
      </c>
      <c r="S31" s="211">
        <f t="array" ref="S31">_xlfn.XLOOKUP(E31, 'DESCONTINUADA Hospitais Regiona'!B:B, 'DESCONTINUADA Hospitais Regiona'!Q:Q)</f>
        <v>4876623.35</v>
      </c>
      <c r="T31" s="211">
        <f t="array" ref="T31">_xlfn.XLOOKUP(E31, 'DESCONTINUADA Hospitais Regiona'!B:B, 'DESCONTINUADA Hospitais Regiona'!R:R)</f>
        <v>5433963.22</v>
      </c>
      <c r="U31" s="360">
        <f t="array" ref="U31">_xlfn.XLOOKUP(E31, 'DESCONTINUADA Hospitais Regiona'!B:B, 'DESCONTINUADA Hospitais Regiona'!S:S)</f>
        <v>0.1142880698</v>
      </c>
      <c r="V31" s="211" t="str">
        <f t="array" ref="V31">_xlfn.XLOOKUP(E31, 'DESCONTINUADA Hospitais Regiona'!B:B, 'DESCONTINUADA Hospitais Regiona'!T:T)</f>
        <v/>
      </c>
      <c r="W31" s="208"/>
      <c r="X31" s="357" t="str">
        <f t="array" ref="X31">_xlfn.XLOOKUP(E31, 'DESCONTINUADA Hospitais Regiona'!B:B, 'DESCONTINUADA Hospitais Regiona'!U:U)</f>
        <v>Aquisição de nova autoclave e compressor para funcionamento do CME; Aquisição de dois aparelhos para realização de exames de endoscopia; Aquisição de 02 ambulâncias;; Aquisição de equipamentos médico-hospitalares, incluindo bisturi elétrico, aparelho de ultrassonografia com doppler, analisador de gases sanguíneos, perfuradores cirúrgicos para ortopedia, incubadora de transporte, bilirrubinômetro e ressuscitador pulmonar infantil e otoscópio, aparelho de raio-x portátil digital e fixo, Incubadora neonatal, incubadora de transporte, eletrocardiógrafo,  12 kits instrumentais básico menor, 04 kits instrumentais básico médio, 02 kits de instrumentais básico maior, aparelho de ultrassom portátil+ecocardiograma, compressor 4D; Aquisição de mobiliário hospitalar, como camas hospitalares manuais e elétricas (21 unidades), macas para consultório, cadeiras de rodas, mesas de cabeceira, mesas auxiliares, poltronas, longarinas,  armário alto, armários baixos, mesas estação de trabalho , guarda-roupas em aço, escadas hospitalares e carrinhos auxiliares, poltrona para obeso, carros macas, estante aramadas; Aquisição de equipamentos de apoio e eletrodomésticos para a unidade, incluindo micro-ondas, refrigeradores e freezer, aparelho de tv, bebedouro; Aquisição de instrumentais; Aquisição de 60 computadores; Criação de farmácia satélite na emergência;
</v>
      </c>
      <c r="Y31" s="361"/>
      <c r="Z31" s="362"/>
    </row>
    <row r="32" ht="137.25" customHeight="1">
      <c r="A32" s="363">
        <v>2611606.0</v>
      </c>
      <c r="B32" s="355" t="s">
        <v>96</v>
      </c>
      <c r="C32" s="356" t="s">
        <v>104</v>
      </c>
      <c r="D32" s="58" t="s">
        <v>1</v>
      </c>
      <c r="E32" s="61" t="s">
        <v>139</v>
      </c>
      <c r="F32" s="357" t="str">
        <f t="array" ref="F32">TEXTJOIN(CHAR(10), TRUE, 
  "*" &amp; E32 &amp; "*", 
"Status: " &amp; _xlfn.XLOOKUP(E32, 'DESCONTINUADA Os Seis Grandes'!B:B, 'DESCONTINUADA Os Seis Grandes'!C:C, "Não encontrado"),
"Tipo de Gestão: " &amp; _xlfn.XLOOKUP(E32, 'DESCONTINUADA Os Seis Grandes'!B:B, 'DESCONTINUADA Os Seis Grandes'!D:D, "Não encontrado"),
"Localização: " &amp; _xlfn.XLOOKUP(E32, 'DESCONTINUADA Os Seis Grandes'!B:B, 'DESCONTINUADA Os Seis Grandes'!E:E, "Não encontrado"), 
"Número de leitos: " &amp; _xlfn.XLOOKUP(E32, 'DESCONTINUADA Os Seis Grandes'!B:B, 'DESCONTINUADA Os Seis Grandes'!F:F, "Não encontrado"),
"Leitos abertos nesta gestão: " &amp; _xlfn.XLOOKUP(E32, 'DESCONTINUADA Os Seis Grandes'!B:B, 'DESCONTINUADA Os Seis Grandes'!G:G, "Não encontrado"),
"Tipos de leitos abertos nesta gestão: " &amp; _xlfn.XLOOKUP(E32, 'DESCONTINUADA Os Seis Grandes'!B:B, 'DESCONTINUADA Os Seis Grandes'!H:H, "Não encontrado"),
"Leitos a abrir com o fim das reformas : " &amp; _xlfn.XLOOKUP(E32, 'DESCONTINUADA Os Seis Grandes'!B:B, 'DESCONTINUADA Os Seis Grandes'!I:I, "Não encontrado"),
"Perfil: " &amp; _xlfn.XLOOKUP(E32, 'DESCONTINUADA Os Seis Grandes'!B:B, 'DESCONTINUADA Os Seis Grandes'!J:J, "Não encontrado"), 
"Nº Profissionais Total: " &amp; _xlfn.XLOOKUP(E32, 'DESCONTINUADA Os Seis Grandes'!B:B, 'DESCONTINUADA Os Seis Grandes'!K:K, "Não encontrado"), 
"Nº Profissionais convocados nesta gestão: " &amp; _xlfn.XLOOKUP(E32, 'DESCONTINUADA Os Seis Grandes'!B:B, 'DESCONTINUADA Os Seis Grandes'!L:L, "Não encontrado"), 
"Valor do contrato de manutenção predial (anual): " &amp; TEXT(_xlfn.XLOOKUP(E32, 'DESCONTINUADA Os Seis Grandes'!B:B, 'DESCONTINUADA Os Seis Grandes'!M:M, 0), "R$ #.##0,0"),
"Cofinanciamento 2022: " &amp; TEXT(_xlfn.XLOOKUP(E32, 'DESCONTINUADA Os Seis Grandes'!B:B, 'DESCONTINUADA Os Seis Grandes'!N:N, 0), "R$ #.##0,0"),
"Cofinanciamento 2025: " &amp; TEXT(_xlfn.XLOOKUP(E32, 'DESCONTINUADA Os Seis Grandes'!B:B, 'DESCONTINUADA Os Seis Grandes'!O:O, 0), "R$ #.##0,0"),
"Aumento Cofinanciamento  (2022 a 2025) %: " &amp; TEXT(_xlfn.XLOOKUP(E32, 'DESCONTINUADA Os Seis Grandes'!B:B, 'DESCONTINUADA Os Seis Grandes'!P:P, 0), "00.00%"), 
"Investimento nesta gestão: " &amp; TEXT(_xlfn.XLOOKUP(E32, 'DESCONTINUADA Os Seis Grandes'!B:B, 'DESCONTINUADA Os Seis Grandes'!Q:Q, 0), "R$ #.##0,0"), 
"Nova equipagem: " &amp; _xlfn.XLOOKUP(E32, 'DESCONTINUADA Os Seis Grandes'!B:B, 'DESCONTINUADA Os Seis Grandes'!R:R, "Não encontrado"), 
"Obras de infraestrutura: " &amp; _xlfn.XLOOKUP(E32, 'DESCONTINUADA Os Seis Grandes'!B:B, 'DESCONTINUADA Os Seis Grandes'!S:S, "Não encontrado"),)</f>
        <v>*Hospital Agamenon Magalhães (HAM)*
Status: EM FUNCIONAMENTO
Tipo de Gestão: Gestão própria
Localização: Estrada do Arraial, 2723, Casa Amarela - Recife
Número de leitos: 380
Leitos abertos nesta gestão: -
Tipos de leitos abertos nesta gestão: -
Leitos a abrir com o fim das reformas : 38
Revisar com a SEINFRA
Perfil: Urgência: Cardiologia, Clínica Médica, Cirurgia Geral,  Urgência Dialítica, Ginecologia, Obstetrícia de alto risco, Otorrinolaringologia e Atendimento a Mulheres Vítimas de Violência (Wilma Lessa). 
Ambulatorial: Cardiologia, Cirurgia Bariátrica, Cirurgia Geral, Cirurgia Plástica, Cirurgia Vascular, Clínica Médica, Endocrinologia, Ginecologia, Obstetrícia de Alto Risco e Otorrinolaringologia. 
Nº Profissionais Total: 3408
Nº Profissionais convocados nesta gestão: 968
Valor do contrato de manutenção predial (anual): R$ 10.638.677,0300
Cofinanciamento 2022: R$ 51.693.313,9100
Cofinanciamento 2025: R$ 67.660.504,2900
Aumento Cofinanciamento  (2022 a 2025) %: 30,89%
Investimento nesta gestão: R$ 103.190.055,3300
Nova equipagem: EQUIPAGEM: 01 Angiógrafo; 03 Analisador de Ouvido Médio; 05 Aspirador Cirúrgico; 06 Aparelhos de Anestesia; 09 Aparelhos de Anestesia com Monitor; 01 Aparelho de Emissões Otoacústicas; 02 Aparelhos para Potencial Evocado; 07 Aparelhos de Ultrassom Fixo; 08 Aparelhos de Ultrassom Portátil; 01 Arco Cirúrgico; 03 Audiômetros; 18 Balanças Antropométricas; 08 Balanças Pesa Bebê; 01 Banho Histológico; 06 Berço Auqecido para RN; 21 Berços para Recém Nascido; 06 Bicicletas Ergométricas; 03 Bilirrubinômetro; 01 Campímetro; 01 Cadeira para Otorrinolaringologia Elétrica para Obeso;  13 Cardioversor; 01 Central Modular de Inclusão; 03 Cabines Acústicas; 03 Colposcópio Ginecológico com Sistema de Vídeo; 10 Detectores de Batimentos Fetais; 01 Drill Elétrico; 03 Eletrocardiógrafos; 06 Eletroestimuladores para Fisioterapia; 02 Eletrocardiógrafos; 01 Embaladora de Dose Unitária; 10 Endoscópios Nasais; 13 Bisturí Elétrico; 20 Equipamentos para Treinamento Muscular Respiratório; 153 Esfigmomanômetro; 36 Esfigmomanômetro de Pedestal; 04 Estetoscópios; 50 Estetoscópios Neonatais; 01 Estroboscópio; 01 Espirômetro; 04 Foco Cirúrgico Fixo de Teto; 06 Focos Cirúrgicos de Led; 19 Focos Parabólicos; 03 Fotófaros; 02 Ganho de Inserção Analisador Portátil; 15 Gerador de Marcapasso Provisório; 17 Incubadoras para RN; 17 Incubadoras de Transporte para RN; 01 Mamógrafo; 05 Manovacuômetro; 07 Medidor de Pressão Balonete;  08 Medidor de Avaliação de Pressão; 09 Mesas Cirúrgicas; 02 Mesas Ginecológicas; 05 Microscópios Binocular; 01 Microscópio Cirúrgico; 01 Micrótomo de Rotação; 03 Monitores de Coagulação Ativada; 40 Monitores Multiparamétricos; 03 Nasofibroscópio Flexível; 14 Oftalmoscópios; 02 Ordenhadeira de Leite; 03 Óticas para Histeroscopia; 24 Otoscópios; 43 Oxímetros de Pulso; 04 Radiômetros; 02 Aparelhos de Raio-x Móvel; 02 Refrigeradores Científicos; 05 Seladoras; 01 Seladora para Bolsa de Sangue; 08 Seladoras Térmicas com Pedal; 02 Serras Elétricas; 01 Sistema de Amplificação de Campo Livre; 02 Sistema de Videolaparoscopia; 04 Detector Ultrassônico; 01 Termodesinfectadora; 68 Unidades de Fototerapia; 01 Vectonistagmógrafo Digital; 03 Ventilador Pulmonar de Transporte; 08 Ventilador Pulmonar; 15 Ventilador Pulmonar Pediátrico e Neonatal; 01 Cama Elétrica para Obeso; 580 Computadores; CAMAS ELÉTRICAS;  INSTRUMENTAIS CIRÚRGICOS: xxxxxxx
Obras de infraestrutura: Estamos fazendo: Aquisição e instaçação de 6 elevadores, dos quais 2 já foram entregues; requalificação do bloco cirúrgico ambulatorial; requalificação de 6 salas cirúrgicas, das quais 2 já foram entregues; emergência cardiológica; requalificação da fachada; requalificação das enfermarias. 
Já entregamos: Novo prédio do ambulatório, prédio da Administrativo e direção; requalificação da cozinha e do refeitório; requalificação do Wilma Lessa; requalificação das enfermarias do alojamento conjunto; requalificação da UTI geral;  requalificação do setor de mamografia; requalificação das enfermarias de clínica médica.</v>
      </c>
      <c r="G32" s="310" t="s">
        <v>63</v>
      </c>
      <c r="H32" s="61" t="s">
        <v>75</v>
      </c>
      <c r="I32" s="61"/>
      <c r="J32" s="208" t="str">
        <f t="array" ref="J32">_xlfn.XLOOKUP(E32, 'DESCONTINUADA Os Seis Grandes'!B:B, 'DESCONTINUADA Os Seis Grandes'!G:G)</f>
        <v>-</v>
      </c>
      <c r="K32" s="208">
        <f t="array" ref="K32">_xlfn.XLOOKUP(E32, 'DESCONTINUADA Os Seis Grandes'!B:B, 'DESCONTINUADA Os Seis Grandes'!F:F)</f>
        <v>380</v>
      </c>
      <c r="L32" s="208" t="str">
        <f t="array" ref="L32">_xlfn.XLOOKUP(E32, 'DESCONTINUADA Os Seis Grandes'!B:B, 'DESCONTINUADA Os Seis Grandes'!H:H)</f>
        <v>-</v>
      </c>
      <c r="M32" s="208" t="str">
        <f t="array" ref="M32">_xlfn.XLOOKUP(E32, 'DESCONTINUADA Os Seis Grandes'!B:B, 'DESCONTINUADA Os Seis Grandes'!I:I)</f>
        <v>38
Revisar com a SEINFRA</v>
      </c>
      <c r="N32" s="358" t="str">
        <f t="array" ref="N32">_xlfn.XLOOKUP(E32, 'DESCONTINUADA Os Seis Grandes'!B:B, 'DESCONTINUADA Os Seis Grandes'!J:J)</f>
        <v>Urgência: Cardiologia, Clínica Médica, Cirurgia Geral,  Urgência Dialítica, Ginecologia, Obstetrícia de alto risco, Otorrinolaringologia e Atendimento a Mulheres Vítimas de Violência (Wilma Lessa). 
Ambulatorial: Cardiologia, Cirurgia Bariátrica, Cirurgia Geral, Cirurgia Plástica, Cirurgia Vascular, Clínica Médica, Endocrinologia, Ginecologia, Obstetrícia de Alto Risco e Otorrinolaringologia. 
</v>
      </c>
      <c r="O32" s="359">
        <f t="array" ref="O32">_xlfn.XLOOKUP(E32, 'DESCONTINUADA Os Seis Grandes'!B:B, 'DESCONTINUADA Os Seis Grandes'!K:K)</f>
        <v>3408</v>
      </c>
      <c r="P32" s="266">
        <f t="array" ref="P32">_xlfn.XLOOKUP(E32, 'DESCONTINUADA Os Seis Grandes'!B:B, 'DESCONTINUADA Os Seis Grandes'!L:L)</f>
        <v>968</v>
      </c>
      <c r="Q32" s="211">
        <f t="array" ref="Q32">_xlfn.XLOOKUP(E32, 'DESCONTINUADA Os Seis Grandes'!B:B, 'DESCONTINUADA Os Seis Grandes'!M:M)</f>
        <v>10638677.03</v>
      </c>
      <c r="R32" s="211">
        <f t="array" ref="R32">_xlfn.XLOOKUP(E32, 'DESCONTINUADA Os Seis Grandes'!B:B, 'DESCONTINUADA Os Seis Grandes'!Q:Q)</f>
        <v>103190055.3</v>
      </c>
      <c r="S32" s="211">
        <f t="array" ref="S32">_xlfn.XLOOKUP(E32, 'DESCONTINUADA Os Seis Grandes'!B:B, 'DESCONTINUADA Os Seis Grandes'!N:N)</f>
        <v>51693313.91</v>
      </c>
      <c r="T32" s="211">
        <f t="array" ref="T32">_xlfn.XLOOKUP(E32, 'DESCONTINUADA Os Seis Grandes'!B:B, 'DESCONTINUADA Os Seis Grandes'!O:O)</f>
        <v>67660504.29</v>
      </c>
      <c r="U32" s="360">
        <f t="array" ref="U32">_xlfn.XLOOKUP(E32, 'DESCONTINUADA Os Seis Grandes'!B:B, 'DESCONTINUADA Os Seis Grandes'!P:P)</f>
        <v>0.308883087</v>
      </c>
      <c r="V32" s="208"/>
      <c r="W32" s="208"/>
      <c r="X32" s="357" t="str">
        <f t="array" ref="X32">_xlfn.XLOOKUP(E32, 'DESCONTINUADA Os Seis Grandes'!B:B, 'DESCONTINUADA Os Seis Grandes'!R:R)</f>
        <v>EQUIPAGEM: 01 Angiógrafo; 03 Analisador de Ouvido Médio; 05 Aspirador Cirúrgico; 06 Aparelhos de Anestesia; 09 Aparelhos de Anestesia com Monitor; 01 Aparelho de Emissões Otoacústicas; 02 Aparelhos para Potencial Evocado; 07 Aparelhos de Ultrassom Fixo; 08 Aparelhos de Ultrassom Portátil; 01 Arco Cirúrgico; 03 Audiômetros; 18 Balanças Antropométricas; 08 Balanças Pesa Bebê; 01 Banho Histológico; 06 Berço Auqecido para RN; 21 Berços para Recém Nascido; 06 Bicicletas Ergométricas; 03 Bilirrubinômetro; 01 Campímetro; 01 Cadeira para Otorrinolaringologia Elétrica para Obeso;  13 Cardioversor; 01 Central Modular de Inclusão; 03 Cabines Acústicas; 03 Colposcópio Ginecológico com Sistema de Vídeo; 10 Detectores de Batimentos Fetais; 01 Drill Elétrico; 03 Eletrocardiógrafos; 06 Eletroestimuladores para Fisioterapia; 02 Eletrocardiógrafos; 01 Embaladora de Dose Unitária; 10 Endoscópios Nasais; 13 Bisturí Elétrico; 20 Equipamentos para Treinamento Muscular Respiratório; 153 Esfigmomanômetro; 36 Esfigmomanômetro de Pedestal; 04 Estetoscópios; 50 Estetoscópios Neonatais; 01 Estroboscópio; 01 Espirômetro; 04 Foco Cirúrgico Fixo de Teto; 06 Focos Cirúrgicos de Led; 19 Focos Parabólicos; 03 Fotófaros; 02 Ganho de Inserção Analisador Portátil; 15 Gerador de Marcapasso Provisório; 17 Incubadoras para RN; 17 Incubadoras de Transporte para RN; 01 Mamógrafo; 05 Manovacuômetro; 07 Medidor de Pressão Balonete;  08 Medidor de Avaliação de Pressão; 09 Mesas Cirúrgicas; 02 Mesas Ginecológicas; 05 Microscópios Binocular; 01 Microscópio Cirúrgico; 01 Micrótomo de Rotação; 03 Monitores de Coagulação Ativada; 40 Monitores Multiparamétricos; 03 Nasofibroscópio Flexível; 14 Oftalmoscópios; 02 Ordenhadeira de Leite; 03 Óticas para Histeroscopia; 24 Otoscópios; 43 Oxímetros de Pulso; 04 Radiômetros; 02 Aparelhos de Raio-x Móvel; 02 Refrigeradores Científicos; 05 Seladoras; 01 Seladora para Bolsa de Sangue; 08 Seladoras Térmicas com Pedal; 02 Serras Elétricas; 01 Sistema de Amplificação de Campo Livre; 02 Sistema de Videolaparoscopia; 04 Detector Ultrassônico; 01 Termodesinfectadora; 68 Unidades de Fototerapia; 01 Vectonistagmógrafo Digital; 03 Ventilador Pulmonar de Transporte; 08 Ventilador Pulmonar; 15 Ventilador Pulmonar Pediátrico e Neonatal; 01 Cama Elétrica para Obeso; 580 Computadores; CAMAS ELÉTRICAS;  INSTRUMENTAIS CIRÚRGICOS: xxxxxxx</v>
      </c>
      <c r="Y32" s="361"/>
      <c r="Z32" s="362"/>
    </row>
    <row r="33" ht="137.25" customHeight="1">
      <c r="A33" s="363">
        <v>2611606.0</v>
      </c>
      <c r="B33" s="355" t="s">
        <v>96</v>
      </c>
      <c r="C33" s="356" t="s">
        <v>104</v>
      </c>
      <c r="D33" s="58" t="s">
        <v>1</v>
      </c>
      <c r="E33" s="61" t="s">
        <v>73</v>
      </c>
      <c r="F33" s="357" t="str">
        <f t="array" ref="F33">TEXTJOIN(CHAR(10), TRUE, 
  "*" &amp; E33 &amp; "*", 
"Status: " &amp; _xlfn.XLOOKUP(E33, 'DESCONTINUADA Os Seis Grandes'!B:B, 'DESCONTINUADA Os Seis Grandes'!C:C, "Não encontrado"),
"Tipo de Gestão: " &amp; _xlfn.XLOOKUP(E33, 'DESCONTINUADA Os Seis Grandes'!B:B, 'DESCONTINUADA Os Seis Grandes'!D:D, "Não encontrado"),
"Localização: " &amp; _xlfn.XLOOKUP(E33, 'DESCONTINUADA Os Seis Grandes'!B:B, 'DESCONTINUADA Os Seis Grandes'!E:E, "Não encontrado"), 
"Número de leitos: " &amp; _xlfn.XLOOKUP(E33, 'DESCONTINUADA Os Seis Grandes'!B:B, 'DESCONTINUADA Os Seis Grandes'!F:F, "Não encontrado"),
"Leitos abertos nesta gestão: " &amp; _xlfn.XLOOKUP(E33, 'DESCONTINUADA Os Seis Grandes'!B:B, 'DESCONTINUADA Os Seis Grandes'!G:G, "Não encontrado"),
"Tipos de leitos abertos nesta gestão: " &amp; _xlfn.XLOOKUP(E33, 'DESCONTINUADA Os Seis Grandes'!B:B, 'DESCONTINUADA Os Seis Grandes'!H:H, "Não encontrado"),
"Leitos a abrir com o fim das reformas : " &amp; _xlfn.XLOOKUP(E33, 'DESCONTINUADA Os Seis Grandes'!B:B, 'DESCONTINUADA Os Seis Grandes'!I:I, "Não encontrado"),
"Perfil: " &amp; _xlfn.XLOOKUP(E33, 'DESCONTINUADA Os Seis Grandes'!B:B, 'DESCONTINUADA Os Seis Grandes'!J:J, "Não encontrado"), 
"Nº Profissionais Total: " &amp; _xlfn.XLOOKUP(E33, 'DESCONTINUADA Os Seis Grandes'!B:B, 'DESCONTINUADA Os Seis Grandes'!K:K, "Não encontrado"), 
"Nº Profissionais convocados nesta gestão: " &amp; _xlfn.XLOOKUP(E33, 'DESCONTINUADA Os Seis Grandes'!B:B, 'DESCONTINUADA Os Seis Grandes'!L:L, "Não encontrado"), 
"Valor do contrato de manutenção predial (anual): " &amp; TEXT(_xlfn.XLOOKUP(E33, 'DESCONTINUADA Os Seis Grandes'!B:B, 'DESCONTINUADA Os Seis Grandes'!M:M, 0), "R$ #.##0,0"),
"Cofinanciamento 2022: " &amp; TEXT(_xlfn.XLOOKUP(E33, 'DESCONTINUADA Os Seis Grandes'!B:B, 'DESCONTINUADA Os Seis Grandes'!N:N, 0), "R$ #.##0,0"),
"Cofinanciamento 2025: " &amp; TEXT(_xlfn.XLOOKUP(E33, 'DESCONTINUADA Os Seis Grandes'!B:B, 'DESCONTINUADA Os Seis Grandes'!O:O, 0), "R$ #.##0,0"),
"Aumento Cofinanciamento  (2022 a 2025) %: " &amp; TEXT(_xlfn.XLOOKUP(E33, 'DESCONTINUADA Os Seis Grandes'!B:B, 'DESCONTINUADA Os Seis Grandes'!P:P, 0), "00.00%"), 
"Investimento nesta gestão: " &amp; TEXT(_xlfn.XLOOKUP(E33, 'DESCONTINUADA Os Seis Grandes'!B:B, 'DESCONTINUADA Os Seis Grandes'!Q:Q, 0), "R$ #.##0,0"), 
"Nova equipagem: " &amp; _xlfn.XLOOKUP(E33, 'DESCONTINUADA Os Seis Grandes'!B:B, 'DESCONTINUADA Os Seis Grandes'!R:R, "Não encontrado"), 
"Obras de infraestrutura: " &amp; _xlfn.XLOOKUP(E33, 'DESCONTINUADA Os Seis Grandes'!B:B, 'DESCONTINUADA Os Seis Grandes'!S:S, "Não encontrado"),)</f>
        <v>*Hospital da Restauração (HR)*
Status: EM FUNCIONAMENTO
Tipo de Gestão: Gestão própria
Localização: Av. Gov. Agamenon Magalhães, s/n - Derby, Recife - PE
Número de leitos: 835
Leitos abertos nesta gestão: 12
Tipos de leitos abertos nesta gestão: 9 leitos USAN (unidade de suporte avançado em neurologia).
3 leitos de enfermaria de ortopedia adulto.
Leitos a abrir com o fim das reformas : -
Perfil: Urgência Adulto e Pediátrico: Ortopedia e Traumatologia, Bucomaxilofacial, queimados, neurocirurgia, neurologia, clínica médica, vascular, Cirugia Geral, Endoscopia Digestiva Alta e Cirurgia pediátrica;                                                                       
Referência Ambulatorial: Bucomaxilofacial adulto e pediátrica, cirurgia geral, cirurgia vascular, clínica médica, hemodinâmica, neurocirurgia, neurocirurgia  pediátrica, ortopedia e traumatologia adulto e pediátrica,  queimados e reumatologia.
Nº Profissionais Total: 5510
Nº Profissionais convocados nesta gestão: 2206
Valor do contrato de manutenção predial (anual): R$ 13.020.624,2300
Cofinanciamento 2022: R$ 122.153.944,7900
Cofinanciamento 2025: R$ 155.927.763,4600
Aumento Cofinanciamento  (2022 a 2025) %: 27,65%
Investimento nesta gestão: R$ 176.573.825,3400
Nova equipagem: EQUIPAGEM: 02 Aparelhos de Anestesia Pediátrico e Neonatal; 09 Apalehos de Anestesia com Monitor; 01 Aparelho de Ultrassom Portátil; 01 Aparelho Radiográfico Odontológico; 01 Arco Cirúrgico; 01 Arco Cirúrgico com Ânodo Estacionário; 02 Bisturí Elétrico e Coagulador de Plasma de Argônio; 83 Camas Elétricas; 25 Cardioversor; 06 Cardioversor com Marcapasso; 10 Carros de Emergência; 02 Central de Monitorização Fisiológica Multiparâmetros; 12 Eletrocardiógrafos; 01 Eletroencefalógrafo; 02 Bisturí Elétricos; 01 Mesa Cirúrgica Ortopédica; 13 Mesas Cirúrgicas para Obeso; 01 Microscópio Cirúrgico; 05 Óticas; 10 Oxímetros de Pulso; 01 Processadora Automática de Tecidos; 03 Aparelhos de Raio-x Móveis; 01 Ressonância Magnética; 02 Tomógrafos; INSTRUMENTAIS CIRÚRGICOS: xxxxxxx
Obras de infraestrutura: Estamos fazendo: instalação de 02 novos elevadores; requalificação da emergência pediátrica; requalificação das UTIs A e B (adulto); requalificação do 4º andar; requalificação do refeitório e da cozinha; reestruturação do estacionamento; requalificação das salas do bloco cirúrgico; Central de Material e Esterelização (CMA); 
Já entregamos: Instalação de mais um 1 tomógrafo; instalação de mais 1 ressonância; instalação de mais 1 angiógrafo; requalificação do setor de imagem; implantação da central de laudos; requalificação do setor de patologia; requalificação da biblioteca; requalificação do setor de endoscopia; requalificação da sala vermelha e laranja do trauma; requalificação do 6º andar; requalificação do 7º andar (sul); requalificação do 8º andar; requalificação da UTI pediátrica;  requalificação da fachada; requalificação da USAN - Unidade de Suporte Avançado em Neurocirurgia com ampliação de 09 leitos; repouso?</v>
      </c>
      <c r="G33" s="310" t="s">
        <v>63</v>
      </c>
      <c r="H33" s="61" t="s">
        <v>75</v>
      </c>
      <c r="I33" s="61"/>
      <c r="J33" s="208">
        <f t="array" ref="J33">_xlfn.XLOOKUP(E33, 'DESCONTINUADA Os Seis Grandes'!B:B, 'DESCONTINUADA Os Seis Grandes'!G:G)</f>
        <v>12</v>
      </c>
      <c r="K33" s="208">
        <f t="array" ref="K33">_xlfn.XLOOKUP(E33, 'DESCONTINUADA Os Seis Grandes'!B:B, 'DESCONTINUADA Os Seis Grandes'!F:F)</f>
        <v>835</v>
      </c>
      <c r="L33" s="208" t="str">
        <f t="array" ref="L33">_xlfn.XLOOKUP(E33, 'DESCONTINUADA Os Seis Grandes'!B:B, 'DESCONTINUADA Os Seis Grandes'!H:H)</f>
        <v>9 leitos USAN (unidade de suporte avançado em neurologia).
3 leitos de enfermaria de ortopedia adulto.</v>
      </c>
      <c r="M33" s="208" t="str">
        <f t="array" ref="M33">_xlfn.XLOOKUP(E33, 'DESCONTINUADA Os Seis Grandes'!B:B, 'DESCONTINUADA Os Seis Grandes'!I:I)</f>
        <v>-</v>
      </c>
      <c r="N33" s="358" t="str">
        <f t="array" ref="N33">_xlfn.XLOOKUP(E33, 'DESCONTINUADA Os Seis Grandes'!B:B, 'DESCONTINUADA Os Seis Grandes'!J:J)</f>
        <v>Urgência Adulto e Pediátrico: Ortopedia e Traumatologia, Bucomaxilofacial, queimados, neurocirurgia, neurologia, clínica médica, vascular, Cirugia Geral, Endoscopia Digestiva Alta e Cirurgia pediátrica;                                                                       
Referência Ambulatorial: Bucomaxilofacial adulto e pediátrica, cirurgia geral, cirurgia vascular, clínica médica, hemodinâmica, neurocirurgia, neurocirurgia  pediátrica, ortopedia e traumatologia adulto e pediátrica,  queimados e reumatologia.
</v>
      </c>
      <c r="O33" s="359">
        <f t="array" ref="O33">_xlfn.XLOOKUP(E33, 'DESCONTINUADA Os Seis Grandes'!B:B, 'DESCONTINUADA Os Seis Grandes'!K:K)</f>
        <v>5510</v>
      </c>
      <c r="P33" s="266">
        <f t="array" ref="P33">_xlfn.XLOOKUP(E33, 'DESCONTINUADA Os Seis Grandes'!B:B, 'DESCONTINUADA Os Seis Grandes'!L:L)</f>
        <v>2206</v>
      </c>
      <c r="Q33" s="211">
        <f t="array" ref="Q33">_xlfn.XLOOKUP(E33, 'DESCONTINUADA Os Seis Grandes'!B:B, 'DESCONTINUADA Os Seis Grandes'!M:M)</f>
        <v>13020624.23</v>
      </c>
      <c r="R33" s="211">
        <f t="array" ref="R33">_xlfn.XLOOKUP(E33, 'DESCONTINUADA Os Seis Grandes'!B:B, 'DESCONTINUADA Os Seis Grandes'!Q:Q)</f>
        <v>176573825.3</v>
      </c>
      <c r="S33" s="211">
        <f t="array" ref="S33">_xlfn.XLOOKUP(E33, 'DESCONTINUADA Os Seis Grandes'!B:B, 'DESCONTINUADA Os Seis Grandes'!N:N)</f>
        <v>122153944.8</v>
      </c>
      <c r="T33" s="211">
        <f t="array" ref="T33">_xlfn.XLOOKUP(E33, 'DESCONTINUADA Os Seis Grandes'!B:B, 'DESCONTINUADA Os Seis Grandes'!O:O)</f>
        <v>155927763.5</v>
      </c>
      <c r="U33" s="360">
        <f t="array" ref="U33">_xlfn.XLOOKUP(E33, 'DESCONTINUADA Os Seis Grandes'!B:B, 'DESCONTINUADA Os Seis Grandes'!P:P)</f>
        <v>0.2764856978</v>
      </c>
      <c r="V33" s="208"/>
      <c r="W33" s="208"/>
      <c r="X33" s="357" t="str">
        <f t="array" ref="X33">_xlfn.XLOOKUP(E33, 'DESCONTINUADA Os Seis Grandes'!B:B, 'DESCONTINUADA Os Seis Grandes'!R:R)</f>
        <v>EQUIPAGEM: 02 Aparelhos de Anestesia Pediátrico e Neonatal; 09 Apalehos de Anestesia com Monitor; 01 Aparelho de Ultrassom Portátil; 01 Aparelho Radiográfico Odontológico; 01 Arco Cirúrgico; 01 Arco Cirúrgico com Ânodo Estacionário; 02 Bisturí Elétrico e Coagulador de Plasma de Argônio; 83 Camas Elétricas; 25 Cardioversor; 06 Cardioversor com Marcapasso; 10 Carros de Emergência; 02 Central de Monitorização Fisiológica Multiparâmetros; 12 Eletrocardiógrafos; 01 Eletroencefalógrafo; 02 Bisturí Elétricos; 01 Mesa Cirúrgica Ortopédica; 13 Mesas Cirúrgicas para Obeso; 01 Microscópio Cirúrgico; 05 Óticas; 10 Oxímetros de Pulso; 01 Processadora Automática de Tecidos; 03 Aparelhos de Raio-x Móveis; 01 Ressonância Magnética; 02 Tomógrafos; INSTRUMENTAIS CIRÚRGICOS: xxxxxxx</v>
      </c>
      <c r="Y33" s="361"/>
      <c r="Z33" s="362"/>
    </row>
    <row r="34" ht="137.25" customHeight="1">
      <c r="A34" s="363">
        <v>2611606.0</v>
      </c>
      <c r="B34" s="355" t="s">
        <v>96</v>
      </c>
      <c r="C34" s="356" t="s">
        <v>104</v>
      </c>
      <c r="D34" s="58" t="s">
        <v>1</v>
      </c>
      <c r="E34" s="61" t="s">
        <v>164</v>
      </c>
      <c r="F34" s="357" t="str">
        <f t="array" ref="F34">TEXTJOIN(CHAR(10), TRUE, 
  "*" &amp; E34 &amp; "*", 
"Status: " &amp; _xlfn.XLOOKUP(E34, 'DESCONTINUADA Os Seis Grandes'!B:B, 'DESCONTINUADA Os Seis Grandes'!C:C, "Não encontrado"),
"Tipo de Gestão: " &amp; _xlfn.XLOOKUP(E34, 'DESCONTINUADA Os Seis Grandes'!B:B, 'DESCONTINUADA Os Seis Grandes'!D:D, "Não encontrado"),
"Localização: " &amp; _xlfn.XLOOKUP(E34, 'DESCONTINUADA Os Seis Grandes'!B:B, 'DESCONTINUADA Os Seis Grandes'!E:E, "Não encontrado"), 
"Número de leitos: " &amp; _xlfn.XLOOKUP(E34, 'DESCONTINUADA Os Seis Grandes'!B:B, 'DESCONTINUADA Os Seis Grandes'!F:F, "Não encontrado"),
"Leitos abertos nesta gestão: " &amp; _xlfn.XLOOKUP(E34, 'DESCONTINUADA Os Seis Grandes'!B:B, 'DESCONTINUADA Os Seis Grandes'!G:G, "Não encontrado"),
"Tipos de leitos abertos nesta gestão: " &amp; _xlfn.XLOOKUP(E34, 'DESCONTINUADA Os Seis Grandes'!B:B, 'DESCONTINUADA Os Seis Grandes'!H:H, "Não encontrado"),
"Leitos a abrir com o fim das reformas : " &amp; _xlfn.XLOOKUP(E34, 'DESCONTINUADA Os Seis Grandes'!B:B, 'DESCONTINUADA Os Seis Grandes'!I:I, "Não encontrado"),
"Perfil: " &amp; _xlfn.XLOOKUP(E34, 'DESCONTINUADA Os Seis Grandes'!B:B, 'DESCONTINUADA Os Seis Grandes'!J:J, "Não encontrado"), 
"Nº Profissionais Total: " &amp; _xlfn.XLOOKUP(E34, 'DESCONTINUADA Os Seis Grandes'!B:B, 'DESCONTINUADA Os Seis Grandes'!K:K, "Não encontrado"), 
"Nº Profissionais convocados nesta gestão: " &amp; _xlfn.XLOOKUP(E34, 'DESCONTINUADA Os Seis Grandes'!B:B, 'DESCONTINUADA Os Seis Grandes'!L:L, "Não encontrado"), 
"Valor do contrato de manutenção predial (anual): " &amp; TEXT(_xlfn.XLOOKUP(E34, 'DESCONTINUADA Os Seis Grandes'!B:B, 'DESCONTINUADA Os Seis Grandes'!M:M, 0), "R$ #.##0,0"),
"Cofinanciamento 2022: " &amp; TEXT(_xlfn.XLOOKUP(E34, 'DESCONTINUADA Os Seis Grandes'!B:B, 'DESCONTINUADA Os Seis Grandes'!N:N, 0), "R$ #.##0,0"),
"Cofinanciamento 2025: " &amp; TEXT(_xlfn.XLOOKUP(E34, 'DESCONTINUADA Os Seis Grandes'!B:B, 'DESCONTINUADA Os Seis Grandes'!O:O, 0), "R$ #.##0,0"),
"Aumento Cofinanciamento  (2022 a 2025) %: " &amp; TEXT(_xlfn.XLOOKUP(E34, 'DESCONTINUADA Os Seis Grandes'!B:B, 'DESCONTINUADA Os Seis Grandes'!P:P, 0), "00.00%"), 
"Investimento nesta gestão: " &amp; TEXT(_xlfn.XLOOKUP(E34, 'DESCONTINUADA Os Seis Grandes'!B:B, 'DESCONTINUADA Os Seis Grandes'!Q:Q, 0), "R$ #.##0,0"), 
"Nova equipagem: " &amp; _xlfn.XLOOKUP(E34, 'DESCONTINUADA Os Seis Grandes'!B:B, 'DESCONTINUADA Os Seis Grandes'!R:R, "Não encontrado"), 
"Obras de infraestrutura: " &amp; _xlfn.XLOOKUP(E34, 'DESCONTINUADA Os Seis Grandes'!B:B, 'DESCONTINUADA Os Seis Grandes'!S:S, "Não encontrado"),)</f>
        <v>*Hospital Barão de Lucena (HBL)*
Status: EM FUNCIONAMENTO
Tipo de Gestão: Gestão própria
Localização: Av. Caxangá, 3860 - Iputinga, Recife - PE
Número de leitos: 379
Leitos abertos nesta gestão: 25
Tipos de leitos abertos nesta gestão: 10 leitos de UTI Pediátrica
15 leitos de Enfermaria pediátrica
Leitos a abrir com o fim das reformas : 71
Perfil: Urgência: Obstetrícia de alto risco, emergência pediátrica. 
Ambulatório: Dermatologia, obstetrícia de alto risco, oncologia, nefrologia adulto e pediátrico, clínicas cirúrgicas (vascular, geral, proctologia, torácica, ginecologia e mastologia), endocrinologia, neuropediatria e programa de ostomizados, SAE (Serviço de Atenção Especializada em HIV/Aids).
Nº Profissionais Total: 3154
Nº Profissionais convocados nesta gestão: 1272
Valor do contrato de manutenção predial (anual): R$ 7.677.188,1600
Cofinanciamento 2022: R$ 45.346.764,2700
Cofinanciamento 2025: R$ 84.855.255,1900
Aumento Cofinanciamento  (2022 a 2025) %: 87,13%
Investimento nesta gestão: R$ 134.761.184,9900
Nova equipagem: EQUIPAGEM: 02 Sistemas de Videolaparoscopia; 01 Ultrassonógrafo Digital; 01 Sistema de Videobroncoscópio; 04 Biturís Elétricos; 04 Refrigeradores Científicos; 01 Micrótomo de Rotação; 02 Incubadoras para Recém Nascido; 12 Incubadoras de Transporte para recém Nascido; 03 Radiômetros Portáteis; 52 Unidades de Fototerapia; 02 Mesas Ginecológicas; 01 Balança Antropométrica; 71 Esfigmomanômetro Pedestal; 01 Aparelho para Potencial Evocado Portátil; 20 Detectores de Batimentos Cardíacos Fetais; 02 Videogastroscópios; 01 Videolaringoscópio; 01 Mesa Cirúrgica Elétrica; 01 Micrótomo de Congelação; 04 Mesas Cirúrgicas Ortopédicas; 09 Aparelhos de Anestesia; 01 Banho Histológico; 01 Mamógrafo; 01 Ventilador Pulmonar; 01 Reprocessadora Capilar;  01 Equipamento de Desintometria Óssea; 82 Camas Elétricas; 176 Computadores; INSTRUMENTAIS CIRÚRGICOS: xxxxxxx
Obras de infraestrutura: Estamos fazendo: Requalificação das enfermarias do 3ª andar; requalificação da fachada; reforma do setor de quimioterapia, novo setor de hemodiálise, laboratório, CME - Central de Material e Esterilização, SAME - Serviço de Arquivo Médico; novo prédio da pediatria;
Já entregamos: Requalificação da UTI adulto; requalificação da UTI pediátrica; Requalificação da UTI neonatal; instalação de 02 novos elevadores; requalificação do necrotério; requalificação de uma enfermaria vascular de 10 leitos. </v>
      </c>
      <c r="G34" s="310" t="s">
        <v>63</v>
      </c>
      <c r="H34" s="61" t="s">
        <v>75</v>
      </c>
      <c r="I34" s="61"/>
      <c r="J34" s="208">
        <f t="array" ref="J34">_xlfn.XLOOKUP(E34, 'DESCONTINUADA Os Seis Grandes'!B:B, 'DESCONTINUADA Os Seis Grandes'!G:G)</f>
        <v>25</v>
      </c>
      <c r="K34" s="208">
        <f t="array" ref="K34">_xlfn.XLOOKUP(E34, 'DESCONTINUADA Os Seis Grandes'!B:B, 'DESCONTINUADA Os Seis Grandes'!F:F)</f>
        <v>379</v>
      </c>
      <c r="L34" s="208" t="str">
        <f t="array" ref="L34">_xlfn.XLOOKUP(E34, 'DESCONTINUADA Os Seis Grandes'!B:B, 'DESCONTINUADA Os Seis Grandes'!H:H)</f>
        <v>10 leitos de UTI Pediátrica
15 leitos de Enfermaria pediátrica</v>
      </c>
      <c r="M34" s="208">
        <f t="array" ref="M34">_xlfn.XLOOKUP(E34, 'DESCONTINUADA Os Seis Grandes'!B:B, 'DESCONTINUADA Os Seis Grandes'!I:I)</f>
        <v>71</v>
      </c>
      <c r="N34" s="358" t="str">
        <f t="array" ref="N34">_xlfn.XLOOKUP(E34, 'DESCONTINUADA Os Seis Grandes'!B:B, 'DESCONTINUADA Os Seis Grandes'!J:J)</f>
        <v>Urgência: Obstetrícia de alto risco, emergência pediátrica. 
Ambulatório: Dermatologia, obstetrícia de alto risco, oncologia, nefrologia adulto e pediátrico, clínicas cirúrgicas (vascular, geral, proctologia, torácica, ginecologia e mastologia), endocrinologia, neuropediatria e programa de ostomizados, SAE (Serviço de Atenção Especializada em HIV/Aids).</v>
      </c>
      <c r="O34" s="359">
        <f t="array" ref="O34">_xlfn.XLOOKUP(E34, 'DESCONTINUADA Os Seis Grandes'!B:B, 'DESCONTINUADA Os Seis Grandes'!K:K)</f>
        <v>3154</v>
      </c>
      <c r="P34" s="266">
        <f t="array" ref="P34">_xlfn.XLOOKUP(E34, 'DESCONTINUADA Os Seis Grandes'!B:B, 'DESCONTINUADA Os Seis Grandes'!L:L)</f>
        <v>1272</v>
      </c>
      <c r="Q34" s="211">
        <f t="array" ref="Q34">_xlfn.XLOOKUP(E34, 'DESCONTINUADA Os Seis Grandes'!B:B, 'DESCONTINUADA Os Seis Grandes'!M:M)</f>
        <v>7677188.16</v>
      </c>
      <c r="R34" s="211">
        <f t="array" ref="R34">_xlfn.XLOOKUP(E34, 'DESCONTINUADA Os Seis Grandes'!B:B, 'DESCONTINUADA Os Seis Grandes'!Q:Q)</f>
        <v>134761185</v>
      </c>
      <c r="S34" s="211">
        <f t="array" ref="S34">_xlfn.XLOOKUP(E34, 'DESCONTINUADA Os Seis Grandes'!B:B, 'DESCONTINUADA Os Seis Grandes'!N:N)</f>
        <v>45346764.27</v>
      </c>
      <c r="T34" s="211">
        <f t="array" ref="T34">_xlfn.XLOOKUP(E34, 'DESCONTINUADA Os Seis Grandes'!B:B, 'DESCONTINUADA Os Seis Grandes'!O:O)</f>
        <v>84855255.19</v>
      </c>
      <c r="U34" s="360">
        <f t="array" ref="U34">_xlfn.XLOOKUP(E34, 'DESCONTINUADA Os Seis Grandes'!B:B, 'DESCONTINUADA Os Seis Grandes'!P:P)</f>
        <v>0.8712527025</v>
      </c>
      <c r="V34" s="208"/>
      <c r="W34" s="208"/>
      <c r="X34" s="357" t="str">
        <f t="array" ref="X34">_xlfn.XLOOKUP(E34, 'DESCONTINUADA Os Seis Grandes'!B:B, 'DESCONTINUADA Os Seis Grandes'!R:R)</f>
        <v>EQUIPAGEM: 02 Sistemas de Videolaparoscopia; 01 Ultrassonógrafo Digital; 01 Sistema de Videobroncoscópio; 04 Biturís Elétricos; 04 Refrigeradores Científicos; 01 Micrótomo de Rotação; 02 Incubadoras para Recém Nascido; 12 Incubadoras de Transporte para recém Nascido; 03 Radiômetros Portáteis; 52 Unidades de Fototerapia; 02 Mesas Ginecológicas; 01 Balança Antropométrica; 71 Esfigmomanômetro Pedestal; 01 Aparelho para Potencial Evocado Portátil; 20 Detectores de Batimentos Cardíacos Fetais; 02 Videogastroscópios; 01 Videolaringoscópio; 01 Mesa Cirúrgica Elétrica; 01 Micrótomo de Congelação; 04 Mesas Cirúrgicas Ortopédicas; 09 Aparelhos de Anestesia; 01 Banho Histológico; 01 Mamógrafo; 01 Ventilador Pulmonar; 01 Reprocessadora Capilar;  01 Equipamento de Desintometria Óssea; 82 Camas Elétricas; 176 Computadores; INSTRUMENTAIS CIRÚRGICOS: xxxxxxx</v>
      </c>
      <c r="Y34" s="361"/>
      <c r="Z34" s="362"/>
    </row>
    <row r="35" ht="137.25" customHeight="1">
      <c r="A35" s="363">
        <v>2611606.0</v>
      </c>
      <c r="B35" s="355" t="s">
        <v>96</v>
      </c>
      <c r="C35" s="356" t="s">
        <v>104</v>
      </c>
      <c r="D35" s="58" t="s">
        <v>1</v>
      </c>
      <c r="E35" s="61" t="s">
        <v>193</v>
      </c>
      <c r="F35" s="357" t="str">
        <f t="array" ref="F35">TEXTJOIN(CHAR(10), TRUE, 
  "*" &amp; E35 &amp; "*", 
"Status: " &amp; _xlfn.XLOOKUP(E35, 'DESCONTINUADA Os Seis Grandes'!B:B, 'DESCONTINUADA Os Seis Grandes'!C:C, "Não encontrado"),
"Tipo de Gestão: " &amp; _xlfn.XLOOKUP(E35, 'DESCONTINUADA Os Seis Grandes'!B:B, 'DESCONTINUADA Os Seis Grandes'!D:D, "Não encontrado"),
"Localização: " &amp; _xlfn.XLOOKUP(E35, 'DESCONTINUADA Os Seis Grandes'!B:B, 'DESCONTINUADA Os Seis Grandes'!E:E, "Não encontrado"), 
"Número de leitos: " &amp; _xlfn.XLOOKUP(E35, 'DESCONTINUADA Os Seis Grandes'!B:B, 'DESCONTINUADA Os Seis Grandes'!F:F, "Não encontrado"),
"Leitos abertos nesta gestão: " &amp; _xlfn.XLOOKUP(E35, 'DESCONTINUADA Os Seis Grandes'!B:B, 'DESCONTINUADA Os Seis Grandes'!G:G, "Não encontrado"),
"Tipos de leitos abertos nesta gestão: " &amp; _xlfn.XLOOKUP(E35, 'DESCONTINUADA Os Seis Grandes'!B:B, 'DESCONTINUADA Os Seis Grandes'!H:H, "Não encontrado"),
"Leitos a abrir com o fim das reformas : " &amp; _xlfn.XLOOKUP(E35, 'DESCONTINUADA Os Seis Grandes'!B:B, 'DESCONTINUADA Os Seis Grandes'!I:I, "Não encontrado"),
"Perfil: " &amp; _xlfn.XLOOKUP(E35, 'DESCONTINUADA Os Seis Grandes'!B:B, 'DESCONTINUADA Os Seis Grandes'!J:J, "Não encontrado"), 
"Nº Profissionais Total: " &amp; _xlfn.XLOOKUP(E35, 'DESCONTINUADA Os Seis Grandes'!B:B, 'DESCONTINUADA Os Seis Grandes'!K:K, "Não encontrado"), 
"Nº Profissionais convocados nesta gestão: " &amp; _xlfn.XLOOKUP(E35, 'DESCONTINUADA Os Seis Grandes'!B:B, 'DESCONTINUADA Os Seis Grandes'!L:L, "Não encontrado"), 
"Valor do contrato de manutenção predial (anual): " &amp; TEXT(_xlfn.XLOOKUP(E35, 'DESCONTINUADA Os Seis Grandes'!B:B, 'DESCONTINUADA Os Seis Grandes'!M:M, 0), "R$ #.##0,0"),
"Cofinanciamento 2022: " &amp; TEXT(_xlfn.XLOOKUP(E35, 'DESCONTINUADA Os Seis Grandes'!B:B, 'DESCONTINUADA Os Seis Grandes'!N:N, 0), "R$ #.##0,0"),
"Cofinanciamento 2025: " &amp; TEXT(_xlfn.XLOOKUP(E35, 'DESCONTINUADA Os Seis Grandes'!B:B, 'DESCONTINUADA Os Seis Grandes'!O:O, 0), "R$ #.##0,0"),
"Aumento Cofinanciamento  (2022 a 2025) %: " &amp; TEXT(_xlfn.XLOOKUP(E35, 'DESCONTINUADA Os Seis Grandes'!B:B, 'DESCONTINUADA Os Seis Grandes'!P:P, 0), "00.00%"), 
"Investimento nesta gestão: " &amp; TEXT(_xlfn.XLOOKUP(E35, 'DESCONTINUADA Os Seis Grandes'!B:B, 'DESCONTINUADA Os Seis Grandes'!Q:Q, 0), "R$ #.##0,0"), 
"Nova equipagem: " &amp; _xlfn.XLOOKUP(E35, 'DESCONTINUADA Os Seis Grandes'!B:B, 'DESCONTINUADA Os Seis Grandes'!R:R, "Não encontrado"), 
"Obras de infraestrutura: " &amp; _xlfn.XLOOKUP(E35, 'DESCONTINUADA Os Seis Grandes'!B:B, 'DESCONTINUADA Os Seis Grandes'!S:S, "Não encontrado"),)</f>
        <v>*Hospital Getúlio Vargas (HGV)*
Status: EM FUNCIONAMENTO
Tipo de Gestão: Gestão própria
Localização: Av. Gen. San Martin, s/n - Cordeiro, Recife - PE
Número de leitos: 412
Leitos abertos nesta gestão: -
Tipos de leitos abertos nesta gestão: -
Leitos a abrir com o fim das reformas : -
Perfil: Urgência: Clínica Médica, Ortopedia e Traumatologia, Bucomaxilofacial, Urgência Dialítica, Cirurgia Geral e Cirurgia Vascular. 
Ambulatorial: Clínica Médica, cirurgia geral, cirurgia vascular, dermatologia, endocrinologia, gastroenterologia, geriatria, neurologia, neurocirurgia, nutrição, acupuntura, ortopedia e traumatologia, ortopedia e traumatologia pediátrica especializada em pé torto, proctologia e urologia.
Nº Profissionais Total: 2853
Nº Profissionais convocados nesta gestão: 925
Valor do contrato de manutenção predial (anual): R$ 6.804.023,7400
Cofinanciamento 2022: R$ 58.396.640,2300
Cofinanciamento 2025: R$ 71.547.860,1600
Aumento Cofinanciamento  (2022 a 2025) %: 22,52%
Investimento nesta gestão: R$ 77.938.404,200
Nova equipagem: EQUIPAGEM:01Cabine deSegurança Biológica; 01 Micrótomo; 04 Eletrocardiógrafos; 10 Serras para Gesso; 20 Colchões Pneumáticos; 02 Fotóforo Led; 60 Esfigmomanômetro; 28 Perfurador Ósseo; 06 Seladoras de Papel Grau Cirúrgico; 10 Aparelho de Ultrassom Terapêutico; 18 Aparelhos de Anestesia; 05 Arcos Cirúrgicos; 04 Aspirador Ultrassônico; 02 Autoclaves; 02 Aparelho de Banho Histológico; 10 Bisturí Elétrico; 06 Cardioversor; 02 Central de Inclusão Histológica; 03 Centrífugas; 01 Dispensador de Parafina; 118 Esfigmomanômetro Pedestal; 08 Focos Cirúrgicos Móveis; 09 Mesas Cirúrgicas; 06 Mesas Cirúrgicas Ortopédicas; 01 Micrótomo Manual; 92 Monitores Multiparamétricos; 04 Oxímetros de Pulso; 04 Reprocessadoras de Endoscópios; 03 Sistemas de Videolaparoscopia; 01 Sistema de Videolaparoscopia Rígida; 01 Torre de Endoscopia Flexivel; 01 Torre de Videolaringoscopia Flexível; 02 Ventilador Pulmonar de Transporte; 01 Angiógrafo; 01 Bomba Injetora de Contraste; 01 Foco Cirúrgico de Teto; 01 Microscópio Cirúrgico; 01 Polígrafo; 03 Aparelhos de Raio-x Móvel Digital; 01 Refrigerador Científico; 02 Aparelhos de Ultrassom Fixo; 05 Aparelhos de Ultrassom Portátil; 03 Umidificadores Aquecidos; 03 Ventiladores Pulmonar;  106 Camas Manuais;  CAMA ELÉTRICA: xxxxx; 554 Computadores + 05 Notebooks; INSTRUMENTAIS CIRÚRGICOS: xxxxxxx
Obras de infraestrutura: Estamos fazendo: requalificação das enfermarias; instalação de 2 novos elevadores.
Já entregamos: implantação do novo bloco cirúrgicom com 8 salas; implantação do serviço de  hemodinâmica;  requalificação do setor de raio-x; requalificação da caixa d'água.</v>
      </c>
      <c r="G35" s="310" t="s">
        <v>63</v>
      </c>
      <c r="H35" s="61" t="s">
        <v>75</v>
      </c>
      <c r="I35" s="61"/>
      <c r="J35" s="208" t="str">
        <f t="array" ref="J35">_xlfn.XLOOKUP(E35, 'DESCONTINUADA Os Seis Grandes'!B:B, 'DESCONTINUADA Os Seis Grandes'!G:G)</f>
        <v>-</v>
      </c>
      <c r="K35" s="208">
        <f t="array" ref="K35">_xlfn.XLOOKUP(E35, 'DESCONTINUADA Os Seis Grandes'!B:B, 'DESCONTINUADA Os Seis Grandes'!F:F)</f>
        <v>412</v>
      </c>
      <c r="L35" s="208" t="str">
        <f t="array" ref="L35">_xlfn.XLOOKUP(E35, 'DESCONTINUADA Os Seis Grandes'!B:B, 'DESCONTINUADA Os Seis Grandes'!H:H)</f>
        <v>-</v>
      </c>
      <c r="M35" s="208" t="str">
        <f t="array" ref="M35">_xlfn.XLOOKUP(E35, 'DESCONTINUADA Os Seis Grandes'!B:B, 'DESCONTINUADA Os Seis Grandes'!I:I)</f>
        <v>-</v>
      </c>
      <c r="N35" s="358" t="str">
        <f t="array" ref="N35">_xlfn.XLOOKUP(E35, 'DESCONTINUADA Os Seis Grandes'!B:B, 'DESCONTINUADA Os Seis Grandes'!J:J)</f>
        <v>Urgência: Clínica Médica, Ortopedia e Traumatologia, Bucomaxilofacial, Urgência Dialítica, Cirurgia Geral e Cirurgia Vascular. 
Ambulatorial: Clínica Médica, cirurgia geral, cirurgia vascular, dermatologia, endocrinologia, gastroenterologia, geriatria, neurologia, neurocirurgia, nutrição, acupuntura, ortopedia e traumatologia, ortopedia e traumatologia pediátrica especializada em pé torto, proctologia e urologia.</v>
      </c>
      <c r="O35" s="359">
        <f t="array" ref="O35">_xlfn.XLOOKUP(E35, 'DESCONTINUADA Os Seis Grandes'!B:B, 'DESCONTINUADA Os Seis Grandes'!K:K)</f>
        <v>2853</v>
      </c>
      <c r="P35" s="266">
        <f t="array" ref="P35">_xlfn.XLOOKUP(E35, 'DESCONTINUADA Os Seis Grandes'!B:B, 'DESCONTINUADA Os Seis Grandes'!L:L)</f>
        <v>925</v>
      </c>
      <c r="Q35" s="211">
        <f t="array" ref="Q35">_xlfn.XLOOKUP(E35, 'DESCONTINUADA Os Seis Grandes'!B:B, 'DESCONTINUADA Os Seis Grandes'!M:M)</f>
        <v>6804023.74</v>
      </c>
      <c r="R35" s="211">
        <f t="array" ref="R35">_xlfn.XLOOKUP(E35, 'DESCONTINUADA Os Seis Grandes'!B:B, 'DESCONTINUADA Os Seis Grandes'!Q:Q)</f>
        <v>77938404.2</v>
      </c>
      <c r="S35" s="211">
        <f t="array" ref="S35">_xlfn.XLOOKUP(E35, 'DESCONTINUADA Os Seis Grandes'!B:B, 'DESCONTINUADA Os Seis Grandes'!N:N)</f>
        <v>58396640.23</v>
      </c>
      <c r="T35" s="211">
        <f t="array" ref="T35">_xlfn.XLOOKUP(E35, 'DESCONTINUADA Os Seis Grandes'!B:B, 'DESCONTINUADA Os Seis Grandes'!O:O)</f>
        <v>71547860.16</v>
      </c>
      <c r="U35" s="360">
        <f t="array" ref="U35">_xlfn.XLOOKUP(E35, 'DESCONTINUADA Os Seis Grandes'!B:B, 'DESCONTINUADA Os Seis Grandes'!P:P)</f>
        <v>0.2252050782</v>
      </c>
      <c r="V35" s="208"/>
      <c r="W35" s="208"/>
      <c r="X35" s="357" t="str">
        <f t="array" ref="X35">_xlfn.XLOOKUP(E35, 'DESCONTINUADA Os Seis Grandes'!B:B, 'DESCONTINUADA Os Seis Grandes'!R:R)</f>
        <v>EQUIPAGEM:01Cabine deSegurança Biológica; 01 Micrótomo; 04 Eletrocardiógrafos; 10 Serras para Gesso; 20 Colchões Pneumáticos; 02 Fotóforo Led; 60 Esfigmomanômetro; 28 Perfurador Ósseo; 06 Seladoras de Papel Grau Cirúrgico; 10 Aparelho de Ultrassom Terapêutico; 18 Aparelhos de Anestesia; 05 Arcos Cirúrgicos; 04 Aspirador Ultrassônico; 02 Autoclaves; 02 Aparelho de Banho Histológico; 10 Bisturí Elétrico; 06 Cardioversor; 02 Central de Inclusão Histológica; 03 Centrífugas; 01 Dispensador de Parafina; 118 Esfigmomanômetro Pedestal; 08 Focos Cirúrgicos Móveis; 09 Mesas Cirúrgicas; 06 Mesas Cirúrgicas Ortopédicas; 01 Micrótomo Manual; 92 Monitores Multiparamétricos; 04 Oxímetros de Pulso; 04 Reprocessadoras de Endoscópios; 03 Sistemas de Videolaparoscopia; 01 Sistema de Videolaparoscopia Rígida; 01 Torre de Endoscopia Flexivel; 01 Torre de Videolaringoscopia Flexível; 02 Ventilador Pulmonar de Transporte; 01 Angiógrafo; 01 Bomba Injetora de Contraste; 01 Foco Cirúrgico de Teto; 01 Microscópio Cirúrgico; 01 Polígrafo; 03 Aparelhos de Raio-x Móvel Digital; 01 Refrigerador Científico; 02 Aparelhos de Ultrassom Fixo; 05 Aparelhos de Ultrassom Portátil; 03 Umidificadores Aquecidos; 03 Ventiladores Pulmonar;  106 Camas Manuais;  CAMA ELÉTRICA: xxxxx; 554 Computadores + 05 Notebooks; INSTRUMENTAIS CIRÚRGICOS: xxxxxxx</v>
      </c>
      <c r="Y35" s="361"/>
      <c r="Z35" s="362"/>
    </row>
    <row r="36" ht="137.25" customHeight="1">
      <c r="A36" s="363">
        <v>2611606.0</v>
      </c>
      <c r="B36" s="355" t="s">
        <v>96</v>
      </c>
      <c r="C36" s="356" t="s">
        <v>104</v>
      </c>
      <c r="D36" s="58" t="s">
        <v>1</v>
      </c>
      <c r="E36" s="61" t="s">
        <v>212</v>
      </c>
      <c r="F36" s="357" t="str">
        <f t="array" ref="F36">TEXTJOIN(CHAR(10), TRUE, 
  "*" &amp; E36 &amp; "*", 
"Status: " &amp; _xlfn.XLOOKUP(E36, 'DESCONTINUADA Os Seis Grandes'!B:B, 'DESCONTINUADA Os Seis Grandes'!C:C, "Não encontrado"),
"Tipo de Gestão: " &amp; _xlfn.XLOOKUP(E36, 'DESCONTINUADA Os Seis Grandes'!B:B, 'DESCONTINUADA Os Seis Grandes'!D:D, "Não encontrado"),
"Localização: " &amp; _xlfn.XLOOKUP(E36, 'DESCONTINUADA Os Seis Grandes'!B:B, 'DESCONTINUADA Os Seis Grandes'!E:E, "Não encontrado"), 
"Número de leitos: " &amp; _xlfn.XLOOKUP(E36, 'DESCONTINUADA Os Seis Grandes'!B:B, 'DESCONTINUADA Os Seis Grandes'!F:F, "Não encontrado"),
"Leitos abertos nesta gestão: " &amp; _xlfn.XLOOKUP(E36, 'DESCONTINUADA Os Seis Grandes'!B:B, 'DESCONTINUADA Os Seis Grandes'!G:G, "Não encontrado"),
"Tipos de leitos abertos nesta gestão: " &amp; _xlfn.XLOOKUP(E36, 'DESCONTINUADA Os Seis Grandes'!B:B, 'DESCONTINUADA Os Seis Grandes'!H:H, "Não encontrado"),
"Leitos a abrir com o fim das reformas : " &amp; _xlfn.XLOOKUP(E36, 'DESCONTINUADA Os Seis Grandes'!B:B, 'DESCONTINUADA Os Seis Grandes'!I:I, "Não encontrado"),
"Perfil: " &amp; _xlfn.XLOOKUP(E36, 'DESCONTINUADA Os Seis Grandes'!B:B, 'DESCONTINUADA Os Seis Grandes'!J:J, "Não encontrado"), 
"Nº Profissionais Total: " &amp; _xlfn.XLOOKUP(E36, 'DESCONTINUADA Os Seis Grandes'!B:B, 'DESCONTINUADA Os Seis Grandes'!K:K, "Não encontrado"), 
"Nº Profissionais convocados nesta gestão: " &amp; _xlfn.XLOOKUP(E36, 'DESCONTINUADA Os Seis Grandes'!B:B, 'DESCONTINUADA Os Seis Grandes'!L:L, "Não encontrado"), 
"Valor do contrato de manutenção predial (anual): " &amp; TEXT(_xlfn.XLOOKUP(E36, 'DESCONTINUADA Os Seis Grandes'!B:B, 'DESCONTINUADA Os Seis Grandes'!M:M, 0), "R$ #.##0,0"),
"Cofinanciamento 2022: " &amp; TEXT(_xlfn.XLOOKUP(E36, 'DESCONTINUADA Os Seis Grandes'!B:B, 'DESCONTINUADA Os Seis Grandes'!N:N, 0), "R$ #.##0,0"),
"Cofinanciamento 2025: " &amp; TEXT(_xlfn.XLOOKUP(E36, 'DESCONTINUADA Os Seis Grandes'!B:B, 'DESCONTINUADA Os Seis Grandes'!O:O, 0), "R$ #.##0,0"),
"Aumento Cofinanciamento  (2022 a 2025) %: " &amp; TEXT(_xlfn.XLOOKUP(E36, 'DESCONTINUADA Os Seis Grandes'!B:B, 'DESCONTINUADA Os Seis Grandes'!P:P, 0), "00.00%"), 
"Investimento nesta gestão: " &amp; TEXT(_xlfn.XLOOKUP(E36, 'DESCONTINUADA Os Seis Grandes'!B:B, 'DESCONTINUADA Os Seis Grandes'!Q:Q, 0), "R$ #.##0,0"), 
"Nova equipagem: " &amp; _xlfn.XLOOKUP(E36, 'DESCONTINUADA Os Seis Grandes'!B:B, 'DESCONTINUADA Os Seis Grandes'!R:R, "Não encontrado"), 
"Obras de infraestrutura: " &amp; _xlfn.XLOOKUP(E36, 'DESCONTINUADA Os Seis Grandes'!B:B, 'DESCONTINUADA Os Seis Grandes'!S:S, "Não encontrado"),)</f>
        <v>*Hospital Otávio de Freitas (HOF)*
Status: EM FUNCIONAMENTO
Tipo de Gestão: Gestão própria
Localização: R. Aprígio Guimarães, 600 - Tejipio, Recife - PE
Número de leitos: 511
Leitos abertos nesta gestão: -
Tipos de leitos abertos nesta gestão: 
Leitos a abrir com o fim das reformas : 146
Perfil: Urgência: Clínica Médica, Cirurgia Geral, Endoscopia, Urgência Dialítica, Ortopedia e Traumatologia (adulto e pediátrica),  Urologia  adulto e Pediátrica, Tisiologia, Pneumologia e Cirurgia Torácica. 
Ambulatorial: Clínica Médica, Cirurgia Geral, Clínicas Cirúrgicas (geral, urologia, traumatologia e ortopedia), Dermatologia, Ambulatório do Sono, Programa de Bexiga Neurogênica, Oxigenioterapia, Tuberculose, Hanseníase, Serviço de Atendimento Especializado IST/Aids.
Nº Profissionais Total: 3275
Nº Profissionais convocados nesta gestão: 1221
Valor do contrato de manutenção predial (anual): R$ 10.899.713,4300
Cofinanciamento 2022: R$ 57.666.779,3400
Cofinanciamento 2025: R$ 118.453.263,5700
Aumento Cofinanciamento  (2022 a 2025) %: 105,41%
Investimento nesta gestão: R$ 166.576.349,1400
Nova equipagem: EQUIPAGEM: 01 Câmara Frigorífica para Cadáver; 05 Bisturí Elétrico; 01 Criostato; 07 Ultrason Contínuo Pulsátil; 04 Laser para Acupuntura e Fisioterapia; 01 Unidade de Radiodiagnóstico Fixa de Uso Geral; 02 Aparelho de Ultrassonografia Portátil; 02 Sistema de Vídeo Cirúrgico;  08 Monitores Multiparamétricos; 01 Aspirador de Vapor para Uso Cirúrgico; 01 Centrífuga de Bancada; 02 Serras Elétricas para Gesso; 01 Mediastinoscópio; 04 Aparelhos de Polissonografia; 01 Processadora Automática de Tecidos para Histologia; 01 Micrótomo de Rotação; 15 Cardioversores; 13 Eletrocardiógrafo Portátil; 01 Videobroncoscópio Pediátrico; 02 Aparelhos de Raio-x Portátil; 02 Arco Cirúrgico Móvel; 02 Duodenoscópios; 03 Videocolonoscópios; 03 Videogastroscópios; 02 Fontes de Luz para Sistema de Endoscopia; 02 Processadora de Imagem de Vídeo; 02 Monitores de Vídeo; 03 Garrotes Pneumáticos; 06 Ventiladores de Transporte; 10 Espirômetros; 12 Aparelhos de Anestesia; CAMA ELÉTRICA: xxxxx; 660 Computadores; INSTRUMENTAIS CIRÚRGICOS: xxxxxxx
Obras de infraestrutura: Estamos fazendo: Novo prédio da emergência;  novo prédio da farmácia; Requalificação do Bloco Cirúrgico; Requalificação da emergência pediátrica; Requalificação da UTI pediátrica. 
Já entregamos: Requalificação da cozinha e refeitório; requalificação do SAME - Serviço de Arquivo Médico e Estatística; requalificação e ampliação dos leitos de tisiologia;  requalificação do bloco cirúrgico ambulatorial; requalificação da caixa d'água;  requalificação do setor de endoscopia; Novo prédio da administração geral; requalificação da recepção; requalificação do setor de imagem; requalificação da UTI respiratória.</v>
      </c>
      <c r="G36" s="310" t="s">
        <v>63</v>
      </c>
      <c r="H36" s="61" t="s">
        <v>75</v>
      </c>
      <c r="I36" s="61"/>
      <c r="J36" s="208" t="str">
        <f t="array" ref="J36">_xlfn.XLOOKUP(E36, 'DESCONTINUADA Os Seis Grandes'!B:B, 'DESCONTINUADA Os Seis Grandes'!G:G)</f>
        <v>-</v>
      </c>
      <c r="K36" s="208">
        <f t="array" ref="K36">_xlfn.XLOOKUP(E36, 'DESCONTINUADA Os Seis Grandes'!B:B, 'DESCONTINUADA Os Seis Grandes'!F:F)</f>
        <v>511</v>
      </c>
      <c r="L36" s="208" t="str">
        <f t="array" ref="L36">_xlfn.XLOOKUP(E36, 'DESCONTINUADA Os Seis Grandes'!B:B, 'DESCONTINUADA Os Seis Grandes'!H:H)</f>
        <v/>
      </c>
      <c r="M36" s="208">
        <f t="array" ref="M36">_xlfn.XLOOKUP(E36, 'DESCONTINUADA Os Seis Grandes'!B:B, 'DESCONTINUADA Os Seis Grandes'!I:I)</f>
        <v>146</v>
      </c>
      <c r="N36" s="358" t="str">
        <f t="array" ref="N36">_xlfn.XLOOKUP(E36, 'DESCONTINUADA Os Seis Grandes'!B:B, 'DESCONTINUADA Os Seis Grandes'!J:J)</f>
        <v>Urgência: Clínica Médica, Cirurgia Geral, Endoscopia, Urgência Dialítica, Ortopedia e Traumatologia (adulto e pediátrica),  Urologia  adulto e Pediátrica, Tisiologia, Pneumologia e Cirurgia Torácica. 
Ambulatorial: Clínica Médica, Cirurgia Geral, Clínicas Cirúrgicas (geral, urologia, traumatologia e ortopedia), Dermatologia, Ambulatório do Sono, Programa de Bexiga Neurogênica, Oxigenioterapia, Tuberculose, Hanseníase, Serviço de Atendimento Especializado IST/Aids.
</v>
      </c>
      <c r="O36" s="359">
        <f t="array" ref="O36">_xlfn.XLOOKUP(E36, 'DESCONTINUADA Os Seis Grandes'!B:B, 'DESCONTINUADA Os Seis Grandes'!K:K)</f>
        <v>3275</v>
      </c>
      <c r="P36" s="266">
        <f t="array" ref="P36">_xlfn.XLOOKUP(E36, 'DESCONTINUADA Os Seis Grandes'!B:B, 'DESCONTINUADA Os Seis Grandes'!L:L)</f>
        <v>1221</v>
      </c>
      <c r="Q36" s="211">
        <f t="array" ref="Q36">_xlfn.XLOOKUP(E36, 'DESCONTINUADA Os Seis Grandes'!B:B, 'DESCONTINUADA Os Seis Grandes'!M:M)</f>
        <v>10899713.43</v>
      </c>
      <c r="R36" s="211">
        <f t="array" ref="R36">_xlfn.XLOOKUP(E36, 'DESCONTINUADA Os Seis Grandes'!B:B, 'DESCONTINUADA Os Seis Grandes'!Q:Q)</f>
        <v>166576349.1</v>
      </c>
      <c r="S36" s="211">
        <f t="array" ref="S36">_xlfn.XLOOKUP(E36, 'DESCONTINUADA Os Seis Grandes'!B:B, 'DESCONTINUADA Os Seis Grandes'!N:N)</f>
        <v>57666779.34</v>
      </c>
      <c r="T36" s="211">
        <f t="array" ref="T36">_xlfn.XLOOKUP(E36, 'DESCONTINUADA Os Seis Grandes'!B:B, 'DESCONTINUADA Os Seis Grandes'!O:O)</f>
        <v>118453263.6</v>
      </c>
      <c r="U36" s="360">
        <f t="array" ref="U36">_xlfn.XLOOKUP(E36, 'DESCONTINUADA Os Seis Grandes'!B:B, 'DESCONTINUADA Os Seis Grandes'!P:P)</f>
        <v>1.054098823</v>
      </c>
      <c r="V36" s="208"/>
      <c r="W36" s="208"/>
      <c r="X36" s="357" t="str">
        <f t="array" ref="X36">_xlfn.XLOOKUP(E36, 'DESCONTINUADA Os Seis Grandes'!B:B, 'DESCONTINUADA Os Seis Grandes'!R:R)</f>
        <v>EQUIPAGEM: 01 Câmara Frigorífica para Cadáver; 05 Bisturí Elétrico; 01 Criostato; 07 Ultrason Contínuo Pulsátil; 04 Laser para Acupuntura e Fisioterapia; 01 Unidade de Radiodiagnóstico Fixa de Uso Geral; 02 Aparelho de Ultrassonografia Portátil; 02 Sistema de Vídeo Cirúrgico;  08 Monitores Multiparamétricos; 01 Aspirador de Vapor para Uso Cirúrgico; 01 Centrífuga de Bancada; 02 Serras Elétricas para Gesso; 01 Mediastinoscópio; 04 Aparelhos de Polissonografia; 01 Processadora Automática de Tecidos para Histologia; 01 Micrótomo de Rotação; 15 Cardioversores; 13 Eletrocardiógrafo Portátil; 01 Videobroncoscópio Pediátrico; 02 Aparelhos de Raio-x Portátil; 02 Arco Cirúrgico Móvel; 02 Duodenoscópios; 03 Videocolonoscópios; 03 Videogastroscópios; 02 Fontes de Luz para Sistema de Endoscopia; 02 Processadora de Imagem de Vídeo; 02 Monitores de Vídeo; 03 Garrotes Pneumáticos; 06 Ventiladores de Transporte; 10 Espirômetros; 12 Aparelhos de Anestesia; CAMA ELÉTRICA: xxxxx; 660 Computadores; INSTRUMENTAIS CIRÚRGICOS: xxxxxxx</v>
      </c>
      <c r="Y36" s="361"/>
      <c r="Z36" s="362"/>
    </row>
    <row r="37" ht="137.25" customHeight="1">
      <c r="A37" s="53">
        <v>2604106.0</v>
      </c>
      <c r="B37" s="392" t="s">
        <v>315</v>
      </c>
      <c r="C37" s="311" t="s">
        <v>317</v>
      </c>
      <c r="D37" s="58" t="s">
        <v>1</v>
      </c>
      <c r="E37" s="61" t="s">
        <v>233</v>
      </c>
      <c r="F37" s="357" t="str">
        <f t="array" ref="F37">TEXTJOIN(CHAR(10), TRUE, 
  "*" &amp; E37 &amp; "*", 
"Status: " &amp; _xlfn.XLOOKUP(E37, 'DESCONTINUADA Os Seis Grandes'!B:B, 'DESCONTINUADA Os Seis Grandes'!C:C, "Não encontrado"),
"Tipo de Gestão: " &amp; _xlfn.XLOOKUP(E37, 'DESCONTINUADA Os Seis Grandes'!B:B, 'DESCONTINUADA Os Seis Grandes'!D:D, "Não encontrado"),
"Localização: " &amp; _xlfn.XLOOKUP(E37, 'DESCONTINUADA Os Seis Grandes'!B:B, 'DESCONTINUADA Os Seis Grandes'!E:E, "Não encontrado"), 
"Número de leitos: " &amp; _xlfn.XLOOKUP(E37, 'DESCONTINUADA Os Seis Grandes'!B:B, 'DESCONTINUADA Os Seis Grandes'!F:F, "Não encontrado"),
"Leitos abertos nesta gestão: " &amp; _xlfn.XLOOKUP(E37, 'DESCONTINUADA Os Seis Grandes'!B:B, 'DESCONTINUADA Os Seis Grandes'!G:G, "Não encontrado"),
"Tipos de leitos abertos nesta gestão: " &amp; _xlfn.XLOOKUP(E37, 'DESCONTINUADA Os Seis Grandes'!B:B, 'DESCONTINUADA Os Seis Grandes'!H:H, "Não encontrado"),
"Leitos a abrir com o fim das reformas : " &amp; _xlfn.XLOOKUP(E37, 'DESCONTINUADA Os Seis Grandes'!B:B, 'DESCONTINUADA Os Seis Grandes'!I:I, "Não encontrado"),
"Perfil: " &amp; _xlfn.XLOOKUP(E37, 'DESCONTINUADA Os Seis Grandes'!B:B, 'DESCONTINUADA Os Seis Grandes'!J:J, "Não encontrado"), 
"Nº Profissionais Total: " &amp; _xlfn.XLOOKUP(E37, 'DESCONTINUADA Os Seis Grandes'!B:B, 'DESCONTINUADA Os Seis Grandes'!K:K, "Não encontrado"), 
"Nº Profissionais convocados nesta gestão: " &amp; _xlfn.XLOOKUP(E37, 'DESCONTINUADA Os Seis Grandes'!B:B, 'DESCONTINUADA Os Seis Grandes'!L:L, "Não encontrado"), 
"Valor do contrato de manutenção predial (anual): " &amp; TEXT(_xlfn.XLOOKUP(E37, 'DESCONTINUADA Os Seis Grandes'!B:B, 'DESCONTINUADA Os Seis Grandes'!M:M, 0), "R$ #.##0,0"),
"Cofinanciamento 2022: " &amp; TEXT(_xlfn.XLOOKUP(E37, 'DESCONTINUADA Os Seis Grandes'!B:B, 'DESCONTINUADA Os Seis Grandes'!N:N, 0), "R$ #.##0,0"),
"Cofinanciamento 2025: " &amp; TEXT(_xlfn.XLOOKUP(E37, 'DESCONTINUADA Os Seis Grandes'!B:B, 'DESCONTINUADA Os Seis Grandes'!O:O, 0), "R$ #.##0,0"),
"Aumento Cofinanciamento  (2022 a 2025) %: " &amp; TEXT(_xlfn.XLOOKUP(E37, 'DESCONTINUADA Os Seis Grandes'!B:B, 'DESCONTINUADA Os Seis Grandes'!P:P, 0), "00.00%"), 
"Investimento nesta gestão: " &amp; TEXT(_xlfn.XLOOKUP(E37, 'DESCONTINUADA Os Seis Grandes'!B:B, 'DESCONTINUADA Os Seis Grandes'!Q:Q, 0), "R$ #.##0,0"), 
"Nova equipagem: " &amp; _xlfn.XLOOKUP(E37, 'DESCONTINUADA Os Seis Grandes'!B:B, 'DESCONTINUADA Os Seis Grandes'!R:R, "Não encontrado"), 
"Obras de infraestrutura: " &amp; _xlfn.XLOOKUP(E37, 'DESCONTINUADA Os Seis Grandes'!B:B, 'DESCONTINUADA Os Seis Grandes'!S:S, "Não encontrado"),)</f>
        <v>*Hospital Regional do Agreste (HRA)*
Status: EM FUNCIONAMENTO
Tipo de Gestão: Gestão própria
Localização: Rodovia BR-232, Km 130 - s/n - Indianópolis, Caruaru - PE
Número de leitos: 182
Leitos abertos nesta gestão: -
Tipos de leitos abertos nesta gestão: -
Leitos a abrir com o fim das reformas : 288
Perfil: Urgência: Clínica Médica, Endoscopia, Urgência dialítica, Ortopedia e Traumatologia, Bucomaxilofacial,  Cirurgia Geral e Vascular. 
Ambulatorial: Cirurgia Geral, Clínica Médica, Oncologia, ostomizados, Ortopedia e Traumatologia, Bucomaxilofacial, Neurocirurgia e Cabeça e Pescoço. 
Nº Profissionais Total: 1786
Nº Profissionais convocados nesta gestão: 367
Valor do contrato de manutenção predial (anual): R$ 8.509.986,3700
Cofinanciamento 2022: R$ 47.149.321,4900
Cofinanciamento 2025: R$ 52.205.813,0400
Aumento Cofinanciamento  (2022 a 2025) %: 10,72%
Investimento nesta gestão: R$ 153.412.732,3700
Nova equipagem: EQUIPAGEM: 11 Bisturís Elétricos; 01 Mesa Cirúrgica; 11 Serras Pneumáticas; 04 Aparelhos de Anestesia; 04 Aparelhos de Ultrassonografia Portátil; 03 Videolaringoscópios; 16 Monitores Multiparâmetros; 10 Eletrocardiógrafos; 04 Sistemas para Ventilação Não invasiva - BIPAP; 01 Agitador de Bolsas de Plaquetas; 09 Perfurador Cirúrgico Ortopédico; 09 Cardioversor; 22 Esfigmomanômetro Portátil; 02 Autoclaves; 04 Mesas Cirúrgicas Ortopédicas; 02 Arcos Cirúrgicos Móveis;  09 Refrigerador Científico; 01 Torre de Videocirurgia; 01 Videoduodenoscópio; 08 Videogastroscópios; 04 Videocolonoscópio; 02 Sistema de Videoendoscopia; 01 Ventilador de Transporte; 02 Oxímetros Portáteis; 02 Aparelho de Anestesia com Monitor Integrado; CAMA ELÉTRICA: xxxxx; 102 Computadores;
Obras de infraestrutura: Estamos fazendo: requalificação da fachada; contrução do novo Hospital Regional do Agreste; requalificação das enfermarias de ortopedia. 
Já entregamos: Requalificação do setor de endoscopia; requalificação do setor de hemodiálise; abertura de novos 14 leitos de clínica médica; requalificação do setor de tomografia; requalificação das enfermarias de ortopedia; requalificação da recepção geral; requalificação da capela; requalificação da sala vermelha.</v>
      </c>
      <c r="G37" s="310" t="s">
        <v>63</v>
      </c>
      <c r="H37" s="61" t="s">
        <v>75</v>
      </c>
      <c r="I37" s="61"/>
      <c r="J37" s="208" t="str">
        <f t="array" ref="J37">_xlfn.XLOOKUP(E37, 'DESCONTINUADA Os Seis Grandes'!B:B, 'DESCONTINUADA Os Seis Grandes'!G:G)</f>
        <v>-</v>
      </c>
      <c r="K37" s="208">
        <f t="array" ref="K37">_xlfn.XLOOKUP(E37, 'DESCONTINUADA Os Seis Grandes'!B:B, 'DESCONTINUADA Os Seis Grandes'!F:F)</f>
        <v>182</v>
      </c>
      <c r="L37" s="208" t="str">
        <f t="array" ref="L37">_xlfn.XLOOKUP(E37, 'DESCONTINUADA Os Seis Grandes'!B:B, 'DESCONTINUADA Os Seis Grandes'!H:H)</f>
        <v>-</v>
      </c>
      <c r="M37" s="208">
        <f t="array" ref="M37">_xlfn.XLOOKUP(E37, 'DESCONTINUADA Os Seis Grandes'!B:B, 'DESCONTINUADA Os Seis Grandes'!I:I)</f>
        <v>288</v>
      </c>
      <c r="N37" s="358" t="str">
        <f t="array" ref="N37">_xlfn.XLOOKUP(E37, 'DESCONTINUADA Os Seis Grandes'!B:B, 'DESCONTINUADA Os Seis Grandes'!J:J)</f>
        <v>Urgência: Clínica Médica, Endoscopia, Urgência dialítica, Ortopedia e Traumatologia, Bucomaxilofacial,  Cirurgia Geral e Vascular. 
Ambulatorial: Cirurgia Geral, Clínica Médica, Oncologia, ostomizados, Ortopedia e Traumatologia, Bucomaxilofacial, Neurocirurgia e Cabeça e Pescoço. </v>
      </c>
      <c r="O37" s="359">
        <f t="array" ref="O37">_xlfn.XLOOKUP(E37, 'DESCONTINUADA Os Seis Grandes'!B:B, 'DESCONTINUADA Os Seis Grandes'!K:K)</f>
        <v>1786</v>
      </c>
      <c r="P37" s="266">
        <f t="array" ref="P37">_xlfn.XLOOKUP(E37, 'DESCONTINUADA Os Seis Grandes'!B:B, 'DESCONTINUADA Os Seis Grandes'!L:L)</f>
        <v>367</v>
      </c>
      <c r="Q37" s="211">
        <f t="array" ref="Q37">_xlfn.XLOOKUP(E37, 'DESCONTINUADA Os Seis Grandes'!B:B, 'DESCONTINUADA Os Seis Grandes'!M:M)</f>
        <v>8509986.37</v>
      </c>
      <c r="R37" s="211">
        <f t="array" ref="R37">_xlfn.XLOOKUP(E37, 'DESCONTINUADA Os Seis Grandes'!B:B, 'DESCONTINUADA Os Seis Grandes'!Q:Q)</f>
        <v>153412732.4</v>
      </c>
      <c r="S37" s="211">
        <f t="array" ref="S37">_xlfn.XLOOKUP(E37, 'DESCONTINUADA Os Seis Grandes'!B:B, 'DESCONTINUADA Os Seis Grandes'!N:N)</f>
        <v>47149321.49</v>
      </c>
      <c r="T37" s="211">
        <f t="array" ref="T37">_xlfn.XLOOKUP(E37, 'DESCONTINUADA Os Seis Grandes'!B:B, 'DESCONTINUADA Os Seis Grandes'!O:O)</f>
        <v>52205813.04</v>
      </c>
      <c r="U37" s="360">
        <f t="array" ref="U37">_xlfn.XLOOKUP(E37, 'DESCONTINUADA Os Seis Grandes'!B:B, 'DESCONTINUADA Os Seis Grandes'!P:P)</f>
        <v>0.1072442061</v>
      </c>
      <c r="V37" s="208"/>
      <c r="W37" s="208"/>
      <c r="X37" s="357" t="str">
        <f t="array" ref="X37">_xlfn.XLOOKUP(E37, 'DESCONTINUADA Os Seis Grandes'!B:B, 'DESCONTINUADA Os Seis Grandes'!R:R)</f>
        <v>EQUIPAGEM: 11 Bisturís Elétricos; 01 Mesa Cirúrgica; 11 Serras Pneumáticas; 04 Aparelhos de Anestesia; 04 Aparelhos de Ultrassonografia Portátil; 03 Videolaringoscópios; 16 Monitores Multiparâmetros; 10 Eletrocardiógrafos; 04 Sistemas para Ventilação Não invasiva - BIPAP; 01 Agitador de Bolsas de Plaquetas; 09 Perfurador Cirúrgico Ortopédico; 09 Cardioversor; 22 Esfigmomanômetro Portátil; 02 Autoclaves; 04 Mesas Cirúrgicas Ortopédicas; 02 Arcos Cirúrgicos Móveis;  09 Refrigerador Científico; 01 Torre de Videocirurgia; 01 Videoduodenoscópio; 08 Videogastroscópios; 04 Videocolonoscópio; 02 Sistema de Videoendoscopia; 01 Ventilador de Transporte; 02 Oxímetros Portáteis; 02 Aparelho de Anestesia com Monitor Integrado; CAMA ELÉTRICA: xxxxx; 102 Computadores;</v>
      </c>
      <c r="Y37" s="361"/>
      <c r="Z37" s="362"/>
    </row>
    <row r="38" ht="137.25" customHeight="1">
      <c r="A38" s="396">
        <v>2606002.0</v>
      </c>
      <c r="B38" s="397" t="s">
        <v>420</v>
      </c>
      <c r="C38" s="398" t="s">
        <v>421</v>
      </c>
      <c r="D38" s="58" t="s">
        <v>106</v>
      </c>
      <c r="E38" s="400" t="s">
        <v>438</v>
      </c>
      <c r="F38" s="357" t="str">
        <f t="array" ref="F38">TEXTJOIN(CHAR(10), TRUE, 
  "*" &amp; E38 &amp; "*", 
 "Status: " &amp; _xlfn.XLOOKUP(E38, 'DESCONTINUADA UNIDADES EM CONST'!B:B, 'DESCONTINUADA UNIDADES EM CONST'!C:C, "Não encontrado"), 
"Localização: " &amp; _xlfn.XLOOKUP(E38, 'DESCONTINUADA UNIDADES EM CONST'!B:B, 'DESCONTINUADA UNIDADES EM CONST'!D:D, "Não encontrado"),
 "Geres: " &amp; _xlfn.XLOOKUP(E38, 'DESCONTINUADA UNIDADES EM CONST'!B:B, 'DESCONTINUADA UNIDADES EM CONST'!E:E, "Não encontrado"),
 "Leitos previstos: " &amp; _xlfn.XLOOKUP(E38, 'DESCONTINUADA UNIDADES EM CONST'!B:B, 'DESCONTINUADA UNIDADES EM CONST'!G:G, "Não encontrado"),
 "Perfil: " &amp; _xlfn.XLOOKUP(E38, 'DESCONTINUADA UNIDADES EM CONST'!B:B, 'DESCONTINUADA UNIDADES EM CONST'!F:F, "Não encontrado"),
 "Investimento para obra e equipagem: " &amp; _xlfn.XLOOKUP(E38, 'DESCONTINUADA UNIDADES EM CONST'!B:B, 'DESCONTINUADA UNIDADES EM CONST'!H:H, "Não encontrado"),
)</f>
        <v>*Maternidade de Garanhuns*
Status: EM CONSTRUÇÃO
Localização: -
Geres: V
Leitos previstos: 165
Perfil: Maternidade de alto risco: Centro de parto normal; unidade de cuidados intermediários; UCI Neonatal convencional; UTI Neonatal; UTI Materna; Suíte PPP (parto, pós-parto e puerpério); 4 salas cirúrgicas; Enfermaria de alto risco; Enfermaria de ginecologia; Enfermaria de Alojamento Conjunto
Investimento para obra e equipagem: 68739882,14</v>
      </c>
      <c r="G38" s="44" t="s">
        <v>106</v>
      </c>
      <c r="H38" s="208"/>
      <c r="I38" s="58" t="s">
        <v>183</v>
      </c>
      <c r="J38" s="208"/>
      <c r="K38" s="208" t="str">
        <f t="array" ref="K38">_xlfn.XLOOKUP(E38, 'DESCONTINUADA UNIDADES EM CONST'!B:B, 'DESCONTINUADA UNIDADES EM CONST'!G:G, "Não encontrado") &amp; " (previsto)"</f>
        <v>165 (previsto)</v>
      </c>
      <c r="L38" s="208"/>
      <c r="M38" s="208"/>
      <c r="N38" s="212" t="str">
        <f t="array" ref="N38">_xlfn.XLOOKUP(E38, 'DESCONTINUADA UNIDADES EM CONST'!B:B, 'DESCONTINUADA UNIDADES EM CONST'!F:F)</f>
        <v>Maternidade de alto risco: Centro de parto normal; unidade de cuidados intermediários; UCI Neonatal convencional; UTI Neonatal; UTI Materna; Suíte PPP (parto, pós-parto e puerpério); 4 salas cirúrgicas; Enfermaria de alto risco; Enfermaria de ginecologia; Enfermaria de Alojamento Conjunto</v>
      </c>
      <c r="O38" s="358"/>
      <c r="P38" s="208"/>
      <c r="Q38" s="208"/>
      <c r="R38" s="208"/>
      <c r="S38" s="208"/>
      <c r="T38" s="208"/>
      <c r="U38" s="208"/>
      <c r="V38" s="208"/>
      <c r="W38" s="211">
        <f t="array" ref="W38">_xlfn.XLOOKUP(E38, 'DESCONTINUADA UNIDADES EM CONST'!B:B, 'DESCONTINUADA UNIDADES EM CONST'!H:H)</f>
        <v>68739882.14</v>
      </c>
      <c r="X38" s="357"/>
      <c r="Y38" s="361"/>
      <c r="Z38" s="213"/>
    </row>
    <row r="39" ht="137.25" customHeight="1">
      <c r="A39" s="53">
        <v>2609907.0</v>
      </c>
      <c r="B39" s="392" t="s">
        <v>426</v>
      </c>
      <c r="C39" s="311" t="s">
        <v>427</v>
      </c>
      <c r="D39" s="58" t="s">
        <v>106</v>
      </c>
      <c r="E39" s="401" t="s">
        <v>440</v>
      </c>
      <c r="F39" s="357" t="str">
        <f t="array" ref="F39">TEXTJOIN(CHAR(10), TRUE, 
  "*" &amp; E39 &amp; "*", 
 "Status: " &amp; _xlfn.XLOOKUP(E39, 'DESCONTINUADA UNIDADES EM CONST'!B:B, 'DESCONTINUADA UNIDADES EM CONST'!C:C, "Não encontrado"), 
"Localização: " &amp; _xlfn.XLOOKUP(E39, 'DESCONTINUADA UNIDADES EM CONST'!B:B, 'DESCONTINUADA UNIDADES EM CONST'!D:D, "Não encontrado"),
 "Geres: " &amp; _xlfn.XLOOKUP(E39, 'DESCONTINUADA UNIDADES EM CONST'!B:B, 'DESCONTINUADA UNIDADES EM CONST'!E:E, "Não encontrado"),
 "Leitos previstos: " &amp; _xlfn.XLOOKUP(E39, 'DESCONTINUADA UNIDADES EM CONST'!B:B, 'DESCONTINUADA UNIDADES EM CONST'!G:G, "Não encontrado"),
 "Perfil: " &amp; _xlfn.XLOOKUP(E39, 'DESCONTINUADA UNIDADES EM CONST'!B:B, 'DESCONTINUADA UNIDADES EM CONST'!F:F, "Não encontrado"),
 "Investimento para obra e equipagem: " &amp; _xlfn.XLOOKUP(E39, 'DESCONTINUADA UNIDADES EM CONST'!B:B, 'DESCONTINUADA UNIDADES EM CONST'!H:H, "Não encontrado"),
)</f>
        <v>*Maternidade de Ouricuri*
Status: EM CONSTRUÇÃO
Localização: -
Geres: IX
Leitos previstos: 120
Perfil: Aguardando informação
Investimento para obra e equipagem: 53303863,18</v>
      </c>
      <c r="G39" s="44" t="s">
        <v>106</v>
      </c>
      <c r="H39" s="208"/>
      <c r="I39" s="58" t="s">
        <v>224</v>
      </c>
      <c r="J39" s="208"/>
      <c r="K39" s="208" t="str">
        <f t="array" ref="K39">_xlfn.XLOOKUP(E39, 'DESCONTINUADA UNIDADES EM CONST'!B:B, 'DESCONTINUADA UNIDADES EM CONST'!G:G, "Não encontrado") &amp; " (previsto)"</f>
        <v>120 (previsto)</v>
      </c>
      <c r="L39" s="208"/>
      <c r="M39" s="208"/>
      <c r="N39" s="212" t="str">
        <f t="array" ref="N39">_xlfn.XLOOKUP(E39, 'DESCONTINUADA UNIDADES EM CONST'!B:B, 'DESCONTINUADA UNIDADES EM CONST'!F:F)</f>
        <v>Aguardando informação</v>
      </c>
      <c r="O39" s="358"/>
      <c r="P39" s="208"/>
      <c r="Q39" s="208"/>
      <c r="R39" s="208"/>
      <c r="S39" s="208"/>
      <c r="T39" s="208"/>
      <c r="U39" s="208"/>
      <c r="V39" s="208"/>
      <c r="W39" s="211">
        <f t="array" ref="W39">_xlfn.XLOOKUP(E39, 'DESCONTINUADA UNIDADES EM CONST'!B:B, 'DESCONTINUADA UNIDADES EM CONST'!H:H)</f>
        <v>53303863.18</v>
      </c>
      <c r="X39" s="357"/>
      <c r="Y39" s="361"/>
      <c r="Z39" s="213"/>
    </row>
    <row r="40" ht="137.25" customHeight="1">
      <c r="A40" s="53">
        <v>2606804.0</v>
      </c>
      <c r="B40" s="392" t="s">
        <v>442</v>
      </c>
      <c r="C40" s="311" t="s">
        <v>104</v>
      </c>
      <c r="D40" s="58" t="s">
        <v>106</v>
      </c>
      <c r="E40" s="402" t="s">
        <v>441</v>
      </c>
      <c r="F40" s="357" t="str">
        <f t="array" ref="F40">TEXTJOIN(CHAR(10), TRUE, 
  "*" &amp; E40 &amp; "*", 
 "Status: " &amp; _xlfn.XLOOKUP(E40, 'DESCONTINUADA UNIDADES EM CONST'!B:B, 'DESCONTINUADA UNIDADES EM CONST'!C:C, "Não encontrado"), 
"Localização: " &amp; _xlfn.XLOOKUP(E40, 'DESCONTINUADA UNIDADES EM CONST'!B:B, 'DESCONTINUADA UNIDADES EM CONST'!D:D, "Não encontrado"),
 "Geres: " &amp; _xlfn.XLOOKUP(E40, 'DESCONTINUADA UNIDADES EM CONST'!B:B, 'DESCONTINUADA UNIDADES EM CONST'!E:E, "Não encontrado"),
 "Leitos previstos: " &amp; _xlfn.XLOOKUP(E40, 'DESCONTINUADA UNIDADES EM CONST'!B:B, 'DESCONTINUADA UNIDADES EM CONST'!G:G, "Não encontrado"),
 "Perfil: " &amp; _xlfn.XLOOKUP(E40, 'DESCONTINUADA UNIDADES EM CONST'!B:B, 'DESCONTINUADA UNIDADES EM CONST'!F:F, "Não encontrado"),
 "Investimento para obra e equipagem: " &amp; _xlfn.XLOOKUP(E40, 'DESCONTINUADA UNIDADES EM CONST'!B:B, 'DESCONTINUADA UNIDADES EM CONST'!H:H, "Não encontrado"),
)</f>
        <v>*Maternidade de Igarassu*
Status: EM CONSTRUÇÃO
Localização: -
Geres: I
Leitos previstos: 165
Perfil: Maternidade de alto risco: Centro de parto normal; unidade de cuidados intermediários; UCI Neonatal convencional; UTI Neonatal; UTI Materna; Suíte PPP (parto, pós-parto e puerpério); 4 salas cirúrgicas; Enfermaria de alto risco; Enfermaria de ginecologia; Enfermaria de Alojamento Conjunto
Investimento para obra e equipagem: 56490000</v>
      </c>
      <c r="G40" s="44" t="s">
        <v>106</v>
      </c>
      <c r="H40" s="208"/>
      <c r="I40" s="58" t="s">
        <v>85</v>
      </c>
      <c r="J40" s="208"/>
      <c r="K40" s="208" t="str">
        <f t="array" ref="K40">_xlfn.XLOOKUP(E40, 'DESCONTINUADA UNIDADES EM CONST'!B:B, 'DESCONTINUADA UNIDADES EM CONST'!G:G, "Não encontrado") &amp; " (previsto)"</f>
        <v>165 (previsto)</v>
      </c>
      <c r="L40" s="208"/>
      <c r="M40" s="208"/>
      <c r="N40" s="212" t="str">
        <f t="array" ref="N40">_xlfn.XLOOKUP(E40, 'DESCONTINUADA UNIDADES EM CONST'!B:B, 'DESCONTINUADA UNIDADES EM CONST'!F:F)</f>
        <v>Maternidade de alto risco: Centro de parto normal; unidade de cuidados intermediários; UCI Neonatal convencional; UTI Neonatal; UTI Materna; Suíte PPP (parto, pós-parto e puerpério); 4 salas cirúrgicas; Enfermaria de alto risco; Enfermaria de ginecologia; Enfermaria de Alojamento Conjunto</v>
      </c>
      <c r="O40" s="358"/>
      <c r="P40" s="208"/>
      <c r="Q40" s="208"/>
      <c r="R40" s="208"/>
      <c r="S40" s="208"/>
      <c r="T40" s="208"/>
      <c r="U40" s="208"/>
      <c r="V40" s="208"/>
      <c r="W40" s="211">
        <f t="array" ref="W40">_xlfn.XLOOKUP(E40, 'DESCONTINUADA UNIDADES EM CONST'!B:B, 'DESCONTINUADA UNIDADES EM CONST'!H:H)</f>
        <v>56490000</v>
      </c>
      <c r="X40" s="357"/>
      <c r="Y40" s="361"/>
      <c r="Z40" s="213"/>
    </row>
    <row r="41" ht="137.25" customHeight="1">
      <c r="A41" s="53">
        <v>2613909.0</v>
      </c>
      <c r="B41" s="392" t="s">
        <v>429</v>
      </c>
      <c r="C41" s="311" t="s">
        <v>430</v>
      </c>
      <c r="D41" s="58" t="s">
        <v>106</v>
      </c>
      <c r="E41" s="401" t="s">
        <v>443</v>
      </c>
      <c r="F41" s="357" t="str">
        <f t="array" ref="F41">TEXTJOIN(CHAR(10), TRUE, 
  "*" &amp; E41 &amp; "*", 
 "Status: " &amp; _xlfn.XLOOKUP(E41, 'DESCONTINUADA UNIDADES EM CONST'!B:B, 'DESCONTINUADA UNIDADES EM CONST'!C:C, "Não encontrado"), 
"Localização: " &amp; _xlfn.XLOOKUP(E41, 'DESCONTINUADA UNIDADES EM CONST'!B:B, 'DESCONTINUADA UNIDADES EM CONST'!D:D, "Não encontrado"),
 "Geres: " &amp; _xlfn.XLOOKUP(E41, 'DESCONTINUADA UNIDADES EM CONST'!B:B, 'DESCONTINUADA UNIDADES EM CONST'!E:E, "Não encontrado"),
 "Leitos previstos: " &amp; _xlfn.XLOOKUP(E41, 'DESCONTINUADA UNIDADES EM CONST'!B:B, 'DESCONTINUADA UNIDADES EM CONST'!G:G, "Não encontrado"),
 "Perfil: " &amp; _xlfn.XLOOKUP(E41, 'DESCONTINUADA UNIDADES EM CONST'!B:B, 'DESCONTINUADA UNIDADES EM CONST'!F:F, "Não encontrado"),
 "Investimento para obra e equipagem: " &amp; _xlfn.XLOOKUP(E41, 'DESCONTINUADA UNIDADES EM CONST'!B:B, 'DESCONTINUADA UNIDADES EM CONST'!H:H, "Não encontrado"),
)</f>
        <v>*Maternidade de Serra Talhada*
Status: EM CONSTRUÇÃO
Localização: -
Geres: XI
Leitos previstos: 165
Perfil: Maternidade de alto risco: Centro de parto normal; unidade de cuidados intermediários; UCI Neonatal convencional; UTI Neonatal; UTI Materna; Suíte PPP (parto, pós-parto e puerpério); 4 salas cirúrgicas; Enfermaria de alto risco; Enfermaria de ginecologia; Enfermaria de Alojamento Conjunto
Investimento para obra e equipagem: 65120000</v>
      </c>
      <c r="G41" s="44" t="s">
        <v>106</v>
      </c>
      <c r="H41" s="208"/>
      <c r="I41" s="58" t="s">
        <v>249</v>
      </c>
      <c r="J41" s="208"/>
      <c r="K41" s="208" t="str">
        <f t="array" ref="K41">_xlfn.XLOOKUP(E41, 'DESCONTINUADA UNIDADES EM CONST'!B:B, 'DESCONTINUADA UNIDADES EM CONST'!G:G, "Não encontrado") &amp; " (previsto)"</f>
        <v>165 (previsto)</v>
      </c>
      <c r="L41" s="208"/>
      <c r="M41" s="208"/>
      <c r="N41" s="212" t="str">
        <f t="array" ref="N41">_xlfn.XLOOKUP(E41, 'DESCONTINUADA UNIDADES EM CONST'!B:B, 'DESCONTINUADA UNIDADES EM CONST'!F:F)</f>
        <v>Maternidade de alto risco: Centro de parto normal; unidade de cuidados intermediários; UCI Neonatal convencional; UTI Neonatal; UTI Materna; Suíte PPP (parto, pós-parto e puerpério); 4 salas cirúrgicas; Enfermaria de alto risco; Enfermaria de ginecologia; Enfermaria de Alojamento Conjunto</v>
      </c>
      <c r="O41" s="358"/>
      <c r="P41" s="208"/>
      <c r="Q41" s="208"/>
      <c r="R41" s="208"/>
      <c r="S41" s="208"/>
      <c r="T41" s="208"/>
      <c r="U41" s="208"/>
      <c r="V41" s="208"/>
      <c r="W41" s="211">
        <f t="array" ref="W41">_xlfn.XLOOKUP(E41, 'DESCONTINUADA UNIDADES EM CONST'!B:B, 'DESCONTINUADA UNIDADES EM CONST'!H:H)</f>
        <v>65120000</v>
      </c>
      <c r="X41" s="357"/>
      <c r="Y41" s="361"/>
      <c r="Z41" s="213"/>
    </row>
    <row r="42" ht="137.25" customHeight="1">
      <c r="A42" s="53">
        <v>2611101.0</v>
      </c>
      <c r="B42" s="392" t="s">
        <v>432</v>
      </c>
      <c r="C42" s="311" t="s">
        <v>433</v>
      </c>
      <c r="D42" s="58" t="s">
        <v>106</v>
      </c>
      <c r="E42" s="402" t="s">
        <v>444</v>
      </c>
      <c r="F42" s="357" t="str">
        <f t="array" ref="F42">TEXTJOIN(CHAR(10), TRUE, 
  "*" &amp; E42 &amp; "*", 
 "Status: " &amp; _xlfn.XLOOKUP(E42, 'DESCONTINUADA UNIDADES EM CONST'!B:B, 'DESCONTINUADA UNIDADES EM CONST'!C:C, "Não encontrado"), 
"Localização: " &amp; _xlfn.XLOOKUP(E42, 'DESCONTINUADA UNIDADES EM CONST'!B:B, 'DESCONTINUADA UNIDADES EM CONST'!D:D, "Não encontrado"),
 "Geres: " &amp; _xlfn.XLOOKUP(E42, 'DESCONTINUADA UNIDADES EM CONST'!B:B, 'DESCONTINUADA UNIDADES EM CONST'!E:E, "Não encontrado"),
 "Leitos previstos: " &amp; _xlfn.XLOOKUP(E42, 'DESCONTINUADA UNIDADES EM CONST'!B:B, 'DESCONTINUADA UNIDADES EM CONST'!G:G, "Não encontrado"),
 "Perfil: " &amp; _xlfn.XLOOKUP(E42, 'DESCONTINUADA UNIDADES EM CONST'!B:B, 'DESCONTINUADA UNIDADES EM CONST'!F:F, "Não encontrado"),
 "Investimento para obra e equipagem: " &amp; _xlfn.XLOOKUP(E42, 'DESCONTINUADA UNIDADES EM CONST'!B:B, 'DESCONTINUADA UNIDADES EM CONST'!H:H, "Não encontrado"),
)</f>
        <v>*UPAE-R Petrolina*
Status: EM CONSTRUÇÃO
Localização: -
Geres: VIII
Leitos previstos: 
Perfil: Aguardando informação
Investimento para obra e equipagem: Aguardando informação</v>
      </c>
      <c r="G42" s="44" t="s">
        <v>106</v>
      </c>
      <c r="H42" s="208"/>
      <c r="I42" s="58" t="s">
        <v>263</v>
      </c>
      <c r="J42" s="208"/>
      <c r="K42" s="208" t="str">
        <f t="array" ref="K42">_xlfn.XLOOKUP(E42, 'DESCONTINUADA UNIDADES EM CONST'!B:B, 'DESCONTINUADA UNIDADES EM CONST'!G:G, "Não encontrado") &amp; " (previsto)"</f>
        <v> (previsto)</v>
      </c>
      <c r="L42" s="208"/>
      <c r="M42" s="208"/>
      <c r="N42" s="212" t="str">
        <f t="array" ref="N42">_xlfn.XLOOKUP(E42, 'DESCONTINUADA UNIDADES EM CONST'!B:B, 'DESCONTINUADA UNIDADES EM CONST'!F:F)</f>
        <v>Aguardando informação</v>
      </c>
      <c r="O42" s="358"/>
      <c r="P42" s="208"/>
      <c r="Q42" s="208"/>
      <c r="R42" s="208"/>
      <c r="S42" s="208"/>
      <c r="T42" s="208"/>
      <c r="U42" s="208"/>
      <c r="V42" s="208"/>
      <c r="W42" s="208" t="str">
        <f t="array" ref="W42">_xlfn.XLOOKUP(E42, 'DESCONTINUADA UNIDADES EM CONST'!B:B, 'DESCONTINUADA UNIDADES EM CONST'!H:H)</f>
        <v>Aguardando informação</v>
      </c>
      <c r="X42" s="357"/>
      <c r="Y42" s="361"/>
      <c r="Z42" s="213"/>
    </row>
    <row r="43" ht="137.25" customHeight="1">
      <c r="A43" s="53">
        <v>2613909.0</v>
      </c>
      <c r="B43" s="392" t="s">
        <v>429</v>
      </c>
      <c r="C43" s="311" t="s">
        <v>430</v>
      </c>
      <c r="D43" s="58" t="s">
        <v>106</v>
      </c>
      <c r="E43" s="401" t="s">
        <v>446</v>
      </c>
      <c r="F43" s="357" t="str">
        <f t="array" ref="F43">TEXTJOIN(CHAR(10), TRUE, 
  "*" &amp; E43 &amp; "*", 
 "Status: " &amp; _xlfn.XLOOKUP(E43, 'DESCONTINUADA UNIDADES EM CONST'!B:B, 'DESCONTINUADA UNIDADES EM CONST'!C:C, "Não encontrado"), 
"Localização: " &amp; _xlfn.XLOOKUP(E43, 'DESCONTINUADA UNIDADES EM CONST'!B:B, 'DESCONTINUADA UNIDADES EM CONST'!D:D, "Não encontrado"),
 "Geres: " &amp; _xlfn.XLOOKUP(E43, 'DESCONTINUADA UNIDADES EM CONST'!B:B, 'DESCONTINUADA UNIDADES EM CONST'!E:E, "Não encontrado"),
 "Leitos previstos: " &amp; _xlfn.XLOOKUP(E43, 'DESCONTINUADA UNIDADES EM CONST'!B:B, 'DESCONTINUADA UNIDADES EM CONST'!G:G, "Não encontrado"),
 "Perfil: " &amp; _xlfn.XLOOKUP(E43, 'DESCONTINUADA UNIDADES EM CONST'!B:B, 'DESCONTINUADA UNIDADES EM CONST'!F:F, "Não encontrado"),
 "Investimento para obra e equipagem: " &amp; _xlfn.XLOOKUP(E43, 'DESCONTINUADA UNIDADES EM CONST'!B:B, 'DESCONTINUADA UNIDADES EM CONST'!H:H, "Não encontrado"),
)</f>
        <v>*UPAE-R Serra Talhada*
Status: EM CONSTRUÇÃO
Localização: -
Geres: XI
Leitos previstos: 
Perfil: Aguardando informação
Investimento para obra e equipagem: R$ 11.184.519,62</v>
      </c>
      <c r="G43" s="44" t="s">
        <v>106</v>
      </c>
      <c r="H43" s="208"/>
      <c r="I43" s="58" t="s">
        <v>249</v>
      </c>
      <c r="J43" s="208"/>
      <c r="K43" s="208" t="str">
        <f t="array" ref="K43">_xlfn.XLOOKUP(E43, 'DESCONTINUADA UNIDADES EM CONST'!B:B, 'DESCONTINUADA UNIDADES EM CONST'!G:G, "Não encontrado") &amp; " (previsto)"</f>
        <v> (previsto)</v>
      </c>
      <c r="L43" s="208"/>
      <c r="M43" s="208"/>
      <c r="N43" s="212" t="str">
        <f t="array" ref="N43">_xlfn.XLOOKUP(E43, 'DESCONTINUADA UNIDADES EM CONST'!B:B, 'DESCONTINUADA UNIDADES EM CONST'!F:F)</f>
        <v>Aguardando informação</v>
      </c>
      <c r="O43" s="358"/>
      <c r="P43" s="208"/>
      <c r="Q43" s="208"/>
      <c r="R43" s="208"/>
      <c r="S43" s="208"/>
      <c r="T43" s="208"/>
      <c r="U43" s="208"/>
      <c r="V43" s="208"/>
      <c r="W43" s="208" t="str">
        <f t="array" ref="W43">_xlfn.XLOOKUP(E43, 'DESCONTINUADA UNIDADES EM CONST'!B:B, 'DESCONTINUADA UNIDADES EM CONST'!H:H)</f>
        <v>R$ 11.184.519,62</v>
      </c>
      <c r="X43" s="357"/>
      <c r="Y43" s="361"/>
      <c r="Z43" s="213"/>
    </row>
    <row r="44" ht="137.25" customHeight="1">
      <c r="A44" s="53">
        <v>2604106.0</v>
      </c>
      <c r="B44" s="392" t="s">
        <v>315</v>
      </c>
      <c r="C44" s="311" t="s">
        <v>317</v>
      </c>
      <c r="D44" s="58" t="s">
        <v>106</v>
      </c>
      <c r="E44" s="402" t="s">
        <v>448</v>
      </c>
      <c r="F44" s="357" t="str">
        <f t="array" ref="F44">TEXTJOIN(CHAR(10), TRUE, 
  "*" &amp; E44 &amp; "*", 
 "Status: " &amp; _xlfn.XLOOKUP(E44, 'DESCONTINUADA UNIDADES EM CONST'!B:B, 'DESCONTINUADA UNIDADES EM CONST'!C:C, "Não encontrado"), 
"Localização: " &amp; _xlfn.XLOOKUP(E44, 'DESCONTINUADA UNIDADES EM CONST'!B:B, 'DESCONTINUADA UNIDADES EM CONST'!D:D, "Não encontrado"),
 "Geres: " &amp; _xlfn.XLOOKUP(E44, 'DESCONTINUADA UNIDADES EM CONST'!B:B, 'DESCONTINUADA UNIDADES EM CONST'!E:E, "Não encontrado"),
 "Leitos previstos: " &amp; _xlfn.XLOOKUP(E44, 'DESCONTINUADA UNIDADES EM CONST'!B:B, 'DESCONTINUADA UNIDADES EM CONST'!G:G, "Não encontrado"),
 "Perfil: " &amp; _xlfn.XLOOKUP(E44, 'DESCONTINUADA UNIDADES EM CONST'!B:B, 'DESCONTINUADA UNIDADES EM CONST'!F:F, "Não encontrado"),
 "Investimento para obra e equipagem: " &amp; _xlfn.XLOOKUP(E44, 'DESCONTINUADA UNIDADES EM CONST'!B:B, 'DESCONTINUADA UNIDADES EM CONST'!H:H, "Não encontrado"),
)</f>
        <v>*UPAE-R Caruaru*
Status: EM CONSTRUÇÃO
Localização: -
Geres: IV
Leitos previstos: 
Perfil: Aguardando informação
Investimento para obra e equipagem: R$ 9.137.626,84</v>
      </c>
      <c r="G44" s="44" t="s">
        <v>106</v>
      </c>
      <c r="H44" s="208"/>
      <c r="I44" s="58" t="s">
        <v>153</v>
      </c>
      <c r="J44" s="208"/>
      <c r="K44" s="208" t="str">
        <f t="array" ref="K44">_xlfn.XLOOKUP(E44, 'DESCONTINUADA UNIDADES EM CONST'!B:B, 'DESCONTINUADA UNIDADES EM CONST'!G:G, "Não encontrado") &amp; " (previsto)"</f>
        <v> (previsto)</v>
      </c>
      <c r="L44" s="208"/>
      <c r="M44" s="208"/>
      <c r="N44" s="212" t="str">
        <f t="array" ref="N44">_xlfn.XLOOKUP(E44, 'DESCONTINUADA UNIDADES EM CONST'!B:B, 'DESCONTINUADA UNIDADES EM CONST'!F:F)</f>
        <v>Aguardando informação</v>
      </c>
      <c r="O44" s="358"/>
      <c r="P44" s="208"/>
      <c r="Q44" s="208"/>
      <c r="R44" s="208"/>
      <c r="S44" s="208"/>
      <c r="T44" s="208"/>
      <c r="U44" s="208"/>
      <c r="V44" s="208"/>
      <c r="W44" s="208" t="str">
        <f t="array" ref="W44">_xlfn.XLOOKUP(E44, 'DESCONTINUADA UNIDADES EM CONST'!B:B, 'DESCONTINUADA UNIDADES EM CONST'!H:H)</f>
        <v>R$ 9.137.626,84</v>
      </c>
      <c r="X44" s="357"/>
      <c r="Y44" s="361"/>
      <c r="Z44" s="213"/>
    </row>
    <row r="45" ht="137.25" customHeight="1">
      <c r="A45" s="396">
        <v>2606002.0</v>
      </c>
      <c r="B45" s="397" t="s">
        <v>420</v>
      </c>
      <c r="C45" s="398" t="s">
        <v>421</v>
      </c>
      <c r="D45" s="58" t="s">
        <v>106</v>
      </c>
      <c r="E45" s="401" t="s">
        <v>449</v>
      </c>
      <c r="F45" s="357" t="str">
        <f t="array" ref="F45">TEXTJOIN(CHAR(10), TRUE, 
  "*" &amp; E45 &amp; "*", 
 "Status: " &amp; _xlfn.XLOOKUP(E45, 'DESCONTINUADA UNIDADES EM CONST'!B:B, 'DESCONTINUADA UNIDADES EM CONST'!C:C, "Não encontrado"), 
"Localização: " &amp; _xlfn.XLOOKUP(E45, 'DESCONTINUADA UNIDADES EM CONST'!B:B, 'DESCONTINUADA UNIDADES EM CONST'!D:D, "Não encontrado"),
 "Geres: " &amp; _xlfn.XLOOKUP(E45, 'DESCONTINUADA UNIDADES EM CONST'!B:B, 'DESCONTINUADA UNIDADES EM CONST'!E:E, "Não encontrado"),
 "Leitos previstos: " &amp; _xlfn.XLOOKUP(E45, 'DESCONTINUADA UNIDADES EM CONST'!B:B, 'DESCONTINUADA UNIDADES EM CONST'!G:G, "Não encontrado"),
 "Perfil: " &amp; _xlfn.XLOOKUP(E45, 'DESCONTINUADA UNIDADES EM CONST'!B:B, 'DESCONTINUADA UNIDADES EM CONST'!F:F, "Não encontrado"),
 "Investimento para obra e equipagem: " &amp; _xlfn.XLOOKUP(E45, 'DESCONTINUADA UNIDADES EM CONST'!B:B, 'DESCONTINUADA UNIDADES EM CONST'!H:H, "Não encontrado"),
)</f>
        <v>*Hospital Mestre Dominguinhos*
Status: EM CONSTRUÇÃO
Localização: Garanhuns
Geres: V
Leitos previstos: 246
Perfil: Aguardando informação
Investimento para obra e equipagem: 125800000</v>
      </c>
      <c r="G45" s="44" t="s">
        <v>106</v>
      </c>
      <c r="H45" s="208"/>
      <c r="I45" s="58" t="s">
        <v>183</v>
      </c>
      <c r="J45" s="208"/>
      <c r="K45" s="208" t="str">
        <f t="array" ref="K45">_xlfn.XLOOKUP(E45, 'DESCONTINUADA UNIDADES EM CONST'!B:B, 'DESCONTINUADA UNIDADES EM CONST'!G:G, "Não encontrado") &amp; " (previsto)"</f>
        <v>246 (previsto)</v>
      </c>
      <c r="L45" s="208"/>
      <c r="M45" s="208"/>
      <c r="N45" s="212" t="str">
        <f t="array" ref="N45">_xlfn.XLOOKUP(E45, 'DESCONTINUADA UNIDADES EM CONST'!B:B, 'DESCONTINUADA UNIDADES EM CONST'!F:F)</f>
        <v>Aguardando informação</v>
      </c>
      <c r="O45" s="358"/>
      <c r="P45" s="208"/>
      <c r="Q45" s="208"/>
      <c r="R45" s="208"/>
      <c r="S45" s="208"/>
      <c r="T45" s="208"/>
      <c r="U45" s="208"/>
      <c r="V45" s="208"/>
      <c r="W45" s="211">
        <f t="array" ref="W45">_xlfn.XLOOKUP(E45, 'DESCONTINUADA UNIDADES EM CONST'!B:B, 'DESCONTINUADA UNIDADES EM CONST'!H:H)</f>
        <v>125800000</v>
      </c>
      <c r="X45" s="357"/>
      <c r="Y45" s="361"/>
      <c r="Z45" s="213"/>
    </row>
    <row r="46" ht="137.25" customHeight="1">
      <c r="A46" s="53">
        <v>2600054.0</v>
      </c>
      <c r="B46" s="392" t="s">
        <v>451</v>
      </c>
      <c r="C46" s="311" t="s">
        <v>104</v>
      </c>
      <c r="D46" s="58" t="s">
        <v>452</v>
      </c>
      <c r="E46" s="61" t="s">
        <v>23</v>
      </c>
      <c r="F46" s="403" t="str">
        <f t="array" ref="F46">TEXTJOIN(CHAR(10), TRUE, 
  "*" &amp; E46 &amp; "*", 
"Status: " &amp; _xlfn.XLOOKUP(E46, 'DESCONTINUADA UPA e UPA-E'!B:B, 'DESCONTINUADA UPA e UPA-E'!C:C, "Não encontrado"),
 "Localização: " &amp; _xlfn.XLOOKUP(E46, 'DESCONTINUADA UPA e UPA-E'!B:B, 'DESCONTINUADA UPA e UPA-E'!D:D, "Não encontrado"),
 "Geres: " &amp; _xlfn.XLOOKUP(E46, 'DESCONTINUADA UPA e UPA-E'!B:B, 'DESCONTINUADA UPA e UPA-E'!E:E, "Não encontrado"),
 "Leitos: " &amp; _xlfn.XLOOKUP(E46, 'DESCONTINUADA UPA e UPA-E'!B:B, 'DESCONTINUADA UPA e UPA-E'!F:F, "Não encontrado"),
 "Perfil: " &amp; _xlfn.XLOOKUP(E46, 'DESCONTINUADA UPA e UPA-E'!B:B, 'DESCONTINUADA UPA e UPA-E'!G:G, "Não encontrado"),
 "Nº Profissionais Total: " &amp; _xlfn.XLOOKUP(E46, 'DESCONTINUADA UPA e UPA-E'!B:B, 'DESCONTINUADA UPA e UPA-E'!H:H, "Não encontrado"),
 "Investimento nesta gestão: " &amp; _xlfn.XLOOKUP(E46, 'DESCONTINUADA UPA e UPA-E'!B:B, 'DESCONTINUADA UPA e UPA-E'!I:I, "Não encontrado"),
 "Principais avanços nessa gestão: " &amp; _xlfn.XLOOKUP(E46, 'DESCONTINUADA UPA e UPA-E'!B:B, 'DESCONTINUADA UPA e UPA-E'!J:J, "Não encontrado"),
)</f>
        <v>*UPAE Grande Recife*
Status: EM FUNCIONAMENTO
Localização: Rodovia BR 101, km 47, s/n, Desterro, Abreu e Lima, CEP: 53.520-01
Geres: I
Leitos: -
Perfil: Atendimento ambulatorial especializado em Angiologia, Cardiologia, Dermatologia, Endocrinologia, Gastroenterologia, Otorrinolaringologia, Pneumologia, Reumatologia e Urologia, além de atendimento multiprofissional nas áreas de Enfermagem, Farmácia, Fisioterapia, Fonoaudiologia, Nutrição, Psicologia, Serviço Social.
Nº Profissionais Total: 53
Investimento nesta gestão: 1052154,31
Principais avanços nessa gestão: Crescimento do repasse direto: repasse cresceu 28,1% entre 2022 e 2025, de R$ 5,0 milhões para R$ 6,5 milhões.</v>
      </c>
      <c r="G46" s="44" t="s">
        <v>63</v>
      </c>
      <c r="H46" s="208"/>
      <c r="I46" s="58" t="s">
        <v>85</v>
      </c>
      <c r="J46" s="208"/>
      <c r="K46" s="211" t="str">
        <f t="array" ref="K46">_xlfn.XLOOKUP(E46, 'DESCONTINUADA UPA e UPA-E'!B:B, 'DESCONTINUADA UPA e UPA-E'!F:F)</f>
        <v>-</v>
      </c>
      <c r="L46" s="208"/>
      <c r="M46" s="208"/>
      <c r="N46" s="212" t="str">
        <f t="array" ref="N46">_xlfn.XLOOKUP(E46, 'DESCONTINUADA UPA e UPA-E'!B:B, 'DESCONTINUADA UPA e UPA-E'!G:G)</f>
        <v>Atendimento ambulatorial especializado em Angiologia, Cardiologia, Dermatologia, Endocrinologia, Gastroenterologia, Otorrinolaringologia, Pneumologia, Reumatologia e Urologia, além de atendimento multiprofissional nas áreas de Enfermagem, Farmácia, Fisioterapia, Fonoaudiologia, Nutrição, Psicologia, Serviço Social.</v>
      </c>
      <c r="O46" s="358">
        <f t="array" ref="O46">_xlfn.XLOOKUP(E46, 'DESCONTINUADA UPA e UPA-E'!B:B, 'DESCONTINUADA UPA e UPA-E'!H:H)</f>
        <v>53</v>
      </c>
      <c r="P46" s="208"/>
      <c r="Q46" s="208"/>
      <c r="R46" s="211">
        <f t="array" ref="R46">_xlfn.XLOOKUP(E46, 'DESCONTINUADA UPA e UPA-E'!B:B, 'DESCONTINUADA UPA e UPA-E'!I:I)</f>
        <v>1052154.31</v>
      </c>
      <c r="S46" s="208"/>
      <c r="T46" s="208"/>
      <c r="U46" s="208"/>
      <c r="V46" s="208"/>
      <c r="W46" s="208"/>
      <c r="X46" s="357" t="str">
        <f t="array" ref="X46">_xlfn.XLOOKUP(E46, 'DESCONTINUADA UPA e UPA-E'!B:B, 'DESCONTINUADA UPA e UPA-E'!J:J)</f>
        <v>Crescimento do repasse direto: repasse cresceu 28,1% entre 2022 e 2025, de R$ 5,0 milhões para R$ 6,5 milhões.</v>
      </c>
      <c r="Y46" s="361"/>
      <c r="Z46" s="219"/>
    </row>
    <row r="47" ht="137.25" customHeight="1">
      <c r="A47" s="53">
        <v>2604007.0</v>
      </c>
      <c r="B47" s="392" t="s">
        <v>453</v>
      </c>
      <c r="C47" s="311" t="s">
        <v>415</v>
      </c>
      <c r="D47" s="58" t="s">
        <v>452</v>
      </c>
      <c r="E47" s="61" t="s">
        <v>97</v>
      </c>
      <c r="F47" s="403" t="str">
        <f t="array" ref="F47">TEXTJOIN(CHAR(10), TRUE, 
  "*" &amp; E47 &amp; "*", 
"Status: " &amp; _xlfn.XLOOKUP(E47, 'DESCONTINUADA UPA e UPA-E'!B:B, 'DESCONTINUADA UPA e UPA-E'!C:C, "Não encontrado"),
 "Localização: " &amp; _xlfn.XLOOKUP(E47, 'DESCONTINUADA UPA e UPA-E'!B:B, 'DESCONTINUADA UPA e UPA-E'!D:D, "Não encontrado"),
 "Geres: " &amp; _xlfn.XLOOKUP(E47, 'DESCONTINUADA UPA e UPA-E'!B:B, 'DESCONTINUADA UPA e UPA-E'!E:E, "Não encontrado"),
 "Leitos: " &amp; _xlfn.XLOOKUP(E47, 'DESCONTINUADA UPA e UPA-E'!B:B, 'DESCONTINUADA UPA e UPA-E'!F:F, "Não encontrado"),
 "Perfil: " &amp; _xlfn.XLOOKUP(E47, 'DESCONTINUADA UPA e UPA-E'!B:B, 'DESCONTINUADA UPA e UPA-E'!G:G, "Não encontrado"),
 "Nº Profissionais Total: " &amp; _xlfn.XLOOKUP(E47, 'DESCONTINUADA UPA e UPA-E'!B:B, 'DESCONTINUADA UPA e UPA-E'!H:H, "Não encontrado"),
 "Investimento nesta gestão: " &amp; _xlfn.XLOOKUP(E47, 'DESCONTINUADA UPA e UPA-E'!B:B, 'DESCONTINUADA UPA e UPA-E'!I:I, "Não encontrado"),
 "Principais avanços nessa gestão: " &amp; _xlfn.XLOOKUP(E47, 'DESCONTINUADA UPA e UPA-E'!B:B, 'DESCONTINUADA UPA e UPA-E'!J:J, "Não encontrado"),
)</f>
        <v>*UPAE Carpina*
Status: EM FUNCIONAMENTO
Localização: R. Luís Gonzaga Amorim Ribeiro, 50 - Santa Cruz, Carpina - PE, 55811-100
Geres: II
Leitos: -
Perfil: Atendimento ambulatorial especializado em Alergologia, Angiologia/Cirurgia Vascular, Clínica Médica, Cardiologia, Dermatologia, Endocrinologia, Gastroenterologia, Ginecologia (CAF e Biópsias), Infectologia, Mastologia, Nefrologia, Otorrinolaringologia, Pneumologia, Reumatologia e Urologia, além de atendimento multiprofissional nas áreas de Enfermagem, Farmácia, Fisioterapia, Fonoaudiologia, Nutrição, Psicologia, Serviço Social.
Nº Profissionais Total: 114
Investimento nesta gestão: 475385,55
Principais avanços nessa gestão: Aquisição/execução: manutenção do telhado (R$ 47.881,01) e aquisição de 65 cadeiras tipo longarina de 3 lugares (R$ 52.000,00), entre outros itens.</v>
      </c>
      <c r="G47" s="44" t="s">
        <v>63</v>
      </c>
      <c r="H47" s="208"/>
      <c r="I47" s="58" t="s">
        <v>99</v>
      </c>
      <c r="J47" s="208"/>
      <c r="K47" s="211" t="str">
        <f t="array" ref="K47">_xlfn.XLOOKUP(E47, 'DESCONTINUADA UPA e UPA-E'!B:B, 'DESCONTINUADA UPA e UPA-E'!F:F)</f>
        <v>-</v>
      </c>
      <c r="L47" s="208"/>
      <c r="M47" s="208"/>
      <c r="N47" s="212" t="str">
        <f t="array" ref="N47">_xlfn.XLOOKUP(E47, 'DESCONTINUADA UPA e UPA-E'!B:B, 'DESCONTINUADA UPA e UPA-E'!G:G)</f>
        <v>Atendimento ambulatorial especializado em Alergologia, Angiologia/Cirurgia Vascular, Clínica Médica, Cardiologia, Dermatologia, Endocrinologia, Gastroenterologia, Ginecologia (CAF e Biópsias), Infectologia, Mastologia, Nefrologia, Otorrinolaringologia, Pneumologia, Reumatologia e Urologia, além de atendimento multiprofissional nas áreas de Enfermagem, Farmácia, Fisioterapia, Fonoaudiologia, Nutrição, Psicologia, Serviço Social.</v>
      </c>
      <c r="O47" s="358">
        <f t="array" ref="O47">_xlfn.XLOOKUP(E47, 'DESCONTINUADA UPA e UPA-E'!B:B, 'DESCONTINUADA UPA e UPA-E'!H:H)</f>
        <v>114</v>
      </c>
      <c r="P47" s="208"/>
      <c r="Q47" s="208"/>
      <c r="R47" s="211">
        <f t="array" ref="R47">_xlfn.XLOOKUP(E47, 'DESCONTINUADA UPA e UPA-E'!B:B, 'DESCONTINUADA UPA e UPA-E'!I:I)</f>
        <v>475385.55</v>
      </c>
      <c r="S47" s="208"/>
      <c r="T47" s="208"/>
      <c r="U47" s="208"/>
      <c r="V47" s="208"/>
      <c r="W47" s="208"/>
      <c r="X47" s="357" t="str">
        <f t="array" ref="X47">_xlfn.XLOOKUP(E47, 'DESCONTINUADA UPA e UPA-E'!B:B, 'DESCONTINUADA UPA e UPA-E'!J:J)</f>
        <v>Aquisição/execução: manutenção do telhado (R$ 47.881,01) e aquisição de 65 cadeiras tipo longarina de 3 lugares (R$ 52.000,00), entre outros itens.</v>
      </c>
      <c r="Y47" s="361"/>
      <c r="Z47" s="219"/>
    </row>
    <row r="48" ht="137.25" customHeight="1">
      <c r="A48" s="53">
        <v>2606200.0</v>
      </c>
      <c r="B48" s="392" t="s">
        <v>414</v>
      </c>
      <c r="C48" s="311" t="s">
        <v>415</v>
      </c>
      <c r="D48" s="58" t="s">
        <v>452</v>
      </c>
      <c r="E48" s="61" t="s">
        <v>105</v>
      </c>
      <c r="F48" s="403" t="str">
        <f t="array" ref="F48">TEXTJOIN(CHAR(10), TRUE, 
  "*" &amp; E48 &amp; "*", 
"Status: " &amp; _xlfn.XLOOKUP(E48, 'DESCONTINUADA UPA e UPA-E'!B:B, 'DESCONTINUADA UPA e UPA-E'!C:C, "Não encontrado"),
 "Localização: " &amp; _xlfn.XLOOKUP(E48, 'DESCONTINUADA UPA e UPA-E'!B:B, 'DESCONTINUADA UPA e UPA-E'!D:D, "Não encontrado"),
 "Geres: " &amp; _xlfn.XLOOKUP(E48, 'DESCONTINUADA UPA e UPA-E'!B:B, 'DESCONTINUADA UPA e UPA-E'!E:E, "Não encontrado"),
 "Leitos: " &amp; _xlfn.XLOOKUP(E48, 'DESCONTINUADA UPA e UPA-E'!B:B, 'DESCONTINUADA UPA e UPA-E'!F:F, "Não encontrado"),
 "Perfil: " &amp; _xlfn.XLOOKUP(E48, 'DESCONTINUADA UPA e UPA-E'!B:B, 'DESCONTINUADA UPA e UPA-E'!G:G, "Não encontrado"),
 "Nº Profissionais Total: " &amp; _xlfn.XLOOKUP(E48, 'DESCONTINUADA UPA e UPA-E'!B:B, 'DESCONTINUADA UPA e UPA-E'!H:H, "Não encontrado"),
 "Investimento nesta gestão: " &amp; _xlfn.XLOOKUP(E48, 'DESCONTINUADA UPA e UPA-E'!B:B, 'DESCONTINUADA UPA e UPA-E'!I:I, "Não encontrado"),
 "Principais avanços nessa gestão: " &amp; _xlfn.XLOOKUP(E48, 'DESCONTINUADA UPA e UPA-E'!B:B, 'DESCONTINUADA UPA e UPA-E'!J:J, "Não encontrado"),
)</f>
        <v>*UPAE Goiana*
Status: EM CONSTRUÇÃO
Localização: CNPJ n.º:  10.572.048/0001-28
Endereço: Margem da PE 75 Bela Vista Goiana PE, 55900-000
Geres: XII
Leitos: -
Perfil: Atendimentos ambulatoriais nas especialidades de Cardiologia, Mastologia, Urologia, Endocrinologia, Dermatologia, Angiologia / Vascular, Pré-natal de alto risco, Ginecologia, Otorrinolaringologia e Neurologia.
Nº Profissionais Total: 66
Investimento nesta gestão: 
Principais avanços nessa gestão: AQUISIÇÕES: DE ESFIGMOMANÔMETRO ANERÓIDE COM PEDESTAL
INDICADOR DIGITAL DE PESAGEM LIDER LD1050
MONITOR MULTIPARAMÉTRICO PROLIFE
ESFIGMOMANÔMETRO ANERÓIDE COM PEDESTAL
APARELHO DETECTOR FETAL DIGITAL
APARELHO COLPOSCÓPIO BINOCULAR
APARELHO COLPOSCÓPIO BINOCULAR
APARELHO DE ULTRASSOM ERGONÔMICO
ESFIGMOMANÔMETRO ANERÓIDE COM PEDESTAL
APARELHO ELETROTERAPIA NEORODIM
APARELHO DE ULTRASSOM TERAPÊUTICO
PAUDÁRIO (ALONGAMENTO)
PEDALINHO (EXERCÍCIOS)
ESTEIRA ERGOMÉTRICA SPEEDO
ESTEIRA ERGOMÉTRICA SPEEDO
APARELHO DE MAMOGRAFIA E ACESSÓRIOS
APARELHO DE DENSITOMETRIA ÓSSEA
CARRINHO DE EMERGÊNCIA
CAIXAS ENDOSCÓPICO/COLONOSCÓPICO
REPROCESSADORA AUTOMÁTICA DE ENDOSCÓPIO
CONCENTRADOR DE OXIGÊNIO
MONITOR MULTIPARAMÉTRICO PROLIFE
CARDIOVERSOR/DESFIBRILADOR
VENTILADOR PULMONAR MECÂNICO PORTÁTIL
CARRINHO DE EMERGÊNCIA
CAIXAS ENDOSCÓPICO/COLONOSCÓPICO
CADEIRA DE BANHO HIGIÊNICA
MONITOR MULTIPARÂMETRO
CARRINHO DE EMERGÊNCIA
APARELHO DE RAIO X
ESFIGMOMANÔMETRO ANERÓIDE COM PEDESTAL
ESFIGMOMANÔMETRO ANERÓIDE
ESTEIRA ERGOMÉTRICA
APARELHO SISTEMA DE ERGOMETRIA APEX 1000
MONITOR MULTIPARÂMETRO
TERMÔMETRO CLÍNICO DIGITAL</v>
      </c>
      <c r="G48" s="44" t="s">
        <v>106</v>
      </c>
      <c r="H48" s="208"/>
      <c r="I48" s="58" t="s">
        <v>108</v>
      </c>
      <c r="J48" s="208"/>
      <c r="K48" s="211" t="str">
        <f t="array" ref="K48">_xlfn.XLOOKUP(E48, 'DESCONTINUADA UPA e UPA-E'!B:B, 'DESCONTINUADA UPA e UPA-E'!F:F)</f>
        <v>-</v>
      </c>
      <c r="L48" s="208"/>
      <c r="M48" s="208"/>
      <c r="N48" s="212" t="str">
        <f t="array" ref="N48">_xlfn.XLOOKUP(E48, 'DESCONTINUADA UPA e UPA-E'!B:B, 'DESCONTINUADA UPA e UPA-E'!G:G)</f>
        <v>Atendimentos ambulatoriais nas especialidades de Cardiologia, Mastologia, Urologia, Endocrinologia, Dermatologia, Angiologia / Vascular, Pré-natal de alto risco, Ginecologia, Otorrinolaringologia e Neurologia.</v>
      </c>
      <c r="O48" s="358">
        <f t="array" ref="O48">_xlfn.XLOOKUP(E48, 'DESCONTINUADA UPA e UPA-E'!B:B, 'DESCONTINUADA UPA e UPA-E'!H:H)</f>
        <v>66</v>
      </c>
      <c r="P48" s="208"/>
      <c r="Q48" s="208"/>
      <c r="R48" s="211" t="str">
        <f t="array" ref="R48">_xlfn.XLOOKUP(E48, 'DESCONTINUADA UPA e UPA-E'!B:B, 'DESCONTINUADA UPA e UPA-E'!I:I)</f>
        <v/>
      </c>
      <c r="S48" s="208"/>
      <c r="T48" s="208"/>
      <c r="U48" s="208"/>
      <c r="V48" s="208"/>
      <c r="W48" s="208"/>
      <c r="X48" s="404" t="str">
        <f t="array" ref="X48">_xlfn.XLOOKUP(E48, 'DESCONTINUADA UPA e UPA-E'!B:B, 'DESCONTINUADA UPA e UPA-E'!J:J)</f>
        <v>AQUISIÇÕES: DE ESFIGMOMANÔMETRO ANERÓIDE COM PEDESTAL
INDICADOR DIGITAL DE PESAGEM LIDER LD1050
MONITOR MULTIPARAMÉTRICO PROLIFE
ESFIGMOMANÔMETRO ANERÓIDE COM PEDESTAL
APARELHO DETECTOR FETAL DIGITAL
APARELHO COLPOSCÓPIO BINOCULAR
APARELHO COLPOSCÓPIO BINOCULAR
APARELHO DE ULTRASSOM ERGONÔMICO
ESFIGMOMANÔMETRO ANERÓIDE COM PEDESTAL
APARELHO ELETROTERAPIA NEORODIM
APARELHO DE ULTRASSOM TERAPÊUTICO
PAUDÁRIO (ALONGAMENTO)
PEDALINHO (EXERCÍCIOS)
ESTEIRA ERGOMÉTRICA SPEEDO
ESTEIRA ERGOMÉTRICA SPEEDO
APARELHO DE MAMOGRAFIA E ACESSÓRIOS
APARELHO DE DENSITOMETRIA ÓSSEA
CARRINHO DE EMERGÊNCIA
CAIXAS ENDOSCÓPICO/COLONOSCÓPICO
REPROCESSADORA AUTOMÁTICA DE ENDOSCÓPIO
CONCENTRADOR DE OXIGÊNIO
MONITOR MULTIPARAMÉTRICO PROLIFE
CARDIOVERSOR/DESFIBRILADOR
VENTILADOR PULMONAR MECÂNICO PORTÁTIL
CARRINHO DE EMERGÊNCIA
CAIXAS ENDOSCÓPICO/COLONOSCÓPICO
CADEIRA DE BANHO HIGIÊNICA
MONITOR MULTIPARÂMETRO
CARRINHO DE EMERGÊNCIA
APARELHO DE RAIO X
ESFIGMOMANÔMETRO ANERÓIDE COM PEDESTAL
ESFIGMOMANÔMETRO ANERÓIDE
ESTEIRA ERGOMÉTRICA
APARELHO SISTEMA DE ERGOMETRIA APEX 1000
MONITOR MULTIPARÂMETRO
TERMÔMETRO CLÍNICO DIGITAL</v>
      </c>
      <c r="Y48" s="361"/>
      <c r="Z48" s="219"/>
    </row>
    <row r="49" ht="137.25" customHeight="1">
      <c r="A49" s="53">
        <v>2601201.0</v>
      </c>
      <c r="B49" s="392" t="s">
        <v>424</v>
      </c>
      <c r="C49" s="311" t="s">
        <v>425</v>
      </c>
      <c r="D49" s="58" t="s">
        <v>452</v>
      </c>
      <c r="E49" s="61" t="s">
        <v>116</v>
      </c>
      <c r="F49" s="403" t="str">
        <f t="array" ref="F49">TEXTJOIN(CHAR(10), TRUE, 
  "*" &amp; E49 &amp; "*", 
"Status: " &amp; _xlfn.XLOOKUP(E49, 'DESCONTINUADA UPA e UPA-E'!B:B, 'DESCONTINUADA UPA e UPA-E'!C:C, "Não encontrado"),
 "Localização: " &amp; _xlfn.XLOOKUP(E49, 'DESCONTINUADA UPA e UPA-E'!B:B, 'DESCONTINUADA UPA e UPA-E'!D:D, "Não encontrado"),
 "Geres: " &amp; _xlfn.XLOOKUP(E49, 'DESCONTINUADA UPA e UPA-E'!B:B, 'DESCONTINUADA UPA e UPA-E'!E:E, "Não encontrado"),
 "Leitos: " &amp; _xlfn.XLOOKUP(E49, 'DESCONTINUADA UPA e UPA-E'!B:B, 'DESCONTINUADA UPA e UPA-E'!F:F, "Não encontrado"),
 "Perfil: " &amp; _xlfn.XLOOKUP(E49, 'DESCONTINUADA UPA e UPA-E'!B:B, 'DESCONTINUADA UPA e UPA-E'!G:G, "Não encontrado"),
 "Nº Profissionais Total: " &amp; _xlfn.XLOOKUP(E49, 'DESCONTINUADA UPA e UPA-E'!B:B, 'DESCONTINUADA UPA e UPA-E'!H:H, "Não encontrado"),
 "Investimento nesta gestão: " &amp; _xlfn.XLOOKUP(E49, 'DESCONTINUADA UPA e UPA-E'!B:B, 'DESCONTINUADA UPA e UPA-E'!I:I, "Não encontrado"),
 "Principais avanços nessa gestão: " &amp; _xlfn.XLOOKUP(E49, 'DESCONTINUADA UPA e UPA-E'!B:B, 'DESCONTINUADA UPA e UPA-E'!J:J, "Não encontrado"),
)</f>
        <v>*UPAE Arcoverde*
Status: EM FUNCIONAMENTO
Localização: Av. Conselheiro João Alfredo, 491, Bairro Santa Luzia, no município de Arcoverde, CEP: 56517-100
Geres: VI
Leitos: -
Perfil: Atendimento ambulatorial especializado em Cardiologia, Dermatologia, Endocrinologia, Gastroenterologia, Ginecologia (CAF e Biópsias), Mastologia, Neurologia, Oftalmologia, Otorrinolaringologia, Pneumologia, Urologia, além de atendimento multiprofissional nas áreas de Enfermagem, Farmácia, Fisioterapia, Fonoaudiologia, Nutrição, Psicologia, Serviço Social.
Nº Profissionais Total: 84
Investimento nesta gestão: 465962,14
Principais avanços nessa gestão: Aquisição de equipamentos: cadeira de rodas, densitômetro, retinógrafo, ultrassonógrafos, aparelho de MAPA e nasofibroscópio.</v>
      </c>
      <c r="G49" s="44" t="s">
        <v>63</v>
      </c>
      <c r="H49" s="208"/>
      <c r="I49" s="61" t="str">
        <f t="array" ref="I49">_xlfn.XLOOKUP(E49, 'DESCONTINUADA UPA e UPA-E'!B:B, 'DESCONTINUADA UPA e UPA-E'!E:E)</f>
        <v>VI</v>
      </c>
      <c r="J49" s="208"/>
      <c r="K49" s="211" t="str">
        <f t="array" ref="K49">_xlfn.XLOOKUP(E49, 'DESCONTINUADA UPA e UPA-E'!B:B, 'DESCONTINUADA UPA e UPA-E'!F:F)</f>
        <v>-</v>
      </c>
      <c r="L49" s="208"/>
      <c r="M49" s="208"/>
      <c r="N49" s="212" t="str">
        <f t="array" ref="N49">_xlfn.XLOOKUP(E49, 'DESCONTINUADA UPA e UPA-E'!B:B, 'DESCONTINUADA UPA e UPA-E'!G:G)</f>
        <v>Atendimento ambulatorial especializado em Cardiologia, Dermatologia, Endocrinologia, Gastroenterologia, Ginecologia (CAF e Biópsias), Mastologia, Neurologia, Oftalmologia, Otorrinolaringologia, Pneumologia, Urologia, além de atendimento multiprofissional nas áreas de Enfermagem, Farmácia, Fisioterapia, Fonoaudiologia, Nutrição, Psicologia, Serviço Social.</v>
      </c>
      <c r="O49" s="358">
        <f t="array" ref="O49">_xlfn.XLOOKUP(E49, 'DESCONTINUADA UPA e UPA-E'!B:B, 'DESCONTINUADA UPA e UPA-E'!H:H)</f>
        <v>84</v>
      </c>
      <c r="P49" s="208"/>
      <c r="Q49" s="208"/>
      <c r="R49" s="211">
        <f t="array" ref="R49">_xlfn.XLOOKUP(E49, 'DESCONTINUADA UPA e UPA-E'!B:B, 'DESCONTINUADA UPA e UPA-E'!I:I)</f>
        <v>465962.14</v>
      </c>
      <c r="S49" s="208"/>
      <c r="T49" s="208"/>
      <c r="U49" s="208"/>
      <c r="V49" s="208"/>
      <c r="W49" s="208"/>
      <c r="X49" s="404" t="str">
        <f t="array" ref="X49">_xlfn.XLOOKUP(E49, 'DESCONTINUADA UPA e UPA-E'!B:B, 'DESCONTINUADA UPA e UPA-E'!J:J)</f>
        <v>Aquisição de equipamentos: cadeira de rodas, densitômetro, retinógrafo, ultrassonógrafos, aparelho de MAPA e nasofibroscópio.</v>
      </c>
      <c r="Y49" s="361"/>
      <c r="Z49" s="219"/>
    </row>
    <row r="50" ht="137.25" customHeight="1">
      <c r="A50" s="53">
        <v>2610004.0</v>
      </c>
      <c r="B50" s="392" t="s">
        <v>419</v>
      </c>
      <c r="C50" s="311" t="s">
        <v>418</v>
      </c>
      <c r="D50" s="58" t="s">
        <v>452</v>
      </c>
      <c r="E50" s="61" t="s">
        <v>127</v>
      </c>
      <c r="F50" s="403" t="str">
        <f t="array" ref="F50">TEXTJOIN(CHAR(10), TRUE, 
  "*" &amp; E50 &amp; "*", 
"Status: " &amp; _xlfn.XLOOKUP(E50, 'DESCONTINUADA UPA e UPA-E'!B:B, 'DESCONTINUADA UPA e UPA-E'!C:C, "Não encontrado"),
 "Localização: " &amp; _xlfn.XLOOKUP(E50, 'DESCONTINUADA UPA e UPA-E'!B:B, 'DESCONTINUADA UPA e UPA-E'!D:D, "Não encontrado"),
 "Geres: " &amp; _xlfn.XLOOKUP(E50, 'DESCONTINUADA UPA e UPA-E'!B:B, 'DESCONTINUADA UPA e UPA-E'!E:E, "Não encontrado"),
 "Leitos: " &amp; _xlfn.XLOOKUP(E50, 'DESCONTINUADA UPA e UPA-E'!B:B, 'DESCONTINUADA UPA e UPA-E'!F:F, "Não encontrado"),
 "Perfil: " &amp; _xlfn.XLOOKUP(E50, 'DESCONTINUADA UPA e UPA-E'!B:B, 'DESCONTINUADA UPA e UPA-E'!G:G, "Não encontrado"),
 "Nº Profissionais Total: " &amp; _xlfn.XLOOKUP(E50, 'DESCONTINUADA UPA e UPA-E'!B:B, 'DESCONTINUADA UPA e UPA-E'!H:H, "Não encontrado"),
 "Investimento nesta gestão: " &amp; _xlfn.XLOOKUP(E50, 'DESCONTINUADA UPA e UPA-E'!B:B, 'DESCONTINUADA UPA e UPA-E'!I:I, "Não encontrado"),
 "Principais avanços nessa gestão: " &amp; _xlfn.XLOOKUP(E50, 'DESCONTINUADA UPA e UPA-E'!B:B, 'DESCONTINUADA UPA e UPA-E'!J:J, "Não encontrado"),
)</f>
        <v>*UPAE Palmares*
Status: EM FUNCIONAMENTO
Localização: BR 101, KM 185, S/N, Bairro Newton Carneiro (Engenho Quilombo dos Palmares), em Palmares, Pernambuco
Geres: III
Leitos: -
Perfil: Atendimento ambulatorial especializado em Angiologia/Cirurgia Vascular, Clínica Médica, Cardiologia, Dermatologia, Endocrinologia, Ginecologia (CAF e Biópsias), Mastologia, Nefrologia, Neurologia, Oftalmologia, Otorrinolaringologia, Pneumologia, Pediatria, Reumatologia e Urologia, além de atendimento multiprofissional nas áreas de Enfermagem, Farmácia, Fisioterapia, Fonoaudiologia, Nutrição, Psicologia, Serviço Social.
Nº Profissionais Total: 95
Investimento nesta gestão: 330972,87
Principais avanços nessa gestão: Crescimento do repasse total anual: repasse cresceu 261,0% entre 2022 e 2025, de R$ 1,7 milhões para R$ 6,0 milhões.
Plano de investimento e modernização: R$ 287.072,87 aplicados na aquisição de equipamentos assistenciais e de diagnóstico: Audiômetro, Cadeira Otorrinológica, Mesa de Exames (maca fixa), Cadeira de Rodas para Obeso, Aparelho para Fisioterapia por Ondas Curtas.
</v>
      </c>
      <c r="G50" s="44" t="s">
        <v>63</v>
      </c>
      <c r="H50" s="208"/>
      <c r="I50" s="58" t="s">
        <v>132</v>
      </c>
      <c r="J50" s="208"/>
      <c r="K50" s="211" t="str">
        <f t="array" ref="K50">_xlfn.XLOOKUP(E50, 'DESCONTINUADA UPA e UPA-E'!B:B, 'DESCONTINUADA UPA e UPA-E'!F:F)</f>
        <v>-</v>
      </c>
      <c r="L50" s="208"/>
      <c r="M50" s="208"/>
      <c r="N50" s="212" t="str">
        <f t="array" ref="N50">_xlfn.XLOOKUP(E50, 'DESCONTINUADA UPA e UPA-E'!B:B, 'DESCONTINUADA UPA e UPA-E'!G:G)</f>
        <v>Atendimento ambulatorial especializado em Angiologia/Cirurgia Vascular, Clínica Médica, Cardiologia, Dermatologia, Endocrinologia, Ginecologia (CAF e Biópsias), Mastologia, Nefrologia, Neurologia, Oftalmologia, Otorrinolaringologia, Pneumologia, Pediatria, Reumatologia e Urologia, além de atendimento multiprofissional nas áreas de Enfermagem, Farmácia, Fisioterapia, Fonoaudiologia, Nutrição, Psicologia, Serviço Social.</v>
      </c>
      <c r="O50" s="358">
        <f t="array" ref="O50">_xlfn.XLOOKUP(E50, 'DESCONTINUADA UPA e UPA-E'!B:B, 'DESCONTINUADA UPA e UPA-E'!H:H)</f>
        <v>95</v>
      </c>
      <c r="P50" s="208"/>
      <c r="Q50" s="208"/>
      <c r="R50" s="211">
        <f t="array" ref="R50">_xlfn.XLOOKUP(E50, 'DESCONTINUADA UPA e UPA-E'!B:B, 'DESCONTINUADA UPA e UPA-E'!I:I)</f>
        <v>330972.87</v>
      </c>
      <c r="S50" s="208"/>
      <c r="T50" s="208"/>
      <c r="U50" s="208"/>
      <c r="V50" s="208"/>
      <c r="W50" s="208"/>
      <c r="X50" s="404" t="str">
        <f t="array" ref="X50">_xlfn.XLOOKUP(E50, 'DESCONTINUADA UPA e UPA-E'!B:B, 'DESCONTINUADA UPA e UPA-E'!J:J)</f>
        <v>Crescimento do repasse total anual: repasse cresceu 261,0% entre 2022 e 2025, de R$ 1,7 milhões para R$ 6,0 milhões.
Plano de investimento e modernização: R$ 287.072,87 aplicados na aquisição de equipamentos assistenciais e de diagnóstico: Audiômetro, Cadeira Otorrinológica, Mesa de Exames (maca fixa), Cadeira de Rodas para Obeso, Aparelho para Fisioterapia por Ondas Curtas.
</v>
      </c>
      <c r="Y50" s="361"/>
      <c r="Z50" s="219"/>
    </row>
    <row r="51" ht="137.25" customHeight="1">
      <c r="A51" s="53">
        <v>2605202.0</v>
      </c>
      <c r="B51" s="392" t="s">
        <v>454</v>
      </c>
      <c r="C51" s="311" t="s">
        <v>418</v>
      </c>
      <c r="D51" s="58" t="s">
        <v>452</v>
      </c>
      <c r="E51" s="61" t="s">
        <v>137</v>
      </c>
      <c r="F51" s="403" t="str">
        <f t="array" ref="F51">TEXTJOIN(CHAR(10), TRUE, 
  "*" &amp; E51 &amp; "*", 
"Status: " &amp; _xlfn.XLOOKUP(E51, 'DESCONTINUADA UPA e UPA-E'!B:B, 'DESCONTINUADA UPA e UPA-E'!C:C, "Não encontrado"),
 "Localização: " &amp; _xlfn.XLOOKUP(E51, 'DESCONTINUADA UPA e UPA-E'!B:B, 'DESCONTINUADA UPA e UPA-E'!D:D, "Não encontrado"),
 "Geres: " &amp; _xlfn.XLOOKUP(E51, 'DESCONTINUADA UPA e UPA-E'!B:B, 'DESCONTINUADA UPA e UPA-E'!E:E, "Não encontrado"),
 "Leitos: " &amp; _xlfn.XLOOKUP(E51, 'DESCONTINUADA UPA e UPA-E'!B:B, 'DESCONTINUADA UPA e UPA-E'!F:F, "Não encontrado"),
 "Perfil: " &amp; _xlfn.XLOOKUP(E51, 'DESCONTINUADA UPA e UPA-E'!B:B, 'DESCONTINUADA UPA e UPA-E'!G:G, "Não encontrado"),
 "Nº Profissionais Total: " &amp; _xlfn.XLOOKUP(E51, 'DESCONTINUADA UPA e UPA-E'!B:B, 'DESCONTINUADA UPA e UPA-E'!H:H, "Não encontrado"),
 "Investimento nesta gestão: " &amp; _xlfn.XLOOKUP(E51, 'DESCONTINUADA UPA e UPA-E'!B:B, 'DESCONTINUADA UPA e UPA-E'!I:I, "Não encontrado"),
 "Principais avanços nessa gestão: " &amp; _xlfn.XLOOKUP(E51, 'DESCONTINUADA UPA e UPA-E'!B:B, 'DESCONTINUADA UPA e UPA-E'!J:J, "Não encontrado"),
)</f>
        <v>*UPAE Escada*
Status: EM FUNCIONAMENTO
Localização: Avenida Engenheiro Alves de Souza, s/n, Jaguaribe, CEP: 55.500-000
Geres: III
Leitos: -
Perfil: Atendimento ambulatorial especializado em Alergologia, Angiologia, Cardiologia, Dermatologia, Endocrinologia, Gastroenterologia, Infectologia, Mastologia, Nefrologia, Oftalmologia, Otorrinolaringologia, Pneumologia, Reumatologia, Urologia, além de atendimento multiprofissional nas áreas de Enfermagem, Farmácia, Fisioterapia, Fonoaudiologia, Nutrição, Psicologia, Serviço Social.
Nº Profissionais Total: 92
Investimento nesta gestão: R$ 475.362,22
Principais avanços nessa gestão: Cadeira otorrinolaringológica, ultrassom diagnóstico sem aplicação transesofágica, desfibrilador, oxímetros de pulso e balança digital adulto.</v>
      </c>
      <c r="G51" s="44" t="s">
        <v>63</v>
      </c>
      <c r="H51" s="208"/>
      <c r="I51" s="58" t="s">
        <v>132</v>
      </c>
      <c r="J51" s="208"/>
      <c r="K51" s="211" t="str">
        <f t="array" ref="K51">_xlfn.XLOOKUP(E51, 'DESCONTINUADA UPA e UPA-E'!B:B, 'DESCONTINUADA UPA e UPA-E'!F:F)</f>
        <v>-</v>
      </c>
      <c r="L51" s="208"/>
      <c r="M51" s="208"/>
      <c r="N51" s="212" t="str">
        <f t="array" ref="N51">_xlfn.XLOOKUP(E51, 'DESCONTINUADA UPA e UPA-E'!B:B, 'DESCONTINUADA UPA e UPA-E'!G:G)</f>
        <v>Atendimento ambulatorial especializado em Alergologia, Angiologia, Cardiologia, Dermatologia, Endocrinologia, Gastroenterologia, Infectologia, Mastologia, Nefrologia, Oftalmologia, Otorrinolaringologia, Pneumologia, Reumatologia, Urologia, além de atendimento multiprofissional nas áreas de Enfermagem, Farmácia, Fisioterapia, Fonoaudiologia, Nutrição, Psicologia, Serviço Social.
</v>
      </c>
      <c r="O51" s="358">
        <f t="array" ref="O51">_xlfn.XLOOKUP(E51, 'DESCONTINUADA UPA e UPA-E'!B:B, 'DESCONTINUADA UPA e UPA-E'!H:H)</f>
        <v>92</v>
      </c>
      <c r="P51" s="208"/>
      <c r="Q51" s="208"/>
      <c r="R51" s="211" t="str">
        <f t="array" ref="R51">_xlfn.XLOOKUP(E51, 'DESCONTINUADA UPA e UPA-E'!B:B, 'DESCONTINUADA UPA e UPA-E'!I:I)</f>
        <v>R$ 475.362,22</v>
      </c>
      <c r="S51" s="208"/>
      <c r="T51" s="208"/>
      <c r="U51" s="208"/>
      <c r="V51" s="208"/>
      <c r="W51" s="208"/>
      <c r="X51" s="404" t="str">
        <f t="array" ref="X51">_xlfn.XLOOKUP(E51, 'DESCONTINUADA UPA e UPA-E'!B:B, 'DESCONTINUADA UPA e UPA-E'!J:J)</f>
        <v>Cadeira otorrinolaringológica, ultrassom diagnóstico sem aplicação transesofágica, desfibrilador, oxímetros de pulso e balança digital adulto.</v>
      </c>
      <c r="Y51" s="361"/>
      <c r="Z51" s="219"/>
    </row>
    <row r="52" ht="137.25" customHeight="1">
      <c r="A52" s="53">
        <v>2604106.0</v>
      </c>
      <c r="B52" s="392" t="s">
        <v>315</v>
      </c>
      <c r="C52" s="311" t="s">
        <v>317</v>
      </c>
      <c r="D52" s="58" t="s">
        <v>452</v>
      </c>
      <c r="E52" s="61" t="s">
        <v>150</v>
      </c>
      <c r="F52" s="403" t="str">
        <f t="array" ref="F52">TEXTJOIN(CHAR(10), TRUE, 
  "*" &amp; E52 &amp; "*", 
"Status: " &amp; _xlfn.XLOOKUP(E52, 'DESCONTINUADA UPA e UPA-E'!B:B, 'DESCONTINUADA UPA e UPA-E'!C:C, "Não encontrado"),
 "Localização: " &amp; _xlfn.XLOOKUP(E52, 'DESCONTINUADA UPA e UPA-E'!B:B, 'DESCONTINUADA UPA e UPA-E'!D:D, "Não encontrado"),
 "Geres: " &amp; _xlfn.XLOOKUP(E52, 'DESCONTINUADA UPA e UPA-E'!B:B, 'DESCONTINUADA UPA e UPA-E'!E:E, "Não encontrado"),
 "Leitos: " &amp; _xlfn.XLOOKUP(E52, 'DESCONTINUADA UPA e UPA-E'!B:B, 'DESCONTINUADA UPA e UPA-E'!F:F, "Não encontrado"),
 "Perfil: " &amp; _xlfn.XLOOKUP(E52, 'DESCONTINUADA UPA e UPA-E'!B:B, 'DESCONTINUADA UPA e UPA-E'!G:G, "Não encontrado"),
 "Nº Profissionais Total: " &amp; _xlfn.XLOOKUP(E52, 'DESCONTINUADA UPA e UPA-E'!B:B, 'DESCONTINUADA UPA e UPA-E'!H:H, "Não encontrado"),
 "Investimento nesta gestão: " &amp; _xlfn.XLOOKUP(E52, 'DESCONTINUADA UPA e UPA-E'!B:B, 'DESCONTINUADA UPA e UPA-E'!I:I, "Não encontrado"),
 "Principais avanços nessa gestão: " &amp; _xlfn.XLOOKUP(E52, 'DESCONTINUADA UPA e UPA-E'!B:B, 'DESCONTINUADA UPA e UPA-E'!J:J, "Não encontrado"),
)</f>
        <v>*UPAE Caruaru*
Status: EM FUNCIONAMENTO
Localização: Av. José Marques Fontes, S/N, Indianópolis
Geres: IV
Leitos: -
Perfil: Atendimento ambulatorial especializado em Alergologia, Angiologia, Cardiologia, Cirurgia Geral, Dermatologia, Endocrinologia, Gastroenterologia, Hematologia, Infectologia, Mastologia, Nefrologia, Neurologia, Oftalmologia, Otorrinolaringologia, Pneumologia, Proctologia, Reumatologia e Urologia, além de suporte anestésico para procedimentos realizados em sala cirúrgica. A unidade conta ainda com atendimento multiprofissional nas áreas de Enfermagem, Farmácia, Fisioterapia, Fonoaudiologia, Nutrição, Psicologia, Serviço Social e Terapia Ocupacional
Nº Profissionais Total: 119
Investimento nesta gestão: R$ 4.289.540,15
Principais avanços nessa gestão: Microscopio cirúrgico oftalmológico, aparelho de ultrassonografia (ultrassom), facoemulsificador, foco cirúrgico de teto, sistema de vídeo endoscopia flexível, carro de anestesia, monitor multiparamêtrico, cadeira para exames de urodinâmica.</v>
      </c>
      <c r="G52" s="44" t="s">
        <v>63</v>
      </c>
      <c r="H52" s="208"/>
      <c r="I52" s="58" t="s">
        <v>153</v>
      </c>
      <c r="J52" s="208"/>
      <c r="K52" s="208" t="str">
        <f t="array" ref="K52">_xlfn.XLOOKUP(E52, 'DESCONTINUADA UPA e UPA-E'!B:B, 'DESCONTINUADA UPA e UPA-E'!F:F)</f>
        <v>-</v>
      </c>
      <c r="L52" s="208"/>
      <c r="M52" s="208"/>
      <c r="N52" s="212" t="str">
        <f t="array" ref="N52">_xlfn.XLOOKUP(E52, 'DESCONTINUADA UPA e UPA-E'!B:B, 'DESCONTINUADA UPA e UPA-E'!G:G)</f>
        <v>Atendimento ambulatorial especializado em Alergologia, Angiologia, Cardiologia, Cirurgia Geral, Dermatologia, Endocrinologia, Gastroenterologia, Hematologia, Infectologia, Mastologia, Nefrologia, Neurologia, Oftalmologia, Otorrinolaringologia, Pneumologia, Proctologia, Reumatologia e Urologia, além de suporte anestésico para procedimentos realizados em sala cirúrgica. A unidade conta ainda com atendimento multiprofissional nas áreas de Enfermagem, Farmácia, Fisioterapia, Fonoaudiologia, Nutrição, Psicologia, Serviço Social e Terapia Ocupacional</v>
      </c>
      <c r="O52" s="358">
        <f t="array" ref="O52">_xlfn.XLOOKUP(E52, 'DESCONTINUADA UPA e UPA-E'!B:B, 'DESCONTINUADA UPA e UPA-E'!H:H)</f>
        <v>119</v>
      </c>
      <c r="P52" s="208"/>
      <c r="Q52" s="208"/>
      <c r="R52" s="211" t="str">
        <f t="array" ref="R52">_xlfn.XLOOKUP(E52, 'DESCONTINUADA UPA e UPA-E'!B:B, 'DESCONTINUADA UPA e UPA-E'!I:I)</f>
        <v>R$ 4.289.540,15</v>
      </c>
      <c r="S52" s="208"/>
      <c r="T52" s="208"/>
      <c r="U52" s="208"/>
      <c r="V52" s="208"/>
      <c r="W52" s="208"/>
      <c r="X52" s="404" t="str">
        <f t="array" ref="X52">_xlfn.XLOOKUP(E52, 'DESCONTINUADA UPA e UPA-E'!B:B, 'DESCONTINUADA UPA e UPA-E'!J:J)</f>
        <v>Microscopio cirúrgico oftalmológico, aparelho de ultrassonografia (ultrassom), facoemulsificador, foco cirúrgico de teto, sistema de vídeo endoscopia flexível, carro de anestesia, monitor multiparamêtrico, cadeira para exames de urodinâmica.</v>
      </c>
      <c r="Y52" s="361"/>
      <c r="Z52" s="219"/>
    </row>
    <row r="53" ht="137.25" customHeight="1">
      <c r="A53" s="53">
        <v>2601706.0</v>
      </c>
      <c r="B53" s="392" t="s">
        <v>455</v>
      </c>
      <c r="C53" s="311" t="s">
        <v>317</v>
      </c>
      <c r="D53" s="58" t="s">
        <v>452</v>
      </c>
      <c r="E53" s="61" t="s">
        <v>161</v>
      </c>
      <c r="F53" s="403" t="str">
        <f t="array" ref="F53">TEXTJOIN(CHAR(10), TRUE, 
  "*" &amp; E53 &amp; "*", 
"Status: " &amp; _xlfn.XLOOKUP(E53, 'DESCONTINUADA UPA e UPA-E'!B:B, 'DESCONTINUADA UPA e UPA-E'!C:C, "Não encontrado"),
 "Localização: " &amp; _xlfn.XLOOKUP(E53, 'DESCONTINUADA UPA e UPA-E'!B:B, 'DESCONTINUADA UPA e UPA-E'!D:D, "Não encontrado"),
 "Geres: " &amp; _xlfn.XLOOKUP(E53, 'DESCONTINUADA UPA e UPA-E'!B:B, 'DESCONTINUADA UPA e UPA-E'!E:E, "Não encontrado"),
 "Leitos: " &amp; _xlfn.XLOOKUP(E53, 'DESCONTINUADA UPA e UPA-E'!B:B, 'DESCONTINUADA UPA e UPA-E'!F:F, "Não encontrado"),
 "Perfil: " &amp; _xlfn.XLOOKUP(E53, 'DESCONTINUADA UPA e UPA-E'!B:B, 'DESCONTINUADA UPA e UPA-E'!G:G, "Não encontrado"),
 "Nº Profissionais Total: " &amp; _xlfn.XLOOKUP(E53, 'DESCONTINUADA UPA e UPA-E'!B:B, 'DESCONTINUADA UPA e UPA-E'!H:H, "Não encontrado"),
 "Investimento nesta gestão: " &amp; _xlfn.XLOOKUP(E53, 'DESCONTINUADA UPA e UPA-E'!B:B, 'DESCONTINUADA UPA e UPA-E'!I:I, "Não encontrado"),
 "Principais avanços nessa gestão: " &amp; _xlfn.XLOOKUP(E53, 'DESCONTINUADA UPA e UPA-E'!B:B, 'DESCONTINUADA UPA e UPA-E'!J:J, "Não encontrado"),
)</f>
        <v>*UPAE Belo Jardim*
Status: EM FUNCIONAMENTO
Localização: BR-232, 785, Bairro São Pedro, no município de Belo Jardim, CEP: 55158-810
Geres: IV
Leitos: -
Perfil: Atendimento especializado em Alergologia, Angiologia, Cardiologia, Clínico geral, Dermatologia, Endocrinologia, Gastroenterologia, Ginecologia, Nefrologia, neurologia, Oftalmologia, Otorrinolaringologia, Urologia, além de atendimento multiprofissional nas áreas de Enfermagem, Farmácia, Fisioterapia, Fonoaudiologia, Nutrição, Psicologia, Serviço social.
Nº Profissionais Total: 92
Investimento nesta gestão: R$ 34.816,70
Principais avanços nessa gestão: Aquisição/execução: equipamento para monitoramento ambulatorial de pressão arterial (MAPA), entre outros itens.</v>
      </c>
      <c r="G53" s="44" t="s">
        <v>63</v>
      </c>
      <c r="H53" s="208"/>
      <c r="I53" s="58" t="s">
        <v>153</v>
      </c>
      <c r="J53" s="208"/>
      <c r="K53" s="208" t="str">
        <f t="array" ref="K53">_xlfn.XLOOKUP(E53, 'DESCONTINUADA UPA e UPA-E'!B:B, 'DESCONTINUADA UPA e UPA-E'!F:F)</f>
        <v>-</v>
      </c>
      <c r="L53" s="208"/>
      <c r="M53" s="208"/>
      <c r="N53" s="212" t="str">
        <f t="array" ref="N53">_xlfn.XLOOKUP(E53, 'DESCONTINUADA UPA e UPA-E'!B:B, 'DESCONTINUADA UPA e UPA-E'!G:G)</f>
        <v>Atendimento especializado em Alergologia, Angiologia, Cardiologia, Clínico geral, Dermatologia, Endocrinologia, Gastroenterologia, Ginecologia, Nefrologia, neurologia, Oftalmologia, Otorrinolaringologia, Urologia, além de atendimento multiprofissional nas áreas de Enfermagem, Farmácia, Fisioterapia, Fonoaudiologia, Nutrição, Psicologia, Serviço social.
</v>
      </c>
      <c r="O53" s="358">
        <f t="array" ref="O53">_xlfn.XLOOKUP(E53, 'DESCONTINUADA UPA e UPA-E'!B:B, 'DESCONTINUADA UPA e UPA-E'!H:H)</f>
        <v>92</v>
      </c>
      <c r="P53" s="208"/>
      <c r="Q53" s="208"/>
      <c r="R53" s="211" t="str">
        <f t="array" ref="R53">_xlfn.XLOOKUP(E53, 'DESCONTINUADA UPA e UPA-E'!B:B, 'DESCONTINUADA UPA e UPA-E'!I:I)</f>
        <v>R$ 34.816,70</v>
      </c>
      <c r="S53" s="208"/>
      <c r="T53" s="208"/>
      <c r="U53" s="208"/>
      <c r="V53" s="208"/>
      <c r="W53" s="208"/>
      <c r="X53" s="404" t="str">
        <f t="array" ref="X53">_xlfn.XLOOKUP(E53, 'DESCONTINUADA UPA e UPA-E'!B:B, 'DESCONTINUADA UPA e UPA-E'!J:J)</f>
        <v>Aquisição/execução: equipamento para monitoramento ambulatorial de pressão arterial (MAPA), entre outros itens.</v>
      </c>
      <c r="Y53" s="361"/>
      <c r="Z53" s="219"/>
    </row>
    <row r="54" ht="137.25" customHeight="1">
      <c r="A54" s="53">
        <v>2608909.0</v>
      </c>
      <c r="B54" s="392" t="s">
        <v>436</v>
      </c>
      <c r="C54" s="311" t="s">
        <v>437</v>
      </c>
      <c r="D54" s="58" t="s">
        <v>452</v>
      </c>
      <c r="E54" s="61" t="s">
        <v>170</v>
      </c>
      <c r="F54" s="403" t="str">
        <f t="array" ref="F54">TEXTJOIN(CHAR(10), TRUE, 
  "*" &amp; E54 &amp; "*", 
"Status: " &amp; _xlfn.XLOOKUP(E54, 'DESCONTINUADA UPA e UPA-E'!B:B, 'DESCONTINUADA UPA e UPA-E'!C:C, "Não encontrado"),
 "Localização: " &amp; _xlfn.XLOOKUP(E54, 'DESCONTINUADA UPA e UPA-E'!B:B, 'DESCONTINUADA UPA e UPA-E'!D:D, "Não encontrado"),
 "Geres: " &amp; _xlfn.XLOOKUP(E54, 'DESCONTINUADA UPA e UPA-E'!B:B, 'DESCONTINUADA UPA e UPA-E'!E:E, "Não encontrado"),
 "Leitos: " &amp; _xlfn.XLOOKUP(E54, 'DESCONTINUADA UPA e UPA-E'!B:B, 'DESCONTINUADA UPA e UPA-E'!F:F, "Não encontrado"),
 "Perfil: " &amp; _xlfn.XLOOKUP(E54, 'DESCONTINUADA UPA e UPA-E'!B:B, 'DESCONTINUADA UPA e UPA-E'!G:G, "Não encontrado"),
 "Nº Profissionais Total: " &amp; _xlfn.XLOOKUP(E54, 'DESCONTINUADA UPA e UPA-E'!B:B, 'DESCONTINUADA UPA e UPA-E'!H:H, "Não encontrado"),
 "Investimento nesta gestão: " &amp; _xlfn.XLOOKUP(E54, 'DESCONTINUADA UPA e UPA-E'!B:B, 'DESCONTINUADA UPA e UPA-E'!I:I, "Não encontrado"),
 "Principais avanços nessa gestão: " &amp; _xlfn.XLOOKUP(E54, 'DESCONTINUADA UPA e UPA-E'!B:B, 'DESCONTINUADA UPA e UPA-E'!J:J, "Não encontrado"),
)</f>
        <v>*UPAE Limoeiro*
Status: EM FUNCIONAMENTO
Localização: Margem PE-90, S/N, Fazenda Livramento, Limoeiro - PE, 55700-000
Geres: II
Leitos: -
Perfil: Atendimento especializado em Angiologia, Cardiologia, Dermatologia, Endocrinologia, Gastroenterologia, Ginecologia, Mastologia, Nefrologia, Oftalmologia, Otorrinolaringologia, Urologia, além de atendimento multiprofissional nas áreas de Enfermagem, Farmácia, Fisioterapia, Fonoaudiologia, Nutrição, Psicologia, Serviço Social.
Nº Profissionais Total: 95
Investimento nesta gestão: 905105
Principais avanços nessa gestão: Repasse evoluiu de R$ 5,4 milhões para R$ 8,8 milhões. Aquisição de equipamentos através de Plano de investimento, no valor de R$ 905.105,00</v>
      </c>
      <c r="G54" s="44" t="s">
        <v>63</v>
      </c>
      <c r="H54" s="208"/>
      <c r="I54" s="58" t="s">
        <v>99</v>
      </c>
      <c r="J54" s="208"/>
      <c r="K54" s="208" t="str">
        <f t="array" ref="K54">_xlfn.XLOOKUP(E54, 'DESCONTINUADA UPA e UPA-E'!B:B, 'DESCONTINUADA UPA e UPA-E'!F:F)</f>
        <v>-</v>
      </c>
      <c r="L54" s="208"/>
      <c r="M54" s="208"/>
      <c r="N54" s="212" t="str">
        <f t="array" ref="N54">_xlfn.XLOOKUP(E54, 'DESCONTINUADA UPA e UPA-E'!B:B, 'DESCONTINUADA UPA e UPA-E'!G:G)</f>
        <v>Atendimento especializado em Angiologia, Cardiologia, Dermatologia, Endocrinologia, Gastroenterologia, Ginecologia, Mastologia, Nefrologia, Oftalmologia, Otorrinolaringologia, Urologia, além de atendimento multiprofissional nas áreas de Enfermagem, Farmácia, Fisioterapia, Fonoaudiologia, Nutrição, Psicologia, Serviço Social.</v>
      </c>
      <c r="O54" s="358">
        <f t="array" ref="O54">_xlfn.XLOOKUP(E54, 'DESCONTINUADA UPA e UPA-E'!B:B, 'DESCONTINUADA UPA e UPA-E'!H:H)</f>
        <v>95</v>
      </c>
      <c r="P54" s="208"/>
      <c r="Q54" s="208"/>
      <c r="R54" s="211">
        <f t="array" ref="R54">_xlfn.XLOOKUP(E54, 'DESCONTINUADA UPA e UPA-E'!B:B, 'DESCONTINUADA UPA e UPA-E'!I:I)</f>
        <v>905105</v>
      </c>
      <c r="S54" s="208"/>
      <c r="T54" s="208"/>
      <c r="U54" s="208"/>
      <c r="V54" s="208"/>
      <c r="W54" s="208"/>
      <c r="X54" s="404" t="str">
        <f t="array" ref="X54">_xlfn.XLOOKUP(E54, 'DESCONTINUADA UPA e UPA-E'!B:B, 'DESCONTINUADA UPA e UPA-E'!J:J)</f>
        <v>Repasse evoluiu de R$ 5,4 milhões para R$ 8,8 milhões. Aquisição de equipamentos através de Plano de investimento, no valor de R$ 905.105,00</v>
      </c>
      <c r="Y54" s="361"/>
      <c r="Z54" s="219"/>
    </row>
    <row r="55" ht="137.25" customHeight="1">
      <c r="A55" s="53">
        <v>2606002.0</v>
      </c>
      <c r="B55" s="392" t="s">
        <v>420</v>
      </c>
      <c r="C55" s="311" t="s">
        <v>421</v>
      </c>
      <c r="D55" s="58" t="s">
        <v>452</v>
      </c>
      <c r="E55" s="61" t="s">
        <v>180</v>
      </c>
      <c r="F55" s="403" t="str">
        <f t="array" ref="F55">TEXTJOIN(CHAR(10), TRUE, 
  "*" &amp; E55 &amp; "*", 
"Status: " &amp; _xlfn.XLOOKUP(E55, 'DESCONTINUADA UPA e UPA-E'!B:B, 'DESCONTINUADA UPA e UPA-E'!C:C, "Não encontrado"),
 "Localização: " &amp; _xlfn.XLOOKUP(E55, 'DESCONTINUADA UPA e UPA-E'!B:B, 'DESCONTINUADA UPA e UPA-E'!D:D, "Não encontrado"),
 "Geres: " &amp; _xlfn.XLOOKUP(E55, 'DESCONTINUADA UPA e UPA-E'!B:B, 'DESCONTINUADA UPA e UPA-E'!E:E, "Não encontrado"),
 "Leitos: " &amp; _xlfn.XLOOKUP(E55, 'DESCONTINUADA UPA e UPA-E'!B:B, 'DESCONTINUADA UPA e UPA-E'!F:F, "Não encontrado"),
 "Perfil: " &amp; _xlfn.XLOOKUP(E55, 'DESCONTINUADA UPA e UPA-E'!B:B, 'DESCONTINUADA UPA e UPA-E'!G:G, "Não encontrado"),
 "Nº Profissionais Total: " &amp; _xlfn.XLOOKUP(E55, 'DESCONTINUADA UPA e UPA-E'!B:B, 'DESCONTINUADA UPA e UPA-E'!H:H, "Não encontrado"),
 "Investimento nesta gestão: " &amp; _xlfn.XLOOKUP(E55, 'DESCONTINUADA UPA e UPA-E'!B:B, 'DESCONTINUADA UPA e UPA-E'!I:I, "Não encontrado"),
 "Principais avanços nessa gestão: " &amp; _xlfn.XLOOKUP(E55, 'DESCONTINUADA UPA e UPA-E'!B:B, 'DESCONTINUADA UPA e UPA-E'!J:J, "Não encontrado"),
)</f>
        <v>*UPAE Garanhuns*
Status: EM FUNCIONAMENTO
Localização: Rodovia BR-423,BR 423, km 96,8, Bairro São José, Garanhuns Km 90, CEP: 55.290-000
Geres: V
Leitos: -
Perfil: Atendimento ambulatorial especializado em Cardiologia, Cirurgia Geral, Dermatologia, Endocrinologia, Gastroenterologia, Geriatria, Ginecologia (CAF e Biopsia), Mastologia, Nefrologia, Neurologia, Oftalmologia, Otorrinolaringologia, Reumatologia e Urologia, além de atendimento multiprofissional nas áreas de Enfermagem, Farmácia, Fisioterapia, Fonoaudiologia, Nutrição, Psicologia, Serviço Social.
Nº Profissionais Total: 258
Investimento nesta gestão: R$ 3.162.643,06
Principais avanços nessa gestão: Aquisição de equipamento através de plano de investimento, no valor de R$3.162.643,06 contemplando: Aparelho de anestesia, cardioversor, ventilador pulmonar de transporte, ultrassonógrafo, bisturi elétrico e foco cirúrgico.</v>
      </c>
      <c r="G55" s="44" t="s">
        <v>63</v>
      </c>
      <c r="H55" s="208"/>
      <c r="I55" s="58" t="s">
        <v>183</v>
      </c>
      <c r="J55" s="208"/>
      <c r="K55" s="211" t="str">
        <f t="array" ref="K55">_xlfn.XLOOKUP(E55, 'DESCONTINUADA UPA e UPA-E'!B:B, 'DESCONTINUADA UPA e UPA-E'!F:F)</f>
        <v>-</v>
      </c>
      <c r="L55" s="208"/>
      <c r="M55" s="208"/>
      <c r="N55" s="212" t="str">
        <f t="array" ref="N55">_xlfn.XLOOKUP(E55, 'DESCONTINUADA UPA e UPA-E'!B:B, 'DESCONTINUADA UPA e UPA-E'!G:G)</f>
        <v>Atendimento ambulatorial especializado em Cardiologia, Cirurgia Geral, Dermatologia, Endocrinologia, Gastroenterologia, Geriatria, Ginecologia (CAF e Biopsia), Mastologia, Nefrologia, Neurologia, Oftalmologia, Otorrinolaringologia, Reumatologia e Urologia, além de atendimento multiprofissional nas áreas de Enfermagem, Farmácia, Fisioterapia, Fonoaudiologia, Nutrição, Psicologia, Serviço Social.</v>
      </c>
      <c r="O55" s="358">
        <f t="array" ref="O55">_xlfn.XLOOKUP(E55, 'DESCONTINUADA UPA e UPA-E'!B:B, 'DESCONTINUADA UPA e UPA-E'!H:H)</f>
        <v>258</v>
      </c>
      <c r="P55" s="208"/>
      <c r="Q55" s="208"/>
      <c r="R55" s="211" t="str">
        <f t="array" ref="R55">_xlfn.XLOOKUP(E55, 'DESCONTINUADA UPA e UPA-E'!B:B, 'DESCONTINUADA UPA e UPA-E'!I:I)</f>
        <v>R$ 3.162.643,06</v>
      </c>
      <c r="S55" s="208"/>
      <c r="T55" s="208"/>
      <c r="U55" s="208"/>
      <c r="V55" s="208"/>
      <c r="W55" s="208"/>
      <c r="X55" s="404" t="str">
        <f t="array" ref="X55">_xlfn.XLOOKUP(E55, 'DESCONTINUADA UPA e UPA-E'!B:B, 'DESCONTINUADA UPA e UPA-E'!J:J)</f>
        <v>Aquisição de equipamento através de plano de investimento, no valor de R$3.162.643,06 contemplando: Aparelho de anestesia, cardioversor, ventilador pulmonar de transporte, ultrassonógrafo, bisturi elétrico e foco cirúrgico.</v>
      </c>
      <c r="Y55" s="361"/>
      <c r="Z55" s="219"/>
    </row>
    <row r="56" ht="137.25" customHeight="1">
      <c r="A56" s="53">
        <v>2612208.0</v>
      </c>
      <c r="B56" s="392" t="s">
        <v>422</v>
      </c>
      <c r="C56" s="311" t="s">
        <v>423</v>
      </c>
      <c r="D56" s="58" t="s">
        <v>452</v>
      </c>
      <c r="E56" s="61" t="s">
        <v>208</v>
      </c>
      <c r="F56" s="403" t="str">
        <f t="array" ref="F56">TEXTJOIN(CHAR(10), TRUE, 
  "*" &amp; E56 &amp; "*", 
"Status: " &amp; _xlfn.XLOOKUP(E56, 'DESCONTINUADA UPA e UPA-E'!B:B, 'DESCONTINUADA UPA e UPA-E'!C:C, "Não encontrado"),
 "Localização: " &amp; _xlfn.XLOOKUP(E56, 'DESCONTINUADA UPA e UPA-E'!B:B, 'DESCONTINUADA UPA e UPA-E'!D:D, "Não encontrado"),
 "Geres: " &amp; _xlfn.XLOOKUP(E56, 'DESCONTINUADA UPA e UPA-E'!B:B, 'DESCONTINUADA UPA e UPA-E'!E:E, "Não encontrado"),
 "Leitos: " &amp; _xlfn.XLOOKUP(E56, 'DESCONTINUADA UPA e UPA-E'!B:B, 'DESCONTINUADA UPA e UPA-E'!F:F, "Não encontrado"),
 "Perfil: " &amp; _xlfn.XLOOKUP(E56, 'DESCONTINUADA UPA e UPA-E'!B:B, 'DESCONTINUADA UPA e UPA-E'!G:G, "Não encontrado"),
 "Nº Profissionais Total: " &amp; _xlfn.XLOOKUP(E56, 'DESCONTINUADA UPA e UPA-E'!B:B, 'DESCONTINUADA UPA e UPA-E'!H:H, "Não encontrado"),
 "Investimento nesta gestão: " &amp; _xlfn.XLOOKUP(E56, 'DESCONTINUADA UPA e UPA-E'!B:B, 'DESCONTINUADA UPA e UPA-E'!I:I, "Não encontrado"),
 "Principais avanços nessa gestão: " &amp; _xlfn.XLOOKUP(E56, 'DESCONTINUADA UPA e UPA-E'!B:B, 'DESCONTINUADA UPA e UPA-E'!J:J, "Não encontrado"),
)</f>
        <v>*UPAE Salgueiro*
Status: EM FUNCIONAMENTO
Localização: R. João Veras de Siqueira, s/n - Nossa Sra. Aparecida, Salgueiro - PE, 56000-000
Geres: VII
Leitos: -
Perfil: Atendimento ambulatorial especializado em Angiologia, Dermatologia, Endocrinologia, Cardiologia, Gastroenterologia,  Ginecologia, Mastologia, Otorrinolaringologia, Ortopedia, Reumatologia e Urologia, além de atendimento multiprofissional nas áreas de Enfermagem, Farmácia, Fisioterapia, Fonoaudiologia, Nutrição, Psicologia, Serviço Social.
Nº Profissionais Total: 87
Investimento nesta gestão: 233120,62
Principais avanços nessa gestão: -</v>
      </c>
      <c r="G56" s="44" t="s">
        <v>63</v>
      </c>
      <c r="H56" s="208"/>
      <c r="I56" s="58" t="s">
        <v>213</v>
      </c>
      <c r="J56" s="208"/>
      <c r="K56" s="211" t="str">
        <f t="array" ref="K56">_xlfn.XLOOKUP(E56, 'DESCONTINUADA UPA e UPA-E'!B:B, 'DESCONTINUADA UPA e UPA-E'!F:F)</f>
        <v>-</v>
      </c>
      <c r="L56" s="208"/>
      <c r="M56" s="208"/>
      <c r="N56" s="212" t="str">
        <f t="array" ref="N56">_xlfn.XLOOKUP(E56, 'DESCONTINUADA UPA e UPA-E'!B:B, 'DESCONTINUADA UPA e UPA-E'!G:G)</f>
        <v>Atendimento ambulatorial especializado em Angiologia, Dermatologia, Endocrinologia, Cardiologia, Gastroenterologia,  Ginecologia, Mastologia, Otorrinolaringologia, Ortopedia, Reumatologia e Urologia, além de atendimento multiprofissional nas áreas de Enfermagem, Farmácia, Fisioterapia, Fonoaudiologia, Nutrição, Psicologia, Serviço Social.</v>
      </c>
      <c r="O56" s="358">
        <f t="array" ref="O56">_xlfn.XLOOKUP(E56, 'DESCONTINUADA UPA e UPA-E'!B:B, 'DESCONTINUADA UPA e UPA-E'!H:H)</f>
        <v>87</v>
      </c>
      <c r="P56" s="208"/>
      <c r="Q56" s="208"/>
      <c r="R56" s="211">
        <f t="array" ref="R56">_xlfn.XLOOKUP(E56, 'DESCONTINUADA UPA e UPA-E'!B:B, 'DESCONTINUADA UPA e UPA-E'!I:I)</f>
        <v>233120.62</v>
      </c>
      <c r="S56" s="208"/>
      <c r="T56" s="208"/>
      <c r="U56" s="208"/>
      <c r="V56" s="208"/>
      <c r="W56" s="208"/>
      <c r="X56" s="404" t="str">
        <f t="array" ref="X56">_xlfn.XLOOKUP(E56, 'DESCONTINUADA UPA e UPA-E'!B:B, 'DESCONTINUADA UPA e UPA-E'!J:J)</f>
        <v>-</v>
      </c>
      <c r="Y56" s="361"/>
      <c r="Z56" s="219"/>
    </row>
    <row r="57" ht="137.25" customHeight="1">
      <c r="A57" s="53">
        <v>2609907.0</v>
      </c>
      <c r="B57" s="392" t="s">
        <v>426</v>
      </c>
      <c r="C57" s="311" t="s">
        <v>427</v>
      </c>
      <c r="D57" s="58" t="s">
        <v>452</v>
      </c>
      <c r="E57" s="61" t="s">
        <v>219</v>
      </c>
      <c r="F57" s="403" t="str">
        <f t="array" ref="F57">TEXTJOIN(CHAR(10), TRUE, 
  "*" &amp; E57 &amp; "*", 
"Status: " &amp; _xlfn.XLOOKUP(E57, 'DESCONTINUADA UPA e UPA-E'!B:B, 'DESCONTINUADA UPA e UPA-E'!C:C, "Não encontrado"),
 "Localização: " &amp; _xlfn.XLOOKUP(E57, 'DESCONTINUADA UPA e UPA-E'!B:B, 'DESCONTINUADA UPA e UPA-E'!D:D, "Não encontrado"),
 "Geres: " &amp; _xlfn.XLOOKUP(E57, 'DESCONTINUADA UPA e UPA-E'!B:B, 'DESCONTINUADA UPA e UPA-E'!E:E, "Não encontrado"),
 "Leitos: " &amp; _xlfn.XLOOKUP(E57, 'DESCONTINUADA UPA e UPA-E'!B:B, 'DESCONTINUADA UPA e UPA-E'!F:F, "Não encontrado"),
 "Perfil: " &amp; _xlfn.XLOOKUP(E57, 'DESCONTINUADA UPA e UPA-E'!B:B, 'DESCONTINUADA UPA e UPA-E'!G:G, "Não encontrado"),
 "Nº Profissionais Total: " &amp; _xlfn.XLOOKUP(E57, 'DESCONTINUADA UPA e UPA-E'!B:B, 'DESCONTINUADA UPA e UPA-E'!H:H, "Não encontrado"),
 "Investimento nesta gestão: " &amp; _xlfn.XLOOKUP(E57, 'DESCONTINUADA UPA e UPA-E'!B:B, 'DESCONTINUADA UPA e UPA-E'!I:I, "Não encontrado"),
 "Principais avanços nessa gestão: " &amp; _xlfn.XLOOKUP(E57, 'DESCONTINUADA UPA e UPA-E'!B:B, 'DESCONTINUADA UPA e UPA-E'!J:J, "Não encontrado"),
)</f>
        <v>*UPAE Ouricuri*
Status: EM FUNCIONAMENTO
Localização: Av Manoel Irineu Araujo - Centro, Ouricuri - PE, 56200-000
Geres: IX
Leitos: -
Perfil: Atendimento ambulatorial especializado em Alergologia, Angiologia, Cardiologia, Dermatologia, Endocrinologia, Psiquiatria e Urologia, além de atendimento multiprofissional nas áreas de Enfermagem, Farmácia, Fisioterapia, Fonoaudiologia, Nutrição, Psicologia, Serviço Social.
Nº Profissionais Total: 37
Investimento nesta gestão: 1305568,55
Principais avanços nessa gestão: Aquisição de equipamentos: mamógrafo, ultrassom, aparelho de raio-X, MAPA, dermatoscópio e ar condicionado.</v>
      </c>
      <c r="G57" s="44" t="s">
        <v>63</v>
      </c>
      <c r="H57" s="208"/>
      <c r="I57" s="58" t="s">
        <v>224</v>
      </c>
      <c r="J57" s="208"/>
      <c r="K57" s="211" t="str">
        <f t="array" ref="K57">_xlfn.XLOOKUP(E57, 'DESCONTINUADA UPA e UPA-E'!B:B, 'DESCONTINUADA UPA e UPA-E'!F:F)</f>
        <v>-</v>
      </c>
      <c r="L57" s="208"/>
      <c r="M57" s="208"/>
      <c r="N57" s="212" t="str">
        <f t="array" ref="N57">_xlfn.XLOOKUP(E57, 'DESCONTINUADA UPA e UPA-E'!B:B, 'DESCONTINUADA UPA e UPA-E'!G:G)</f>
        <v>Atendimento ambulatorial especializado em Alergologia, Angiologia, Cardiologia, Dermatologia, Endocrinologia, Psiquiatria e Urologia, além de atendimento multiprofissional nas áreas de Enfermagem, Farmácia, Fisioterapia, Fonoaudiologia, Nutrição, Psicologia, Serviço Social.</v>
      </c>
      <c r="O57" s="358">
        <f t="array" ref="O57">_xlfn.XLOOKUP(E57, 'DESCONTINUADA UPA e UPA-E'!B:B, 'DESCONTINUADA UPA e UPA-E'!H:H)</f>
        <v>37</v>
      </c>
      <c r="P57" s="208"/>
      <c r="Q57" s="208"/>
      <c r="R57" s="211">
        <f t="array" ref="R57">_xlfn.XLOOKUP(E57, 'DESCONTINUADA UPA e UPA-E'!B:B, 'DESCONTINUADA UPA e UPA-E'!I:I)</f>
        <v>1305568.55</v>
      </c>
      <c r="S57" s="208"/>
      <c r="T57" s="208"/>
      <c r="U57" s="208"/>
      <c r="V57" s="208"/>
      <c r="W57" s="208"/>
      <c r="X57" s="404" t="str">
        <f t="array" ref="X57">_xlfn.XLOOKUP(E57, 'DESCONTINUADA UPA e UPA-E'!B:B, 'DESCONTINUADA UPA e UPA-E'!J:J)</f>
        <v>Aquisição de equipamentos: mamógrafo, ultrassom, aparelho de raio-X, MAPA, dermatoscópio e ar condicionado.</v>
      </c>
      <c r="Y57" s="361"/>
      <c r="Z57" s="219"/>
    </row>
    <row r="58" ht="137.25" customHeight="1">
      <c r="A58" s="53">
        <v>2600104.0</v>
      </c>
      <c r="B58" s="392" t="s">
        <v>431</v>
      </c>
      <c r="C58" s="311" t="s">
        <v>430</v>
      </c>
      <c r="D58" s="58" t="s">
        <v>452</v>
      </c>
      <c r="E58" s="61" t="s">
        <v>231</v>
      </c>
      <c r="F58" s="403" t="str">
        <f t="array" ref="F58">TEXTJOIN(CHAR(10), TRUE, 
  "*" &amp; E58 &amp; "*", 
"Status: " &amp; _xlfn.XLOOKUP(E58, 'DESCONTINUADA UPA e UPA-E'!B:B, 'DESCONTINUADA UPA e UPA-E'!C:C, "Não encontrado"),
 "Localização: " &amp; _xlfn.XLOOKUP(E58, 'DESCONTINUADA UPA e UPA-E'!B:B, 'DESCONTINUADA UPA e UPA-E'!D:D, "Não encontrado"),
 "Geres: " &amp; _xlfn.XLOOKUP(E58, 'DESCONTINUADA UPA e UPA-E'!B:B, 'DESCONTINUADA UPA e UPA-E'!E:E, "Não encontrado"),
 "Leitos: " &amp; _xlfn.XLOOKUP(E58, 'DESCONTINUADA UPA e UPA-E'!B:B, 'DESCONTINUADA UPA e UPA-E'!F:F, "Não encontrado"),
 "Perfil: " &amp; _xlfn.XLOOKUP(E58, 'DESCONTINUADA UPA e UPA-E'!B:B, 'DESCONTINUADA UPA e UPA-E'!G:G, "Não encontrado"),
 "Nº Profissionais Total: " &amp; _xlfn.XLOOKUP(E58, 'DESCONTINUADA UPA e UPA-E'!B:B, 'DESCONTINUADA UPA e UPA-E'!H:H, "Não encontrado"),
 "Investimento nesta gestão: " &amp; _xlfn.XLOOKUP(E58, 'DESCONTINUADA UPA e UPA-E'!B:B, 'DESCONTINUADA UPA e UPA-E'!I:I, "Não encontrado"),
 "Principais avanços nessa gestão: " &amp; _xlfn.XLOOKUP(E58, 'DESCONTINUADA UPA e UPA-E'!B:B, 'DESCONTINUADA UPA e UPA-E'!J:J, "Não encontrado"),
)</f>
        <v>*UPAE Afogados da Ingazeira*
Status: EM FUNCIONAMENTO
Localização: Rua Antônio Alves dos Santos, S/N, Bairro Centro, no município de Afogados da Ingazeira, CEP: 56800-000
Geres: X
Leitos: -
Perfil: Atendimento ambulatorial especializado em Cardiologia, Dermatologia, Endocrinologia, Gastroenterologia, Ginecologia (CAF e Biópsias), Mastologia, Nefrologia, Oftalmologia, Otorrinolaringologia, Reumatologia, Urologia, além de atendimento multiprofissional nas áreas de Enfermagem, Farmácia, Fisioterapia, Fonoaudiologia, Nutrição, Psicologia, Serviço Social e Terapia Ocupacional.
Nº Profissionais Total: 74
Investimento nesta gestão: 128308,19
Principais avanços nessa gestão: Entre 2022 e 2025, o repasse direto à unidade cresceu 13,7%, passando de R$ 5,5 milhões para R$ 6,2 milhões.</v>
      </c>
      <c r="G58" s="44" t="s">
        <v>63</v>
      </c>
      <c r="H58" s="208"/>
      <c r="I58" s="58" t="s">
        <v>236</v>
      </c>
      <c r="J58" s="208"/>
      <c r="K58" s="211" t="str">
        <f t="array" ref="K58">_xlfn.XLOOKUP(E58, 'DESCONTINUADA UPA e UPA-E'!B:B, 'DESCONTINUADA UPA e UPA-E'!F:F)</f>
        <v>-</v>
      </c>
      <c r="L58" s="208"/>
      <c r="M58" s="208"/>
      <c r="N58" s="212" t="str">
        <f t="array" ref="N58">_xlfn.XLOOKUP(E58, 'DESCONTINUADA UPA e UPA-E'!B:B, 'DESCONTINUADA UPA e UPA-E'!G:G)</f>
        <v>Atendimento ambulatorial especializado em Cardiologia, Dermatologia, Endocrinologia, Gastroenterologia, Ginecologia (CAF e Biópsias), Mastologia, Nefrologia, Oftalmologia, Otorrinolaringologia, Reumatologia, Urologia, além de atendimento multiprofissional nas áreas de Enfermagem, Farmácia, Fisioterapia, Fonoaudiologia, Nutrição, Psicologia, Serviço Social e Terapia Ocupacional.
</v>
      </c>
      <c r="O58" s="358">
        <f t="array" ref="O58">_xlfn.XLOOKUP(E58, 'DESCONTINUADA UPA e UPA-E'!B:B, 'DESCONTINUADA UPA e UPA-E'!H:H)</f>
        <v>74</v>
      </c>
      <c r="P58" s="208"/>
      <c r="Q58" s="208"/>
      <c r="R58" s="211">
        <f t="array" ref="R58">_xlfn.XLOOKUP(E58, 'DESCONTINUADA UPA e UPA-E'!B:B, 'DESCONTINUADA UPA e UPA-E'!I:I)</f>
        <v>128308.19</v>
      </c>
      <c r="S58" s="208"/>
      <c r="T58" s="208"/>
      <c r="U58" s="208"/>
      <c r="V58" s="208"/>
      <c r="W58" s="208"/>
      <c r="X58" s="404" t="str">
        <f t="array" ref="X58">_xlfn.XLOOKUP(E58, 'DESCONTINUADA UPA e UPA-E'!B:B, 'DESCONTINUADA UPA e UPA-E'!J:J)</f>
        <v>Entre 2022 e 2025, o repasse direto à unidade cresceu 13,7%, passando de R$ 5,5 milhões para R$ 6,2 milhões.</v>
      </c>
      <c r="Y58" s="361"/>
      <c r="Z58" s="219"/>
    </row>
    <row r="59" ht="137.25" customHeight="1">
      <c r="A59" s="53">
        <v>2613909.0</v>
      </c>
      <c r="B59" s="392" t="s">
        <v>429</v>
      </c>
      <c r="C59" s="311" t="s">
        <v>430</v>
      </c>
      <c r="D59" s="58" t="s">
        <v>452</v>
      </c>
      <c r="E59" s="61" t="s">
        <v>244</v>
      </c>
      <c r="F59" s="403" t="str">
        <f t="array" ref="F59">TEXTJOIN(CHAR(10), TRUE, 
  "*" &amp; E59 &amp; "*", 
"Status: " &amp; _xlfn.XLOOKUP(E59, 'DESCONTINUADA UPA e UPA-E'!B:B, 'DESCONTINUADA UPA e UPA-E'!C:C, "Não encontrado"),
 "Localização: " &amp; _xlfn.XLOOKUP(E59, 'DESCONTINUADA UPA e UPA-E'!B:B, 'DESCONTINUADA UPA e UPA-E'!D:D, "Não encontrado"),
 "Geres: " &amp; _xlfn.XLOOKUP(E59, 'DESCONTINUADA UPA e UPA-E'!B:B, 'DESCONTINUADA UPA e UPA-E'!E:E, "Não encontrado"),
 "Leitos: " &amp; _xlfn.XLOOKUP(E59, 'DESCONTINUADA UPA e UPA-E'!B:B, 'DESCONTINUADA UPA e UPA-E'!F:F, "Não encontrado"),
 "Perfil: " &amp; _xlfn.XLOOKUP(E59, 'DESCONTINUADA UPA e UPA-E'!B:B, 'DESCONTINUADA UPA e UPA-E'!G:G, "Não encontrado"),
 "Nº Profissionais Total: " &amp; _xlfn.XLOOKUP(E59, 'DESCONTINUADA UPA e UPA-E'!B:B, 'DESCONTINUADA UPA e UPA-E'!H:H, "Não encontrado"),
 "Investimento nesta gestão: " &amp; _xlfn.XLOOKUP(E59, 'DESCONTINUADA UPA e UPA-E'!B:B, 'DESCONTINUADA UPA e UPA-E'!I:I, "Não encontrado"),
 "Principais avanços nessa gestão: " &amp; _xlfn.XLOOKUP(E59, 'DESCONTINUADA UPA e UPA-E'!B:B, 'DESCONTINUADA UPA e UPA-E'!J:J, "Não encontrado"),
)</f>
        <v>*UPAE Serra Talhada*
Status: EM FUNCIONAMENTO
Localização: R. Quatorze de Julho, s/n - Cagep, Serra Talhada - PE, 56909-000
Geres: XI
Leitos: -
Perfil: Atendimento ambulatorial especializado em Cardiologia, Nefrologia, Neurologia, Oftalmologia, Urologia, e Psicologia, além de atendimento multiprofissional nas áreas de Enfermagem, Farmácia, Fisioterapia, Fonoaudiologia, Nutrição, Psicologia, Serviço Social.
Nº Profissionais Total: 98
Investimento nesta gestão: 718499,64
Principais avanços nessa gestão: Repasse evoluiu de R$ 10,1 milhões para R$ 11,0 milhões.</v>
      </c>
      <c r="G59" s="44" t="s">
        <v>63</v>
      </c>
      <c r="H59" s="208"/>
      <c r="I59" s="58" t="s">
        <v>249</v>
      </c>
      <c r="J59" s="208"/>
      <c r="K59" s="211" t="str">
        <f t="array" ref="K59">_xlfn.XLOOKUP(E59, 'DESCONTINUADA UPA e UPA-E'!B:B, 'DESCONTINUADA UPA e UPA-E'!F:F)</f>
        <v>-</v>
      </c>
      <c r="L59" s="208"/>
      <c r="M59" s="208"/>
      <c r="N59" s="212" t="str">
        <f t="array" ref="N59">_xlfn.XLOOKUP(E59, 'DESCONTINUADA UPA e UPA-E'!B:B, 'DESCONTINUADA UPA e UPA-E'!G:G)</f>
        <v>Atendimento ambulatorial especializado em Cardiologia, Nefrologia, Neurologia, Oftalmologia, Urologia, e Psicologia, além de atendimento multiprofissional nas áreas de Enfermagem, Farmácia, Fisioterapia, Fonoaudiologia, Nutrição, Psicologia, Serviço Social.</v>
      </c>
      <c r="O59" s="358">
        <f t="array" ref="O59">_xlfn.XLOOKUP(E59, 'DESCONTINUADA UPA e UPA-E'!B:B, 'DESCONTINUADA UPA e UPA-E'!H:H)</f>
        <v>98</v>
      </c>
      <c r="P59" s="208"/>
      <c r="Q59" s="208"/>
      <c r="R59" s="211">
        <f t="array" ref="R59">_xlfn.XLOOKUP(E59, 'DESCONTINUADA UPA e UPA-E'!B:B, 'DESCONTINUADA UPA e UPA-E'!I:I)</f>
        <v>718499.64</v>
      </c>
      <c r="S59" s="208"/>
      <c r="T59" s="208"/>
      <c r="U59" s="208"/>
      <c r="V59" s="208"/>
      <c r="W59" s="208"/>
      <c r="X59" s="404" t="str">
        <f t="array" ref="X59">_xlfn.XLOOKUP(E59, 'DESCONTINUADA UPA e UPA-E'!B:B, 'DESCONTINUADA UPA e UPA-E'!J:J)</f>
        <v>Repasse evoluiu de R$ 10,1 milhões para R$ 11,0 milhões.</v>
      </c>
      <c r="Y59" s="361"/>
      <c r="Z59" s="219"/>
    </row>
    <row r="60" ht="137.25" customHeight="1">
      <c r="A60" s="53">
        <v>2611101.0</v>
      </c>
      <c r="B60" s="392" t="s">
        <v>432</v>
      </c>
      <c r="C60" s="311" t="s">
        <v>433</v>
      </c>
      <c r="D60" s="58" t="s">
        <v>456</v>
      </c>
      <c r="E60" s="61" t="s">
        <v>253</v>
      </c>
      <c r="F60" s="403" t="str">
        <f t="array" ref="F60">TEXTJOIN(CHAR(10), TRUE, 
  "*" &amp; E60 &amp; "*", 
"Status: " &amp; _xlfn.XLOOKUP(E60, 'DESCONTINUADA UPA e UPA-E'!B:B, 'DESCONTINUADA UPA e UPA-E'!C:C, "Não encontrado"),
 "Localização: " &amp; _xlfn.XLOOKUP(E60, 'DESCONTINUADA UPA e UPA-E'!B:B, 'DESCONTINUADA UPA e UPA-E'!D:D, "Não encontrado"),
 "Geres: " &amp; _xlfn.XLOOKUP(E60, 'DESCONTINUADA UPA e UPA-E'!B:B, 'DESCONTINUADA UPA e UPA-E'!E:E, "Não encontrado"),
 "Leitos: " &amp; _xlfn.XLOOKUP(E60, 'DESCONTINUADA UPA e UPA-E'!B:B, 'DESCONTINUADA UPA e UPA-E'!F:F, "Não encontrado"),
 "Perfil: " &amp; _xlfn.XLOOKUP(E60, 'DESCONTINUADA UPA e UPA-E'!B:B, 'DESCONTINUADA UPA e UPA-E'!G:G, "Não encontrado"),
 "Nº Profissionais Total: " &amp; _xlfn.XLOOKUP(E60, 'DESCONTINUADA UPA e UPA-E'!B:B, 'DESCONTINUADA UPA e UPA-E'!H:H, "Não encontrado"),
 "Investimento nesta gestão: " &amp; _xlfn.XLOOKUP(E60, 'DESCONTINUADA UPA e UPA-E'!B:B, 'DESCONTINUADA UPA e UPA-E'!I:I, "Não encontrado"),
 "Principais avanços nessa gestão: " &amp; _xlfn.XLOOKUP(E60, 'DESCONTINUADA UPA e UPA-E'!B:B, 'DESCONTINUADA UPA e UPA-E'!J:J, "Não encontrado"),
)</f>
        <v>*UPA/UPAE Petrolina*
Status: EM FUNCIONAMENTO
Localização: Avenida Coronel Honorato Viana S/N, Palhinhas, Petrolina, CEP 56.308-000
Geres: VIII
Leitos: 17
Perfil: Atendimento ambulatorial especializado em Cardiologia, Cirurgia Geral, Dermatologia, Endocrinologia, Gastroenterologia, Hematologia, Infectologia, Nefrologia, Neurologia, Oftalmologia, Otorrinolaringologia, Pneumologia, Proctologia, Reumatologia e Urologia, além de atendimento multiprofissional nas áreas de Enfermagem, Farmácia, Fisioterapia, Fonoaudiologia, Nutrição, Psicologia, Serviço Social e Terapia Ocupacional.
Nº Profissionais Total: 375
Investimento nesta gestão: R$ 2.461.752,49
Principais avanços nessa gestão: Aquisição de equipamentos: cardioversor, densitômetro ósseo, foco cirúrgico, ventilador pulmonar de transporte, videocolonoscópio e videogastroscópio.</v>
      </c>
      <c r="G60" s="44" t="s">
        <v>63</v>
      </c>
      <c r="H60" s="208"/>
      <c r="I60" s="58" t="s">
        <v>263</v>
      </c>
      <c r="J60" s="208"/>
      <c r="K60" s="266">
        <f t="array" ref="K60">_xlfn.XLOOKUP(E60, 'DESCONTINUADA UPA e UPA-E'!B:B, 'DESCONTINUADA UPA e UPA-E'!F:F)</f>
        <v>17</v>
      </c>
      <c r="L60" s="208"/>
      <c r="M60" s="208"/>
      <c r="N60" s="212" t="str">
        <f t="array" ref="N60">_xlfn.XLOOKUP(E60, 'DESCONTINUADA UPA e UPA-E'!B:B, 'DESCONTINUADA UPA e UPA-E'!G:G)</f>
        <v>Atendimento ambulatorial especializado em Cardiologia, Cirurgia Geral, Dermatologia, Endocrinologia, Gastroenterologia, Hematologia, Infectologia, Nefrologia, Neurologia, Oftalmologia, Otorrinolaringologia, Pneumologia, Proctologia, Reumatologia e Urologia, além de atendimento multiprofissional nas áreas de Enfermagem, Farmácia, Fisioterapia, Fonoaudiologia, Nutrição, Psicologia, Serviço Social e Terapia Ocupacional.</v>
      </c>
      <c r="O60" s="358">
        <f t="array" ref="O60">_xlfn.XLOOKUP(E60, 'DESCONTINUADA UPA e UPA-E'!B:B, 'DESCONTINUADA UPA e UPA-E'!H:H)</f>
        <v>375</v>
      </c>
      <c r="P60" s="208"/>
      <c r="Q60" s="208"/>
      <c r="R60" s="211" t="str">
        <f t="array" ref="R60">_xlfn.XLOOKUP(E60, 'DESCONTINUADA UPA e UPA-E'!B:B, 'DESCONTINUADA UPA e UPA-E'!I:I)</f>
        <v>R$ 2.461.752,49</v>
      </c>
      <c r="S60" s="208"/>
      <c r="T60" s="208"/>
      <c r="U60" s="208"/>
      <c r="V60" s="208"/>
      <c r="W60" s="208"/>
      <c r="X60" s="404" t="str">
        <f t="array" ref="X60">_xlfn.XLOOKUP(E60, 'DESCONTINUADA UPA e UPA-E'!B:B, 'DESCONTINUADA UPA e UPA-E'!J:J)</f>
        <v>Aquisição de equipamentos: cardioversor, densitômetro ósseo, foco cirúrgico, ventilador pulmonar de transporte, videocolonoscópio e videogastroscópio.</v>
      </c>
      <c r="Y60" s="361"/>
      <c r="Z60" s="219"/>
    </row>
    <row r="61" ht="137.25" customHeight="1">
      <c r="A61" s="53">
        <v>2607901.0</v>
      </c>
      <c r="B61" s="392" t="s">
        <v>411</v>
      </c>
      <c r="C61" s="311" t="s">
        <v>104</v>
      </c>
      <c r="D61" s="58" t="s">
        <v>457</v>
      </c>
      <c r="E61" s="61" t="s">
        <v>274</v>
      </c>
      <c r="F61" s="403" t="str">
        <f t="array" ref="F61">TEXTJOIN(CHAR(10), TRUE, 
  "*" &amp; E61 &amp; "*", 
"Status: " &amp; _xlfn.XLOOKUP(E61, 'DESCONTINUADA UPA e UPA-E'!B:B, 'DESCONTINUADA UPA e UPA-E'!C:C, "Não encontrado"),
 "Localização: " &amp; _xlfn.XLOOKUP(E61, 'DESCONTINUADA UPA e UPA-E'!B:B, 'DESCONTINUADA UPA e UPA-E'!D:D, "Não encontrado"),
 "Geres: " &amp; _xlfn.XLOOKUP(E61, 'DESCONTINUADA UPA e UPA-E'!B:B, 'DESCONTINUADA UPA e UPA-E'!E:E, "Não encontrado"),
 "Leitos: " &amp; _xlfn.XLOOKUP(E61, 'DESCONTINUADA UPA e UPA-E'!B:B, 'DESCONTINUADA UPA e UPA-E'!F:F, "Não encontrado"),
 "Perfil: " &amp; _xlfn.XLOOKUP(E61, 'DESCONTINUADA UPA e UPA-E'!B:B, 'DESCONTINUADA UPA e UPA-E'!G:G, "Não encontrado"),
 "Nº Profissionais Total: " &amp; _xlfn.XLOOKUP(E61, 'DESCONTINUADA UPA e UPA-E'!B:B, 'DESCONTINUADA UPA e UPA-E'!H:H, "Não encontrado"),
 "Investimento nesta gestão: " &amp; _xlfn.XLOOKUP(E61, 'DESCONTINUADA UPA e UPA-E'!B:B, 'DESCONTINUADA UPA e UPA-E'!I:I, "Não encontrado"),
 "Principais avanços nessa gestão: " &amp; _xlfn.XLOOKUP(E61, 'DESCONTINUADA UPA e UPA-E'!B:B, 'DESCONTINUADA UPA e UPA-E'!J:J, "Não encontrado"),
)</f>
        <v>*UPA Barra de Jangada*
Status: EM FUNCIONAMENTO
Localização: Barra de Jangada, Jaboatão dos Guararapes - PE, 54470-240
Geres: I
Leitos: 18
Perfil: A unidade presta atendimento de média complexidade em Clínica Médica, Pediatria e Traumatologia/Ortopedia, realizando estabilização de pacientes graves e encaminhamento aos hospitais de referência quando necessário.
Nº Profissionais Total: -
Investimento nesta gestão: 669611,94
Principais avanços nessa gestão:  Manutenção de atendimento 24 horas em Clínica Médica, Pediatria e Traumatologia/Ortopedia, fortalecendo a rede de urgência e emergência da I GERES.
Aquisição de novos equipamentos e mobiliário por meio de Plano de Investimento: Ar Condicionado 60.000 BTUS, Eletrocardiógrafo, RAIO X FIXO - DIGITAL, Monitor Multiparâmetros, Ventilador Pulmonar.
Manutenção de elevado volume de urgência e emergência.</v>
      </c>
      <c r="G61" s="44" t="s">
        <v>63</v>
      </c>
      <c r="H61" s="208"/>
      <c r="I61" s="58" t="s">
        <v>85</v>
      </c>
      <c r="J61" s="208"/>
      <c r="K61" s="209">
        <f t="array" ref="K61">_xlfn.XLOOKUP(E61, 'DESCONTINUADA UPA e UPA-E'!B:B, 'DESCONTINUADA UPA e UPA-E'!F:F)</f>
        <v>18</v>
      </c>
      <c r="L61" s="208"/>
      <c r="M61" s="208"/>
      <c r="N61" s="212" t="str">
        <f t="array" ref="N61">_xlfn.XLOOKUP(E61, 'DESCONTINUADA UPA e UPA-E'!B:B, 'DESCONTINUADA UPA e UPA-E'!G:G)</f>
        <v>A unidade presta atendimento de média complexidade em Clínica Médica, Pediatria e Traumatologia/Ortopedia, realizando estabilização de pacientes graves e encaminhamento aos hospitais de referência quando necessário.</v>
      </c>
      <c r="O61" s="358" t="str">
        <f t="array" ref="O61">_xlfn.XLOOKUP(E61, 'DESCONTINUADA UPA e UPA-E'!B:B, 'DESCONTINUADA UPA e UPA-E'!H:H)</f>
        <v>-</v>
      </c>
      <c r="P61" s="208"/>
      <c r="Q61" s="208"/>
      <c r="R61" s="211">
        <f t="array" ref="R61">_xlfn.XLOOKUP(E61, 'DESCONTINUADA UPA e UPA-E'!B:B, 'DESCONTINUADA UPA e UPA-E'!I:I)</f>
        <v>669611.94</v>
      </c>
      <c r="S61" s="208"/>
      <c r="T61" s="208"/>
      <c r="U61" s="208"/>
      <c r="V61" s="208"/>
      <c r="W61" s="208"/>
      <c r="X61" s="404" t="str">
        <f t="array" ref="X61">_xlfn.XLOOKUP(E61, 'DESCONTINUADA UPA e UPA-E'!B:B, 'DESCONTINUADA UPA e UPA-E'!J:J)</f>
        <v> Manutenção de atendimento 24 horas em Clínica Médica, Pediatria e Traumatologia/Ortopedia, fortalecendo a rede de urgência e emergência da I GERES.
Aquisição de novos equipamentos e mobiliário por meio de Plano de Investimento: Ar Condicionado 60.000 BTUS, Eletrocardiógrafo, RAIO X FIXO - DIGITAL, Monitor Multiparâmetros, Ventilador Pulmonar.
Manutenção de elevado volume de urgência e emergência.</v>
      </c>
      <c r="Y61" s="361"/>
      <c r="Z61" s="219"/>
    </row>
    <row r="62" ht="137.25" customHeight="1">
      <c r="A62" s="53">
        <v>2602902.0</v>
      </c>
      <c r="B62" s="392" t="s">
        <v>413</v>
      </c>
      <c r="C62" s="311" t="s">
        <v>104</v>
      </c>
      <c r="D62" s="58" t="s">
        <v>457</v>
      </c>
      <c r="E62" s="61" t="s">
        <v>284</v>
      </c>
      <c r="F62" s="403" t="str">
        <f t="array" ref="F62">TEXTJOIN(CHAR(10), TRUE, 
  "*" &amp; E62 &amp; "*", 
"Status: " &amp; _xlfn.XLOOKUP(E62, 'DESCONTINUADA UPA e UPA-E'!B:B, 'DESCONTINUADA UPA e UPA-E'!C:C, "Não encontrado"),
 "Localização: " &amp; _xlfn.XLOOKUP(E62, 'DESCONTINUADA UPA e UPA-E'!B:B, 'DESCONTINUADA UPA e UPA-E'!D:D, "Não encontrado"),
 "Geres: " &amp; _xlfn.XLOOKUP(E62, 'DESCONTINUADA UPA e UPA-E'!B:B, 'DESCONTINUADA UPA e UPA-E'!E:E, "Não encontrado"),
 "Leitos: " &amp; _xlfn.XLOOKUP(E62, 'DESCONTINUADA UPA e UPA-E'!B:B, 'DESCONTINUADA UPA e UPA-E'!F:F, "Não encontrado"),
 "Perfil: " &amp; _xlfn.XLOOKUP(E62, 'DESCONTINUADA UPA e UPA-E'!B:B, 'DESCONTINUADA UPA e UPA-E'!G:G, "Não encontrado"),
 "Nº Profissionais Total: " &amp; _xlfn.XLOOKUP(E62, 'DESCONTINUADA UPA e UPA-E'!B:B, 'DESCONTINUADA UPA e UPA-E'!H:H, "Não encontrado"),
 "Investimento nesta gestão: " &amp; _xlfn.XLOOKUP(E62, 'DESCONTINUADA UPA e UPA-E'!B:B, 'DESCONTINUADA UPA e UPA-E'!I:I, "Não encontrado"),
 "Principais avanços nessa gestão: " &amp; _xlfn.XLOOKUP(E62, 'DESCONTINUADA UPA e UPA-E'!B:B, 'DESCONTINUADA UPA e UPA-E'!J:J, "Não encontrado"),
)</f>
        <v>*UPA Cabo de Santo Agostinho*
Status: EM FUNCIONAMENTO
Localização: Rua 27, S/N – Cohab Cabo de Santo Agostinho – PE
Geres: I
Leitos: 19
Perfil:  A unidade atua na estabilização e observação de pacientes e no encaminhamento para serviços hospitalares de maior complexidade quando necessário.
Nº Profissionais Total: -
Investimento nesta gestão: 679276,27
Principais avanços nessa gestão: Manutenção da assistência de urgência e emergência em Clínica Médica e Pediatria, fortalecendo a cobertura da I GERES.
Aquisição de novos equipamentos e mobiliário por meio de Plano de Investimento: Ar condicionado split 60.000 BTUs, Cardioversor, Ventilador Pulmonar, Vídeo Laringoscópio, DEA - Desfibrilador Externo Automático.</v>
      </c>
      <c r="G62" s="44" t="s">
        <v>63</v>
      </c>
      <c r="H62" s="208"/>
      <c r="I62" s="58" t="s">
        <v>85</v>
      </c>
      <c r="J62" s="208"/>
      <c r="K62" s="209">
        <f t="array" ref="K62">_xlfn.XLOOKUP(E62, 'DESCONTINUADA UPA e UPA-E'!B:B, 'DESCONTINUADA UPA e UPA-E'!F:F)</f>
        <v>19</v>
      </c>
      <c r="L62" s="208"/>
      <c r="M62" s="208"/>
      <c r="N62" s="212" t="str">
        <f t="array" ref="N62">_xlfn.XLOOKUP(E62, 'DESCONTINUADA UPA e UPA-E'!B:B, 'DESCONTINUADA UPA e UPA-E'!G:G)</f>
        <v> A unidade atua na estabilização e observação de pacientes e no encaminhamento para serviços hospitalares de maior complexidade quando necessário.</v>
      </c>
      <c r="O62" s="358" t="str">
        <f t="array" ref="O62">_xlfn.XLOOKUP(E62, 'DESCONTINUADA UPA e UPA-E'!B:B, 'DESCONTINUADA UPA e UPA-E'!H:H)</f>
        <v>-</v>
      </c>
      <c r="P62" s="208"/>
      <c r="Q62" s="208"/>
      <c r="R62" s="211">
        <f t="array" ref="R62">_xlfn.XLOOKUP(E62, 'DESCONTINUADA UPA e UPA-E'!B:B, 'DESCONTINUADA UPA e UPA-E'!I:I)</f>
        <v>679276.27</v>
      </c>
      <c r="S62" s="208"/>
      <c r="T62" s="208"/>
      <c r="U62" s="208"/>
      <c r="V62" s="208"/>
      <c r="W62" s="208"/>
      <c r="X62" s="404" t="str">
        <f t="array" ref="X62">_xlfn.XLOOKUP(E62, 'DESCONTINUADA UPA e UPA-E'!B:B, 'DESCONTINUADA UPA e UPA-E'!J:J)</f>
        <v>Manutenção da assistência de urgência e emergência em Clínica Médica e Pediatria, fortalecendo a cobertura da I GERES.
Aquisição de novos equipamentos e mobiliário por meio de Plano de Investimento: Ar condicionado split 60.000 BTUs, Cardioversor, Ventilador Pulmonar, Vídeo Laringoscópio, DEA - Desfibrilador Externo Automático.</v>
      </c>
      <c r="Y62" s="361"/>
      <c r="Z62" s="219"/>
    </row>
    <row r="63" ht="137.25" customHeight="1">
      <c r="A63" s="53">
        <v>2607901.0</v>
      </c>
      <c r="B63" s="392" t="s">
        <v>411</v>
      </c>
      <c r="C63" s="311" t="s">
        <v>104</v>
      </c>
      <c r="D63" s="58" t="s">
        <v>457</v>
      </c>
      <c r="E63" s="61" t="s">
        <v>294</v>
      </c>
      <c r="F63" s="403" t="str">
        <f t="array" ref="F63">TEXTJOIN(CHAR(10), TRUE, 
  "*" &amp; E63 &amp; "*", 
"Status: " &amp; _xlfn.XLOOKUP(E63, 'DESCONTINUADA UPA e UPA-E'!B:B, 'DESCONTINUADA UPA e UPA-E'!C:C, "Não encontrado"),
 "Localização: " &amp; _xlfn.XLOOKUP(E63, 'DESCONTINUADA UPA e UPA-E'!B:B, 'DESCONTINUADA UPA e UPA-E'!D:D, "Não encontrado"),
 "Geres: " &amp; _xlfn.XLOOKUP(E63, 'DESCONTINUADA UPA e UPA-E'!B:B, 'DESCONTINUADA UPA e UPA-E'!E:E, "Não encontrado"),
 "Leitos: " &amp; _xlfn.XLOOKUP(E63, 'DESCONTINUADA UPA e UPA-E'!B:B, 'DESCONTINUADA UPA e UPA-E'!F:F, "Não encontrado"),
 "Perfil: " &amp; _xlfn.XLOOKUP(E63, 'DESCONTINUADA UPA e UPA-E'!B:B, 'DESCONTINUADA UPA e UPA-E'!G:G, "Não encontrado"),
 "Nº Profissionais Total: " &amp; _xlfn.XLOOKUP(E63, 'DESCONTINUADA UPA e UPA-E'!B:B, 'DESCONTINUADA UPA e UPA-E'!H:H, "Não encontrado"),
 "Investimento nesta gestão: " &amp; _xlfn.XLOOKUP(E63, 'DESCONTINUADA UPA e UPA-E'!B:B, 'DESCONTINUADA UPA e UPA-E'!I:I, "Não encontrado"),
 "Principais avanços nessa gestão: " &amp; _xlfn.XLOOKUP(E63, 'DESCONTINUADA UPA e UPA-E'!B:B, 'DESCONTINUADA UPA e UPA-E'!J:J, "Não encontrado"),
)</f>
        <v>*UPA Engenho Velho*
Status: EM FUNCIONAMENTO
Localização: Rua - Av. Gen. Manoel Rabelo, 5539 - Engenho Velho, Jaboatão dos Guararapes - PE
Geres: I
Leitos: 19
Perfil: Atua 24 horas, com atendimento resolutivo de quadros agudos e suporte diagnóstico, contribuindo para ampliar o acesso e reduzir a pressão sobre hospitais de referência.
Nº Profissionais Total: -
Investimento nesta gestão: 1851245,45
Principais avanços nessa gestão: Cama hospitalar para obeso até 300 kg; carro de emergência; monitor multiparamétrico; maca retrátil adaptável a ambulâncias até 300 kg; ar-condicionado 60.000 BTUs; ventilador pulmonar.</v>
      </c>
      <c r="G63" s="44" t="s">
        <v>63</v>
      </c>
      <c r="H63" s="208"/>
      <c r="I63" s="58" t="s">
        <v>85</v>
      </c>
      <c r="J63" s="208"/>
      <c r="K63" s="209">
        <f t="array" ref="K63">_xlfn.XLOOKUP(E63, 'DESCONTINUADA UPA e UPA-E'!B:B, 'DESCONTINUADA UPA e UPA-E'!F:F)</f>
        <v>19</v>
      </c>
      <c r="L63" s="208"/>
      <c r="M63" s="208"/>
      <c r="N63" s="212" t="str">
        <f t="array" ref="N63">_xlfn.XLOOKUP(E63, 'DESCONTINUADA UPA e UPA-E'!B:B, 'DESCONTINUADA UPA e UPA-E'!G:G)</f>
        <v>Atua 24 horas, com atendimento resolutivo de quadros agudos e suporte diagnóstico, contribuindo para ampliar o acesso e reduzir a pressão sobre hospitais de referência.
</v>
      </c>
      <c r="O63" s="358" t="str">
        <f t="array" ref="O63">_xlfn.XLOOKUP(E63, 'DESCONTINUADA UPA e UPA-E'!B:B, 'DESCONTINUADA UPA e UPA-E'!H:H)</f>
        <v>-</v>
      </c>
      <c r="P63" s="208"/>
      <c r="Q63" s="208"/>
      <c r="R63" s="211">
        <f t="array" ref="R63">_xlfn.XLOOKUP(E63, 'DESCONTINUADA UPA e UPA-E'!B:B, 'DESCONTINUADA UPA e UPA-E'!I:I)</f>
        <v>1851245.45</v>
      </c>
      <c r="S63" s="208"/>
      <c r="T63" s="208"/>
      <c r="U63" s="208"/>
      <c r="V63" s="208"/>
      <c r="W63" s="208"/>
      <c r="X63" s="404" t="str">
        <f t="array" ref="X63">_xlfn.XLOOKUP(E63, 'DESCONTINUADA UPA e UPA-E'!B:B, 'DESCONTINUADA UPA e UPA-E'!J:J)</f>
        <v>Cama hospitalar para obeso até 300 kg; carro de emergência; monitor multiparamétrico; maca retrátil adaptável a ambulâncias até 300 kg; ar-condicionado 60.000 BTUs; ventilador pulmonar.</v>
      </c>
      <c r="Y63" s="361"/>
      <c r="Z63" s="219"/>
    </row>
    <row r="64" ht="137.25" customHeight="1">
      <c r="A64" s="53">
        <v>2611606.0</v>
      </c>
      <c r="B64" s="392" t="s">
        <v>96</v>
      </c>
      <c r="C64" s="311" t="s">
        <v>104</v>
      </c>
      <c r="D64" s="58" t="s">
        <v>457</v>
      </c>
      <c r="E64" s="61" t="s">
        <v>302</v>
      </c>
      <c r="F64" s="403" t="str">
        <f t="array" ref="F64">TEXTJOIN(CHAR(10), TRUE, 
  "*" &amp; E64 &amp; "*", 
"Status: " &amp; _xlfn.XLOOKUP(E64, 'DESCONTINUADA UPA e UPA-E'!B:B, 'DESCONTINUADA UPA e UPA-E'!C:C, "Não encontrado"),
 "Localização: " &amp; _xlfn.XLOOKUP(E64, 'DESCONTINUADA UPA e UPA-E'!B:B, 'DESCONTINUADA UPA e UPA-E'!D:D, "Não encontrado"),
 "Geres: " &amp; _xlfn.XLOOKUP(E64, 'DESCONTINUADA UPA e UPA-E'!B:B, 'DESCONTINUADA UPA e UPA-E'!E:E, "Não encontrado"),
 "Leitos: " &amp; _xlfn.XLOOKUP(E64, 'DESCONTINUADA UPA e UPA-E'!B:B, 'DESCONTINUADA UPA e UPA-E'!F:F, "Não encontrado"),
 "Perfil: " &amp; _xlfn.XLOOKUP(E64, 'DESCONTINUADA UPA e UPA-E'!B:B, 'DESCONTINUADA UPA e UPA-E'!G:G, "Não encontrado"),
 "Nº Profissionais Total: " &amp; _xlfn.XLOOKUP(E64, 'DESCONTINUADA UPA e UPA-E'!B:B, 'DESCONTINUADA UPA e UPA-E'!H:H, "Não encontrado"),
 "Investimento nesta gestão: " &amp; _xlfn.XLOOKUP(E64, 'DESCONTINUADA UPA e UPA-E'!B:B, 'DESCONTINUADA UPA e UPA-E'!I:I, "Não encontrado"),
 "Principais avanços nessa gestão: " &amp; _xlfn.XLOOKUP(E64, 'DESCONTINUADA UPA e UPA-E'!B:B, 'DESCONTINUADA UPA e UPA-E'!J:J, "Não encontrado"),
)</f>
        <v>*UPA Imbiribeira*
Status: EM FUNCIONAMENTO
Localização: Av. Mal. Mascarenhas de Morais, 4223 - Imbiribeira, Recife - PE
Geres: I
Leitos: 19
Perfil: Atua 24 horas, com atendimento resolutivo de quadros agudos e suporte diagnóstico, contribuindo para ampliar o acesso e reduzir a pressão sobre hospitais de referência.
Nº Profissionais Total: -
Investimento nesta gestão: 704030,67
Principais avanços nessa gestão: Aspirador de secreções elétrico móvel; cadeira de rodas adulto; cadeira de rodas para obeso; berço hospitalar com grades; balança antropométrica infantil.</v>
      </c>
      <c r="G64" s="44" t="s">
        <v>63</v>
      </c>
      <c r="H64" s="208"/>
      <c r="I64" s="58" t="s">
        <v>85</v>
      </c>
      <c r="J64" s="208"/>
      <c r="K64" s="209">
        <f t="array" ref="K64">_xlfn.XLOOKUP(E64, 'DESCONTINUADA UPA e UPA-E'!B:B, 'DESCONTINUADA UPA e UPA-E'!F:F)</f>
        <v>19</v>
      </c>
      <c r="L64" s="208"/>
      <c r="M64" s="208"/>
      <c r="N64" s="212" t="str">
        <f t="array" ref="N64">_xlfn.XLOOKUP(E64, 'DESCONTINUADA UPA e UPA-E'!B:B, 'DESCONTINUADA UPA e UPA-E'!G:G)</f>
        <v>Atua 24 horas, com atendimento resolutivo de quadros agudos e suporte diagnóstico, contribuindo para ampliar o acesso e reduzir a pressão sobre hospitais de referência.
</v>
      </c>
      <c r="O64" s="358" t="str">
        <f t="array" ref="O64">_xlfn.XLOOKUP(E64, 'DESCONTINUADA UPA e UPA-E'!B:B, 'DESCONTINUADA UPA e UPA-E'!H:H)</f>
        <v>-</v>
      </c>
      <c r="P64" s="208"/>
      <c r="Q64" s="208"/>
      <c r="R64" s="211">
        <f t="array" ref="R64">_xlfn.XLOOKUP(E64, 'DESCONTINUADA UPA e UPA-E'!B:B, 'DESCONTINUADA UPA e UPA-E'!I:I)</f>
        <v>704030.67</v>
      </c>
      <c r="S64" s="208"/>
      <c r="T64" s="208"/>
      <c r="U64" s="208"/>
      <c r="V64" s="208"/>
      <c r="W64" s="208"/>
      <c r="X64" s="404" t="str">
        <f t="array" ref="X64">_xlfn.XLOOKUP(E64, 'DESCONTINUADA UPA e UPA-E'!B:B, 'DESCONTINUADA UPA e UPA-E'!J:J)</f>
        <v>Aspirador de secreções elétrico móvel; cadeira de rodas adulto; cadeira de rodas para obeso; berço hospitalar com grades; balança antropométrica infantil.</v>
      </c>
      <c r="Y64" s="361"/>
      <c r="Z64" s="219"/>
    </row>
    <row r="65" ht="137.25" customHeight="1">
      <c r="A65" s="53">
        <v>2611606.0</v>
      </c>
      <c r="B65" s="392" t="s">
        <v>96</v>
      </c>
      <c r="C65" s="311" t="s">
        <v>104</v>
      </c>
      <c r="D65" s="58" t="s">
        <v>457</v>
      </c>
      <c r="E65" s="61" t="s">
        <v>313</v>
      </c>
      <c r="F65" s="403" t="str">
        <f t="array" ref="F65">TEXTJOIN(CHAR(10), TRUE, 
  "*" &amp; E65 &amp; "*", 
"Status: " &amp; _xlfn.XLOOKUP(E65, 'DESCONTINUADA UPA e UPA-E'!B:B, 'DESCONTINUADA UPA e UPA-E'!C:C, "Não encontrado"),
 "Localização: " &amp; _xlfn.XLOOKUP(E65, 'DESCONTINUADA UPA e UPA-E'!B:B, 'DESCONTINUADA UPA e UPA-E'!D:D, "Não encontrado"),
 "Geres: " &amp; _xlfn.XLOOKUP(E65, 'DESCONTINUADA UPA e UPA-E'!B:B, 'DESCONTINUADA UPA e UPA-E'!E:E, "Não encontrado"),
 "Leitos: " &amp; _xlfn.XLOOKUP(E65, 'DESCONTINUADA UPA e UPA-E'!B:B, 'DESCONTINUADA UPA e UPA-E'!F:F, "Não encontrado"),
 "Perfil: " &amp; _xlfn.XLOOKUP(E65, 'DESCONTINUADA UPA e UPA-E'!B:B, 'DESCONTINUADA UPA e UPA-E'!G:G, "Não encontrado"),
 "Nº Profissionais Total: " &amp; _xlfn.XLOOKUP(E65, 'DESCONTINUADA UPA e UPA-E'!B:B, 'DESCONTINUADA UPA e UPA-E'!H:H, "Não encontrado"),
 "Investimento nesta gestão: " &amp; _xlfn.XLOOKUP(E65, 'DESCONTINUADA UPA e UPA-E'!B:B, 'DESCONTINUADA UPA e UPA-E'!I:I, "Não encontrado"),
 "Principais avanços nessa gestão: " &amp; _xlfn.XLOOKUP(E65, 'DESCONTINUADA UPA e UPA-E'!B:B, 'DESCONTINUADA UPA e UPA-E'!J:J, "Não encontrado"),
)</f>
        <v>*UPA Nova Descoberta*
Status: EM FUNCIONAMENTO
Localização: Av. Ver. Otacílio Azevedo, s/n - Nova Descoberta, Recife - PE
Geres: I
Leitos: 20
Perfil: Atua 24 horas, com atendimento resolutivo de quadros agudos e suporte diagnóstico, contribuindo para ampliar o acesso e reduzir a pressão sobre hospitais de referência.
Nº Profissionais Total: -
Investimento nesta gestão: 809755,13
Principais avanços nessa gestão: Processadora de raio-X; cama hospitalar Fowler mecânica; carrinho de parada; monitor multiparamétrico; eletrocardiógrafo; cardioversor; ventilador pulmonar.</v>
      </c>
      <c r="G65" s="44" t="s">
        <v>63</v>
      </c>
      <c r="H65" s="208"/>
      <c r="I65" s="58" t="s">
        <v>85</v>
      </c>
      <c r="J65" s="208"/>
      <c r="K65" s="209">
        <f t="array" ref="K65">_xlfn.XLOOKUP(E65, 'DESCONTINUADA UPA e UPA-E'!B:B, 'DESCONTINUADA UPA e UPA-E'!F:F)</f>
        <v>20</v>
      </c>
      <c r="L65" s="208"/>
      <c r="M65" s="208"/>
      <c r="N65" s="212" t="str">
        <f t="array" ref="N65">_xlfn.XLOOKUP(E65, 'DESCONTINUADA UPA e UPA-E'!B:B, 'DESCONTINUADA UPA e UPA-E'!G:G)</f>
        <v>Atua 24 horas, com atendimento resolutivo de quadros agudos e suporte diagnóstico, contribuindo para ampliar o acesso e reduzir a pressão sobre hospitais de referência.
</v>
      </c>
      <c r="O65" s="358" t="str">
        <f t="array" ref="O65">_xlfn.XLOOKUP(E65, 'DESCONTINUADA UPA e UPA-E'!B:B, 'DESCONTINUADA UPA e UPA-E'!H:H)</f>
        <v>-</v>
      </c>
      <c r="P65" s="208"/>
      <c r="Q65" s="208"/>
      <c r="R65" s="211">
        <f t="array" ref="R65">_xlfn.XLOOKUP(E65, 'DESCONTINUADA UPA e UPA-E'!B:B, 'DESCONTINUADA UPA e UPA-E'!I:I)</f>
        <v>809755.13</v>
      </c>
      <c r="S65" s="208"/>
      <c r="T65" s="208"/>
      <c r="U65" s="208"/>
      <c r="V65" s="208"/>
      <c r="W65" s="208"/>
      <c r="X65" s="404" t="str">
        <f t="array" ref="X65">_xlfn.XLOOKUP(E65, 'DESCONTINUADA UPA e UPA-E'!B:B, 'DESCONTINUADA UPA e UPA-E'!J:J)</f>
        <v>Processadora de raio-X; cama hospitalar Fowler mecânica; carrinho de parada; monitor multiparamétrico; eletrocardiógrafo; cardioversor; ventilador pulmonar.</v>
      </c>
      <c r="Y65" s="361"/>
      <c r="Z65" s="219"/>
    </row>
    <row r="66" ht="137.25" customHeight="1">
      <c r="A66" s="53">
        <v>2609600.0</v>
      </c>
      <c r="B66" s="392" t="s">
        <v>412</v>
      </c>
      <c r="C66" s="311" t="s">
        <v>104</v>
      </c>
      <c r="D66" s="58" t="s">
        <v>457</v>
      </c>
      <c r="E66" s="61" t="s">
        <v>322</v>
      </c>
      <c r="F66" s="403" t="str">
        <f t="array" ref="F66">TEXTJOIN(CHAR(10), TRUE, 
  "*" &amp; E66 &amp; "*", 
"Status: " &amp; _xlfn.XLOOKUP(E66, 'DESCONTINUADA UPA e UPA-E'!B:B, 'DESCONTINUADA UPA e UPA-E'!C:C, "Não encontrado"),
 "Localização: " &amp; _xlfn.XLOOKUP(E66, 'DESCONTINUADA UPA e UPA-E'!B:B, 'DESCONTINUADA UPA e UPA-E'!D:D, "Não encontrado"),
 "Geres: " &amp; _xlfn.XLOOKUP(E66, 'DESCONTINUADA UPA e UPA-E'!B:B, 'DESCONTINUADA UPA e UPA-E'!E:E, "Não encontrado"),
 "Leitos: " &amp; _xlfn.XLOOKUP(E66, 'DESCONTINUADA UPA e UPA-E'!B:B, 'DESCONTINUADA UPA e UPA-E'!F:F, "Não encontrado"),
 "Perfil: " &amp; _xlfn.XLOOKUP(E66, 'DESCONTINUADA UPA e UPA-E'!B:B, 'DESCONTINUADA UPA e UPA-E'!G:G, "Não encontrado"),
 "Nº Profissionais Total: " &amp; _xlfn.XLOOKUP(E66, 'DESCONTINUADA UPA e UPA-E'!B:B, 'DESCONTINUADA UPA e UPA-E'!H:H, "Não encontrado"),
 "Investimento nesta gestão: " &amp; _xlfn.XLOOKUP(E66, 'DESCONTINUADA UPA e UPA-E'!B:B, 'DESCONTINUADA UPA e UPA-E'!I:I, "Não encontrado"),
 "Principais avanços nessa gestão: " &amp; _xlfn.XLOOKUP(E66, 'DESCONTINUADA UPA e UPA-E'!B:B, 'DESCONTINUADA UPA e UPA-E'!J:J, "Não encontrado"),
)</f>
        <v>*UPA Olinda*
Status: EM FUNCIONAMENTO
Localização: Av. Dr. Joaquim Nabuco, S/N - Tabajara, Olinda - PE
Geres: I
Leitos: 21
Perfil: Unidade de pronto atendimento de porte intermediário que desempenha papel essencial na rede de urgência e emergência da Região Metropolitana do Recife. Funcionando 24 horas por dia, a unidade oferece atendimento resolutivo para quadros clínicos agudos em adultos e crianças, contribuindo de forma significativa para a diminuição da sobrecarga hospitalar e para a ampliação do acesso a cuidados imediatos em saúde
Nº Profissionais Total: -
Investimento nesta gestão: 571703,83
Principais avanços nessa gestão: Aquisição de equipamentos: cadeira de rodas para obeso, autoclave horizontal de mesa, bomba a vácuo odontológica, monitor multiparâmetro para UTI, eletrocardiógrafo, ventilador pulmonar, raio X portátil de coluna e cardioversor.</v>
      </c>
      <c r="G66" s="44" t="s">
        <v>63</v>
      </c>
      <c r="H66" s="208"/>
      <c r="I66" s="58" t="s">
        <v>85</v>
      </c>
      <c r="J66" s="208"/>
      <c r="K66" s="209">
        <f t="array" ref="K66">_xlfn.XLOOKUP(E66, 'DESCONTINUADA UPA e UPA-E'!B:B, 'DESCONTINUADA UPA e UPA-E'!F:F)</f>
        <v>21</v>
      </c>
      <c r="L66" s="208"/>
      <c r="M66" s="208"/>
      <c r="N66" s="212" t="str">
        <f t="array" ref="N66">_xlfn.XLOOKUP(E66, 'DESCONTINUADA UPA e UPA-E'!B:B, 'DESCONTINUADA UPA e UPA-E'!G:G)</f>
        <v>Unidade de pronto atendimento de porte intermediário que desempenha papel essencial na rede de urgência e emergência da Região Metropolitana do Recife. Funcionando 24 horas por dia, a unidade oferece atendimento resolutivo para quadros clínicos agudos em adultos e crianças, contribuindo de forma significativa para a diminuição da sobrecarga hospitalar e para a ampliação do acesso a cuidados imediatos em saúde</v>
      </c>
      <c r="O66" s="358" t="str">
        <f t="array" ref="O66">_xlfn.XLOOKUP(E66, 'DESCONTINUADA UPA e UPA-E'!B:B, 'DESCONTINUADA UPA e UPA-E'!H:H)</f>
        <v>-</v>
      </c>
      <c r="P66" s="208"/>
      <c r="Q66" s="208"/>
      <c r="R66" s="211">
        <f t="array" ref="R66">_xlfn.XLOOKUP(E66, 'DESCONTINUADA UPA e UPA-E'!B:B, 'DESCONTINUADA UPA e UPA-E'!I:I)</f>
        <v>571703.83</v>
      </c>
      <c r="S66" s="208"/>
      <c r="T66" s="208"/>
      <c r="U66" s="208"/>
      <c r="V66" s="208"/>
      <c r="W66" s="208"/>
      <c r="X66" s="404" t="str">
        <f t="array" ref="X66">_xlfn.XLOOKUP(E66, 'DESCONTINUADA UPA e UPA-E'!B:B, 'DESCONTINUADA UPA e UPA-E'!J:J)</f>
        <v>Aquisição de equipamentos: cadeira de rodas para obeso, autoclave horizontal de mesa, bomba a vácuo odontológica, monitor multiparâmetro para UTI, eletrocardiógrafo, ventilador pulmonar, raio X portátil de coluna e cardioversor.</v>
      </c>
      <c r="Y66" s="361"/>
      <c r="Z66" s="219"/>
    </row>
    <row r="67" ht="137.25" customHeight="1">
      <c r="A67" s="53">
        <v>2611606.0</v>
      </c>
      <c r="B67" s="392" t="s">
        <v>96</v>
      </c>
      <c r="C67" s="311" t="s">
        <v>104</v>
      </c>
      <c r="D67" s="58" t="s">
        <v>457</v>
      </c>
      <c r="E67" s="61" t="s">
        <v>331</v>
      </c>
      <c r="F67" s="403" t="str">
        <f t="array" ref="F67">TEXTJOIN(CHAR(10), TRUE, 
  "*" &amp; E67 &amp; "*", 
"Status: " &amp; _xlfn.XLOOKUP(E67, 'DESCONTINUADA UPA e UPA-E'!B:B, 'DESCONTINUADA UPA e UPA-E'!C:C, "Não encontrado"),
 "Localização: " &amp; _xlfn.XLOOKUP(E67, 'DESCONTINUADA UPA e UPA-E'!B:B, 'DESCONTINUADA UPA e UPA-E'!D:D, "Não encontrado"),
 "Geres: " &amp; _xlfn.XLOOKUP(E67, 'DESCONTINUADA UPA e UPA-E'!B:B, 'DESCONTINUADA UPA e UPA-E'!E:E, "Não encontrado"),
 "Leitos: " &amp; _xlfn.XLOOKUP(E67, 'DESCONTINUADA UPA e UPA-E'!B:B, 'DESCONTINUADA UPA e UPA-E'!F:F, "Não encontrado"),
 "Perfil: " &amp; _xlfn.XLOOKUP(E67, 'DESCONTINUADA UPA e UPA-E'!B:B, 'DESCONTINUADA UPA e UPA-E'!G:G, "Não encontrado"),
 "Nº Profissionais Total: " &amp; _xlfn.XLOOKUP(E67, 'DESCONTINUADA UPA e UPA-E'!B:B, 'DESCONTINUADA UPA e UPA-E'!H:H, "Não encontrado"),
 "Investimento nesta gestão: " &amp; _xlfn.XLOOKUP(E67, 'DESCONTINUADA UPA e UPA-E'!B:B, 'DESCONTINUADA UPA e UPA-E'!I:I, "Não encontrado"),
 "Principais avanços nessa gestão: " &amp; _xlfn.XLOOKUP(E67, 'DESCONTINUADA UPA e UPA-E'!B:B, 'DESCONTINUADA UPA e UPA-E'!J:J, "Não encontrado"),
)</f>
        <v>*UPA São Lourenço*
Status: EM FUNCIONAMENTO
Localização: Av. Dr. Francisco Correia, 2009 - Pixete, São Lourenço da Mata - PE
Geres: I
Leitos: 19
Perfil: A unidade de média complexidade assegura atendimento contínuo à população de São Lourenço da Mata e municípios vizinhos. Sua infraestrutura é robusta e voltada para urgências clínicas, pediátricas e traumato-ortopédicas, contando com 19 leitos de observação, consultórios (médicos e odontológicos), além de salas de sutura, medicação, procedimentos e estabilização. 
Nº Profissionais Total: -
Investimento nesta gestão: 555180,64
Principais avanços nessa gestão: Aquisição de equipamentos: aparelho de raio-X fixo digital, ventiladores mecânico pulmonar, eletrocardiógrafo, desfibrilador, camas hospitalares elétricas, incubadora de transporte neonatal, balança antropométrica digital pediátrica e berço hospitalar.</v>
      </c>
      <c r="G67" s="44" t="s">
        <v>63</v>
      </c>
      <c r="H67" s="208"/>
      <c r="I67" s="58" t="s">
        <v>85</v>
      </c>
      <c r="J67" s="208"/>
      <c r="K67" s="209">
        <f t="array" ref="K67">_xlfn.XLOOKUP(E67, 'DESCONTINUADA UPA e UPA-E'!B:B, 'DESCONTINUADA UPA e UPA-E'!F:F)</f>
        <v>19</v>
      </c>
      <c r="L67" s="208"/>
      <c r="M67" s="208"/>
      <c r="N67" s="212" t="str">
        <f t="array" ref="N67">_xlfn.XLOOKUP(E67, 'DESCONTINUADA UPA e UPA-E'!B:B, 'DESCONTINUADA UPA e UPA-E'!G:G)</f>
        <v>A unidade de média complexidade assegura atendimento contínuo à população de São Lourenço da Mata e municípios vizinhos. Sua infraestrutura é robusta e voltada para urgências clínicas, pediátricas e traumato-ortopédicas, contando com 19 leitos de observação, consultórios (médicos e odontológicos), além de salas de sutura, medicação, procedimentos e estabilização. 
</v>
      </c>
      <c r="O67" s="358" t="str">
        <f t="array" ref="O67">_xlfn.XLOOKUP(E67, 'DESCONTINUADA UPA e UPA-E'!B:B, 'DESCONTINUADA UPA e UPA-E'!H:H)</f>
        <v>-</v>
      </c>
      <c r="P67" s="208"/>
      <c r="Q67" s="208"/>
      <c r="R67" s="211">
        <f t="array" ref="R67">_xlfn.XLOOKUP(E67, 'DESCONTINUADA UPA e UPA-E'!B:B, 'DESCONTINUADA UPA e UPA-E'!I:I)</f>
        <v>555180.64</v>
      </c>
      <c r="S67" s="208"/>
      <c r="T67" s="208"/>
      <c r="U67" s="208"/>
      <c r="V67" s="208"/>
      <c r="W67" s="208"/>
      <c r="X67" s="404" t="str">
        <f t="array" ref="X67">_xlfn.XLOOKUP(E67, 'DESCONTINUADA UPA e UPA-E'!B:B, 'DESCONTINUADA UPA e UPA-E'!J:J)</f>
        <v>Aquisição de equipamentos: aparelho de raio-X fixo digital, ventiladores mecânico pulmonar, eletrocardiógrafo, desfibrilador, camas hospitalares elétricas, incubadora de transporte neonatal, balança antropométrica digital pediátrica e berço hospitalar.</v>
      </c>
      <c r="Y67" s="361"/>
      <c r="Z67" s="219"/>
    </row>
    <row r="68" ht="137.25" customHeight="1">
      <c r="A68" s="53">
        <v>2611606.0</v>
      </c>
      <c r="B68" s="392" t="s">
        <v>96</v>
      </c>
      <c r="C68" s="311" t="s">
        <v>104</v>
      </c>
      <c r="D68" s="58" t="s">
        <v>457</v>
      </c>
      <c r="E68" s="61" t="s">
        <v>340</v>
      </c>
      <c r="F68" s="403" t="str">
        <f t="array" ref="F68">TEXTJOIN(CHAR(10), TRUE, 
  "*" &amp; E68 &amp; "*", 
"Status: " &amp; _xlfn.XLOOKUP(E68, 'DESCONTINUADA UPA e UPA-E'!B:B, 'DESCONTINUADA UPA e UPA-E'!C:C, "Não encontrado"),
 "Localização: " &amp; _xlfn.XLOOKUP(E68, 'DESCONTINUADA UPA e UPA-E'!B:B, 'DESCONTINUADA UPA e UPA-E'!D:D, "Não encontrado"),
 "Geres: " &amp; _xlfn.XLOOKUP(E68, 'DESCONTINUADA UPA e UPA-E'!B:B, 'DESCONTINUADA UPA e UPA-E'!E:E, "Não encontrado"),
 "Leitos: " &amp; _xlfn.XLOOKUP(E68, 'DESCONTINUADA UPA e UPA-E'!B:B, 'DESCONTINUADA UPA e UPA-E'!F:F, "Não encontrado"),
 "Perfil: " &amp; _xlfn.XLOOKUP(E68, 'DESCONTINUADA UPA e UPA-E'!B:B, 'DESCONTINUADA UPA e UPA-E'!G:G, "Não encontrado"),
 "Nº Profissionais Total: " &amp; _xlfn.XLOOKUP(E68, 'DESCONTINUADA UPA e UPA-E'!B:B, 'DESCONTINUADA UPA e UPA-E'!H:H, "Não encontrado"),
 "Investimento nesta gestão: " &amp; _xlfn.XLOOKUP(E68, 'DESCONTINUADA UPA e UPA-E'!B:B, 'DESCONTINUADA UPA e UPA-E'!I:I, "Não encontrado"),
 "Principais avanços nessa gestão: " &amp; _xlfn.XLOOKUP(E68, 'DESCONTINUADA UPA e UPA-E'!B:B, 'DESCONTINUADA UPA e UPA-E'!J:J, "Não encontrado"),
)</f>
        <v>*UPA Torrões*
Status: EM FUNCIONAMENTO
Localização: Av. Eng. Abdias de Carvalho, nº 30 - Torrões, Recife - PE
Geres: I
Leitos: 19
Perfil: A unidade destaca-se pelo atendimento médico especializado em Clínica Médica, Pediatria e Ortopedia, oferecendo suporte diagnóstico completo que inclui exames de imagem, análises laboratoriais e eletrocardiogramas para garantir precisão terapêutica. Sua infraestrutura dispõe de 19 leitos de observação distribuídos entre leitos críticos e pediátricos, além de contar com Sala Vermelha equipada para emergências, Salas Amarelas para estabilização, área pediátrica dedicada, sala de isolamento para síndromes respiratórias agudas, consultórios médicos e odontológicos, e salas para sutura, inalação e medicação
Nº Profissionais Total: -
Investimento nesta gestão: 1013875,32
Principais avanços nessa gestão: Aquisição de equipamentos: maca retrátil adaptável a ambulâncias até 300 kg, carro de transporte para cadáver, monitor multiparamétrico, oxímetro portátil, cardioversor e ventilador pulmonar adulto/pediátrico.</v>
      </c>
      <c r="G68" s="44" t="s">
        <v>63</v>
      </c>
      <c r="H68" s="208"/>
      <c r="I68" s="58" t="s">
        <v>85</v>
      </c>
      <c r="J68" s="208"/>
      <c r="K68" s="209">
        <f t="array" ref="K68">_xlfn.XLOOKUP(E68, 'DESCONTINUADA UPA e UPA-E'!B:B, 'DESCONTINUADA UPA e UPA-E'!F:F)</f>
        <v>19</v>
      </c>
      <c r="L68" s="208"/>
      <c r="M68" s="208"/>
      <c r="N68" s="212" t="str">
        <f t="array" ref="N68">_xlfn.XLOOKUP(E68, 'DESCONTINUADA UPA e UPA-E'!B:B, 'DESCONTINUADA UPA e UPA-E'!G:G)</f>
        <v>A unidade destaca-se pelo atendimento médico especializado em Clínica Médica, Pediatria e Ortopedia, oferecendo suporte diagnóstico completo que inclui exames de imagem, análises laboratoriais e eletrocardiogramas para garantir precisão terapêutica. Sua infraestrutura dispõe de 19 leitos de observação distribuídos entre leitos críticos e pediátricos, além de contar com Sala Vermelha equipada para emergências, Salas Amarelas para estabilização, área pediátrica dedicada, sala de isolamento para síndromes respiratórias agudas, consultórios médicos e odontológicos, e salas para sutura, inalação e medicação</v>
      </c>
      <c r="O68" s="358" t="str">
        <f t="array" ref="O68">_xlfn.XLOOKUP(E68, 'DESCONTINUADA UPA e UPA-E'!B:B, 'DESCONTINUADA UPA e UPA-E'!H:H)</f>
        <v>-</v>
      </c>
      <c r="P68" s="208"/>
      <c r="Q68" s="208"/>
      <c r="R68" s="211">
        <f t="array" ref="R68">_xlfn.XLOOKUP(E68, 'DESCONTINUADA UPA e UPA-E'!B:B, 'DESCONTINUADA UPA e UPA-E'!I:I)</f>
        <v>1013875.32</v>
      </c>
      <c r="S68" s="208"/>
      <c r="T68" s="208"/>
      <c r="U68" s="208"/>
      <c r="V68" s="208"/>
      <c r="W68" s="208"/>
      <c r="X68" s="404" t="str">
        <f t="array" ref="X68">_xlfn.XLOOKUP(E68, 'DESCONTINUADA UPA e UPA-E'!B:B, 'DESCONTINUADA UPA e UPA-E'!J:J)</f>
        <v>Aquisição de equipamentos: maca retrátil adaptável a ambulâncias até 300 kg, carro de transporte para cadáver, monitor multiparamétrico, oxímetro portátil, cardioversor e ventilador pulmonar adulto/pediátrico.</v>
      </c>
      <c r="Y68" s="361"/>
      <c r="Z68" s="219"/>
    </row>
    <row r="69" ht="137.25" customHeight="1">
      <c r="A69" s="53">
        <v>2610707.0</v>
      </c>
      <c r="B69" s="392" t="s">
        <v>339</v>
      </c>
      <c r="C69" s="311" t="s">
        <v>104</v>
      </c>
      <c r="D69" s="58" t="s">
        <v>457</v>
      </c>
      <c r="E69" s="61" t="s">
        <v>347</v>
      </c>
      <c r="F69" s="403" t="str">
        <f t="array" ref="F69">TEXTJOIN(CHAR(10), TRUE, 
  "*" &amp; E69 &amp; "*", 
"Status: " &amp; _xlfn.XLOOKUP(E69, 'DESCONTINUADA UPA e UPA-E'!B:B, 'DESCONTINUADA UPA e UPA-E'!C:C, "Não encontrado"),
 "Localização: " &amp; _xlfn.XLOOKUP(E69, 'DESCONTINUADA UPA e UPA-E'!B:B, 'DESCONTINUADA UPA e UPA-E'!D:D, "Não encontrado"),
 "Geres: " &amp; _xlfn.XLOOKUP(E69, 'DESCONTINUADA UPA e UPA-E'!B:B, 'DESCONTINUADA UPA e UPA-E'!E:E, "Não encontrado"),
 "Leitos: " &amp; _xlfn.XLOOKUP(E69, 'DESCONTINUADA UPA e UPA-E'!B:B, 'DESCONTINUADA UPA e UPA-E'!F:F, "Não encontrado"),
 "Perfil: " &amp; _xlfn.XLOOKUP(E69, 'DESCONTINUADA UPA e UPA-E'!B:B, 'DESCONTINUADA UPA e UPA-E'!G:G, "Não encontrado"),
 "Nº Profissionais Total: " &amp; _xlfn.XLOOKUP(E69, 'DESCONTINUADA UPA e UPA-E'!B:B, 'DESCONTINUADA UPA e UPA-E'!H:H, "Não encontrado"),
 "Investimento nesta gestão: " &amp; _xlfn.XLOOKUP(E69, 'DESCONTINUADA UPA e UPA-E'!B:B, 'DESCONTINUADA UPA e UPA-E'!I:I, "Não encontrado"),
 "Principais avanços nessa gestão: " &amp; _xlfn.XLOOKUP(E69, 'DESCONTINUADA UPA e UPA-E'!B:B, 'DESCONTINUADA UPA e UPA-E'!J:J, "Não encontrado"),
)</f>
        <v>*UPA Paulista*
Status: EM FUNCIONAMENTO
Localização: Estr. do Frio, 1000 - Jardim Paulista, Paulista - PE
Geres: I
Leitos: 19
Perfil: Seu perfil assistencial é altamente abrangente, sendo referência em clínica médica, pediatria, oftalmologia de emergência e urgência odontológica diurna (das 7h às 19h). A infraestrutura moderna suporta esse fluxo com salas especializadas de classificação de risco, isolamento respiratório, raio-X, farmácia, laboratório de análises clínicas e salas Vermelha e Amarelas voltadas à estabilização e observação dos pacientes.
Nº Profissionais Total: -
Investimento nesta gestão: 805773,82
Principais avanços nessa gestão: Aquisição de equipamentos: maca leito para obeso, ambulância padrão, monitor multiparamétrico, ventilador pulmonar adulto/pediátrico, eletrocardiógrafo, vídeo laringoscópio e autoclave 21L.</v>
      </c>
      <c r="G69" s="44" t="s">
        <v>63</v>
      </c>
      <c r="H69" s="208"/>
      <c r="I69" s="58" t="s">
        <v>85</v>
      </c>
      <c r="J69" s="208"/>
      <c r="K69" s="209">
        <f t="array" ref="K69">_xlfn.XLOOKUP(E69, 'DESCONTINUADA UPA e UPA-E'!B:B, 'DESCONTINUADA UPA e UPA-E'!F:F)</f>
        <v>19</v>
      </c>
      <c r="L69" s="208"/>
      <c r="M69" s="208"/>
      <c r="N69" s="212" t="str">
        <f t="array" ref="N69">_xlfn.XLOOKUP(E69, 'DESCONTINUADA UPA e UPA-E'!B:B, 'DESCONTINUADA UPA e UPA-E'!G:G)</f>
        <v>Seu perfil assistencial é altamente abrangente, sendo referência em clínica médica, pediatria, oftalmologia de emergência e urgência odontológica diurna (das 7h às 19h). A infraestrutura moderna suporta esse fluxo com salas especializadas de classificação de risco, isolamento respiratório, raio-X, farmácia, laboratório de análises clínicas e salas Vermelha e Amarelas voltadas à estabilização e observação dos pacientes.</v>
      </c>
      <c r="O69" s="358" t="str">
        <f t="array" ref="O69">_xlfn.XLOOKUP(E69, 'DESCONTINUADA UPA e UPA-E'!B:B, 'DESCONTINUADA UPA e UPA-E'!H:H)</f>
        <v>-</v>
      </c>
      <c r="P69" s="208"/>
      <c r="Q69" s="208"/>
      <c r="R69" s="211">
        <f t="array" ref="R69">_xlfn.XLOOKUP(E69, 'DESCONTINUADA UPA e UPA-E'!B:B, 'DESCONTINUADA UPA e UPA-E'!I:I)</f>
        <v>805773.82</v>
      </c>
      <c r="S69" s="208"/>
      <c r="T69" s="208"/>
      <c r="U69" s="208"/>
      <c r="V69" s="208"/>
      <c r="W69" s="208"/>
      <c r="X69" s="404" t="str">
        <f t="array" ref="X69">_xlfn.XLOOKUP(E69, 'DESCONTINUADA UPA e UPA-E'!B:B, 'DESCONTINUADA UPA e UPA-E'!J:J)</f>
        <v>Aquisição de equipamentos: maca leito para obeso, ambulância padrão, monitor multiparamétrico, ventilador pulmonar adulto/pediátrico, eletrocardiógrafo, vídeo laringoscópio e autoclave 21L.</v>
      </c>
      <c r="Y69" s="361"/>
      <c r="Z69" s="219"/>
    </row>
    <row r="70" ht="137.25" customHeight="1">
      <c r="A70" s="53">
        <v>2611606.0</v>
      </c>
      <c r="B70" s="392" t="s">
        <v>96</v>
      </c>
      <c r="C70" s="311" t="s">
        <v>104</v>
      </c>
      <c r="D70" s="58" t="s">
        <v>457</v>
      </c>
      <c r="E70" s="61" t="s">
        <v>352</v>
      </c>
      <c r="F70" s="403" t="str">
        <f t="array" ref="F70">TEXTJOIN(CHAR(10), TRUE, 
  "*" &amp; E70 &amp; "*", 
"Status: " &amp; _xlfn.XLOOKUP(E70, 'DESCONTINUADA UPA e UPA-E'!B:B, 'DESCONTINUADA UPA e UPA-E'!C:C, "Não encontrado"),
 "Localização: " &amp; _xlfn.XLOOKUP(E70, 'DESCONTINUADA UPA e UPA-E'!B:B, 'DESCONTINUADA UPA e UPA-E'!D:D, "Não encontrado"),
 "Geres: " &amp; _xlfn.XLOOKUP(E70, 'DESCONTINUADA UPA e UPA-E'!B:B, 'DESCONTINUADA UPA e UPA-E'!E:E, "Não encontrado"),
 "Leitos: " &amp; _xlfn.XLOOKUP(E70, 'DESCONTINUADA UPA e UPA-E'!B:B, 'DESCONTINUADA UPA e UPA-E'!F:F, "Não encontrado"),
 "Perfil: " &amp; _xlfn.XLOOKUP(E70, 'DESCONTINUADA UPA e UPA-E'!B:B, 'DESCONTINUADA UPA e UPA-E'!G:G, "Não encontrado"),
 "Nº Profissionais Total: " &amp; _xlfn.XLOOKUP(E70, 'DESCONTINUADA UPA e UPA-E'!B:B, 'DESCONTINUADA UPA e UPA-E'!H:H, "Não encontrado"),
 "Investimento nesta gestão: " &amp; _xlfn.XLOOKUP(E70, 'DESCONTINUADA UPA e UPA-E'!B:B, 'DESCONTINUADA UPA e UPA-E'!I:I, "Não encontrado"),
 "Principais avanços nessa gestão: " &amp; _xlfn.XLOOKUP(E70, 'DESCONTINUADA UPA e UPA-E'!B:B, 'DESCONTINUADA UPA e UPA-E'!J:J, "Não encontrado"),
)</f>
        <v>*UPA Ibura*
Status: EM FUNCIONAMENTO
Localização: R. Vale do Itajaí, S/n - Ibura, Recife - PE
Geres: I
Leitos: 22
Perfil: UPA Porte III, com atendimento 24h de urgência e emergência em Clínica Médica, Pediatria, Oftalmologia e Traumato-Ortopedia. Possui radiologia, laboratório, eletrocardiograma, nebulização, sutura, imobilização e estrutura para estabilização de pacientes graves. Tem capacidade operacional de até 450 atendimentos de baixa e média complexidade.
Nº Profissionais Total: -
Investimento nesta gestão: 606032,8
Principais avanços nessa gestão: Ampliação da capacidade para atendimento de casos pediátricos críticos durante a sazonalidade respiratória; expansão dos leitos destinados aos casos graves; disponibilização de equipamentos para suporte aos pacientes; implantação/reforço de protocolos específicos para assistência pediátrica; e fortalecimento da UPA como referência 24h em Clínica Médica, Pediatria, Oftalmologia e Traumato-Ortopedia. Aquisição através de plano de investimento de Monitor multiparamétrico; ventilador pulmonar; poltrona hospitalar; computador servidor; ar-condicionados 57.000 BTUs; monitor cardioversor; longarina 5 lugares.
</v>
      </c>
      <c r="G70" s="44" t="s">
        <v>63</v>
      </c>
      <c r="H70" s="208"/>
      <c r="I70" s="58" t="s">
        <v>85</v>
      </c>
      <c r="J70" s="208"/>
      <c r="K70" s="209">
        <f t="array" ref="K70">_xlfn.XLOOKUP(E70, 'DESCONTINUADA UPA e UPA-E'!B:B, 'DESCONTINUADA UPA e UPA-E'!F:F)</f>
        <v>22</v>
      </c>
      <c r="L70" s="208"/>
      <c r="M70" s="208"/>
      <c r="N70" s="212" t="str">
        <f t="array" ref="N70">_xlfn.XLOOKUP(E70, 'DESCONTINUADA UPA e UPA-E'!B:B, 'DESCONTINUADA UPA e UPA-E'!G:G)</f>
        <v>UPA Porte III, com atendimento 24h de urgência e emergência em Clínica Médica, Pediatria, Oftalmologia e Traumato-Ortopedia. Possui radiologia, laboratório, eletrocardiograma, nebulização, sutura, imobilização e estrutura para estabilização de pacientes graves. Tem capacidade operacional de até 450 atendimentos de baixa e média complexidade.</v>
      </c>
      <c r="O70" s="358" t="str">
        <f t="array" ref="O70">_xlfn.XLOOKUP(E70, 'DESCONTINUADA UPA e UPA-E'!B:B, 'DESCONTINUADA UPA e UPA-E'!H:H)</f>
        <v>-</v>
      </c>
      <c r="P70" s="208"/>
      <c r="Q70" s="208"/>
      <c r="R70" s="211">
        <f t="array" ref="R70">_xlfn.XLOOKUP(E70, 'DESCONTINUADA UPA e UPA-E'!B:B, 'DESCONTINUADA UPA e UPA-E'!I:I)</f>
        <v>606032.8</v>
      </c>
      <c r="S70" s="208"/>
      <c r="T70" s="208"/>
      <c r="U70" s="208"/>
      <c r="V70" s="208"/>
      <c r="W70" s="208"/>
      <c r="X70" s="404" t="str">
        <f t="array" ref="X70">_xlfn.XLOOKUP(E70, 'DESCONTINUADA UPA e UPA-E'!B:B, 'DESCONTINUADA UPA e UPA-E'!J:J)</f>
        <v>Ampliação da capacidade para atendimento de casos pediátricos críticos durante a sazonalidade respiratória; expansão dos leitos destinados aos casos graves; disponibilização de equipamentos para suporte aos pacientes; implantação/reforço de protocolos específicos para assistência pediátrica; e fortalecimento da UPA como referência 24h em Clínica Médica, Pediatria, Oftalmologia e Traumato-Ortopedia. Aquisição através de plano de investimento de Monitor multiparamétrico; ventilador pulmonar; poltrona hospitalar; computador servidor; ar-condicionados 57.000 BTUs; monitor cardioversor; longarina 5 lugares.
</v>
      </c>
      <c r="Y70" s="361"/>
      <c r="Z70" s="219"/>
    </row>
    <row r="71" ht="137.25" customHeight="1">
      <c r="A71" s="53">
        <v>2607901.0</v>
      </c>
      <c r="B71" s="392" t="s">
        <v>411</v>
      </c>
      <c r="C71" s="311" t="s">
        <v>104</v>
      </c>
      <c r="D71" s="58" t="s">
        <v>457</v>
      </c>
      <c r="E71" s="61" t="s">
        <v>358</v>
      </c>
      <c r="F71" s="403" t="str">
        <f t="array" ref="F71">TEXTJOIN(CHAR(10), TRUE, 
  "*" &amp; E71 &amp; "*", 
"Status: " &amp; _xlfn.XLOOKUP(E71, 'DESCONTINUADA UPA e UPA-E'!B:B, 'DESCONTINUADA UPA e UPA-E'!C:C, "Não encontrado"),
 "Localização: " &amp; _xlfn.XLOOKUP(E71, 'DESCONTINUADA UPA e UPA-E'!B:B, 'DESCONTINUADA UPA e UPA-E'!D:D, "Não encontrado"),
 "Geres: " &amp; _xlfn.XLOOKUP(E71, 'DESCONTINUADA UPA e UPA-E'!B:B, 'DESCONTINUADA UPA e UPA-E'!E:E, "Não encontrado"),
 "Leitos: " &amp; _xlfn.XLOOKUP(E71, 'DESCONTINUADA UPA e UPA-E'!B:B, 'DESCONTINUADA UPA e UPA-E'!F:F, "Não encontrado"),
 "Perfil: " &amp; _xlfn.XLOOKUP(E71, 'DESCONTINUADA UPA e UPA-E'!B:B, 'DESCONTINUADA UPA e UPA-E'!G:G, "Não encontrado"),
 "Nº Profissionais Total: " &amp; _xlfn.XLOOKUP(E71, 'DESCONTINUADA UPA e UPA-E'!B:B, 'DESCONTINUADA UPA e UPA-E'!H:H, "Não encontrado"),
 "Investimento nesta gestão: " &amp; _xlfn.XLOOKUP(E71, 'DESCONTINUADA UPA e UPA-E'!B:B, 'DESCONTINUADA UPA e UPA-E'!I:I, "Não encontrado"),
 "Principais avanços nessa gestão: " &amp; _xlfn.XLOOKUP(E71, 'DESCONTINUADA UPA e UPA-E'!B:B, 'DESCONTINUADA UPA e UPA-E'!J:J, "Não encontrado"),
)</f>
        <v>*UPA Curado*
Status: EM FUNCIONAMENTO
Localização: R. Leonardo da Vinci, 68 - Curado II, Jaboatão dos Guararapes - PE
Geres: I
Leitos: 19
Perfil: UPA Porte III, com atendimento de urgência e emergência em Clínica Médica, Pediatria e Ortopedia 24h, além de Odontologia. Realiza atendimentos de baixa e média complexidade, estabilizando casos graves para posterior transferência à rede hospitalar. Possui raio-X, nebulização, sutura, imobilização, coleta laboratorial e eletrocardiograma.
Nº Profissionais Total: -
Investimento nesta gestão: 559244,7
Principais avanços nessa gestão: Modernização da unidade com investimento de R$ 559,2 mil em equipamentos e mobiliários; manutenção de 19 leitos, incluindo quatro destinados à estabilização de pacientes graves; fortalecimento da assistência 24h em Clínica Médica, Pediatria e Ortopedia; manutenção da qualificação como UPA Porte III; e fortalecimento da estrutura para estabilização e transferência de pacientes de maior complexidade.</v>
      </c>
      <c r="G71" s="44" t="s">
        <v>63</v>
      </c>
      <c r="H71" s="208"/>
      <c r="I71" s="58" t="s">
        <v>85</v>
      </c>
      <c r="J71" s="208"/>
      <c r="K71" s="209">
        <f t="array" ref="K71">_xlfn.XLOOKUP(E71, 'DESCONTINUADA UPA e UPA-E'!B:B, 'DESCONTINUADA UPA e UPA-E'!F:F)</f>
        <v>19</v>
      </c>
      <c r="L71" s="208"/>
      <c r="M71" s="208"/>
      <c r="N71" s="212" t="str">
        <f t="array" ref="N71">_xlfn.XLOOKUP(E71, 'DESCONTINUADA UPA e UPA-E'!B:B, 'DESCONTINUADA UPA e UPA-E'!G:G)</f>
        <v>UPA Porte III, com atendimento de urgência e emergência em Clínica Médica, Pediatria e Ortopedia 24h, além de Odontologia. Realiza atendimentos de baixa e média complexidade, estabilizando casos graves para posterior transferência à rede hospitalar. Possui raio-X, nebulização, sutura, imobilização, coleta laboratorial e eletrocardiograma.</v>
      </c>
      <c r="O71" s="358" t="str">
        <f t="array" ref="O71">_xlfn.XLOOKUP(E71, 'DESCONTINUADA UPA e UPA-E'!B:B, 'DESCONTINUADA UPA e UPA-E'!H:H)</f>
        <v>-</v>
      </c>
      <c r="P71" s="208"/>
      <c r="Q71" s="208"/>
      <c r="R71" s="211">
        <f t="array" ref="R71">_xlfn.XLOOKUP(E71, 'DESCONTINUADA UPA e UPA-E'!B:B, 'DESCONTINUADA UPA e UPA-E'!I:I)</f>
        <v>559244.7</v>
      </c>
      <c r="S71" s="208"/>
      <c r="T71" s="208"/>
      <c r="U71" s="208"/>
      <c r="V71" s="208"/>
      <c r="W71" s="208"/>
      <c r="X71" s="404" t="str">
        <f t="array" ref="X71">_xlfn.XLOOKUP(E71, 'DESCONTINUADA UPA e UPA-E'!B:B, 'DESCONTINUADA UPA e UPA-E'!J:J)</f>
        <v>Modernização da unidade com investimento de R$ 559,2 mil em equipamentos e mobiliários; manutenção de 19 leitos, incluindo quatro destinados à estabilização de pacientes graves; fortalecimento da assistência 24h em Clínica Médica, Pediatria e Ortopedia; manutenção da qualificação como UPA Porte III; e fortalecimento da estrutura para estabilização e transferência de pacientes de maior complexidade.</v>
      </c>
      <c r="Y71" s="361"/>
      <c r="Z71" s="219"/>
    </row>
    <row r="72" ht="137.25" customHeight="1">
      <c r="A72" s="53">
        <v>2611606.0</v>
      </c>
      <c r="B72" s="392" t="s">
        <v>96</v>
      </c>
      <c r="C72" s="311" t="s">
        <v>104</v>
      </c>
      <c r="D72" s="58" t="s">
        <v>457</v>
      </c>
      <c r="E72" s="61" t="s">
        <v>364</v>
      </c>
      <c r="F72" s="403" t="str">
        <f t="array" ref="F72">TEXTJOIN(CHAR(10), TRUE, 
  "*" &amp; E72 &amp; "*", 
"Status: " &amp; _xlfn.XLOOKUP(E72, 'DESCONTINUADA UPA e UPA-E'!B:B, 'DESCONTINUADA UPA e UPA-E'!C:C, "Não encontrado"),
 "Localização: " &amp; _xlfn.XLOOKUP(E72, 'DESCONTINUADA UPA e UPA-E'!B:B, 'DESCONTINUADA UPA e UPA-E'!D:D, "Não encontrado"),
 "Geres: " &amp; _xlfn.XLOOKUP(E72, 'DESCONTINUADA UPA e UPA-E'!B:B, 'DESCONTINUADA UPA e UPA-E'!E:E, "Não encontrado"),
 "Leitos: " &amp; _xlfn.XLOOKUP(E72, 'DESCONTINUADA UPA e UPA-E'!B:B, 'DESCONTINUADA UPA e UPA-E'!F:F, "Não encontrado"),
 "Perfil: " &amp; _xlfn.XLOOKUP(E72, 'DESCONTINUADA UPA e UPA-E'!B:B, 'DESCONTINUADA UPA e UPA-E'!G:G, "Não encontrado"),
 "Nº Profissionais Total: " &amp; _xlfn.XLOOKUP(E72, 'DESCONTINUADA UPA e UPA-E'!B:B, 'DESCONTINUADA UPA e UPA-E'!H:H, "Não encontrado"),
 "Investimento nesta gestão: " &amp; _xlfn.XLOOKUP(E72, 'DESCONTINUADA UPA e UPA-E'!B:B, 'DESCONTINUADA UPA e UPA-E'!I:I, "Não encontrado"),
 "Principais avanços nessa gestão: " &amp; _xlfn.XLOOKUP(E72, 'DESCONTINUADA UPA e UPA-E'!B:B, 'DESCONTINUADA UPA e UPA-E'!J:J, "Não encontrado"),
)</f>
        <v>*UPA Caxangá*
Status: EM FUNCIONAMENTO
Localização: R. Ribeiro Pessoa, s/n - Iputinga, Recife - PE
Geres: I
Leitos: 19
Perfil: UPA 24h de urgência e emergência, com atendimento por demanda espontânea em Clínica Médica, Pediatria e Ortopedia. Possui apoio diagnóstico com raio-X, eletrocardiograma, exames laboratoriais e gasometria, além de salas de medicação, sutura, inalação e classificação de risco.
Nº Profissionais Total: -
Investimento nesta gestão: 942168,6
Principais avanços nessa gestão: gestão
Readequação da Clínica Médica; fortalecimento da assistência pediátrica; regularização da cobertura de plantonistas pediátricos e disponibilização de materiais para a especialidade; manutenção de 19 leitos de observação; e continuidade da assistência 24h em Clínica Médica, Pediatria e Ortopedia.</v>
      </c>
      <c r="G72" s="44" t="s">
        <v>63</v>
      </c>
      <c r="H72" s="208"/>
      <c r="I72" s="58" t="s">
        <v>85</v>
      </c>
      <c r="J72" s="208"/>
      <c r="K72" s="209">
        <f t="array" ref="K72">_xlfn.XLOOKUP(E72, 'DESCONTINUADA UPA e UPA-E'!B:B, 'DESCONTINUADA UPA e UPA-E'!F:F)</f>
        <v>19</v>
      </c>
      <c r="L72" s="208"/>
      <c r="M72" s="208"/>
      <c r="N72" s="212" t="str">
        <f t="array" ref="N72">_xlfn.XLOOKUP(E72, 'DESCONTINUADA UPA e UPA-E'!B:B, 'DESCONTINUADA UPA e UPA-E'!G:G)</f>
        <v>UPA 24h de urgência e emergência, com atendimento por demanda espontânea em Clínica Médica, Pediatria e Ortopedia. Possui apoio diagnóstico com raio-X, eletrocardiograma, exames laboratoriais e gasometria, além de salas de medicação, sutura, inalação e classificação de risco.</v>
      </c>
      <c r="O72" s="358" t="str">
        <f t="array" ref="O72">_xlfn.XLOOKUP(E72, 'DESCONTINUADA UPA e UPA-E'!B:B, 'DESCONTINUADA UPA e UPA-E'!H:H)</f>
        <v>-</v>
      </c>
      <c r="P72" s="208"/>
      <c r="Q72" s="208"/>
      <c r="R72" s="211">
        <f t="array" ref="R72">_xlfn.XLOOKUP(E72, 'DESCONTINUADA UPA e UPA-E'!B:B, 'DESCONTINUADA UPA e UPA-E'!I:I)</f>
        <v>942168.6</v>
      </c>
      <c r="S72" s="208"/>
      <c r="T72" s="208"/>
      <c r="U72" s="208"/>
      <c r="V72" s="208"/>
      <c r="W72" s="208"/>
      <c r="X72" s="404" t="str">
        <f t="array" ref="X72">_xlfn.XLOOKUP(E72, 'DESCONTINUADA UPA e UPA-E'!B:B, 'DESCONTINUADA UPA e UPA-E'!J:J)</f>
        <v>gestão
Readequação da Clínica Médica; fortalecimento da assistência pediátrica; regularização da cobertura de plantonistas pediátricos e disponibilização de materiais para a especialidade; manutenção de 19 leitos de observação; e continuidade da assistência 24h em Clínica Médica, Pediatria e Ortopedia.</v>
      </c>
      <c r="Y72" s="361"/>
      <c r="Z72" s="219"/>
    </row>
    <row r="73" ht="137.25" customHeight="1">
      <c r="A73" s="53">
        <v>2604106.0</v>
      </c>
      <c r="B73" s="392" t="s">
        <v>315</v>
      </c>
      <c r="C73" s="311" t="s">
        <v>317</v>
      </c>
      <c r="D73" s="58" t="s">
        <v>457</v>
      </c>
      <c r="E73" s="61" t="s">
        <v>371</v>
      </c>
      <c r="F73" s="403" t="str">
        <f t="array" ref="F73">TEXTJOIN(CHAR(10), TRUE, 
  "*" &amp; E73 &amp; "*", 
"Status: " &amp; _xlfn.XLOOKUP(E73, 'DESCONTINUADA UPA e UPA-E'!B:B, 'DESCONTINUADA UPA e UPA-E'!C:C, "Não encontrado"),
 "Localização: " &amp; _xlfn.XLOOKUP(E73, 'DESCONTINUADA UPA e UPA-E'!B:B, 'DESCONTINUADA UPA e UPA-E'!D:D, "Não encontrado"),
 "Geres: " &amp; _xlfn.XLOOKUP(E73, 'DESCONTINUADA UPA e UPA-E'!B:B, 'DESCONTINUADA UPA e UPA-E'!E:E, "Não encontrado"),
 "Leitos: " &amp; _xlfn.XLOOKUP(E73, 'DESCONTINUADA UPA e UPA-E'!B:B, 'DESCONTINUADA UPA e UPA-E'!F:F, "Não encontrado"),
 "Perfil: " &amp; _xlfn.XLOOKUP(E73, 'DESCONTINUADA UPA e UPA-E'!B:B, 'DESCONTINUADA UPA e UPA-E'!G:G, "Não encontrado"),
 "Nº Profissionais Total: " &amp; _xlfn.XLOOKUP(E73, 'DESCONTINUADA UPA e UPA-E'!B:B, 'DESCONTINUADA UPA e UPA-E'!H:H, "Não encontrado"),
 "Investimento nesta gestão: " &amp; _xlfn.XLOOKUP(E73, 'DESCONTINUADA UPA e UPA-E'!B:B, 'DESCONTINUADA UPA e UPA-E'!I:I, "Não encontrado"),
 "Principais avanços nessa gestão: " &amp; _xlfn.XLOOKUP(E73, 'DESCONTINUADA UPA e UPA-E'!B:B, 'DESCONTINUADA UPA e UPA-E'!J:J, "Não encontrado"),
)</f>
        <v>*UPA Caruaru*
Status: EM FUNCIONAMENTO
Localização: Caruaru – PE, Avenida José Marques Fontes, s/n, Vassoural/Santa Rosa
Geres: IV
Leitos: 19
Perfil: Unidade de Pronto Atendimento 24h, voltada à urgência e emergência, com atendimento em Clínica Médica, Cardiologia, Traumatologia e Cirurgia do Trauma. Dispõe de 7 consultórios, raio-X, coleta de exames laboratoriais, imobilização, medicação, nebulização, sutura e classificação de risco.
Nº Profissionais Total: -
Investimento nesta gestão: 636644,72
Principais avanços nessa gestão: Modernização do parque de equipamentos; aquisição de digitalizador de imagens radiográficas, ventiladores, camas e berços; fortalecimento da capacidade de atendimento de urgência e emergência; e manutenção de elevado volume assistencial, com 155.811 atendimentos em 2024, superando a meta anual pactuada.</v>
      </c>
      <c r="G73" s="44" t="s">
        <v>63</v>
      </c>
      <c r="H73" s="208"/>
      <c r="I73" s="58" t="s">
        <v>153</v>
      </c>
      <c r="J73" s="208"/>
      <c r="K73" s="209">
        <f t="array" ref="K73">_xlfn.XLOOKUP(E73, 'DESCONTINUADA UPA e UPA-E'!B:B, 'DESCONTINUADA UPA e UPA-E'!F:F)</f>
        <v>19</v>
      </c>
      <c r="L73" s="208"/>
      <c r="M73" s="208"/>
      <c r="N73" s="212" t="str">
        <f t="array" ref="N73">_xlfn.XLOOKUP(E73, 'DESCONTINUADA UPA e UPA-E'!B:B, 'DESCONTINUADA UPA e UPA-E'!G:G)</f>
        <v>Unidade de Pronto Atendimento 24h, voltada à urgência e emergência, com atendimento em Clínica Médica, Cardiologia, Traumatologia e Cirurgia do Trauma. Dispõe de 7 consultórios, raio-X, coleta de exames laboratoriais, imobilização, medicação, nebulização, sutura e classificação de risco.</v>
      </c>
      <c r="O73" s="358" t="str">
        <f t="array" ref="O73">_xlfn.XLOOKUP(E73, 'DESCONTINUADA UPA e UPA-E'!B:B, 'DESCONTINUADA UPA e UPA-E'!H:H)</f>
        <v>-</v>
      </c>
      <c r="P73" s="208"/>
      <c r="Q73" s="208"/>
      <c r="R73" s="211">
        <f t="array" ref="R73">_xlfn.XLOOKUP(E73, 'DESCONTINUADA UPA e UPA-E'!B:B, 'DESCONTINUADA UPA e UPA-E'!I:I)</f>
        <v>636644.72</v>
      </c>
      <c r="S73" s="208"/>
      <c r="T73" s="208"/>
      <c r="U73" s="208"/>
      <c r="V73" s="208"/>
      <c r="W73" s="208"/>
      <c r="X73" s="404" t="str">
        <f t="array" ref="X73">_xlfn.XLOOKUP(E73, 'DESCONTINUADA UPA e UPA-E'!B:B, 'DESCONTINUADA UPA e UPA-E'!J:J)</f>
        <v>Modernização do parque de equipamentos; aquisição de digitalizador de imagens radiográficas, ventiladores, camas e berços; fortalecimento da capacidade de atendimento de urgência e emergência; e manutenção de elevado volume assistencial, com 155.811 atendimentos em 2024, superando a meta anual pactuada.</v>
      </c>
      <c r="Y73" s="361"/>
      <c r="Z73" s="219"/>
    </row>
    <row r="74" ht="137.25" customHeight="1">
      <c r="A74" s="53">
        <v>2606804.0</v>
      </c>
      <c r="B74" s="392" t="s">
        <v>442</v>
      </c>
      <c r="C74" s="311" t="s">
        <v>104</v>
      </c>
      <c r="D74" s="58" t="s">
        <v>457</v>
      </c>
      <c r="E74" s="61" t="s">
        <v>379</v>
      </c>
      <c r="F74" s="403" t="str">
        <f t="array" ref="F74">TEXTJOIN(CHAR(10), TRUE, 
  "*" &amp; E74 &amp; "*", 
"Status: " &amp; _xlfn.XLOOKUP(E74, 'DESCONTINUADA UPA e UPA-E'!B:B, 'DESCONTINUADA UPA e UPA-E'!C:C, "Não encontrado"),
 "Localização: " &amp; _xlfn.XLOOKUP(E74, 'DESCONTINUADA UPA e UPA-E'!B:B, 'DESCONTINUADA UPA e UPA-E'!D:D, "Não encontrado"),
 "Geres: " &amp; _xlfn.XLOOKUP(E74, 'DESCONTINUADA UPA e UPA-E'!B:B, 'DESCONTINUADA UPA e UPA-E'!E:E, "Não encontrado"),
 "Leitos: " &amp; _xlfn.XLOOKUP(E74, 'DESCONTINUADA UPA e UPA-E'!B:B, 'DESCONTINUADA UPA e UPA-E'!F:F, "Não encontrado"),
 "Perfil: " &amp; _xlfn.XLOOKUP(E74, 'DESCONTINUADA UPA e UPA-E'!B:B, 'DESCONTINUADA UPA e UPA-E'!G:G, "Não encontrado"),
 "Nº Profissionais Total: " &amp; _xlfn.XLOOKUP(E74, 'DESCONTINUADA UPA e UPA-E'!B:B, 'DESCONTINUADA UPA e UPA-E'!H:H, "Não encontrado"),
 "Investimento nesta gestão: " &amp; _xlfn.XLOOKUP(E74, 'DESCONTINUADA UPA e UPA-E'!B:B, 'DESCONTINUADA UPA e UPA-E'!I:I, "Não encontrado"),
 "Principais avanços nessa gestão: " &amp; _xlfn.XLOOKUP(E74, 'DESCONTINUADA UPA e UPA-E'!B:B, 'DESCONTINUADA UPA e UPA-E'!J:J, "Não encontrado"),
)</f>
        <v>*UPA Igarassu*
Status: EM FUNCIONAMENTO
Localização: Rodovia Br-101 Norte, km 47 - Cruz de Rebouças, Igarassu - PE
Geres: I
Leitos: 19
Perfil: Clínica Médica, Pediatria e Ortopedia
Nº Profissionais Total: -
Investimento nesta gestão: 672332,12
Principais avanços nessa gestão: Aparelho de raio-X fixo digital; ventilador pulmonar; cardioversor; eletrocardiógrafo.</v>
      </c>
      <c r="G74" s="44" t="s">
        <v>63</v>
      </c>
      <c r="H74" s="208"/>
      <c r="I74" s="58" t="s">
        <v>85</v>
      </c>
      <c r="J74" s="208"/>
      <c r="K74" s="209">
        <f t="array" ref="K74">_xlfn.XLOOKUP(E74, 'DESCONTINUADA UPA e UPA-E'!B:B, 'DESCONTINUADA UPA e UPA-E'!F:F)</f>
        <v>19</v>
      </c>
      <c r="L74" s="208"/>
      <c r="M74" s="208"/>
      <c r="N74" s="212" t="str">
        <f t="array" ref="N74">_xlfn.XLOOKUP(E74, 'DESCONTINUADA UPA e UPA-E'!B:B, 'DESCONTINUADA UPA e UPA-E'!G:G)</f>
        <v>Clínica Médica, Pediatria e Ortopedia</v>
      </c>
      <c r="O74" s="358" t="str">
        <f t="array" ref="O74">_xlfn.XLOOKUP(E74, 'DESCONTINUADA UPA e UPA-E'!B:B, 'DESCONTINUADA UPA e UPA-E'!H:H)</f>
        <v>-</v>
      </c>
      <c r="P74" s="208"/>
      <c r="Q74" s="208"/>
      <c r="R74" s="211">
        <f t="array" ref="R74">_xlfn.XLOOKUP(E74, 'DESCONTINUADA UPA e UPA-E'!B:B, 'DESCONTINUADA UPA e UPA-E'!I:I)</f>
        <v>672332.12</v>
      </c>
      <c r="S74" s="208"/>
      <c r="T74" s="208"/>
      <c r="U74" s="208"/>
      <c r="V74" s="208"/>
      <c r="W74" s="208"/>
      <c r="X74" s="357" t="str">
        <f t="array" ref="X74">_xlfn.XLOOKUP(E74, 'DESCONTINUADA UPA e UPA-E'!B:B, 'DESCONTINUADA UPA e UPA-E'!J:J)</f>
        <v>Aparelho de raio-X fixo digital; ventilador pulmonar; cardioversor; eletrocardiógrafo.</v>
      </c>
      <c r="Y74" s="361"/>
      <c r="Z74" s="219"/>
    </row>
    <row r="75" ht="137.25" customHeight="1">
      <c r="A75" s="53">
        <v>2611606.0</v>
      </c>
      <c r="B75" s="392" t="s">
        <v>96</v>
      </c>
      <c r="C75" s="311" t="s">
        <v>104</v>
      </c>
      <c r="D75" s="58" t="s">
        <v>452</v>
      </c>
      <c r="E75" s="61" t="s">
        <v>386</v>
      </c>
      <c r="F75" s="403" t="str">
        <f t="array" ref="F75">TEXTJOIN(CHAR(10), TRUE, 
  "*" &amp; E75 &amp; "*", 
"Status: " &amp; _xlfn.XLOOKUP(E75, 'DESCONTINUADA UPA e UPA-E'!B:B, 'DESCONTINUADA UPA e UPA-E'!C:C, "Não encontrado"),
 "Localização: " &amp; _xlfn.XLOOKUP(E75, 'DESCONTINUADA UPA e UPA-E'!B:B, 'DESCONTINUADA UPA e UPA-E'!D:D, "Não encontrado"),
 "Geres: " &amp; _xlfn.XLOOKUP(E75, 'DESCONTINUADA UPA e UPA-E'!B:B, 'DESCONTINUADA UPA e UPA-E'!E:E, "Não encontrado"),
 "Leitos: " &amp; _xlfn.XLOOKUP(E75, 'DESCONTINUADA UPA e UPA-E'!B:B, 'DESCONTINUADA UPA e UPA-E'!F:F, "Não encontrado"),
 "Perfil: " &amp; _xlfn.XLOOKUP(E75, 'DESCONTINUADA UPA e UPA-E'!B:B, 'DESCONTINUADA UPA e UPA-E'!G:G, "Não encontrado"),
 "Nº Profissionais Total: " &amp; _xlfn.XLOOKUP(E75, 'DESCONTINUADA UPA e UPA-E'!B:B, 'DESCONTINUADA UPA e UPA-E'!H:H, "Não encontrado"),
 "Investimento nesta gestão: " &amp; _xlfn.XLOOKUP(E75, 'DESCONTINUADA UPA e UPA-E'!B:B, 'DESCONTINUADA UPA e UPA-E'!I:I, "Não encontrado"),
 "Principais avanços nessa gestão: " &amp; _xlfn.XLOOKUP(E75, 'DESCONTINUADA UPA e UPA-E'!B:B, 'DESCONTINUADA UPA e UPA-E'!J:J, "Não encontrado"),
)</f>
        <v>*UPAE/Reabilitação do Recife*
Status: EM FUNCIONAMENTO
Localização: R. Interna, 801 - Ipsep, Recife - PE
Geres: I
Leitos: Aguardando informação
Perfil: Atendimento especializado à pessoa idosa, com assistência médica nas especialidades de Dermatologia, Vascular, Otorrinolaringologia, Otoneurologia, Reumatologia, Geriatria e Cardiologia, além de atendimento multiprofissional nas áreas de Nutrição, Psicologia, Fisioterapia, Fonoaudiologia, Terapia Ocupacional e Educação Física.
Nº Profissionais Total: 54
Investimento nesta gestão: 8200000
Principais avanços nessa gestão: UNIDADE INAUGURADA NESTA GESTÃO (1ª ETAPA EM 2024 E 2ª ETAPA EM 2025)
Aquisições: Cadeiras universitárias com prancheta lateral; 01 Esteira ergométrica; Armários tipo estante em MDF; Cadeiras de rodas; Carrinhos auxiliares; Discos infláveis fisioterapêuticos para equilíbrio; Fornos tipo doméstico; Mesas auxiliares; Refrigeradores 320L; Bebedouros de coluna; Televisores.
Serviços: Implantação de ambulatório da dor -- fibromialgia; Hidroginástica para idosos; Atividades funcionais/esportivas. </v>
      </c>
      <c r="G75" s="44" t="s">
        <v>63</v>
      </c>
      <c r="H75" s="208"/>
      <c r="I75" s="58" t="s">
        <v>85</v>
      </c>
      <c r="J75" s="208"/>
      <c r="K75" s="209" t="str">
        <f t="array" ref="K75">_xlfn.XLOOKUP(E75, 'DESCONTINUADA UPA e UPA-E'!B:B, 'DESCONTINUADA UPA e UPA-E'!F:F)</f>
        <v>Aguardando informação</v>
      </c>
      <c r="L75" s="208"/>
      <c r="M75" s="208"/>
      <c r="N75" s="212" t="str">
        <f t="array" ref="N75">_xlfn.XLOOKUP(E75, 'DESCONTINUADA UPA e UPA-E'!B:B, 'DESCONTINUADA UPA e UPA-E'!G:G)</f>
        <v>Atendimento especializado à pessoa idosa, com assistência médica nas especialidades de Dermatologia, Vascular, Otorrinolaringologia, Otoneurologia, Reumatologia, Geriatria e Cardiologia, além de atendimento multiprofissional nas áreas de Nutrição, Psicologia, Fisioterapia, Fonoaudiologia, Terapia Ocupacional e Educação Física.
</v>
      </c>
      <c r="O75" s="358">
        <f t="array" ref="O75">_xlfn.XLOOKUP(E75, 'DESCONTINUADA UPA e UPA-E'!B:B, 'DESCONTINUADA UPA e UPA-E'!H:H)</f>
        <v>54</v>
      </c>
      <c r="P75" s="208"/>
      <c r="Q75" s="208"/>
      <c r="R75" s="211">
        <f t="array" ref="R75">_xlfn.XLOOKUP(E75, 'DESCONTINUADA UPA e UPA-E'!B:B, 'DESCONTINUADA UPA e UPA-E'!I:I)</f>
        <v>8200000</v>
      </c>
      <c r="S75" s="208"/>
      <c r="T75" s="208"/>
      <c r="U75" s="208"/>
      <c r="V75" s="208"/>
      <c r="W75" s="208"/>
      <c r="X75" s="357" t="str">
        <f t="array" ref="X75">_xlfn.XLOOKUP(E75, 'DESCONTINUADA UPA e UPA-E'!B:B, 'DESCONTINUADA UPA e UPA-E'!J:J)</f>
        <v>UNIDADE INAUGURADA NESTA GESTÃO (1ª ETAPA EM 2024 E 2ª ETAPA EM 2025)
Aquisições: Cadeiras universitárias com prancheta lateral; 01 Esteira ergométrica; Armários tipo estante em MDF; Cadeiras de rodas; Carrinhos auxiliares; Discos infláveis fisioterapêuticos para equilíbrio; Fornos tipo doméstico; Mesas auxiliares; Refrigeradores 320L; Bebedouros de coluna; Televisores.
Serviços: Implantação de ambulatório da dor -- fibromialgia; Hidroginástica para idosos; Atividades funcionais/esportivas. </v>
      </c>
      <c r="Y75" s="361"/>
      <c r="Z75" s="219"/>
    </row>
    <row r="76" ht="137.25" customHeight="1">
      <c r="A76" s="176">
        <v>2609402.0</v>
      </c>
      <c r="B76" s="392" t="s">
        <v>460</v>
      </c>
      <c r="C76" s="311" t="s">
        <v>104</v>
      </c>
      <c r="D76" s="58"/>
      <c r="E76" s="405" t="s">
        <v>459</v>
      </c>
      <c r="F76" s="403" t="str">
        <f t="array" ref="F76">TEXTJOIN(CHAR(10), TRUE, 
  "*" &amp; E76 &amp; "*", 
 "Status: " &amp; _xlfn.XLOOKUP(E76, 'DESCONTINUADA Rede Credenciada'!B:B, 'DESCONTINUADA Rede Credenciada'!C:C, "Não encontrado"),
 "Localização: " &amp; _xlfn.XLOOKUP(E76, 'DESCONTINUADA Rede Credenciada'!B:B, 'DESCONTINUADA Rede Credenciada'!E:E, "Não encontrado"),
 "Número de leitos: " &amp; _xlfn.XLOOKUP(E76, 'DESCONTINUADA Rede Credenciada'!B:B, 'DESCONTINUADA Rede Credenciada'!F:F, "Não encontrado"),
 "Leitos abertos nesta gestão: " &amp; _xlfn.XLOOKUP(E76, 'DESCONTINUADA Rede Credenciada'!B:B, 'DESCONTINUADA Rede Credenciada'!G:G, "Não encontrado"),
 "Tipos de leitos abertos nesta gestão: " &amp; _xlfn.XLOOKUP(E76, 'DESCONTINUADA Rede Credenciada'!B:B, 'DESCONTINUADA Rede Credenciada'!H:H, "Não encontrado"),
)</f>
        <v>*União Beneficente dos Trabalhadores do Moreno*
Status: EM FUNCIONAMENTO
Localização: Moreno
Número de leitos: 
Leitos abertos nesta gestão: 24
Tipos de leitos abertos nesta gestão: Programa Cuida PE</v>
      </c>
      <c r="G76" s="44" t="s">
        <v>63</v>
      </c>
      <c r="H76" s="208"/>
      <c r="I76" s="58"/>
      <c r="J76" s="208">
        <f t="array" ref="J76">_xlfn.XLOOKUP(E76, 'DESCONTINUADA Rede Credenciada'!B:B, 'DESCONTINUADA Rede Credenciada'!G:G)</f>
        <v>24</v>
      </c>
      <c r="K76" s="208" t="str">
        <f t="array" ref="K76">_xlfn.XLOOKUP(E76, 'DESCONTINUADA Rede Credenciada'!B:B, 'DESCONTINUADA Rede Credenciada'!F:F)</f>
        <v/>
      </c>
      <c r="L76" s="208" t="str">
        <f t="array" ref="L76">_xlfn.XLOOKUP(E76, 'DESCONTINUADA Rede Credenciada'!B:B, 'DESCONTINUADA Rede Credenciada'!H:H)</f>
        <v>Programa Cuida PE</v>
      </c>
      <c r="M76" s="208"/>
      <c r="N76" s="358"/>
      <c r="O76" s="358"/>
      <c r="P76" s="208"/>
      <c r="Q76" s="208"/>
      <c r="R76" s="208"/>
      <c r="S76" s="208"/>
      <c r="T76" s="208"/>
      <c r="U76" s="208"/>
      <c r="V76" s="208"/>
      <c r="W76" s="208"/>
      <c r="X76" s="357"/>
      <c r="Y76" s="361"/>
      <c r="Z76" s="219"/>
    </row>
    <row r="77" ht="137.25" customHeight="1">
      <c r="A77" s="53">
        <v>2611606.0</v>
      </c>
      <c r="B77" s="392" t="s">
        <v>96</v>
      </c>
      <c r="C77" s="311" t="s">
        <v>104</v>
      </c>
      <c r="D77" s="58"/>
      <c r="E77" s="405" t="s">
        <v>463</v>
      </c>
      <c r="F77" s="403" t="str">
        <f t="array" ref="F77">TEXTJOIN(CHAR(10), TRUE, 
  "*" &amp; E77 &amp; "*", 
 "Status: " &amp; _xlfn.XLOOKUP(E77, 'DESCONTINUADA Rede Credenciada'!B:B, 'DESCONTINUADA Rede Credenciada'!C:C, "Não encontrado"),
 "Localização: " &amp; _xlfn.XLOOKUP(E77, 'DESCONTINUADA Rede Credenciada'!B:B, 'DESCONTINUADA Rede Credenciada'!E:E, "Não encontrado"),
 "Número de leitos: " &amp; _xlfn.XLOOKUP(E77, 'DESCONTINUADA Rede Credenciada'!B:B, 'DESCONTINUADA Rede Credenciada'!F:F, "Não encontrado"),
 "Leitos abertos nesta gestão: " &amp; _xlfn.XLOOKUP(E77, 'DESCONTINUADA Rede Credenciada'!B:B, 'DESCONTINUADA Rede Credenciada'!G:G, "Não encontrado"),
 "Tipos de leitos abertos nesta gestão: " &amp; _xlfn.XLOOKUP(E77, 'DESCONTINUADA Rede Credenciada'!B:B, 'DESCONTINUADA Rede Credenciada'!H:H, "Não encontrado"),
)</f>
        <v>*ASHOPE - Associação de Serviços Hospitalares*
Status: EM FUNCIONAMENTO
Localização: Recife
Número de leitos: 
Leitos abertos nesta gestão: 28
Tipos de leitos abertos nesta gestão: Neuroclínica Adulto</v>
      </c>
      <c r="G77" s="44" t="s">
        <v>63</v>
      </c>
      <c r="H77" s="208"/>
      <c r="I77" s="58"/>
      <c r="J77" s="208">
        <f t="array" ref="J77">_xlfn.XLOOKUP(E77, 'DESCONTINUADA Rede Credenciada'!B:B, 'DESCONTINUADA Rede Credenciada'!G:G)</f>
        <v>28</v>
      </c>
      <c r="K77" s="208" t="str">
        <f t="array" ref="K77">_xlfn.XLOOKUP(E77, 'DESCONTINUADA Rede Credenciada'!B:B, 'DESCONTINUADA Rede Credenciada'!F:F)</f>
        <v/>
      </c>
      <c r="L77" s="208" t="str">
        <f t="array" ref="L77">_xlfn.XLOOKUP(E77, 'DESCONTINUADA Rede Credenciada'!B:B, 'DESCONTINUADA Rede Credenciada'!H:H)</f>
        <v>Neuroclínica Adulto</v>
      </c>
      <c r="M77" s="208"/>
      <c r="N77" s="358"/>
      <c r="O77" s="358"/>
      <c r="P77" s="208"/>
      <c r="Q77" s="208"/>
      <c r="R77" s="208"/>
      <c r="S77" s="208"/>
      <c r="T77" s="208"/>
      <c r="U77" s="208"/>
      <c r="V77" s="208"/>
      <c r="W77" s="208"/>
      <c r="X77" s="357"/>
      <c r="Y77" s="361"/>
      <c r="Z77" s="219"/>
    </row>
    <row r="78" ht="137.25" customHeight="1">
      <c r="A78" s="53">
        <v>2611606.0</v>
      </c>
      <c r="B78" s="392" t="s">
        <v>96</v>
      </c>
      <c r="C78" s="311" t="s">
        <v>104</v>
      </c>
      <c r="D78" s="58"/>
      <c r="E78" s="405" t="s">
        <v>465</v>
      </c>
      <c r="F78" s="403" t="str">
        <f t="array" ref="F78">TEXTJOIN(CHAR(10), TRUE, 
  "*" &amp; E78 &amp; "*", 
 "Status: " &amp; _xlfn.XLOOKUP(E78, 'DESCONTINUADA Rede Credenciada'!B:B, 'DESCONTINUADA Rede Credenciada'!C:C, "Não encontrado"),
 "Localização: " &amp; _xlfn.XLOOKUP(E78, 'DESCONTINUADA Rede Credenciada'!B:B, 'DESCONTINUADA Rede Credenciada'!E:E, "Não encontrado"),
 "Número de leitos: " &amp; _xlfn.XLOOKUP(E78, 'DESCONTINUADA Rede Credenciada'!B:B, 'DESCONTINUADA Rede Credenciada'!F:F, "Não encontrado"),
 "Leitos abertos nesta gestão: " &amp; _xlfn.XLOOKUP(E78, 'DESCONTINUADA Rede Credenciada'!B:B, 'DESCONTINUADA Rede Credenciada'!G:G, "Não encontrado"),
 "Tipos de leitos abertos nesta gestão: " &amp; _xlfn.XLOOKUP(E78, 'DESCONTINUADA Rede Credenciada'!B:B, 'DESCONTINUADA Rede Credenciada'!H:H, "Não encontrado"),
)</f>
        <v>*Hospital Maria Lucinda*
Status: EM FUNCIONAMENTO
Localização: Recife
Número de leitos: 
Leitos abertos nesta gestão: 100
Tipos de leitos abertos nesta gestão: Enfermaria (Traumatologia-Ortopedia); UTI Pediátrica SRAG; Enfermaria Adulto SRAG; Programa Cuida PE; UTI Pediátrica</v>
      </c>
      <c r="G78" s="44" t="s">
        <v>63</v>
      </c>
      <c r="H78" s="208"/>
      <c r="I78" s="58"/>
      <c r="J78" s="208">
        <f t="array" ref="J78">_xlfn.XLOOKUP(E78, 'DESCONTINUADA Rede Credenciada'!B:B, 'DESCONTINUADA Rede Credenciada'!G:G)</f>
        <v>100</v>
      </c>
      <c r="K78" s="208" t="str">
        <f t="array" ref="K78">_xlfn.XLOOKUP(E78, 'DESCONTINUADA Rede Credenciada'!B:B, 'DESCONTINUADA Rede Credenciada'!F:F)</f>
        <v/>
      </c>
      <c r="L78" s="208" t="str">
        <f t="array" ref="L78">_xlfn.XLOOKUP(E78, 'DESCONTINUADA Rede Credenciada'!B:B, 'DESCONTINUADA Rede Credenciada'!H:H)</f>
        <v>Enfermaria (Traumatologia-Ortopedia); UTI Pediátrica SRAG; Enfermaria Adulto SRAG; Programa Cuida PE; UTI Pediátrica</v>
      </c>
      <c r="M78" s="208"/>
      <c r="N78" s="358"/>
      <c r="O78" s="358"/>
      <c r="P78" s="208"/>
      <c r="Q78" s="208"/>
      <c r="R78" s="208"/>
      <c r="S78" s="208"/>
      <c r="T78" s="208"/>
      <c r="U78" s="208"/>
      <c r="V78" s="208"/>
      <c r="W78" s="208"/>
      <c r="X78" s="357"/>
      <c r="Y78" s="361"/>
      <c r="Z78" s="219"/>
    </row>
    <row r="79" ht="137.25" customHeight="1">
      <c r="A79" s="53">
        <v>2611606.0</v>
      </c>
      <c r="B79" s="392" t="s">
        <v>96</v>
      </c>
      <c r="C79" s="311" t="s">
        <v>104</v>
      </c>
      <c r="D79" s="58"/>
      <c r="E79" s="405" t="s">
        <v>467</v>
      </c>
      <c r="F79" s="403" t="str">
        <f t="array" ref="F79">TEXTJOIN(CHAR(10), TRUE, 
  "*" &amp; E79 &amp; "*", 
 "Status: " &amp; _xlfn.XLOOKUP(E79, 'DESCONTINUADA Rede Credenciada'!B:B, 'DESCONTINUADA Rede Credenciada'!C:C, "Não encontrado"),
 "Localização: " &amp; _xlfn.XLOOKUP(E79, 'DESCONTINUADA Rede Credenciada'!B:B, 'DESCONTINUADA Rede Credenciada'!E:E, "Não encontrado"),
 "Número de leitos: " &amp; _xlfn.XLOOKUP(E79, 'DESCONTINUADA Rede Credenciada'!B:B, 'DESCONTINUADA Rede Credenciada'!F:F, "Não encontrado"),
 "Leitos abertos nesta gestão: " &amp; _xlfn.XLOOKUP(E79, 'DESCONTINUADA Rede Credenciada'!B:B, 'DESCONTINUADA Rede Credenciada'!G:G, "Não encontrado"),
 "Tipos de leitos abertos nesta gestão: " &amp; _xlfn.XLOOKUP(E79, 'DESCONTINUADA Rede Credenciada'!B:B, 'DESCONTINUADA Rede Credenciada'!H:H, "Não encontrado"),
)</f>
        <v>*Max Day Hospital Ltda.*
Status: EM FUNCIONAMENTO
Localização: Recife
Número de leitos: 
Leitos abertos nesta gestão: 20
Tipos de leitos abertos nesta gestão: Programa Cuida PE</v>
      </c>
      <c r="G79" s="44" t="s">
        <v>63</v>
      </c>
      <c r="H79" s="208"/>
      <c r="I79" s="58"/>
      <c r="J79" s="208">
        <f t="array" ref="J79">_xlfn.XLOOKUP(E79, 'DESCONTINUADA Rede Credenciada'!B:B, 'DESCONTINUADA Rede Credenciada'!G:G)</f>
        <v>20</v>
      </c>
      <c r="K79" s="208" t="str">
        <f t="array" ref="K79">_xlfn.XLOOKUP(E79, 'DESCONTINUADA Rede Credenciada'!B:B, 'DESCONTINUADA Rede Credenciada'!F:F)</f>
        <v/>
      </c>
      <c r="L79" s="208" t="str">
        <f t="array" ref="L79">_xlfn.XLOOKUP(E79, 'DESCONTINUADA Rede Credenciada'!B:B, 'DESCONTINUADA Rede Credenciada'!H:H)</f>
        <v>Programa Cuida PE</v>
      </c>
      <c r="M79" s="208"/>
      <c r="N79" s="358"/>
      <c r="O79" s="358"/>
      <c r="P79" s="208"/>
      <c r="Q79" s="208"/>
      <c r="R79" s="208"/>
      <c r="S79" s="208"/>
      <c r="T79" s="208"/>
      <c r="U79" s="208"/>
      <c r="V79" s="208"/>
      <c r="W79" s="208"/>
      <c r="X79" s="357"/>
      <c r="Y79" s="361"/>
      <c r="Z79" s="219"/>
    </row>
    <row r="80" ht="137.25" customHeight="1">
      <c r="A80" s="53">
        <v>2611606.0</v>
      </c>
      <c r="B80" s="392" t="s">
        <v>96</v>
      </c>
      <c r="C80" s="311" t="s">
        <v>104</v>
      </c>
      <c r="D80" s="58"/>
      <c r="E80" s="405" t="s">
        <v>468</v>
      </c>
      <c r="F80" s="403" t="str">
        <f t="array" ref="F80">TEXTJOIN(CHAR(10), TRUE, 
  "*" &amp; E80 &amp; "*", 
 "Status: " &amp; _xlfn.XLOOKUP(E80, 'DESCONTINUADA Rede Credenciada'!B:B, 'DESCONTINUADA Rede Credenciada'!C:C, "Não encontrado"),
 "Localização: " &amp; _xlfn.XLOOKUP(E80, 'DESCONTINUADA Rede Credenciada'!B:B, 'DESCONTINUADA Rede Credenciada'!E:E, "Não encontrado"),
 "Número de leitos: " &amp; _xlfn.XLOOKUP(E80, 'DESCONTINUADA Rede Credenciada'!B:B, 'DESCONTINUADA Rede Credenciada'!F:F, "Não encontrado"),
 "Leitos abertos nesta gestão: " &amp; _xlfn.XLOOKUP(E80, 'DESCONTINUADA Rede Credenciada'!B:B, 'DESCONTINUADA Rede Credenciada'!G:G, "Não encontrado"),
 "Tipos de leitos abertos nesta gestão: " &amp; _xlfn.XLOOKUP(E80, 'DESCONTINUADA Rede Credenciada'!B:B, 'DESCONTINUADA Rede Credenciada'!H:H, "Não encontrado"),
)</f>
        <v>*Sociedade Hospitalar Beneficente Maria Vitória*
Status: EM FUNCIONAMENTO
Localização: Recife
Número de leitos: 
Leitos abertos nesta gestão: 16
Tipos de leitos abertos nesta gestão: Programa Cuida PE; Leitos clínicos com suporte de hemodiálise</v>
      </c>
      <c r="G80" s="44" t="s">
        <v>63</v>
      </c>
      <c r="H80" s="208"/>
      <c r="I80" s="58"/>
      <c r="J80" s="208">
        <f t="array" ref="J80">_xlfn.XLOOKUP(E80, 'DESCONTINUADA Rede Credenciada'!B:B, 'DESCONTINUADA Rede Credenciada'!G:G)</f>
        <v>16</v>
      </c>
      <c r="K80" s="208" t="str">
        <f t="array" ref="K80">_xlfn.XLOOKUP(E80, 'DESCONTINUADA Rede Credenciada'!B:B, 'DESCONTINUADA Rede Credenciada'!F:F)</f>
        <v/>
      </c>
      <c r="L80" s="208" t="str">
        <f t="array" ref="L80">_xlfn.XLOOKUP(E80, 'DESCONTINUADA Rede Credenciada'!B:B, 'DESCONTINUADA Rede Credenciada'!H:H)</f>
        <v>Programa Cuida PE; Leitos clínicos com suporte de hemodiálise</v>
      </c>
      <c r="M80" s="208"/>
      <c r="N80" s="358"/>
      <c r="O80" s="358"/>
      <c r="P80" s="208"/>
      <c r="Q80" s="208"/>
      <c r="R80" s="208"/>
      <c r="S80" s="208"/>
      <c r="T80" s="208"/>
      <c r="U80" s="208"/>
      <c r="V80" s="208"/>
      <c r="W80" s="208"/>
      <c r="X80" s="357"/>
      <c r="Y80" s="361"/>
      <c r="Z80" s="219"/>
    </row>
    <row r="81" ht="137.25" customHeight="1">
      <c r="A81" s="53">
        <v>2611606.0</v>
      </c>
      <c r="B81" s="392" t="s">
        <v>96</v>
      </c>
      <c r="C81" s="311" t="s">
        <v>104</v>
      </c>
      <c r="D81" s="58"/>
      <c r="E81" s="405" t="s">
        <v>470</v>
      </c>
      <c r="F81" s="403" t="str">
        <f t="array" ref="F81">TEXTJOIN(CHAR(10), TRUE, 
  "*" &amp; E81 &amp; "*", 
 "Status: " &amp; _xlfn.XLOOKUP(E81, 'DESCONTINUADA Rede Credenciada'!B:B, 'DESCONTINUADA Rede Credenciada'!C:C, "Não encontrado"),
 "Localização: " &amp; _xlfn.XLOOKUP(E81, 'DESCONTINUADA Rede Credenciada'!B:B, 'DESCONTINUADA Rede Credenciada'!E:E, "Não encontrado"),
 "Número de leitos: " &amp; _xlfn.XLOOKUP(E81, 'DESCONTINUADA Rede Credenciada'!B:B, 'DESCONTINUADA Rede Credenciada'!F:F, "Não encontrado"),
 "Leitos abertos nesta gestão: " &amp; _xlfn.XLOOKUP(E81, 'DESCONTINUADA Rede Credenciada'!B:B, 'DESCONTINUADA Rede Credenciada'!G:G, "Não encontrado"),
 "Tipos de leitos abertos nesta gestão: " &amp; _xlfn.XLOOKUP(E81, 'DESCONTINUADA Rede Credenciada'!B:B, 'DESCONTINUADA Rede Credenciada'!H:H, "Não encontrado"),
)</f>
        <v>*Irmandade da Santa Casa de Misericórdia do Recife*
Status: EM FUNCIONAMENTO
Localização: Recife
Número de leitos: 
Leitos abertos nesta gestão: 29
Tipos de leitos abertos nesta gestão: Enfermaria (Traumatologia-Ortopedia); Programa Cuida PE</v>
      </c>
      <c r="G81" s="44" t="s">
        <v>63</v>
      </c>
      <c r="H81" s="208"/>
      <c r="I81" s="58"/>
      <c r="J81" s="208">
        <f t="array" ref="J81">_xlfn.XLOOKUP(E81, 'DESCONTINUADA Rede Credenciada'!B:B, 'DESCONTINUADA Rede Credenciada'!G:G)</f>
        <v>29</v>
      </c>
      <c r="K81" s="208" t="str">
        <f t="array" ref="K81">_xlfn.XLOOKUP(E81, 'DESCONTINUADA Rede Credenciada'!B:B, 'DESCONTINUADA Rede Credenciada'!F:F)</f>
        <v/>
      </c>
      <c r="L81" s="208" t="str">
        <f t="array" ref="L81">_xlfn.XLOOKUP(E81, 'DESCONTINUADA Rede Credenciada'!B:B, 'DESCONTINUADA Rede Credenciada'!H:H)</f>
        <v>Enfermaria (Traumatologia-Ortopedia); Programa Cuida PE</v>
      </c>
      <c r="M81" s="208"/>
      <c r="N81" s="358"/>
      <c r="O81" s="358"/>
      <c r="P81" s="208"/>
      <c r="Q81" s="208"/>
      <c r="R81" s="208"/>
      <c r="S81" s="208"/>
      <c r="T81" s="208"/>
      <c r="U81" s="208"/>
      <c r="V81" s="208"/>
      <c r="W81" s="208"/>
      <c r="X81" s="357"/>
      <c r="Y81" s="361"/>
      <c r="Z81" s="219"/>
    </row>
    <row r="82" ht="137.25" customHeight="1">
      <c r="A82" s="53">
        <v>2611606.0</v>
      </c>
      <c r="B82" s="392" t="s">
        <v>96</v>
      </c>
      <c r="C82" s="311" t="s">
        <v>104</v>
      </c>
      <c r="D82" s="58"/>
      <c r="E82" s="405" t="s">
        <v>472</v>
      </c>
      <c r="F82" s="403" t="str">
        <f t="array" ref="F82">TEXTJOIN(CHAR(10), TRUE, 
  "*" &amp; E82 &amp; "*", 
 "Status: " &amp; _xlfn.XLOOKUP(E82, 'DESCONTINUADA Rede Credenciada'!B:B, 'DESCONTINUADA Rede Credenciada'!C:C, "Não encontrado"),
 "Localização: " &amp; _xlfn.XLOOKUP(E82, 'DESCONTINUADA Rede Credenciada'!B:B, 'DESCONTINUADA Rede Credenciada'!E:E, "Não encontrado"),
 "Número de leitos: " &amp; _xlfn.XLOOKUP(E82, 'DESCONTINUADA Rede Credenciada'!B:B, 'DESCONTINUADA Rede Credenciada'!F:F, "Não encontrado"),
 "Leitos abertos nesta gestão: " &amp; _xlfn.XLOOKUP(E82, 'DESCONTINUADA Rede Credenciada'!B:B, 'DESCONTINUADA Rede Credenciada'!G:G, "Não encontrado"),
 "Tipos de leitos abertos nesta gestão: " &amp; _xlfn.XLOOKUP(E82, 'DESCONTINUADA Rede Credenciada'!B:B, 'DESCONTINUADA Rede Credenciada'!H:H, "Não encontrado"),
)</f>
        <v>*Instituto de Medicina Integral Prof. Fernando Figueira IMIP*
Status: EM FUNCIONAMENTO
Localização: Recife
Número de leitos: 
Leitos abertos nesta gestão: 20
Tipos de leitos abertos nesta gestão: Assistência Integral (Enfermaria Cirúrgica Pediátrica)</v>
      </c>
      <c r="G82" s="44" t="s">
        <v>63</v>
      </c>
      <c r="H82" s="208"/>
      <c r="I82" s="58"/>
      <c r="J82" s="208">
        <f t="array" ref="J82">_xlfn.XLOOKUP(E82, 'DESCONTINUADA Rede Credenciada'!B:B, 'DESCONTINUADA Rede Credenciada'!G:G)</f>
        <v>20</v>
      </c>
      <c r="K82" s="208" t="str">
        <f t="array" ref="K82">_xlfn.XLOOKUP(E82, 'DESCONTINUADA Rede Credenciada'!B:B, 'DESCONTINUADA Rede Credenciada'!F:F)</f>
        <v/>
      </c>
      <c r="L82" s="208" t="str">
        <f t="array" ref="L82">_xlfn.XLOOKUP(E82, 'DESCONTINUADA Rede Credenciada'!B:B, 'DESCONTINUADA Rede Credenciada'!H:H)</f>
        <v>Assistência Integral (Enfermaria Cirúrgica Pediátrica)</v>
      </c>
      <c r="M82" s="208"/>
      <c r="N82" s="358"/>
      <c r="O82" s="358"/>
      <c r="P82" s="208"/>
      <c r="Q82" s="208"/>
      <c r="R82" s="208"/>
      <c r="S82" s="208"/>
      <c r="T82" s="208"/>
      <c r="U82" s="208"/>
      <c r="V82" s="208"/>
      <c r="W82" s="208"/>
      <c r="X82" s="357"/>
      <c r="Y82" s="361"/>
      <c r="Z82" s="219"/>
    </row>
    <row r="83" ht="137.25" customHeight="1">
      <c r="A83" s="53">
        <v>2611606.0</v>
      </c>
      <c r="B83" s="392" t="s">
        <v>96</v>
      </c>
      <c r="C83" s="311" t="s">
        <v>104</v>
      </c>
      <c r="D83" s="58"/>
      <c r="E83" s="405" t="s">
        <v>474</v>
      </c>
      <c r="F83" s="403" t="str">
        <f t="array" ref="F83">TEXTJOIN(CHAR(10), TRUE, 
  "*" &amp; E83 &amp; "*", 
 "Status: " &amp; _xlfn.XLOOKUP(E83, 'DESCONTINUADA Rede Credenciada'!B:B, 'DESCONTINUADA Rede Credenciada'!C:C, "Não encontrado"),
 "Localização: " &amp; _xlfn.XLOOKUP(E83, 'DESCONTINUADA Rede Credenciada'!B:B, 'DESCONTINUADA Rede Credenciada'!E:E, "Não encontrado"),
 "Número de leitos: " &amp; _xlfn.XLOOKUP(E83, 'DESCONTINUADA Rede Credenciada'!B:B, 'DESCONTINUADA Rede Credenciada'!F:F, "Não encontrado"),
 "Leitos abertos nesta gestão: " &amp; _xlfn.XLOOKUP(E83, 'DESCONTINUADA Rede Credenciada'!B:B, 'DESCONTINUADA Rede Credenciada'!G:G, "Não encontrado"),
 "Tipos de leitos abertos nesta gestão: " &amp; _xlfn.XLOOKUP(E83, 'DESCONTINUADA Rede Credenciada'!B:B, 'DESCONTINUADA Rede Credenciada'!H:H, "Não encontrado"),
)</f>
        <v>*Real Hospital Português de Beneficência em Pernambuco*
Status: EM FUNCIONAMENTO
Localização: Recife
Número de leitos: 
Leitos abertos nesta gestão: 6
Tipos de leitos abertos nesta gestão: Cuida PE</v>
      </c>
      <c r="G83" s="44" t="s">
        <v>63</v>
      </c>
      <c r="H83" s="208"/>
      <c r="I83" s="58"/>
      <c r="J83" s="208">
        <f t="array" ref="J83">_xlfn.XLOOKUP(E83, 'DESCONTINUADA Rede Credenciada'!B:B, 'DESCONTINUADA Rede Credenciada'!G:G)</f>
        <v>6</v>
      </c>
      <c r="K83" s="208" t="str">
        <f t="array" ref="K83">_xlfn.XLOOKUP(E83, 'DESCONTINUADA Rede Credenciada'!B:B, 'DESCONTINUADA Rede Credenciada'!F:F)</f>
        <v/>
      </c>
      <c r="L83" s="208" t="str">
        <f t="array" ref="L83">_xlfn.XLOOKUP(E83, 'DESCONTINUADA Rede Credenciada'!B:B, 'DESCONTINUADA Rede Credenciada'!H:H)</f>
        <v>Cuida PE</v>
      </c>
      <c r="M83" s="208"/>
      <c r="N83" s="358"/>
      <c r="O83" s="358"/>
      <c r="P83" s="208"/>
      <c r="Q83" s="208"/>
      <c r="R83" s="208"/>
      <c r="S83" s="208"/>
      <c r="T83" s="208"/>
      <c r="U83" s="208"/>
      <c r="V83" s="208"/>
      <c r="W83" s="208"/>
      <c r="X83" s="357"/>
      <c r="Y83" s="361"/>
      <c r="Z83" s="219"/>
    </row>
    <row r="84" ht="137.25" customHeight="1">
      <c r="A84" s="77">
        <v>2609600.0</v>
      </c>
      <c r="B84" s="392" t="s">
        <v>412</v>
      </c>
      <c r="C84" s="311" t="s">
        <v>104</v>
      </c>
      <c r="D84" s="58"/>
      <c r="E84" s="405" t="s">
        <v>476</v>
      </c>
      <c r="F84" s="403" t="str">
        <f t="array" ref="F84">TEXTJOIN(CHAR(10), TRUE, 
  "*" &amp; E84 &amp; "*", 
 "Status: " &amp; _xlfn.XLOOKUP(E84, 'DESCONTINUADA Rede Credenciada'!B:B, 'DESCONTINUADA Rede Credenciada'!C:C, "Não encontrado"),
 "Localização: " &amp; _xlfn.XLOOKUP(E84, 'DESCONTINUADA Rede Credenciada'!B:B, 'DESCONTINUADA Rede Credenciada'!E:E, "Não encontrado"),
 "Número de leitos: " &amp; _xlfn.XLOOKUP(E84, 'DESCONTINUADA Rede Credenciada'!B:B, 'DESCONTINUADA Rede Credenciada'!F:F, "Não encontrado"),
 "Leitos abertos nesta gestão: " &amp; _xlfn.XLOOKUP(E84, 'DESCONTINUADA Rede Credenciada'!B:B, 'DESCONTINUADA Rede Credenciada'!G:G, "Não encontrado"),
 "Tipos de leitos abertos nesta gestão: " &amp; _xlfn.XLOOKUP(E84, 'DESCONTINUADA Rede Credenciada'!B:B, 'DESCONTINUADA Rede Credenciada'!H:H, "Não encontrado"),
)</f>
        <v>*Hospital do Tricentenário*
Status: EM FUNCIONAMENTO
Localização: Olinda
Número de leitos: 
Leitos abertos nesta gestão: 12
Tipos de leitos abertos nesta gestão: UTI Adulto; Neuroclínica Adulto</v>
      </c>
      <c r="G84" s="44" t="s">
        <v>63</v>
      </c>
      <c r="H84" s="208"/>
      <c r="I84" s="58"/>
      <c r="J84" s="208">
        <f t="array" ref="J84">_xlfn.XLOOKUP(E84, 'DESCONTINUADA Rede Credenciada'!B:B, 'DESCONTINUADA Rede Credenciada'!G:G)</f>
        <v>12</v>
      </c>
      <c r="K84" s="208" t="str">
        <f t="array" ref="K84">_xlfn.XLOOKUP(E84, 'DESCONTINUADA Rede Credenciada'!B:B, 'DESCONTINUADA Rede Credenciada'!F:F)</f>
        <v/>
      </c>
      <c r="L84" s="208" t="str">
        <f t="array" ref="L84">_xlfn.XLOOKUP(E84, 'DESCONTINUADA Rede Credenciada'!B:B, 'DESCONTINUADA Rede Credenciada'!H:H)</f>
        <v>UTI Adulto; Neuroclínica Adulto</v>
      </c>
      <c r="M84" s="208"/>
      <c r="N84" s="358"/>
      <c r="O84" s="358"/>
      <c r="P84" s="208"/>
      <c r="Q84" s="208"/>
      <c r="R84" s="208"/>
      <c r="S84" s="208"/>
      <c r="T84" s="208"/>
      <c r="U84" s="208"/>
      <c r="V84" s="208"/>
      <c r="W84" s="208"/>
      <c r="X84" s="357"/>
      <c r="Y84" s="361"/>
      <c r="Z84" s="219"/>
    </row>
    <row r="85" ht="137.25" customHeight="1">
      <c r="A85" s="77">
        <v>2616407.0</v>
      </c>
      <c r="B85" s="406" t="s">
        <v>417</v>
      </c>
      <c r="C85" s="311" t="s">
        <v>418</v>
      </c>
      <c r="D85" s="58"/>
      <c r="E85" s="405" t="s">
        <v>478</v>
      </c>
      <c r="F85" s="403" t="str">
        <f t="array" ref="F85">TEXTJOIN(CHAR(10), TRUE, 
  "*" &amp; E85 &amp; "*", 
 "Status: " &amp; _xlfn.XLOOKUP(E85, 'DESCONTINUADA Rede Credenciada'!B:B, 'DESCONTINUADA Rede Credenciada'!C:C, "Não encontrado"),
 "Localização: " &amp; _xlfn.XLOOKUP(E85, 'DESCONTINUADA Rede Credenciada'!B:B, 'DESCONTINUADA Rede Credenciada'!E:E, "Não encontrado"),
 "Número de leitos: " &amp; _xlfn.XLOOKUP(E85, 'DESCONTINUADA Rede Credenciada'!B:B, 'DESCONTINUADA Rede Credenciada'!F:F, "Não encontrado"),
 "Leitos abertos nesta gestão: " &amp; _xlfn.XLOOKUP(E85, 'DESCONTINUADA Rede Credenciada'!B:B, 'DESCONTINUADA Rede Credenciada'!G:G, "Não encontrado"),
 "Tipos de leitos abertos nesta gestão: " &amp; _xlfn.XLOOKUP(E85, 'DESCONTINUADA Rede Credenciada'!B:B, 'DESCONTINUADA Rede Credenciada'!H:H, "Não encontrado"),
)</f>
        <v>*Ass. Prot. Maternidade e a Infância da Vitória de Santo Antão - APAMI Vitória*
Status: EM FUNCIONAMENTO
Localização: Vitória de Santo Antão
Número de leitos: 
Leitos abertos nesta gestão: 94
Tipos de leitos abertos nesta gestão: Enfermaria (Traumatologia-Ortopedia); Neuroclínica Adulto; Cuida PE; Leitos de enfermaria cirúrgica vascular; Enfermaria Adulto SRAG</v>
      </c>
      <c r="G85" s="44" t="s">
        <v>63</v>
      </c>
      <c r="H85" s="208"/>
      <c r="I85" s="58"/>
      <c r="J85" s="208">
        <f t="array" ref="J85">_xlfn.XLOOKUP(E85, 'DESCONTINUADA Rede Credenciada'!B:B, 'DESCONTINUADA Rede Credenciada'!G:G)</f>
        <v>94</v>
      </c>
      <c r="K85" s="208" t="str">
        <f t="array" ref="K85">_xlfn.XLOOKUP(E85, 'DESCONTINUADA Rede Credenciada'!B:B, 'DESCONTINUADA Rede Credenciada'!F:F)</f>
        <v/>
      </c>
      <c r="L85" s="208" t="str">
        <f t="array" ref="L85">_xlfn.XLOOKUP(E85, 'DESCONTINUADA Rede Credenciada'!B:B, 'DESCONTINUADA Rede Credenciada'!H:H)</f>
        <v>Enfermaria (Traumatologia-Ortopedia); Neuroclínica Adulto; Cuida PE; Leitos de enfermaria cirúrgica vascular; Enfermaria Adulto SRAG</v>
      </c>
      <c r="M85" s="208"/>
      <c r="N85" s="358"/>
      <c r="O85" s="358"/>
      <c r="P85" s="208"/>
      <c r="Q85" s="208"/>
      <c r="R85" s="208"/>
      <c r="S85" s="208"/>
      <c r="T85" s="208"/>
      <c r="U85" s="208"/>
      <c r="V85" s="208"/>
      <c r="W85" s="208"/>
      <c r="X85" s="357"/>
      <c r="Y85" s="361"/>
      <c r="Z85" s="219"/>
    </row>
    <row r="86" ht="137.25" customHeight="1">
      <c r="A86" s="77">
        <v>2616407.0</v>
      </c>
      <c r="B86" s="406" t="s">
        <v>417</v>
      </c>
      <c r="C86" s="311" t="s">
        <v>418</v>
      </c>
      <c r="D86" s="58"/>
      <c r="E86" s="405" t="s">
        <v>480</v>
      </c>
      <c r="F86" s="403" t="str">
        <f t="array" ref="F86">TEXTJOIN(CHAR(10), TRUE, 
  "*" &amp; E86 &amp; "*", 
 "Status: " &amp; _xlfn.XLOOKUP(E86, 'DESCONTINUADA Rede Credenciada'!B:B, 'DESCONTINUADA Rede Credenciada'!C:C, "Não encontrado"),
 "Localização: " &amp; _xlfn.XLOOKUP(E86, 'DESCONTINUADA Rede Credenciada'!B:B, 'DESCONTINUADA Rede Credenciada'!E:E, "Não encontrado"),
 "Número de leitos: " &amp; _xlfn.XLOOKUP(E86, 'DESCONTINUADA Rede Credenciada'!B:B, 'DESCONTINUADA Rede Credenciada'!F:F, "Não encontrado"),
 "Leitos abertos nesta gestão: " &amp; _xlfn.XLOOKUP(E86, 'DESCONTINUADA Rede Credenciada'!B:B, 'DESCONTINUADA Rede Credenciada'!G:G, "Não encontrado"),
 "Tipos de leitos abertos nesta gestão: " &amp; _xlfn.XLOOKUP(E86, 'DESCONTINUADA Rede Credenciada'!B:B, 'DESCONTINUADA Rede Credenciada'!H:H, "Não encontrado"),
)</f>
        <v>*Centro Hospitalar Santa Maria*
Status: EM FUNCIONAMENTO
Localização: Vitória de Santo Antão
Número de leitos: 
Leitos abertos nesta gestão: 14
Tipos de leitos abertos nesta gestão: Enfermaria Pediátrica SRAG; Cuida PE</v>
      </c>
      <c r="G86" s="44" t="s">
        <v>63</v>
      </c>
      <c r="H86" s="208"/>
      <c r="I86" s="58"/>
      <c r="J86" s="208">
        <f t="array" ref="J86">_xlfn.XLOOKUP(E86, 'DESCONTINUADA Rede Credenciada'!B:B, 'DESCONTINUADA Rede Credenciada'!G:G)</f>
        <v>14</v>
      </c>
      <c r="K86" s="208" t="str">
        <f t="array" ref="K86">_xlfn.XLOOKUP(E86, 'DESCONTINUADA Rede Credenciada'!B:B, 'DESCONTINUADA Rede Credenciada'!F:F)</f>
        <v/>
      </c>
      <c r="L86" s="208" t="str">
        <f t="array" ref="L86">_xlfn.XLOOKUP(E86, 'DESCONTINUADA Rede Credenciada'!B:B, 'DESCONTINUADA Rede Credenciada'!H:H)</f>
        <v>Enfermaria Pediátrica SRAG; Cuida PE</v>
      </c>
      <c r="M86" s="208"/>
      <c r="N86" s="358"/>
      <c r="O86" s="358"/>
      <c r="P86" s="208"/>
      <c r="Q86" s="208"/>
      <c r="R86" s="208"/>
      <c r="S86" s="208"/>
      <c r="T86" s="208"/>
      <c r="U86" s="208"/>
      <c r="V86" s="208"/>
      <c r="W86" s="208"/>
      <c r="X86" s="357"/>
      <c r="Y86" s="361"/>
      <c r="Z86" s="219"/>
    </row>
    <row r="87" ht="137.25" customHeight="1">
      <c r="A87" s="77">
        <v>2608909.0</v>
      </c>
      <c r="B87" s="392" t="s">
        <v>436</v>
      </c>
      <c r="C87" s="311" t="s">
        <v>437</v>
      </c>
      <c r="D87" s="58"/>
      <c r="E87" s="405" t="s">
        <v>482</v>
      </c>
      <c r="F87" s="403" t="str">
        <f t="array" ref="F87">TEXTJOIN(CHAR(10), TRUE, 
  "*" &amp; E87 &amp; "*", 
 "Status: " &amp; _xlfn.XLOOKUP(E87, 'DESCONTINUADA Rede Credenciada'!B:B, 'DESCONTINUADA Rede Credenciada'!C:C, "Não encontrado"),
 "Localização: " &amp; _xlfn.XLOOKUP(E87, 'DESCONTINUADA Rede Credenciada'!B:B, 'DESCONTINUADA Rede Credenciada'!E:E, "Não encontrado"),
 "Número de leitos: " &amp; _xlfn.XLOOKUP(E87, 'DESCONTINUADA Rede Credenciada'!B:B, 'DESCONTINUADA Rede Credenciada'!F:F, "Não encontrado"),
 "Leitos abertos nesta gestão: " &amp; _xlfn.XLOOKUP(E87, 'DESCONTINUADA Rede Credenciada'!B:B, 'DESCONTINUADA Rede Credenciada'!G:G, "Não encontrado"),
 "Tipos de leitos abertos nesta gestão: " &amp; _xlfn.XLOOKUP(E87, 'DESCONTINUADA Rede Credenciada'!B:B, 'DESCONTINUADA Rede Credenciada'!H:H, "Não encontrado"),
)</f>
        <v>*Instituto Vale do Capibaribe de Inovações em Educação e Saúde*
Status: EM FUNCIONAMENTO
Localização: Limoeiro
Número de leitos: 
Leitos abertos nesta gestão: 10
Tipos de leitos abertos nesta gestão: UTI Adulto SRAG</v>
      </c>
      <c r="G87" s="44" t="s">
        <v>63</v>
      </c>
      <c r="H87" s="208"/>
      <c r="I87" s="58"/>
      <c r="J87" s="208">
        <f t="array" ref="J87">_xlfn.XLOOKUP(E87, 'DESCONTINUADA Rede Credenciada'!B:B, 'DESCONTINUADA Rede Credenciada'!G:G)</f>
        <v>10</v>
      </c>
      <c r="K87" s="208" t="str">
        <f t="array" ref="K87">_xlfn.XLOOKUP(E87, 'DESCONTINUADA Rede Credenciada'!B:B, 'DESCONTINUADA Rede Credenciada'!F:F)</f>
        <v/>
      </c>
      <c r="L87" s="208" t="str">
        <f t="array" ref="L87">_xlfn.XLOOKUP(E87, 'DESCONTINUADA Rede Credenciada'!B:B, 'DESCONTINUADA Rede Credenciada'!H:H)</f>
        <v>UTI Adulto SRAG</v>
      </c>
      <c r="M87" s="208"/>
      <c r="N87" s="358"/>
      <c r="O87" s="358"/>
      <c r="P87" s="208"/>
      <c r="Q87" s="208"/>
      <c r="R87" s="208"/>
      <c r="S87" s="208"/>
      <c r="T87" s="208"/>
      <c r="U87" s="208"/>
      <c r="V87" s="208"/>
      <c r="W87" s="208"/>
      <c r="X87" s="357"/>
      <c r="Y87" s="361"/>
      <c r="Z87" s="219"/>
    </row>
    <row r="88" ht="137.25" customHeight="1">
      <c r="A88" s="77">
        <v>2614501.0</v>
      </c>
      <c r="B88" s="392" t="s">
        <v>485</v>
      </c>
      <c r="C88" s="311" t="s">
        <v>437</v>
      </c>
      <c r="D88" s="58"/>
      <c r="E88" s="405" t="s">
        <v>484</v>
      </c>
      <c r="F88" s="403" t="str">
        <f t="array" ref="F88">TEXTJOIN(CHAR(10), TRUE, 
  "*" &amp; E88 &amp; "*", 
 "Status: " &amp; _xlfn.XLOOKUP(E88, 'DESCONTINUADA Rede Credenciada'!B:B, 'DESCONTINUADA Rede Credenciada'!C:C, "Não encontrado"),
 "Localização: " &amp; _xlfn.XLOOKUP(E88, 'DESCONTINUADA Rede Credenciada'!B:B, 'DESCONTINUADA Rede Credenciada'!E:E, "Não encontrado"),
 "Número de leitos: " &amp; _xlfn.XLOOKUP(E88, 'DESCONTINUADA Rede Credenciada'!B:B, 'DESCONTINUADA Rede Credenciada'!F:F, "Não encontrado"),
 "Leitos abertos nesta gestão: " &amp; _xlfn.XLOOKUP(E88, 'DESCONTINUADA Rede Credenciada'!B:B, 'DESCONTINUADA Rede Credenciada'!G:G, "Não encontrado"),
 "Tipos de leitos abertos nesta gestão: " &amp; _xlfn.XLOOKUP(E88, 'DESCONTINUADA Rede Credenciada'!B:B, 'DESCONTINUADA Rede Credenciada'!H:H, "Não encontrado"),
)</f>
        <v>*Associação de Proteção a Maternidade e a Infância de Surubim*
Status: EM FUNCIONAMENTO
Localização: Surubim
Número de leitos: 
Leitos abertos nesta gestão: 10
Tipos de leitos abertos nesta gestão: Cuida PE</v>
      </c>
      <c r="G88" s="44" t="s">
        <v>63</v>
      </c>
      <c r="H88" s="208"/>
      <c r="I88" s="58"/>
      <c r="J88" s="208">
        <f t="array" ref="J88">_xlfn.XLOOKUP(E88, 'DESCONTINUADA Rede Credenciada'!B:B, 'DESCONTINUADA Rede Credenciada'!G:G)</f>
        <v>10</v>
      </c>
      <c r="K88" s="208" t="str">
        <f t="array" ref="K88">_xlfn.XLOOKUP(E88, 'DESCONTINUADA Rede Credenciada'!B:B, 'DESCONTINUADA Rede Credenciada'!F:F)</f>
        <v/>
      </c>
      <c r="L88" s="208" t="str">
        <f t="array" ref="L88">_xlfn.XLOOKUP(E88, 'DESCONTINUADA Rede Credenciada'!B:B, 'DESCONTINUADA Rede Credenciada'!H:H)</f>
        <v>Cuida PE</v>
      </c>
      <c r="M88" s="208"/>
      <c r="N88" s="358"/>
      <c r="O88" s="358"/>
      <c r="P88" s="208"/>
      <c r="Q88" s="208"/>
      <c r="R88" s="208"/>
      <c r="S88" s="208"/>
      <c r="T88" s="208"/>
      <c r="U88" s="208"/>
      <c r="V88" s="208"/>
      <c r="W88" s="208"/>
      <c r="X88" s="357"/>
      <c r="Y88" s="361"/>
      <c r="Z88" s="219"/>
    </row>
    <row r="89" ht="137.25" customHeight="1">
      <c r="A89" s="77">
        <v>2610004.0</v>
      </c>
      <c r="B89" s="392" t="s">
        <v>419</v>
      </c>
      <c r="C89" s="311" t="s">
        <v>418</v>
      </c>
      <c r="D89" s="58"/>
      <c r="E89" s="405" t="s">
        <v>486</v>
      </c>
      <c r="F89" s="403" t="str">
        <f t="array" ref="F89">TEXTJOIN(CHAR(10), TRUE, 
  "*" &amp; E89 &amp; "*", 
 "Status: " &amp; _xlfn.XLOOKUP(E89, 'DESCONTINUADA Rede Credenciada'!B:B, 'DESCONTINUADA Rede Credenciada'!C:C, "Não encontrado"),
 "Localização: " &amp; _xlfn.XLOOKUP(E89, 'DESCONTINUADA Rede Credenciada'!B:B, 'DESCONTINUADA Rede Credenciada'!E:E, "Não encontrado"),
 "Número de leitos: " &amp; _xlfn.XLOOKUP(E89, 'DESCONTINUADA Rede Credenciada'!B:B, 'DESCONTINUADA Rede Credenciada'!F:F, "Não encontrado"),
 "Leitos abertos nesta gestão: " &amp; _xlfn.XLOOKUP(E89, 'DESCONTINUADA Rede Credenciada'!B:B, 'DESCONTINUADA Rede Credenciada'!G:G, "Não encontrado"),
 "Tipos de leitos abertos nesta gestão: " &amp; _xlfn.XLOOKUP(E89, 'DESCONTINUADA Rede Credenciada'!B:B, 'DESCONTINUADA Rede Credenciada'!H:H, "Não encontrado"),
)</f>
        <v>*Instituto Assistência Vale do Una*
Status: EM FUNCIONAMENTO
Localização: Palmares
Número de leitos: 
Leitos abertos nesta gestão: 33
Tipos de leitos abertos nesta gestão: Cuida PE; Leitos de Enfermaria Cirúrgica Vascular; UTI Pediátrica SRAG</v>
      </c>
      <c r="G89" s="44" t="s">
        <v>63</v>
      </c>
      <c r="H89" s="208"/>
      <c r="I89" s="58"/>
      <c r="J89" s="208">
        <f t="array" ref="J89">_xlfn.XLOOKUP(E89, 'DESCONTINUADA Rede Credenciada'!B:B, 'DESCONTINUADA Rede Credenciada'!G:G)</f>
        <v>33</v>
      </c>
      <c r="K89" s="208" t="str">
        <f t="array" ref="K89">_xlfn.XLOOKUP(E89, 'DESCONTINUADA Rede Credenciada'!B:B, 'DESCONTINUADA Rede Credenciada'!F:F)</f>
        <v/>
      </c>
      <c r="L89" s="208" t="str">
        <f t="array" ref="L89">_xlfn.XLOOKUP(E89, 'DESCONTINUADA Rede Credenciada'!B:B, 'DESCONTINUADA Rede Credenciada'!H:H)</f>
        <v>Cuida PE; Leitos de Enfermaria Cirúrgica Vascular; UTI Pediátrica SRAG</v>
      </c>
      <c r="M89" s="208"/>
      <c r="N89" s="358"/>
      <c r="O89" s="358"/>
      <c r="P89" s="208"/>
      <c r="Q89" s="208"/>
      <c r="R89" s="208"/>
      <c r="S89" s="208"/>
      <c r="T89" s="208"/>
      <c r="U89" s="208"/>
      <c r="V89" s="208"/>
      <c r="W89" s="208"/>
      <c r="X89" s="357"/>
      <c r="Y89" s="361"/>
      <c r="Z89" s="219"/>
    </row>
    <row r="90" ht="137.25" customHeight="1">
      <c r="A90" s="77">
        <v>2605202.0</v>
      </c>
      <c r="B90" s="392" t="s">
        <v>454</v>
      </c>
      <c r="C90" s="311" t="s">
        <v>418</v>
      </c>
      <c r="D90" s="58"/>
      <c r="E90" s="405" t="s">
        <v>488</v>
      </c>
      <c r="F90" s="403" t="str">
        <f t="array" ref="F90">TEXTJOIN(CHAR(10), TRUE, 
  "*" &amp; E90 &amp; "*", 
 "Status: " &amp; _xlfn.XLOOKUP(E90, 'DESCONTINUADA Rede Credenciada'!B:B, 'DESCONTINUADA Rede Credenciada'!C:C, "Não encontrado"),
 "Localização: " &amp; _xlfn.XLOOKUP(E90, 'DESCONTINUADA Rede Credenciada'!B:B, 'DESCONTINUADA Rede Credenciada'!E:E, "Não encontrado"),
 "Número de leitos: " &amp; _xlfn.XLOOKUP(E90, 'DESCONTINUADA Rede Credenciada'!B:B, 'DESCONTINUADA Rede Credenciada'!F:F, "Não encontrado"),
 "Leitos abertos nesta gestão: " &amp; _xlfn.XLOOKUP(E90, 'DESCONTINUADA Rede Credenciada'!B:B, 'DESCONTINUADA Rede Credenciada'!G:G, "Não encontrado"),
 "Tipos de leitos abertos nesta gestão: " &amp; _xlfn.XLOOKUP(E90, 'DESCONTINUADA Rede Credenciada'!B:B, 'DESCONTINUADA Rede Credenciada'!H:H, "Não encontrado"),
)</f>
        <v>*Instituto Esperança de Beneficência em Saúde de Pernambuco*
Status: EM FUNCIONAMENTO
Localização: Escada
Número de leitos: 
Leitos abertos nesta gestão: 48
Tipos de leitos abertos nesta gestão: Enfermaria Adulto SRAG; Cuida PE</v>
      </c>
      <c r="G90" s="44" t="s">
        <v>63</v>
      </c>
      <c r="H90" s="208"/>
      <c r="I90" s="58"/>
      <c r="J90" s="208">
        <f t="array" ref="J90">_xlfn.XLOOKUP(E90, 'DESCONTINUADA Rede Credenciada'!B:B, 'DESCONTINUADA Rede Credenciada'!G:G)</f>
        <v>48</v>
      </c>
      <c r="K90" s="208" t="str">
        <f t="array" ref="K90">_xlfn.XLOOKUP(E90, 'DESCONTINUADA Rede Credenciada'!B:B, 'DESCONTINUADA Rede Credenciada'!F:F)</f>
        <v/>
      </c>
      <c r="L90" s="208" t="str">
        <f t="array" ref="L90">_xlfn.XLOOKUP(E90, 'DESCONTINUADA Rede Credenciada'!B:B, 'DESCONTINUADA Rede Credenciada'!H:H)</f>
        <v>Enfermaria Adulto SRAG; Cuida PE</v>
      </c>
      <c r="M90" s="208"/>
      <c r="N90" s="358"/>
      <c r="O90" s="358"/>
      <c r="P90" s="208"/>
      <c r="Q90" s="208"/>
      <c r="R90" s="208"/>
      <c r="S90" s="208"/>
      <c r="T90" s="208"/>
      <c r="U90" s="208"/>
      <c r="V90" s="208"/>
      <c r="W90" s="208"/>
      <c r="X90" s="357"/>
      <c r="Y90" s="361"/>
      <c r="Z90" s="219"/>
    </row>
    <row r="91" ht="137.25" customHeight="1">
      <c r="A91" s="77">
        <v>2606200.0</v>
      </c>
      <c r="B91" s="392" t="s">
        <v>414</v>
      </c>
      <c r="C91" s="311" t="s">
        <v>415</v>
      </c>
      <c r="D91" s="58"/>
      <c r="E91" s="405" t="s">
        <v>490</v>
      </c>
      <c r="F91" s="403" t="str">
        <f t="array" ref="F91">TEXTJOIN(CHAR(10), TRUE, 
  "*" &amp; E91 &amp; "*", 
 "Status: " &amp; _xlfn.XLOOKUP(E91, 'DESCONTINUADA Rede Credenciada'!B:B, 'DESCONTINUADA Rede Credenciada'!C:C, "Não encontrado"),
 "Localização: " &amp; _xlfn.XLOOKUP(E91, 'DESCONTINUADA Rede Credenciada'!B:B, 'DESCONTINUADA Rede Credenciada'!E:E, "Não encontrado"),
 "Número de leitos: " &amp; _xlfn.XLOOKUP(E91, 'DESCONTINUADA Rede Credenciada'!B:B, 'DESCONTINUADA Rede Credenciada'!F:F, "Não encontrado"),
 "Leitos abertos nesta gestão: " &amp; _xlfn.XLOOKUP(E91, 'DESCONTINUADA Rede Credenciada'!B:B, 'DESCONTINUADA Rede Credenciada'!G:G, "Não encontrado"),
 "Tipos de leitos abertos nesta gestão: " &amp; _xlfn.XLOOKUP(E91, 'DESCONTINUADA Rede Credenciada'!B:B, 'DESCONTINUADA Rede Credenciada'!H:H, "Não encontrado"),
)</f>
        <v>*Memorial Hospital de Goiana Ltda.*
Status: EM FUNCIONAMENTO
Localização: Goiana
Número de leitos: 
Leitos abertos nesta gestão: 23
Tipos de leitos abertos nesta gestão: Enfermaria Adulto SRAG; Enfermaria Pediátrica SRAG; UTI Pediátrica; UTI Pediátrica SRAG</v>
      </c>
      <c r="G91" s="44" t="s">
        <v>63</v>
      </c>
      <c r="H91" s="208"/>
      <c r="I91" s="58"/>
      <c r="J91" s="208">
        <f t="array" ref="J91">_xlfn.XLOOKUP(E91, 'DESCONTINUADA Rede Credenciada'!B:B, 'DESCONTINUADA Rede Credenciada'!G:G)</f>
        <v>23</v>
      </c>
      <c r="K91" s="208" t="str">
        <f t="array" ref="K91">_xlfn.XLOOKUP(E91, 'DESCONTINUADA Rede Credenciada'!B:B, 'DESCONTINUADA Rede Credenciada'!F:F)</f>
        <v/>
      </c>
      <c r="L91" s="208" t="str">
        <f t="array" ref="L91">_xlfn.XLOOKUP(E91, 'DESCONTINUADA Rede Credenciada'!B:B, 'DESCONTINUADA Rede Credenciada'!H:H)</f>
        <v>Enfermaria Adulto SRAG; Enfermaria Pediátrica SRAG; UTI Pediátrica; UTI Pediátrica SRAG</v>
      </c>
      <c r="M91" s="208"/>
      <c r="N91" s="358"/>
      <c r="O91" s="358"/>
      <c r="P91" s="208"/>
      <c r="Q91" s="208"/>
      <c r="R91" s="208"/>
      <c r="S91" s="208"/>
      <c r="T91" s="208"/>
      <c r="U91" s="208"/>
      <c r="V91" s="208"/>
      <c r="W91" s="208"/>
      <c r="X91" s="357"/>
      <c r="Y91" s="361"/>
      <c r="Z91" s="219"/>
    </row>
    <row r="92" ht="137.25" customHeight="1">
      <c r="A92" s="77">
        <v>2604106.0</v>
      </c>
      <c r="B92" s="392" t="s">
        <v>315</v>
      </c>
      <c r="C92" s="311" t="s">
        <v>317</v>
      </c>
      <c r="D92" s="58"/>
      <c r="E92" s="405" t="s">
        <v>492</v>
      </c>
      <c r="F92" s="403" t="str">
        <f t="array" ref="F92">TEXTJOIN(CHAR(10), TRUE, 
  "*" &amp; E92 &amp; "*", 
 "Status: " &amp; _xlfn.XLOOKUP(E92, 'DESCONTINUADA Rede Credenciada'!B:B, 'DESCONTINUADA Rede Credenciada'!C:C, "Não encontrado"),
 "Localização: " &amp; _xlfn.XLOOKUP(E92, 'DESCONTINUADA Rede Credenciada'!B:B, 'DESCONTINUADA Rede Credenciada'!E:E, "Não encontrado"),
 "Número de leitos: " &amp; _xlfn.XLOOKUP(E92, 'DESCONTINUADA Rede Credenciada'!B:B, 'DESCONTINUADA Rede Credenciada'!F:F, "Não encontrado"),
 "Leitos abertos nesta gestão: " &amp; _xlfn.XLOOKUP(E92, 'DESCONTINUADA Rede Credenciada'!B:B, 'DESCONTINUADA Rede Credenciada'!G:G, "Não encontrado"),
 "Tipos de leitos abertos nesta gestão: " &amp; _xlfn.XLOOKUP(E92, 'DESCONTINUADA Rede Credenciada'!B:B, 'DESCONTINUADA Rede Credenciada'!H:H, "Não encontrado"),
)</f>
        <v>*Hospital Memorial de Pernambuco*
Status: EM FUNCIONAMENTO
Localização: Caruaru
Número de leitos: 
Leitos abertos nesta gestão: 79
Tipos de leitos abertos nesta gestão: Enfermaria Adulto SRAG; UTI Adulto SRAG; Neuroclínica Adulto</v>
      </c>
      <c r="G92" s="44" t="s">
        <v>63</v>
      </c>
      <c r="H92" s="208"/>
      <c r="I92" s="58"/>
      <c r="J92" s="208">
        <f t="array" ref="J92">_xlfn.XLOOKUP(E92, 'DESCONTINUADA Rede Credenciada'!B:B, 'DESCONTINUADA Rede Credenciada'!G:G)</f>
        <v>79</v>
      </c>
      <c r="K92" s="208" t="str">
        <f t="array" ref="K92">_xlfn.XLOOKUP(E92, 'DESCONTINUADA Rede Credenciada'!B:B, 'DESCONTINUADA Rede Credenciada'!F:F)</f>
        <v/>
      </c>
      <c r="L92" s="208" t="str">
        <f t="array" ref="L92">_xlfn.XLOOKUP(E92, 'DESCONTINUADA Rede Credenciada'!B:B, 'DESCONTINUADA Rede Credenciada'!H:H)</f>
        <v>Enfermaria Adulto SRAG; UTI Adulto SRAG; Neuroclínica Adulto</v>
      </c>
      <c r="M92" s="208"/>
      <c r="N92" s="358"/>
      <c r="O92" s="358"/>
      <c r="P92" s="208"/>
      <c r="Q92" s="208"/>
      <c r="R92" s="208"/>
      <c r="S92" s="208"/>
      <c r="T92" s="208"/>
      <c r="U92" s="208"/>
      <c r="V92" s="208"/>
      <c r="W92" s="208"/>
      <c r="X92" s="357"/>
      <c r="Y92" s="361"/>
      <c r="Z92" s="219"/>
    </row>
    <row r="93" ht="137.25" customHeight="1">
      <c r="A93" s="77">
        <v>2604106.0</v>
      </c>
      <c r="B93" s="392" t="s">
        <v>315</v>
      </c>
      <c r="C93" s="311" t="s">
        <v>317</v>
      </c>
      <c r="D93" s="58"/>
      <c r="E93" s="405" t="s">
        <v>494</v>
      </c>
      <c r="F93" s="403" t="str">
        <f t="array" ref="F93">TEXTJOIN(CHAR(10), TRUE, 
  "*" &amp; E93 &amp; "*", 
 "Status: " &amp; _xlfn.XLOOKUP(E93, 'DESCONTINUADA Rede Credenciada'!B:B, 'DESCONTINUADA Rede Credenciada'!C:C, "Não encontrado"),
 "Localização: " &amp; _xlfn.XLOOKUP(E93, 'DESCONTINUADA Rede Credenciada'!B:B, 'DESCONTINUADA Rede Credenciada'!E:E, "Não encontrado"),
 "Número de leitos: " &amp; _xlfn.XLOOKUP(E93, 'DESCONTINUADA Rede Credenciada'!B:B, 'DESCONTINUADA Rede Credenciada'!F:F, "Não encontrado"),
 "Leitos abertos nesta gestão: " &amp; _xlfn.XLOOKUP(E93, 'DESCONTINUADA Rede Credenciada'!B:B, 'DESCONTINUADA Rede Credenciada'!G:G, "Não encontrado"),
 "Tipos de leitos abertos nesta gestão: " &amp; _xlfn.XLOOKUP(E93, 'DESCONTINUADA Rede Credenciada'!B:B, 'DESCONTINUADA Rede Credenciada'!H:H, "Não encontrado"),
)</f>
        <v>*Intensiva Day Hospital Ltda.*
Status: EM FUNCIONAMENTO
Localização: Caruaru
Número de leitos: 
Leitos abertos nesta gestão: 5
Tipos de leitos abertos nesta gestão: Cuida PE</v>
      </c>
      <c r="G93" s="44" t="s">
        <v>63</v>
      </c>
      <c r="H93" s="208"/>
      <c r="I93" s="58"/>
      <c r="J93" s="208">
        <f t="array" ref="J93">_xlfn.XLOOKUP(E93, 'DESCONTINUADA Rede Credenciada'!B:B, 'DESCONTINUADA Rede Credenciada'!G:G)</f>
        <v>5</v>
      </c>
      <c r="K93" s="208" t="str">
        <f t="array" ref="K93">_xlfn.XLOOKUP(E93, 'DESCONTINUADA Rede Credenciada'!B:B, 'DESCONTINUADA Rede Credenciada'!F:F)</f>
        <v/>
      </c>
      <c r="L93" s="208" t="str">
        <f t="array" ref="L93">_xlfn.XLOOKUP(E93, 'DESCONTINUADA Rede Credenciada'!B:B, 'DESCONTINUADA Rede Credenciada'!H:H)</f>
        <v>Cuida PE</v>
      </c>
      <c r="M93" s="208"/>
      <c r="N93" s="358"/>
      <c r="O93" s="358"/>
      <c r="P93" s="208"/>
      <c r="Q93" s="208"/>
      <c r="R93" s="208"/>
      <c r="S93" s="208"/>
      <c r="T93" s="208"/>
      <c r="U93" s="208"/>
      <c r="V93" s="208"/>
      <c r="W93" s="208"/>
      <c r="X93" s="357"/>
      <c r="Y93" s="361"/>
      <c r="Z93" s="219"/>
    </row>
    <row r="94" ht="137.25" customHeight="1">
      <c r="A94" s="77">
        <v>2604106.0</v>
      </c>
      <c r="B94" s="392" t="s">
        <v>315</v>
      </c>
      <c r="C94" s="311" t="s">
        <v>317</v>
      </c>
      <c r="D94" s="58"/>
      <c r="E94" s="405" t="s">
        <v>492</v>
      </c>
      <c r="F94" s="403" t="str">
        <f t="array" ref="F94">TEXTJOIN(CHAR(10), TRUE, 
  "*" &amp; E94 &amp; "*", 
 "Status: " &amp; _xlfn.XLOOKUP(E94, 'DESCONTINUADA Rede Credenciada'!B:B, 'DESCONTINUADA Rede Credenciada'!C:C, "Não encontrado"),
 "Localização: " &amp; _xlfn.XLOOKUP(E94, 'DESCONTINUADA Rede Credenciada'!B:B, 'DESCONTINUADA Rede Credenciada'!E:E, "Não encontrado"),
 "Número de leitos: " &amp; _xlfn.XLOOKUP(E94, 'DESCONTINUADA Rede Credenciada'!B:B, 'DESCONTINUADA Rede Credenciada'!F:F, "Não encontrado"),
 "Leitos abertos nesta gestão: " &amp; _xlfn.XLOOKUP(E94, 'DESCONTINUADA Rede Credenciada'!B:B, 'DESCONTINUADA Rede Credenciada'!G:G, "Não encontrado"),
 "Tipos de leitos abertos nesta gestão: " &amp; _xlfn.XLOOKUP(E94, 'DESCONTINUADA Rede Credenciada'!B:B, 'DESCONTINUADA Rede Credenciada'!H:H, "Não encontrado"),
)</f>
        <v>*Hospital Memorial de Pernambuco*
Status: EM FUNCIONAMENTO
Localização: Caruaru
Número de leitos: 
Leitos abertos nesta gestão: 79
Tipos de leitos abertos nesta gestão: Enfermaria Adulto SRAG; UTI Adulto SRAG; Neuroclínica Adulto</v>
      </c>
      <c r="G94" s="44" t="s">
        <v>63</v>
      </c>
      <c r="H94" s="208"/>
      <c r="I94" s="58"/>
      <c r="J94" s="208">
        <f t="array" ref="J94">_xlfn.XLOOKUP(E94, 'DESCONTINUADA Rede Credenciada'!B:B, 'DESCONTINUADA Rede Credenciada'!G:G)</f>
        <v>79</v>
      </c>
      <c r="K94" s="208" t="str">
        <f t="array" ref="K94">_xlfn.XLOOKUP(E94, 'DESCONTINUADA Rede Credenciada'!B:B, 'DESCONTINUADA Rede Credenciada'!F:F)</f>
        <v/>
      </c>
      <c r="L94" s="208" t="str">
        <f t="array" ref="L94">_xlfn.XLOOKUP(E94, 'DESCONTINUADA Rede Credenciada'!B:B, 'DESCONTINUADA Rede Credenciada'!H:H)</f>
        <v>Enfermaria Adulto SRAG; UTI Adulto SRAG; Neuroclínica Adulto</v>
      </c>
      <c r="M94" s="208"/>
      <c r="N94" s="358"/>
      <c r="O94" s="358"/>
      <c r="P94" s="208"/>
      <c r="Q94" s="208"/>
      <c r="R94" s="208"/>
      <c r="S94" s="208"/>
      <c r="T94" s="208"/>
      <c r="U94" s="208"/>
      <c r="V94" s="208"/>
      <c r="W94" s="208"/>
      <c r="X94" s="357"/>
      <c r="Y94" s="361"/>
      <c r="Z94" s="219"/>
    </row>
    <row r="95" ht="137.25" customHeight="1">
      <c r="A95" s="77">
        <v>2604106.0</v>
      </c>
      <c r="B95" s="392" t="s">
        <v>315</v>
      </c>
      <c r="C95" s="311" t="s">
        <v>317</v>
      </c>
      <c r="D95" s="58"/>
      <c r="E95" s="405" t="s">
        <v>495</v>
      </c>
      <c r="F95" s="403" t="str">
        <f t="array" ref="F95">TEXTJOIN(CHAR(10), TRUE, 
  "*" &amp; E95 &amp; "*", 
 "Status: " &amp; _xlfn.XLOOKUP(E95, 'DESCONTINUADA Rede Credenciada'!B:B, 'DESCONTINUADA Rede Credenciada'!C:C, "Não encontrado"),
 "Localização: " &amp; _xlfn.XLOOKUP(E95, 'DESCONTINUADA Rede Credenciada'!B:B, 'DESCONTINUADA Rede Credenciada'!E:E, "Não encontrado"),
 "Número de leitos: " &amp; _xlfn.XLOOKUP(E95, 'DESCONTINUADA Rede Credenciada'!B:B, 'DESCONTINUADA Rede Credenciada'!F:F, "Não encontrado"),
 "Leitos abertos nesta gestão: " &amp; _xlfn.XLOOKUP(E95, 'DESCONTINUADA Rede Credenciada'!B:B, 'DESCONTINUADA Rede Credenciada'!G:G, "Não encontrado"),
 "Tipos de leitos abertos nesta gestão: " &amp; _xlfn.XLOOKUP(E95, 'DESCONTINUADA Rede Credenciada'!B:B, 'DESCONTINUADA Rede Credenciada'!H:H, "Não encontrado"),
)</f>
        <v>*Instituto do Câncer Infantil do Agreste -- ICIA*
Status: EM FUNCIONAMENTO
Localização: Caruaru
Número de leitos: 
Leitos abertos nesta gestão: 10
Tipos de leitos abertos nesta gestão: UTI Pediátrica</v>
      </c>
      <c r="G95" s="44" t="s">
        <v>63</v>
      </c>
      <c r="H95" s="208"/>
      <c r="I95" s="58"/>
      <c r="J95" s="208">
        <f t="array" ref="J95">_xlfn.XLOOKUP(E95, 'DESCONTINUADA Rede Credenciada'!B:B, 'DESCONTINUADA Rede Credenciada'!G:G)</f>
        <v>10</v>
      </c>
      <c r="K95" s="208" t="str">
        <f t="array" ref="K95">_xlfn.XLOOKUP(E95, 'DESCONTINUADA Rede Credenciada'!B:B, 'DESCONTINUADA Rede Credenciada'!F:F)</f>
        <v/>
      </c>
      <c r="L95" s="208" t="str">
        <f t="array" ref="L95">_xlfn.XLOOKUP(E95, 'DESCONTINUADA Rede Credenciada'!B:B, 'DESCONTINUADA Rede Credenciada'!H:H)</f>
        <v>UTI Pediátrica</v>
      </c>
      <c r="M95" s="208"/>
      <c r="N95" s="358"/>
      <c r="O95" s="358"/>
      <c r="P95" s="208"/>
      <c r="Q95" s="208"/>
      <c r="R95" s="208"/>
      <c r="S95" s="208"/>
      <c r="T95" s="208"/>
      <c r="U95" s="208"/>
      <c r="V95" s="208"/>
      <c r="W95" s="208"/>
      <c r="X95" s="357"/>
      <c r="Y95" s="361"/>
      <c r="Z95" s="219"/>
    </row>
    <row r="96" ht="137.25" customHeight="1">
      <c r="A96" s="77">
        <v>2610905.0</v>
      </c>
      <c r="B96" s="392" t="s">
        <v>497</v>
      </c>
      <c r="C96" s="311" t="s">
        <v>317</v>
      </c>
      <c r="D96" s="58"/>
      <c r="E96" s="405" t="s">
        <v>496</v>
      </c>
      <c r="F96" s="403" t="str">
        <f t="array" ref="F96">TEXTJOIN(CHAR(10), TRUE, 
  "*" &amp; E96 &amp; "*", 
 "Status: " &amp; _xlfn.XLOOKUP(E96, 'DESCONTINUADA Rede Credenciada'!B:B, 'DESCONTINUADA Rede Credenciada'!C:C, "Não encontrado"),
 "Localização: " &amp; _xlfn.XLOOKUP(E96, 'DESCONTINUADA Rede Credenciada'!B:B, 'DESCONTINUADA Rede Credenciada'!E:E, "Não encontrado"),
 "Número de leitos: " &amp; _xlfn.XLOOKUP(E96, 'DESCONTINUADA Rede Credenciada'!B:B, 'DESCONTINUADA Rede Credenciada'!F:F, "Não encontrado"),
 "Leitos abertos nesta gestão: " &amp; _xlfn.XLOOKUP(E96, 'DESCONTINUADA Rede Credenciada'!B:B, 'DESCONTINUADA Rede Credenciada'!G:G, "Não encontrado"),
 "Tipos de leitos abertos nesta gestão: " &amp; _xlfn.XLOOKUP(E96, 'DESCONTINUADA Rede Credenciada'!B:B, 'DESCONTINUADA Rede Credenciada'!H:H, "Não encontrado"),
)</f>
        <v>*Hospital São José Pesqueira Ltda.*
Status: EM FUNCIONAMENTO
Localização: Pesqueira
Número de leitos: 
Leitos abertos nesta gestão: 10
Tipos de leitos abertos nesta gestão: Cuida PE</v>
      </c>
      <c r="G96" s="44" t="s">
        <v>63</v>
      </c>
      <c r="H96" s="208"/>
      <c r="I96" s="58"/>
      <c r="J96" s="208">
        <f t="array" ref="J96">_xlfn.XLOOKUP(E96, 'DESCONTINUADA Rede Credenciada'!B:B, 'DESCONTINUADA Rede Credenciada'!G:G)</f>
        <v>10</v>
      </c>
      <c r="K96" s="208" t="str">
        <f t="array" ref="K96">_xlfn.XLOOKUP(E96, 'DESCONTINUADA Rede Credenciada'!B:B, 'DESCONTINUADA Rede Credenciada'!F:F)</f>
        <v/>
      </c>
      <c r="L96" s="208" t="str">
        <f t="array" ref="L96">_xlfn.XLOOKUP(E96, 'DESCONTINUADA Rede Credenciada'!B:B, 'DESCONTINUADA Rede Credenciada'!H:H)</f>
        <v>Cuida PE</v>
      </c>
      <c r="M96" s="208"/>
      <c r="N96" s="358"/>
      <c r="O96" s="358"/>
      <c r="P96" s="208"/>
      <c r="Q96" s="208"/>
      <c r="R96" s="208"/>
      <c r="S96" s="208"/>
      <c r="T96" s="208"/>
      <c r="U96" s="208"/>
      <c r="V96" s="208"/>
      <c r="W96" s="208"/>
      <c r="X96" s="357"/>
      <c r="Y96" s="361"/>
      <c r="Z96" s="219"/>
    </row>
    <row r="97" ht="137.25" customHeight="1">
      <c r="A97" s="53">
        <v>2606002.0</v>
      </c>
      <c r="B97" s="392" t="s">
        <v>420</v>
      </c>
      <c r="C97" s="311" t="s">
        <v>421</v>
      </c>
      <c r="D97" s="58"/>
      <c r="E97" s="405" t="s">
        <v>498</v>
      </c>
      <c r="F97" s="403" t="str">
        <f t="array" ref="F97">TEXTJOIN(CHAR(10), TRUE, 
  "*" &amp; E97 &amp; "*", 
 "Status: " &amp; _xlfn.XLOOKUP(E97, 'DESCONTINUADA Rede Credenciada'!B:B, 'DESCONTINUADA Rede Credenciada'!C:C, "Não encontrado"),
 "Localização: " &amp; _xlfn.XLOOKUP(E97, 'DESCONTINUADA Rede Credenciada'!B:B, 'DESCONTINUADA Rede Credenciada'!E:E, "Não encontrado"),
 "Número de leitos: " &amp; _xlfn.XLOOKUP(E97, 'DESCONTINUADA Rede Credenciada'!B:B, 'DESCONTINUADA Rede Credenciada'!F:F, "Não encontrado"),
 "Leitos abertos nesta gestão: " &amp; _xlfn.XLOOKUP(E97, 'DESCONTINUADA Rede Credenciada'!B:B, 'DESCONTINUADA Rede Credenciada'!G:G, "Não encontrado"),
 "Tipos de leitos abertos nesta gestão: " &amp; _xlfn.XLOOKUP(E97, 'DESCONTINUADA Rede Credenciada'!B:B, 'DESCONTINUADA Rede Credenciada'!H:H, "Não encontrado"),
)</f>
        <v>*Casa de Saúde Perpétuo Socorro*
Status: EM FUNCIONAMENTO
Localização: Garanhuns
Número de leitos: 
Leitos abertos nesta gestão: 10
Tipos de leitos abertos nesta gestão: UTI Adulto SRAG</v>
      </c>
      <c r="G97" s="44" t="s">
        <v>63</v>
      </c>
      <c r="H97" s="208"/>
      <c r="I97" s="58"/>
      <c r="J97" s="208">
        <f t="array" ref="J97">_xlfn.XLOOKUP(E97, 'DESCONTINUADA Rede Credenciada'!B:B, 'DESCONTINUADA Rede Credenciada'!G:G)</f>
        <v>10</v>
      </c>
      <c r="K97" s="208" t="str">
        <f t="array" ref="K97">_xlfn.XLOOKUP(E97, 'DESCONTINUADA Rede Credenciada'!B:B, 'DESCONTINUADA Rede Credenciada'!F:F)</f>
        <v/>
      </c>
      <c r="L97" s="208" t="str">
        <f t="array" ref="L97">_xlfn.XLOOKUP(E97, 'DESCONTINUADA Rede Credenciada'!B:B, 'DESCONTINUADA Rede Credenciada'!H:H)</f>
        <v>UTI Adulto SRAG</v>
      </c>
      <c r="M97" s="208"/>
      <c r="N97" s="358"/>
      <c r="O97" s="358"/>
      <c r="P97" s="208"/>
      <c r="Q97" s="208"/>
      <c r="R97" s="208"/>
      <c r="S97" s="208"/>
      <c r="T97" s="208"/>
      <c r="U97" s="208"/>
      <c r="V97" s="208"/>
      <c r="W97" s="208"/>
      <c r="X97" s="357"/>
      <c r="Y97" s="361"/>
      <c r="Z97" s="219"/>
    </row>
    <row r="98" ht="137.25" customHeight="1">
      <c r="A98" s="77">
        <v>2602803.0</v>
      </c>
      <c r="B98" s="392" t="s">
        <v>500</v>
      </c>
      <c r="C98" s="311" t="s">
        <v>421</v>
      </c>
      <c r="D98" s="58"/>
      <c r="E98" s="405" t="s">
        <v>499</v>
      </c>
      <c r="F98" s="403" t="str">
        <f t="array" ref="F98">TEXTJOIN(CHAR(10), TRUE, 
  "*" &amp; E98 &amp; "*", 
 "Status: " &amp; _xlfn.XLOOKUP(E98, 'DESCONTINUADA Rede Credenciada'!B:B, 'DESCONTINUADA Rede Credenciada'!C:C, "Não encontrado"),
 "Localização: " &amp; _xlfn.XLOOKUP(E98, 'DESCONTINUADA Rede Credenciada'!B:B, 'DESCONTINUADA Rede Credenciada'!E:E, "Não encontrado"),
 "Número de leitos: " &amp; _xlfn.XLOOKUP(E98, 'DESCONTINUADA Rede Credenciada'!B:B, 'DESCONTINUADA Rede Credenciada'!F:F, "Não encontrado"),
 "Leitos abertos nesta gestão: " &amp; _xlfn.XLOOKUP(E98, 'DESCONTINUADA Rede Credenciada'!B:B, 'DESCONTINUADA Rede Credenciada'!G:G, "Não encontrado"),
 "Tipos de leitos abertos nesta gestão: " &amp; _xlfn.XLOOKUP(E98, 'DESCONTINUADA Rede Credenciada'!B:B, 'DESCONTINUADA Rede Credenciada'!H:H, "Não encontrado"),
)</f>
        <v>*Associação de Proteção e Assistência à Maternidade e à Infância de Buíque -- APAMI Buíque*
Status: EM FUNCIONAMENTO
Localização: Buíque
Número de leitos: 
Leitos abertos nesta gestão: 15
Tipos de leitos abertos nesta gestão: Enfermaria Adulto SRAG; Enfermaria Obstetrícia SRAG; Enfermaria Pediátrica SRAG; Cuida PE</v>
      </c>
      <c r="G98" s="44" t="s">
        <v>63</v>
      </c>
      <c r="H98" s="208"/>
      <c r="I98" s="58"/>
      <c r="J98" s="208">
        <f t="array" ref="J98">_xlfn.XLOOKUP(E98, 'DESCONTINUADA Rede Credenciada'!B:B, 'DESCONTINUADA Rede Credenciada'!G:G)</f>
        <v>15</v>
      </c>
      <c r="K98" s="208" t="str">
        <f t="array" ref="K98">_xlfn.XLOOKUP(E98, 'DESCONTINUADA Rede Credenciada'!B:B, 'DESCONTINUADA Rede Credenciada'!F:F)</f>
        <v/>
      </c>
      <c r="L98" s="208" t="str">
        <f t="array" ref="L98">_xlfn.XLOOKUP(E98, 'DESCONTINUADA Rede Credenciada'!B:B, 'DESCONTINUADA Rede Credenciada'!H:H)</f>
        <v>Enfermaria Adulto SRAG; Enfermaria Obstetrícia SRAG; Enfermaria Pediátrica SRAG; Cuida PE</v>
      </c>
      <c r="M98" s="208"/>
      <c r="N98" s="358"/>
      <c r="O98" s="358"/>
      <c r="P98" s="208"/>
      <c r="Q98" s="208"/>
      <c r="R98" s="208"/>
      <c r="S98" s="208"/>
      <c r="T98" s="208"/>
      <c r="U98" s="208"/>
      <c r="V98" s="208"/>
      <c r="W98" s="208"/>
      <c r="X98" s="357"/>
      <c r="Y98" s="361"/>
      <c r="Z98" s="219"/>
    </row>
    <row r="99" ht="137.25" customHeight="1">
      <c r="A99" s="77">
        <v>2611002.0</v>
      </c>
      <c r="B99" s="392" t="s">
        <v>503</v>
      </c>
      <c r="C99" s="311" t="s">
        <v>504</v>
      </c>
      <c r="D99" s="58"/>
      <c r="E99" s="405" t="s">
        <v>502</v>
      </c>
      <c r="F99" s="403" t="str">
        <f t="array" ref="F99">TEXTJOIN(CHAR(10), TRUE, 
  "*" &amp; E99 &amp; "*", 
 "Status: " &amp; _xlfn.XLOOKUP(E99, 'DESCONTINUADA Rede Credenciada'!B:B, 'DESCONTINUADA Rede Credenciada'!C:C, "Não encontrado"),
 "Localização: " &amp; _xlfn.XLOOKUP(E99, 'DESCONTINUADA Rede Credenciada'!B:B, 'DESCONTINUADA Rede Credenciada'!E:E, "Não encontrado"),
 "Número de leitos: " &amp; _xlfn.XLOOKUP(E99, 'DESCONTINUADA Rede Credenciada'!B:B, 'DESCONTINUADA Rede Credenciada'!F:F, "Não encontrado"),
 "Leitos abertos nesta gestão: " &amp; _xlfn.XLOOKUP(E99, 'DESCONTINUADA Rede Credenciada'!B:B, 'DESCONTINUADA Rede Credenciada'!G:G, "Não encontrado"),
 "Tipos de leitos abertos nesta gestão: " &amp; _xlfn.XLOOKUP(E99, 'DESCONTINUADA Rede Credenciada'!B:B, 'DESCONTINUADA Rede Credenciada'!H:H, "Não encontrado"),
)</f>
        <v>*Instituto Beneficente Vale do São Francisco*
Status: EM FUNCIONAMENTO
Localização: Petrolândia
Número de leitos: 
Leitos abertos nesta gestão: 5
Tipos de leitos abertos nesta gestão: Cuida PE</v>
      </c>
      <c r="G99" s="44" t="s">
        <v>63</v>
      </c>
      <c r="H99" s="208"/>
      <c r="I99" s="58"/>
      <c r="J99" s="208">
        <f t="array" ref="J99">_xlfn.XLOOKUP(E99, 'DESCONTINUADA Rede Credenciada'!B:B, 'DESCONTINUADA Rede Credenciada'!G:G)</f>
        <v>5</v>
      </c>
      <c r="K99" s="208" t="str">
        <f t="array" ref="K99">_xlfn.XLOOKUP(E99, 'DESCONTINUADA Rede Credenciada'!B:B, 'DESCONTINUADA Rede Credenciada'!F:F)</f>
        <v/>
      </c>
      <c r="L99" s="208" t="str">
        <f t="array" ref="L99">_xlfn.XLOOKUP(E99, 'DESCONTINUADA Rede Credenciada'!B:B, 'DESCONTINUADA Rede Credenciada'!H:H)</f>
        <v>Cuida PE</v>
      </c>
      <c r="M99" s="208"/>
      <c r="N99" s="358"/>
      <c r="O99" s="358"/>
      <c r="P99" s="208"/>
      <c r="Q99" s="208"/>
      <c r="R99" s="208"/>
      <c r="S99" s="208"/>
      <c r="T99" s="208"/>
      <c r="U99" s="208"/>
      <c r="V99" s="208"/>
      <c r="W99" s="208"/>
      <c r="X99" s="357"/>
      <c r="Y99" s="361"/>
      <c r="Z99" s="219"/>
    </row>
    <row r="100" ht="137.25" customHeight="1">
      <c r="A100" s="77">
        <v>2601102.0</v>
      </c>
      <c r="B100" s="392" t="s">
        <v>506</v>
      </c>
      <c r="C100" s="311" t="s">
        <v>427</v>
      </c>
      <c r="D100" s="58"/>
      <c r="E100" s="405" t="s">
        <v>505</v>
      </c>
      <c r="F100" s="403" t="str">
        <f t="array" ref="F100">TEXTJOIN(CHAR(10), TRUE, 
  "*" &amp; E100 &amp; "*", 
 "Status: " &amp; _xlfn.XLOOKUP(E100, 'DESCONTINUADA Rede Credenciada'!B:B, 'DESCONTINUADA Rede Credenciada'!C:C, "Não encontrado"),
 "Localização: " &amp; _xlfn.XLOOKUP(E100, 'DESCONTINUADA Rede Credenciada'!B:B, 'DESCONTINUADA Rede Credenciada'!E:E, "Não encontrado"),
 "Número de leitos: " &amp; _xlfn.XLOOKUP(E100, 'DESCONTINUADA Rede Credenciada'!B:B, 'DESCONTINUADA Rede Credenciada'!F:F, "Não encontrado"),
 "Leitos abertos nesta gestão: " &amp; _xlfn.XLOOKUP(E100, 'DESCONTINUADA Rede Credenciada'!B:B, 'DESCONTINUADA Rede Credenciada'!G:G, "Não encontrado"),
 "Tipos de leitos abertos nesta gestão: " &amp; _xlfn.XLOOKUP(E100, 'DESCONTINUADA Rede Credenciada'!B:B, 'DESCONTINUADA Rede Credenciada'!H:H, "Não encontrado"),
)</f>
        <v>*Instituto Social das Medianeiras da Paz (Hospital e Maternidade Santa Maria de Araripina)*
Status: EM FUNCIONAMENTO
Localização: Araripina
Número de leitos: 
Leitos abertos nesta gestão: 55
Tipos de leitos abertos nesta gestão: Enfermaria (Traumatologia-Ortopedia); Cuida PE; UTI Pediátrica; Enfermaria Pediátrica SRAG</v>
      </c>
      <c r="G100" s="44" t="s">
        <v>63</v>
      </c>
      <c r="H100" s="208"/>
      <c r="I100" s="58"/>
      <c r="J100" s="208">
        <f t="array" ref="J100">_xlfn.XLOOKUP(E100, 'DESCONTINUADA Rede Credenciada'!B:B, 'DESCONTINUADA Rede Credenciada'!G:G)</f>
        <v>55</v>
      </c>
      <c r="K100" s="208" t="str">
        <f t="array" ref="K100">_xlfn.XLOOKUP(E100, 'DESCONTINUADA Rede Credenciada'!B:B, 'DESCONTINUADA Rede Credenciada'!F:F)</f>
        <v/>
      </c>
      <c r="L100" s="208" t="str">
        <f t="array" ref="L100">_xlfn.XLOOKUP(E100, 'DESCONTINUADA Rede Credenciada'!B:B, 'DESCONTINUADA Rede Credenciada'!H:H)</f>
        <v>Enfermaria (Traumatologia-Ortopedia); Cuida PE; UTI Pediátrica; Enfermaria Pediátrica SRAG</v>
      </c>
      <c r="M100" s="208"/>
      <c r="N100" s="358"/>
      <c r="O100" s="358"/>
      <c r="P100" s="208"/>
      <c r="Q100" s="208"/>
      <c r="R100" s="208"/>
      <c r="S100" s="208"/>
      <c r="T100" s="208"/>
      <c r="U100" s="208"/>
      <c r="V100" s="208"/>
      <c r="W100" s="208"/>
      <c r="X100" s="357"/>
      <c r="Y100" s="361"/>
      <c r="Z100" s="219"/>
    </row>
    <row r="101" ht="21.0" customHeight="1">
      <c r="A101" s="168"/>
      <c r="B101" s="407"/>
      <c r="C101" s="74"/>
      <c r="D101" s="153"/>
      <c r="E101" s="408"/>
      <c r="F101" s="300"/>
      <c r="G101" s="44"/>
      <c r="H101" s="159"/>
      <c r="I101" s="153"/>
      <c r="J101" s="208"/>
      <c r="K101" s="208"/>
      <c r="L101" s="208"/>
      <c r="M101" s="159"/>
      <c r="N101" s="409"/>
      <c r="O101" s="409"/>
      <c r="P101" s="159"/>
      <c r="Q101" s="159"/>
      <c r="R101" s="159"/>
      <c r="S101" s="159"/>
      <c r="T101" s="159"/>
      <c r="U101" s="159"/>
      <c r="V101" s="159"/>
      <c r="W101" s="159"/>
      <c r="X101" s="410"/>
      <c r="Y101" s="410"/>
      <c r="Z101" s="172"/>
    </row>
  </sheetData>
  <dataValidations>
    <dataValidation type="list" allowBlank="1" showErrorMessage="1" sqref="G3:G100">
      <formula1>"EM FUNCIONAMENTO,EM CONSTRUÇÃO"</formula1>
    </dataValidation>
    <dataValidation type="list" allowBlank="1" showErrorMessage="1" sqref="I21:I22 I24 I28 I38:I39 I42 I45 I55:I57 I60">
      <formula1>"I,II,III,IV,V,VI,VII,VII,IX,X,XI,XII,VIII"</formula1>
    </dataValidation>
    <dataValidation type="list" allowBlank="1" showErrorMessage="1" sqref="I3:I14 I16:I20 I25 I29:I31 I40 I44 I46:I47 I50:I54 I61:I100">
      <formula1>"I,II,III,IV,V,VI,VII,VIII,IX,X,XI,XII,Sem informação"</formula1>
    </dataValidation>
    <dataValidation type="list" allowBlank="1" showErrorMessage="1" sqref="H3:H37">
      <formula1>"OS,Gestão própria,OSS,Sem informaçao,Especializado"</formula1>
    </dataValidation>
    <dataValidation type="list" allowBlank="1" showErrorMessage="1" sqref="D3:D100">
      <formula1>"HOSPITAL,UPA,UPAE,EM CONSTRUÇÃO"</formula1>
    </dataValidation>
    <dataValidation type="list" allowBlank="1" showErrorMessage="1" sqref="I15 I27 I41 I43 I48 I58:I59">
      <formula1>"I,II,III,IV,V,VI,VII,VII,IX,X,XI,XII,Sem informação"</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2.0" topLeftCell="A3" activePane="bottomLeft" state="frozen"/>
      <selection activeCell="B4" sqref="B4" pane="bottomLeft"/>
    </sheetView>
  </sheetViews>
  <sheetFormatPr customHeight="1" defaultColWidth="12.63" defaultRowHeight="15.0"/>
  <cols>
    <col customWidth="1" min="1" max="1" width="9.13"/>
    <col customWidth="1" min="2" max="2" width="20.75"/>
    <col customWidth="1" min="3" max="3" width="19.13"/>
    <col customWidth="1" min="4" max="4" width="17.13"/>
    <col customWidth="1" min="5" max="5" width="13.63"/>
    <col customWidth="1" min="6" max="6" width="16.0"/>
    <col customWidth="1" min="7" max="7" width="17.0"/>
    <col customWidth="1" min="8" max="8" width="11.25"/>
    <col customWidth="1" min="9" max="9" width="17.88"/>
    <col customWidth="1" min="10" max="10" width="8.75"/>
    <col customWidth="1" min="11" max="19" width="13.63"/>
  </cols>
  <sheetData>
    <row r="1" ht="89.25" customHeight="1">
      <c r="A1" s="7"/>
      <c r="B1" s="341"/>
      <c r="C1" s="7"/>
      <c r="D1" s="7"/>
      <c r="E1" s="9"/>
      <c r="F1" s="9"/>
      <c r="G1" s="7"/>
      <c r="H1" s="16"/>
      <c r="I1" s="16"/>
      <c r="J1" s="9"/>
      <c r="K1" s="9"/>
      <c r="L1" s="9"/>
      <c r="M1" s="9"/>
      <c r="N1" s="9"/>
      <c r="O1" s="9"/>
      <c r="P1" s="9"/>
      <c r="Q1" s="9"/>
      <c r="R1" s="9"/>
      <c r="S1" s="9"/>
    </row>
    <row r="2" ht="36.75" customHeight="1">
      <c r="A2" s="34" t="s">
        <v>14</v>
      </c>
      <c r="B2" s="364" t="s">
        <v>21</v>
      </c>
      <c r="C2" s="24" t="s">
        <v>26</v>
      </c>
      <c r="D2" s="31"/>
      <c r="E2" s="31"/>
      <c r="F2" s="31"/>
      <c r="G2" s="31"/>
      <c r="H2" s="31"/>
      <c r="I2" s="31"/>
      <c r="J2" s="31"/>
      <c r="K2" s="31"/>
      <c r="L2" s="31"/>
      <c r="M2" s="31"/>
      <c r="N2" s="31"/>
      <c r="O2" s="31"/>
      <c r="P2" s="31"/>
      <c r="Q2" s="31"/>
      <c r="R2" s="31"/>
      <c r="S2" s="31"/>
    </row>
    <row r="3" ht="19.5" customHeight="1">
      <c r="A3" s="365"/>
      <c r="B3" s="366" t="s">
        <v>317</v>
      </c>
      <c r="C3" s="367" t="s">
        <v>317</v>
      </c>
      <c r="D3" s="368"/>
      <c r="E3" s="369"/>
      <c r="F3" s="369"/>
      <c r="G3" s="368"/>
      <c r="H3" s="368"/>
      <c r="I3" s="368"/>
      <c r="J3" s="369"/>
      <c r="K3" s="369"/>
      <c r="L3" s="369"/>
      <c r="M3" s="369"/>
      <c r="N3" s="369"/>
      <c r="O3" s="369"/>
      <c r="P3" s="369"/>
      <c r="Q3" s="369"/>
      <c r="R3" s="369"/>
      <c r="S3" s="370"/>
    </row>
    <row r="4" ht="19.5" customHeight="1">
      <c r="A4" s="371"/>
      <c r="B4" s="372" t="s">
        <v>421</v>
      </c>
      <c r="C4" s="373" t="s">
        <v>421</v>
      </c>
      <c r="D4" s="374"/>
      <c r="E4" s="375"/>
      <c r="F4" s="375"/>
      <c r="G4" s="374"/>
      <c r="H4" s="374"/>
      <c r="I4" s="374"/>
      <c r="J4" s="375"/>
      <c r="K4" s="375"/>
      <c r="L4" s="375"/>
      <c r="M4" s="375"/>
      <c r="N4" s="375"/>
      <c r="O4" s="375"/>
      <c r="P4" s="375"/>
      <c r="Q4" s="375"/>
      <c r="R4" s="375"/>
      <c r="S4" s="376"/>
    </row>
    <row r="5" ht="19.5" customHeight="1">
      <c r="A5" s="377"/>
      <c r="B5" s="366" t="s">
        <v>437</v>
      </c>
      <c r="C5" s="367" t="s">
        <v>437</v>
      </c>
      <c r="D5" s="368"/>
      <c r="E5" s="369"/>
      <c r="F5" s="369"/>
      <c r="G5" s="368"/>
      <c r="H5" s="368"/>
      <c r="I5" s="368"/>
      <c r="J5" s="369"/>
      <c r="K5" s="369"/>
      <c r="L5" s="369"/>
      <c r="M5" s="369"/>
      <c r="N5" s="369"/>
      <c r="O5" s="369"/>
      <c r="P5" s="369"/>
      <c r="Q5" s="369"/>
      <c r="R5" s="369"/>
      <c r="S5" s="370"/>
    </row>
    <row r="6" ht="19.5" customHeight="1">
      <c r="A6" s="371"/>
      <c r="B6" s="372" t="s">
        <v>415</v>
      </c>
      <c r="C6" s="373" t="s">
        <v>415</v>
      </c>
      <c r="D6" s="374"/>
      <c r="E6" s="375"/>
      <c r="F6" s="375"/>
      <c r="G6" s="374"/>
      <c r="H6" s="374"/>
      <c r="I6" s="374"/>
      <c r="J6" s="375"/>
      <c r="K6" s="375"/>
      <c r="L6" s="375"/>
      <c r="M6" s="375"/>
      <c r="N6" s="375"/>
      <c r="O6" s="375"/>
      <c r="P6" s="375"/>
      <c r="Q6" s="375"/>
      <c r="R6" s="375"/>
      <c r="S6" s="376"/>
    </row>
    <row r="7" ht="19.5" customHeight="1">
      <c r="A7" s="377"/>
      <c r="B7" s="366" t="s">
        <v>418</v>
      </c>
      <c r="C7" s="367" t="s">
        <v>418</v>
      </c>
      <c r="D7" s="368"/>
      <c r="E7" s="369"/>
      <c r="F7" s="369"/>
      <c r="G7" s="368"/>
      <c r="H7" s="368"/>
      <c r="I7" s="368"/>
      <c r="J7" s="369"/>
      <c r="K7" s="369"/>
      <c r="L7" s="369"/>
      <c r="M7" s="369"/>
      <c r="N7" s="369"/>
      <c r="O7" s="369"/>
      <c r="P7" s="369"/>
      <c r="Q7" s="369"/>
      <c r="R7" s="369"/>
      <c r="S7" s="370"/>
    </row>
    <row r="8" ht="19.5" customHeight="1">
      <c r="A8" s="371"/>
      <c r="B8" s="372" t="s">
        <v>104</v>
      </c>
      <c r="C8" s="373" t="s">
        <v>104</v>
      </c>
      <c r="D8" s="374"/>
      <c r="E8" s="375"/>
      <c r="F8" s="375"/>
      <c r="G8" s="374"/>
      <c r="H8" s="374"/>
      <c r="I8" s="374"/>
      <c r="J8" s="375"/>
      <c r="K8" s="375"/>
      <c r="L8" s="375"/>
      <c r="M8" s="375"/>
      <c r="N8" s="375"/>
      <c r="O8" s="375"/>
      <c r="P8" s="375"/>
      <c r="Q8" s="375"/>
      <c r="R8" s="375"/>
      <c r="S8" s="376"/>
    </row>
    <row r="9" ht="19.5" customHeight="1">
      <c r="A9" s="377"/>
      <c r="B9" s="366" t="s">
        <v>423</v>
      </c>
      <c r="C9" s="367" t="s">
        <v>423</v>
      </c>
      <c r="D9" s="368"/>
      <c r="E9" s="369"/>
      <c r="F9" s="369"/>
      <c r="G9" s="368"/>
      <c r="H9" s="368"/>
      <c r="I9" s="368"/>
      <c r="J9" s="369"/>
      <c r="K9" s="369"/>
      <c r="L9" s="369"/>
      <c r="M9" s="369"/>
      <c r="N9" s="369"/>
      <c r="O9" s="369"/>
      <c r="P9" s="369"/>
      <c r="Q9" s="369"/>
      <c r="R9" s="369"/>
      <c r="S9" s="370"/>
    </row>
    <row r="10" ht="19.5" customHeight="1">
      <c r="A10" s="371"/>
      <c r="B10" s="372" t="s">
        <v>504</v>
      </c>
      <c r="C10" s="373" t="s">
        <v>504</v>
      </c>
      <c r="D10" s="374"/>
      <c r="E10" s="375"/>
      <c r="F10" s="375"/>
      <c r="G10" s="374"/>
      <c r="H10" s="374"/>
      <c r="I10" s="374"/>
      <c r="J10" s="375"/>
      <c r="K10" s="375"/>
      <c r="L10" s="375"/>
      <c r="M10" s="375"/>
      <c r="N10" s="375"/>
      <c r="O10" s="375"/>
      <c r="P10" s="375"/>
      <c r="Q10" s="375"/>
      <c r="R10" s="375"/>
      <c r="S10" s="376"/>
    </row>
    <row r="11" ht="19.5" customHeight="1">
      <c r="A11" s="377"/>
      <c r="B11" s="366" t="s">
        <v>427</v>
      </c>
      <c r="C11" s="367" t="s">
        <v>427</v>
      </c>
      <c r="D11" s="368"/>
      <c r="E11" s="369"/>
      <c r="F11" s="369"/>
      <c r="G11" s="368"/>
      <c r="H11" s="368"/>
      <c r="I11" s="368"/>
      <c r="J11" s="369"/>
      <c r="K11" s="369"/>
      <c r="L11" s="369"/>
      <c r="M11" s="369"/>
      <c r="N11" s="369"/>
      <c r="O11" s="369"/>
      <c r="P11" s="369"/>
      <c r="Q11" s="369"/>
      <c r="R11" s="369"/>
      <c r="S11" s="370"/>
    </row>
    <row r="12" ht="19.5" customHeight="1">
      <c r="A12" s="371"/>
      <c r="B12" s="372" t="s">
        <v>425</v>
      </c>
      <c r="C12" s="373" t="s">
        <v>425</v>
      </c>
      <c r="D12" s="374"/>
      <c r="E12" s="375"/>
      <c r="F12" s="375"/>
      <c r="G12" s="374"/>
      <c r="H12" s="374"/>
      <c r="I12" s="374"/>
      <c r="J12" s="375"/>
      <c r="K12" s="375"/>
      <c r="L12" s="375"/>
      <c r="M12" s="375"/>
      <c r="N12" s="375"/>
      <c r="O12" s="375"/>
      <c r="P12" s="375"/>
      <c r="Q12" s="375"/>
      <c r="R12" s="375"/>
      <c r="S12" s="376"/>
    </row>
    <row r="13" ht="19.5" customHeight="1">
      <c r="A13" s="377"/>
      <c r="B13" s="366" t="s">
        <v>430</v>
      </c>
      <c r="C13" s="367" t="s">
        <v>430</v>
      </c>
      <c r="D13" s="368"/>
      <c r="E13" s="369"/>
      <c r="F13" s="369"/>
      <c r="G13" s="368"/>
      <c r="H13" s="368"/>
      <c r="I13" s="368"/>
      <c r="J13" s="369"/>
      <c r="K13" s="369"/>
      <c r="L13" s="369"/>
      <c r="M13" s="369"/>
      <c r="N13" s="369"/>
      <c r="O13" s="369"/>
      <c r="P13" s="369"/>
      <c r="Q13" s="369"/>
      <c r="R13" s="369"/>
      <c r="S13" s="370"/>
    </row>
    <row r="14" ht="19.5" customHeight="1">
      <c r="A14" s="371"/>
      <c r="B14" s="372" t="s">
        <v>433</v>
      </c>
      <c r="C14" s="373" t="s">
        <v>433</v>
      </c>
      <c r="D14" s="374"/>
      <c r="E14" s="375"/>
      <c r="F14" s="375"/>
      <c r="G14" s="374"/>
      <c r="H14" s="374"/>
      <c r="I14" s="374"/>
      <c r="J14" s="375"/>
      <c r="K14" s="375"/>
      <c r="L14" s="375"/>
      <c r="M14" s="375"/>
      <c r="N14" s="375"/>
      <c r="O14" s="375"/>
      <c r="P14" s="375"/>
      <c r="Q14" s="375"/>
      <c r="R14" s="375"/>
      <c r="S14" s="376"/>
    </row>
    <row r="15" ht="19.5" customHeight="1">
      <c r="A15" s="378">
        <v>2600054.0</v>
      </c>
      <c r="B15" s="379" t="s">
        <v>451</v>
      </c>
      <c r="C15" s="380" t="s">
        <v>104</v>
      </c>
      <c r="D15" s="381"/>
      <c r="E15" s="370"/>
      <c r="F15" s="370"/>
      <c r="G15" s="381"/>
      <c r="H15" s="381"/>
      <c r="I15" s="381"/>
      <c r="J15" s="370"/>
      <c r="K15" s="370"/>
      <c r="L15" s="370"/>
      <c r="M15" s="370"/>
      <c r="N15" s="370"/>
      <c r="O15" s="370"/>
      <c r="P15" s="370"/>
      <c r="Q15" s="370"/>
      <c r="R15" s="370"/>
      <c r="S15" s="370"/>
    </row>
    <row r="16" ht="19.5" customHeight="1">
      <c r="A16" s="382">
        <v>2600104.0</v>
      </c>
      <c r="B16" s="383" t="s">
        <v>431</v>
      </c>
      <c r="C16" s="384" t="s">
        <v>430</v>
      </c>
      <c r="D16" s="385"/>
      <c r="E16" s="376"/>
      <c r="F16" s="376"/>
      <c r="G16" s="385"/>
      <c r="H16" s="385"/>
      <c r="I16" s="385"/>
      <c r="J16" s="376"/>
      <c r="K16" s="376"/>
      <c r="L16" s="376"/>
      <c r="M16" s="376"/>
      <c r="N16" s="376"/>
      <c r="O16" s="376"/>
      <c r="P16" s="376"/>
      <c r="Q16" s="376"/>
      <c r="R16" s="376"/>
      <c r="S16" s="376"/>
    </row>
    <row r="17" ht="19.5" customHeight="1">
      <c r="A17" s="378">
        <v>2600203.0</v>
      </c>
      <c r="B17" s="379" t="s">
        <v>556</v>
      </c>
      <c r="C17" s="380" t="s">
        <v>433</v>
      </c>
      <c r="D17" s="381"/>
      <c r="E17" s="370"/>
      <c r="F17" s="370"/>
      <c r="G17" s="381"/>
      <c r="H17" s="381"/>
      <c r="I17" s="381"/>
      <c r="J17" s="370"/>
      <c r="K17" s="370"/>
      <c r="L17" s="370"/>
      <c r="M17" s="370"/>
      <c r="N17" s="370"/>
      <c r="O17" s="370"/>
      <c r="P17" s="370"/>
      <c r="Q17" s="370"/>
      <c r="R17" s="370"/>
      <c r="S17" s="370"/>
    </row>
    <row r="18" ht="19.5" customHeight="1">
      <c r="A18" s="382">
        <v>2600302.0</v>
      </c>
      <c r="B18" s="383" t="s">
        <v>557</v>
      </c>
      <c r="C18" s="384" t="s">
        <v>317</v>
      </c>
      <c r="D18" s="385"/>
      <c r="E18" s="376"/>
      <c r="F18" s="376"/>
      <c r="G18" s="385"/>
      <c r="H18" s="385"/>
      <c r="I18" s="385"/>
      <c r="J18" s="376"/>
      <c r="K18" s="376"/>
      <c r="L18" s="376"/>
      <c r="M18" s="376"/>
      <c r="N18" s="376"/>
      <c r="O18" s="376"/>
      <c r="P18" s="376"/>
      <c r="Q18" s="376"/>
      <c r="R18" s="376"/>
      <c r="S18" s="376"/>
    </row>
    <row r="19" ht="19.5" customHeight="1">
      <c r="A19" s="378">
        <v>2600401.0</v>
      </c>
      <c r="B19" s="379" t="s">
        <v>558</v>
      </c>
      <c r="C19" s="380" t="s">
        <v>418</v>
      </c>
      <c r="D19" s="386"/>
      <c r="E19" s="387"/>
      <c r="F19" s="387"/>
      <c r="G19" s="386"/>
      <c r="H19" s="381"/>
      <c r="I19" s="381"/>
      <c r="J19" s="387"/>
      <c r="K19" s="387"/>
      <c r="L19" s="387"/>
      <c r="M19" s="387"/>
      <c r="N19" s="387"/>
      <c r="O19" s="387"/>
      <c r="P19" s="387"/>
      <c r="Q19" s="387"/>
      <c r="R19" s="387"/>
      <c r="S19" s="387"/>
    </row>
    <row r="20" ht="19.5" customHeight="1">
      <c r="A20" s="382">
        <v>2600500.0</v>
      </c>
      <c r="B20" s="383" t="s">
        <v>559</v>
      </c>
      <c r="C20" s="384" t="s">
        <v>421</v>
      </c>
      <c r="D20" s="385"/>
      <c r="E20" s="376"/>
      <c r="F20" s="376"/>
      <c r="G20" s="385"/>
      <c r="H20" s="385"/>
      <c r="I20" s="385"/>
      <c r="J20" s="376"/>
      <c r="K20" s="376"/>
      <c r="L20" s="376"/>
      <c r="M20" s="376"/>
      <c r="N20" s="376"/>
      <c r="O20" s="376"/>
      <c r="P20" s="376"/>
      <c r="Q20" s="376"/>
      <c r="R20" s="376"/>
      <c r="S20" s="376"/>
    </row>
    <row r="21" ht="19.5" customHeight="1">
      <c r="A21" s="378">
        <v>2600609.0</v>
      </c>
      <c r="B21" s="379" t="s">
        <v>560</v>
      </c>
      <c r="C21" s="380" t="s">
        <v>317</v>
      </c>
      <c r="D21" s="381"/>
      <c r="E21" s="370"/>
      <c r="F21" s="370"/>
      <c r="G21" s="381"/>
      <c r="H21" s="381"/>
      <c r="I21" s="381"/>
      <c r="J21" s="370"/>
      <c r="K21" s="370"/>
      <c r="L21" s="370"/>
      <c r="M21" s="370"/>
      <c r="N21" s="370"/>
      <c r="O21" s="370"/>
      <c r="P21" s="370"/>
      <c r="Q21" s="370"/>
      <c r="R21" s="370"/>
      <c r="S21" s="370"/>
    </row>
    <row r="22" ht="19.5" customHeight="1">
      <c r="A22" s="382">
        <v>2600708.0</v>
      </c>
      <c r="B22" s="383" t="s">
        <v>561</v>
      </c>
      <c r="C22" s="384" t="s">
        <v>415</v>
      </c>
      <c r="D22" s="388"/>
      <c r="E22" s="389"/>
      <c r="F22" s="389"/>
      <c r="G22" s="388"/>
      <c r="H22" s="385"/>
      <c r="I22" s="385"/>
      <c r="J22" s="389"/>
      <c r="K22" s="389"/>
      <c r="L22" s="389"/>
      <c r="M22" s="389"/>
      <c r="N22" s="389"/>
      <c r="O22" s="389"/>
      <c r="P22" s="389"/>
      <c r="Q22" s="389"/>
      <c r="R22" s="389"/>
      <c r="S22" s="389"/>
    </row>
    <row r="23" ht="19.5" customHeight="1">
      <c r="A23" s="378">
        <v>2600807.0</v>
      </c>
      <c r="B23" s="379" t="s">
        <v>562</v>
      </c>
      <c r="C23" s="380" t="s">
        <v>317</v>
      </c>
      <c r="D23" s="381"/>
      <c r="E23" s="370"/>
      <c r="F23" s="370"/>
      <c r="G23" s="381"/>
      <c r="H23" s="381"/>
      <c r="I23" s="381"/>
      <c r="J23" s="370"/>
      <c r="K23" s="370"/>
      <c r="L23" s="370"/>
      <c r="M23" s="370"/>
      <c r="N23" s="370"/>
      <c r="O23" s="370"/>
      <c r="P23" s="370"/>
      <c r="Q23" s="370"/>
      <c r="R23" s="370"/>
      <c r="S23" s="370"/>
    </row>
    <row r="24" ht="19.5" customHeight="1">
      <c r="A24" s="382">
        <v>2600906.0</v>
      </c>
      <c r="B24" s="383" t="s">
        <v>563</v>
      </c>
      <c r="C24" s="384" t="s">
        <v>418</v>
      </c>
      <c r="D24" s="388"/>
      <c r="E24" s="389"/>
      <c r="F24" s="389"/>
      <c r="G24" s="388"/>
      <c r="H24" s="385"/>
      <c r="I24" s="385"/>
      <c r="J24" s="389"/>
      <c r="K24" s="389"/>
      <c r="L24" s="389"/>
      <c r="M24" s="389"/>
      <c r="N24" s="389"/>
      <c r="O24" s="389"/>
      <c r="P24" s="389"/>
      <c r="Q24" s="389"/>
      <c r="R24" s="389"/>
      <c r="S24" s="389"/>
    </row>
    <row r="25" ht="19.5" customHeight="1">
      <c r="A25" s="378">
        <v>2601003.0</v>
      </c>
      <c r="B25" s="379" t="s">
        <v>564</v>
      </c>
      <c r="C25" s="380" t="s">
        <v>421</v>
      </c>
      <c r="D25" s="381"/>
      <c r="E25" s="370"/>
      <c r="F25" s="370"/>
      <c r="G25" s="381"/>
      <c r="H25" s="381"/>
      <c r="I25" s="381"/>
      <c r="J25" s="370"/>
      <c r="K25" s="370"/>
      <c r="L25" s="370"/>
      <c r="M25" s="370"/>
      <c r="N25" s="370"/>
      <c r="O25" s="370"/>
      <c r="P25" s="370"/>
      <c r="Q25" s="370"/>
      <c r="R25" s="370"/>
      <c r="S25" s="370"/>
    </row>
    <row r="26" ht="19.5" customHeight="1">
      <c r="A26" s="382">
        <v>2601052.0</v>
      </c>
      <c r="B26" s="383" t="s">
        <v>565</v>
      </c>
      <c r="C26" s="384" t="s">
        <v>104</v>
      </c>
      <c r="D26" s="385"/>
      <c r="E26" s="376"/>
      <c r="F26" s="376"/>
      <c r="G26" s="385"/>
      <c r="H26" s="385"/>
      <c r="I26" s="385"/>
      <c r="J26" s="376"/>
      <c r="K26" s="376"/>
      <c r="L26" s="376"/>
      <c r="M26" s="376"/>
      <c r="N26" s="376"/>
      <c r="O26" s="376"/>
      <c r="P26" s="376"/>
      <c r="Q26" s="376"/>
      <c r="R26" s="376"/>
      <c r="S26" s="376"/>
    </row>
    <row r="27" ht="19.5" customHeight="1">
      <c r="A27" s="378">
        <v>2601102.0</v>
      </c>
      <c r="B27" s="379" t="s">
        <v>506</v>
      </c>
      <c r="C27" s="380" t="s">
        <v>427</v>
      </c>
      <c r="D27" s="381"/>
      <c r="E27" s="370"/>
      <c r="F27" s="370"/>
      <c r="G27" s="381"/>
      <c r="H27" s="381"/>
      <c r="I27" s="381"/>
      <c r="J27" s="370"/>
      <c r="K27" s="370"/>
      <c r="L27" s="370"/>
      <c r="M27" s="370"/>
      <c r="N27" s="370"/>
      <c r="O27" s="370"/>
      <c r="P27" s="370"/>
      <c r="Q27" s="370"/>
      <c r="R27" s="370"/>
      <c r="S27" s="370"/>
    </row>
    <row r="28" ht="19.5" customHeight="1">
      <c r="A28" s="382">
        <v>2601201.0</v>
      </c>
      <c r="B28" s="383" t="s">
        <v>424</v>
      </c>
      <c r="C28" s="384" t="s">
        <v>425</v>
      </c>
      <c r="D28" s="385"/>
      <c r="E28" s="376"/>
      <c r="F28" s="376"/>
      <c r="G28" s="385"/>
      <c r="H28" s="385"/>
      <c r="I28" s="385"/>
      <c r="J28" s="376"/>
      <c r="K28" s="376"/>
      <c r="L28" s="376"/>
      <c r="M28" s="376"/>
      <c r="N28" s="376"/>
      <c r="O28" s="376"/>
      <c r="P28" s="376"/>
      <c r="Q28" s="376"/>
      <c r="R28" s="376"/>
      <c r="S28" s="376"/>
    </row>
    <row r="29" ht="19.5" customHeight="1">
      <c r="A29" s="378">
        <v>2601300.0</v>
      </c>
      <c r="B29" s="379" t="s">
        <v>566</v>
      </c>
      <c r="C29" s="380" t="s">
        <v>317</v>
      </c>
      <c r="D29" s="381"/>
      <c r="E29" s="370"/>
      <c r="F29" s="370"/>
      <c r="G29" s="381"/>
      <c r="H29" s="381"/>
      <c r="I29" s="381"/>
      <c r="J29" s="370"/>
      <c r="K29" s="370"/>
      <c r="L29" s="370"/>
      <c r="M29" s="370"/>
      <c r="N29" s="370"/>
      <c r="O29" s="370"/>
      <c r="P29" s="370"/>
      <c r="Q29" s="370"/>
      <c r="R29" s="370"/>
      <c r="S29" s="370"/>
    </row>
    <row r="30" ht="19.5" customHeight="1">
      <c r="A30" s="382">
        <v>2601409.0</v>
      </c>
      <c r="B30" s="383" t="s">
        <v>567</v>
      </c>
      <c r="C30" s="384" t="s">
        <v>418</v>
      </c>
      <c r="D30" s="385"/>
      <c r="E30" s="376"/>
      <c r="F30" s="376"/>
      <c r="G30" s="385"/>
      <c r="H30" s="385"/>
      <c r="I30" s="385"/>
      <c r="J30" s="376"/>
      <c r="K30" s="376"/>
      <c r="L30" s="376"/>
      <c r="M30" s="376"/>
      <c r="N30" s="376"/>
      <c r="O30" s="376"/>
      <c r="P30" s="376"/>
      <c r="Q30" s="376"/>
      <c r="R30" s="376"/>
      <c r="S30" s="376"/>
    </row>
    <row r="31" ht="19.5" customHeight="1">
      <c r="A31" s="378">
        <v>2601508.0</v>
      </c>
      <c r="B31" s="379" t="s">
        <v>568</v>
      </c>
      <c r="C31" s="380" t="s">
        <v>418</v>
      </c>
      <c r="D31" s="390"/>
      <c r="E31" s="391"/>
      <c r="F31" s="391"/>
      <c r="G31" s="390"/>
      <c r="H31" s="381"/>
      <c r="I31" s="381"/>
      <c r="J31" s="391"/>
      <c r="K31" s="391"/>
      <c r="L31" s="391"/>
      <c r="M31" s="391"/>
      <c r="N31" s="391"/>
      <c r="O31" s="391"/>
      <c r="P31" s="391"/>
      <c r="Q31" s="391"/>
      <c r="R31" s="391"/>
      <c r="S31" s="391"/>
    </row>
    <row r="32" ht="19.5" customHeight="1">
      <c r="A32" s="382">
        <v>2601607.0</v>
      </c>
      <c r="B32" s="383" t="s">
        <v>569</v>
      </c>
      <c r="C32" s="384" t="s">
        <v>504</v>
      </c>
      <c r="D32" s="385"/>
      <c r="E32" s="376"/>
      <c r="F32" s="376"/>
      <c r="G32" s="385"/>
      <c r="H32" s="385"/>
      <c r="I32" s="385"/>
      <c r="J32" s="376"/>
      <c r="K32" s="376"/>
      <c r="L32" s="376"/>
      <c r="M32" s="376"/>
      <c r="N32" s="376"/>
      <c r="O32" s="376"/>
      <c r="P32" s="376"/>
      <c r="Q32" s="376"/>
      <c r="R32" s="376"/>
      <c r="S32" s="376"/>
    </row>
    <row r="33" ht="19.5" customHeight="1">
      <c r="A33" s="378">
        <v>2601706.0</v>
      </c>
      <c r="B33" s="379" t="s">
        <v>455</v>
      </c>
      <c r="C33" s="380" t="s">
        <v>317</v>
      </c>
      <c r="D33" s="381"/>
      <c r="E33" s="370"/>
      <c r="F33" s="370"/>
      <c r="G33" s="381"/>
      <c r="H33" s="381"/>
      <c r="I33" s="381"/>
      <c r="J33" s="370"/>
      <c r="K33" s="370"/>
      <c r="L33" s="370"/>
      <c r="M33" s="370"/>
      <c r="N33" s="370"/>
      <c r="O33" s="370"/>
      <c r="P33" s="370"/>
      <c r="Q33" s="370"/>
      <c r="R33" s="370"/>
      <c r="S33" s="370"/>
    </row>
    <row r="34" ht="19.5" customHeight="1">
      <c r="A34" s="382">
        <v>2601805.0</v>
      </c>
      <c r="B34" s="383" t="s">
        <v>570</v>
      </c>
      <c r="C34" s="384" t="s">
        <v>425</v>
      </c>
      <c r="D34" s="385"/>
      <c r="E34" s="376"/>
      <c r="F34" s="376"/>
      <c r="G34" s="385"/>
      <c r="H34" s="385"/>
      <c r="I34" s="385"/>
      <c r="J34" s="376"/>
      <c r="K34" s="376"/>
      <c r="L34" s="376"/>
      <c r="M34" s="376"/>
      <c r="N34" s="376"/>
      <c r="O34" s="376"/>
      <c r="P34" s="376"/>
      <c r="Q34" s="376"/>
      <c r="R34" s="376"/>
      <c r="S34" s="376"/>
    </row>
    <row r="35" ht="19.5" customHeight="1">
      <c r="A35" s="378">
        <v>2601904.0</v>
      </c>
      <c r="B35" s="379" t="s">
        <v>571</v>
      </c>
      <c r="C35" s="380" t="s">
        <v>317</v>
      </c>
      <c r="D35" s="381"/>
      <c r="E35" s="370"/>
      <c r="F35" s="370"/>
      <c r="G35" s="381"/>
      <c r="H35" s="381"/>
      <c r="I35" s="381"/>
      <c r="J35" s="370"/>
      <c r="K35" s="370"/>
      <c r="L35" s="370"/>
      <c r="M35" s="370"/>
      <c r="N35" s="370"/>
      <c r="O35" s="370"/>
      <c r="P35" s="370"/>
      <c r="Q35" s="370"/>
      <c r="R35" s="370"/>
      <c r="S35" s="370"/>
    </row>
    <row r="36" ht="19.5" customHeight="1">
      <c r="A36" s="382">
        <v>2602001.0</v>
      </c>
      <c r="B36" s="383" t="s">
        <v>572</v>
      </c>
      <c r="C36" s="384" t="s">
        <v>427</v>
      </c>
      <c r="D36" s="385"/>
      <c r="E36" s="376"/>
      <c r="F36" s="376"/>
      <c r="G36" s="385"/>
      <c r="H36" s="385"/>
      <c r="I36" s="385"/>
      <c r="J36" s="376"/>
      <c r="K36" s="376"/>
      <c r="L36" s="376"/>
      <c r="M36" s="376"/>
      <c r="N36" s="376"/>
      <c r="O36" s="376"/>
      <c r="P36" s="376"/>
      <c r="Q36" s="376"/>
      <c r="R36" s="376"/>
      <c r="S36" s="376"/>
    </row>
    <row r="37" ht="19.5" customHeight="1">
      <c r="A37" s="378">
        <v>2602100.0</v>
      </c>
      <c r="B37" s="379" t="s">
        <v>573</v>
      </c>
      <c r="C37" s="380" t="s">
        <v>421</v>
      </c>
      <c r="D37" s="381"/>
      <c r="E37" s="370"/>
      <c r="F37" s="370"/>
      <c r="G37" s="381"/>
      <c r="H37" s="381"/>
      <c r="I37" s="381"/>
      <c r="J37" s="370"/>
      <c r="K37" s="370"/>
      <c r="L37" s="370"/>
      <c r="M37" s="370"/>
      <c r="N37" s="370"/>
      <c r="O37" s="370"/>
      <c r="P37" s="370"/>
      <c r="Q37" s="370"/>
      <c r="R37" s="370"/>
      <c r="S37" s="370"/>
    </row>
    <row r="38" ht="19.5" customHeight="1">
      <c r="A38" s="382">
        <v>2602209.0</v>
      </c>
      <c r="B38" s="383" t="s">
        <v>574</v>
      </c>
      <c r="C38" s="384" t="s">
        <v>437</v>
      </c>
      <c r="D38" s="385"/>
      <c r="E38" s="376"/>
      <c r="F38" s="376"/>
      <c r="G38" s="385"/>
      <c r="H38" s="385"/>
      <c r="I38" s="385"/>
      <c r="J38" s="376"/>
      <c r="K38" s="376"/>
      <c r="L38" s="376"/>
      <c r="M38" s="376"/>
      <c r="N38" s="376"/>
      <c r="O38" s="376"/>
      <c r="P38" s="376"/>
      <c r="Q38" s="376"/>
      <c r="R38" s="376"/>
      <c r="S38" s="376"/>
    </row>
    <row r="39" ht="19.5" customHeight="1">
      <c r="A39" s="378">
        <v>2602308.0</v>
      </c>
      <c r="B39" s="379" t="s">
        <v>575</v>
      </c>
      <c r="C39" s="380" t="s">
        <v>317</v>
      </c>
      <c r="D39" s="381"/>
      <c r="E39" s="370"/>
      <c r="F39" s="370"/>
      <c r="G39" s="381"/>
      <c r="H39" s="381"/>
      <c r="I39" s="381"/>
      <c r="J39" s="370"/>
      <c r="K39" s="370"/>
      <c r="L39" s="370"/>
      <c r="M39" s="370"/>
      <c r="N39" s="370"/>
      <c r="O39" s="370"/>
      <c r="P39" s="370"/>
      <c r="Q39" s="370"/>
      <c r="R39" s="370"/>
      <c r="S39" s="370"/>
    </row>
    <row r="40" ht="19.5" customHeight="1">
      <c r="A40" s="382">
        <v>2602407.0</v>
      </c>
      <c r="B40" s="383" t="s">
        <v>576</v>
      </c>
      <c r="C40" s="384" t="s">
        <v>421</v>
      </c>
      <c r="D40" s="385"/>
      <c r="E40" s="376"/>
      <c r="F40" s="376"/>
      <c r="G40" s="385"/>
      <c r="H40" s="385"/>
      <c r="I40" s="385"/>
      <c r="J40" s="376"/>
      <c r="K40" s="376"/>
      <c r="L40" s="376"/>
      <c r="M40" s="376"/>
      <c r="N40" s="376"/>
      <c r="O40" s="376"/>
      <c r="P40" s="376"/>
      <c r="Q40" s="376"/>
      <c r="R40" s="376"/>
      <c r="S40" s="376"/>
    </row>
    <row r="41" ht="19.5" customHeight="1">
      <c r="A41" s="378">
        <v>2602506.0</v>
      </c>
      <c r="B41" s="379" t="s">
        <v>577</v>
      </c>
      <c r="C41" s="380" t="s">
        <v>430</v>
      </c>
      <c r="D41" s="381"/>
      <c r="E41" s="370"/>
      <c r="F41" s="370"/>
      <c r="G41" s="381"/>
      <c r="H41" s="381"/>
      <c r="I41" s="381"/>
      <c r="J41" s="370"/>
      <c r="K41" s="370"/>
      <c r="L41" s="370"/>
      <c r="M41" s="370"/>
      <c r="N41" s="370"/>
      <c r="O41" s="370"/>
      <c r="P41" s="370"/>
      <c r="Q41" s="370"/>
      <c r="R41" s="370"/>
      <c r="S41" s="370"/>
    </row>
    <row r="42" ht="19.5" customHeight="1">
      <c r="A42" s="382">
        <v>2602605.0</v>
      </c>
      <c r="B42" s="383" t="s">
        <v>578</v>
      </c>
      <c r="C42" s="384" t="s">
        <v>317</v>
      </c>
      <c r="D42" s="385"/>
      <c r="E42" s="376"/>
      <c r="F42" s="376"/>
      <c r="G42" s="385"/>
      <c r="H42" s="385"/>
      <c r="I42" s="385"/>
      <c r="J42" s="376"/>
      <c r="K42" s="376"/>
      <c r="L42" s="376"/>
      <c r="M42" s="376"/>
      <c r="N42" s="376"/>
      <c r="O42" s="376"/>
      <c r="P42" s="376"/>
      <c r="Q42" s="376"/>
      <c r="R42" s="376"/>
      <c r="S42" s="376"/>
    </row>
    <row r="43" ht="19.5" customHeight="1">
      <c r="A43" s="378">
        <v>2602704.0</v>
      </c>
      <c r="B43" s="379" t="s">
        <v>579</v>
      </c>
      <c r="C43" s="380" t="s">
        <v>415</v>
      </c>
      <c r="D43" s="381"/>
      <c r="E43" s="370"/>
      <c r="F43" s="370"/>
      <c r="G43" s="381"/>
      <c r="H43" s="381"/>
      <c r="I43" s="381"/>
      <c r="J43" s="370"/>
      <c r="K43" s="370"/>
      <c r="L43" s="370"/>
      <c r="M43" s="370"/>
      <c r="N43" s="370"/>
      <c r="O43" s="370"/>
      <c r="P43" s="370"/>
      <c r="Q43" s="370"/>
      <c r="R43" s="370"/>
      <c r="S43" s="370"/>
    </row>
    <row r="44" ht="19.5" customHeight="1">
      <c r="A44" s="382">
        <v>2602803.0</v>
      </c>
      <c r="B44" s="383" t="s">
        <v>500</v>
      </c>
      <c r="C44" s="384" t="s">
        <v>421</v>
      </c>
      <c r="D44" s="388"/>
      <c r="E44" s="389"/>
      <c r="F44" s="389"/>
      <c r="G44" s="388"/>
      <c r="H44" s="385"/>
      <c r="I44" s="385"/>
      <c r="J44" s="389"/>
      <c r="K44" s="389"/>
      <c r="L44" s="389"/>
      <c r="M44" s="389"/>
      <c r="N44" s="389"/>
      <c r="O44" s="389"/>
      <c r="P44" s="389"/>
      <c r="Q44" s="389"/>
      <c r="R44" s="389"/>
      <c r="S44" s="389"/>
    </row>
    <row r="45" ht="19.5" customHeight="1">
      <c r="A45" s="378">
        <v>2602902.0</v>
      </c>
      <c r="B45" s="379" t="s">
        <v>413</v>
      </c>
      <c r="C45" s="380" t="s">
        <v>104</v>
      </c>
      <c r="D45" s="381"/>
      <c r="E45" s="370"/>
      <c r="F45" s="370"/>
      <c r="G45" s="381"/>
      <c r="H45" s="381"/>
      <c r="I45" s="381"/>
      <c r="J45" s="370"/>
      <c r="K45" s="370"/>
      <c r="L45" s="370"/>
      <c r="M45" s="370"/>
      <c r="N45" s="370"/>
      <c r="O45" s="370"/>
      <c r="P45" s="370"/>
      <c r="Q45" s="370"/>
      <c r="R45" s="370"/>
      <c r="S45" s="370"/>
    </row>
    <row r="46" ht="19.5" customHeight="1">
      <c r="A46" s="382">
        <v>2603009.0</v>
      </c>
      <c r="B46" s="383" t="s">
        <v>580</v>
      </c>
      <c r="C46" s="384" t="s">
        <v>433</v>
      </c>
      <c r="D46" s="388"/>
      <c r="E46" s="389"/>
      <c r="F46" s="389"/>
      <c r="G46" s="388"/>
      <c r="H46" s="385"/>
      <c r="I46" s="385"/>
      <c r="J46" s="389"/>
      <c r="K46" s="389"/>
      <c r="L46" s="389"/>
      <c r="M46" s="389"/>
      <c r="N46" s="389"/>
      <c r="O46" s="389"/>
      <c r="P46" s="389"/>
      <c r="Q46" s="389"/>
      <c r="R46" s="389"/>
      <c r="S46" s="389"/>
    </row>
    <row r="47" ht="19.5" customHeight="1">
      <c r="A47" s="378">
        <v>2603108.0</v>
      </c>
      <c r="B47" s="379" t="s">
        <v>581</v>
      </c>
      <c r="C47" s="380" t="s">
        <v>317</v>
      </c>
      <c r="D47" s="381"/>
      <c r="E47" s="370"/>
      <c r="F47" s="370"/>
      <c r="G47" s="381"/>
      <c r="H47" s="381"/>
      <c r="I47" s="381"/>
      <c r="J47" s="370"/>
      <c r="K47" s="370"/>
      <c r="L47" s="370"/>
      <c r="M47" s="370"/>
      <c r="N47" s="370"/>
      <c r="O47" s="370"/>
      <c r="P47" s="370"/>
      <c r="Q47" s="370"/>
      <c r="R47" s="370"/>
      <c r="S47" s="370"/>
    </row>
    <row r="48" ht="19.5" customHeight="1">
      <c r="A48" s="382">
        <v>2603207.0</v>
      </c>
      <c r="B48" s="383" t="s">
        <v>582</v>
      </c>
      <c r="C48" s="384" t="s">
        <v>421</v>
      </c>
      <c r="D48" s="385"/>
      <c r="E48" s="376"/>
      <c r="F48" s="376"/>
      <c r="G48" s="385"/>
      <c r="H48" s="385"/>
      <c r="I48" s="385"/>
      <c r="J48" s="376"/>
      <c r="K48" s="376"/>
      <c r="L48" s="376"/>
      <c r="M48" s="376"/>
      <c r="N48" s="376"/>
      <c r="O48" s="376"/>
      <c r="P48" s="376"/>
      <c r="Q48" s="376"/>
      <c r="R48" s="376"/>
      <c r="S48" s="376"/>
    </row>
    <row r="49" ht="19.5" customHeight="1">
      <c r="A49" s="378">
        <v>2603306.0</v>
      </c>
      <c r="B49" s="379" t="s">
        <v>583</v>
      </c>
      <c r="C49" s="380" t="s">
        <v>421</v>
      </c>
      <c r="D49" s="381"/>
      <c r="E49" s="370"/>
      <c r="F49" s="370"/>
      <c r="G49" s="381"/>
      <c r="H49" s="381"/>
      <c r="I49" s="381"/>
      <c r="J49" s="370"/>
      <c r="K49" s="370"/>
      <c r="L49" s="370"/>
      <c r="M49" s="370"/>
      <c r="N49" s="370"/>
      <c r="O49" s="370"/>
      <c r="P49" s="370"/>
      <c r="Q49" s="370"/>
      <c r="R49" s="370"/>
      <c r="S49" s="370"/>
    </row>
    <row r="50" ht="19.5" customHeight="1">
      <c r="A50" s="382">
        <v>2603405.0</v>
      </c>
      <c r="B50" s="383" t="s">
        <v>584</v>
      </c>
      <c r="C50" s="384" t="s">
        <v>430</v>
      </c>
      <c r="D50" s="388"/>
      <c r="E50" s="389"/>
      <c r="F50" s="389"/>
      <c r="G50" s="388"/>
      <c r="H50" s="385"/>
      <c r="I50" s="385"/>
      <c r="J50" s="389"/>
      <c r="K50" s="389"/>
      <c r="L50" s="389"/>
      <c r="M50" s="389"/>
      <c r="N50" s="389"/>
      <c r="O50" s="389"/>
      <c r="P50" s="389"/>
      <c r="Q50" s="389"/>
      <c r="R50" s="389"/>
      <c r="S50" s="389"/>
    </row>
    <row r="51" ht="19.5" customHeight="1">
      <c r="A51" s="378">
        <v>2603454.0</v>
      </c>
      <c r="B51" s="379" t="s">
        <v>585</v>
      </c>
      <c r="C51" s="380" t="s">
        <v>104</v>
      </c>
      <c r="D51" s="390"/>
      <c r="E51" s="391"/>
      <c r="F51" s="391"/>
      <c r="G51" s="390"/>
      <c r="H51" s="381"/>
      <c r="I51" s="381"/>
      <c r="J51" s="391"/>
      <c r="K51" s="391"/>
      <c r="L51" s="391"/>
      <c r="M51" s="391"/>
      <c r="N51" s="391"/>
      <c r="O51" s="391"/>
      <c r="P51" s="391"/>
      <c r="Q51" s="391"/>
      <c r="R51" s="391"/>
      <c r="S51" s="391"/>
    </row>
    <row r="52" ht="19.5" customHeight="1">
      <c r="A52" s="382">
        <v>2603504.0</v>
      </c>
      <c r="B52" s="383" t="s">
        <v>586</v>
      </c>
      <c r="C52" s="384" t="s">
        <v>317</v>
      </c>
      <c r="D52" s="388"/>
      <c r="E52" s="389"/>
      <c r="F52" s="389"/>
      <c r="G52" s="388"/>
      <c r="H52" s="385"/>
      <c r="I52" s="385"/>
      <c r="J52" s="389"/>
      <c r="K52" s="389"/>
      <c r="L52" s="389"/>
      <c r="M52" s="389"/>
      <c r="N52" s="389"/>
      <c r="O52" s="389"/>
      <c r="P52" s="389"/>
      <c r="Q52" s="389"/>
      <c r="R52" s="389"/>
      <c r="S52" s="389"/>
    </row>
    <row r="53" ht="19.5" customHeight="1">
      <c r="A53" s="378">
        <v>2603603.0</v>
      </c>
      <c r="B53" s="379" t="s">
        <v>587</v>
      </c>
      <c r="C53" s="380" t="s">
        <v>415</v>
      </c>
      <c r="D53" s="390"/>
      <c r="E53" s="391"/>
      <c r="F53" s="391"/>
      <c r="G53" s="390"/>
      <c r="H53" s="381"/>
      <c r="I53" s="381"/>
      <c r="J53" s="391"/>
      <c r="K53" s="391"/>
      <c r="L53" s="391"/>
      <c r="M53" s="391"/>
      <c r="N53" s="391"/>
      <c r="O53" s="391"/>
      <c r="P53" s="391"/>
      <c r="Q53" s="391"/>
      <c r="R53" s="391"/>
      <c r="S53" s="391"/>
    </row>
    <row r="54" ht="19.5" customHeight="1">
      <c r="A54" s="382">
        <v>2603702.0</v>
      </c>
      <c r="B54" s="383" t="s">
        <v>588</v>
      </c>
      <c r="C54" s="384" t="s">
        <v>421</v>
      </c>
      <c r="D54" s="388"/>
      <c r="E54" s="389"/>
      <c r="F54" s="389"/>
      <c r="G54" s="388"/>
      <c r="H54" s="385"/>
      <c r="I54" s="385"/>
      <c r="J54" s="389"/>
      <c r="K54" s="389"/>
      <c r="L54" s="389"/>
      <c r="M54" s="389"/>
      <c r="N54" s="389"/>
      <c r="O54" s="389"/>
      <c r="P54" s="389"/>
      <c r="Q54" s="389"/>
      <c r="R54" s="389"/>
      <c r="S54" s="389"/>
    </row>
    <row r="55" ht="19.5" customHeight="1">
      <c r="A55" s="378">
        <v>2603801.0</v>
      </c>
      <c r="B55" s="379" t="s">
        <v>589</v>
      </c>
      <c r="C55" s="380" t="s">
        <v>421</v>
      </c>
      <c r="D55" s="390"/>
      <c r="E55" s="391"/>
      <c r="F55" s="391"/>
      <c r="G55" s="390"/>
      <c r="H55" s="381"/>
      <c r="I55" s="381"/>
      <c r="J55" s="391"/>
      <c r="K55" s="391"/>
      <c r="L55" s="391"/>
      <c r="M55" s="391"/>
      <c r="N55" s="391"/>
      <c r="O55" s="391"/>
      <c r="P55" s="391"/>
      <c r="Q55" s="391"/>
      <c r="R55" s="391"/>
      <c r="S55" s="391"/>
    </row>
    <row r="56" ht="19.5" customHeight="1">
      <c r="A56" s="382">
        <v>2603900.0</v>
      </c>
      <c r="B56" s="383" t="s">
        <v>590</v>
      </c>
      <c r="C56" s="384" t="s">
        <v>430</v>
      </c>
      <c r="D56" s="388"/>
      <c r="E56" s="389"/>
      <c r="F56" s="389"/>
      <c r="G56" s="388"/>
      <c r="H56" s="385"/>
      <c r="I56" s="385"/>
      <c r="J56" s="389"/>
      <c r="K56" s="389"/>
      <c r="L56" s="389"/>
      <c r="M56" s="389"/>
      <c r="N56" s="389"/>
      <c r="O56" s="389"/>
      <c r="P56" s="389"/>
      <c r="Q56" s="389"/>
      <c r="R56" s="389"/>
      <c r="S56" s="389"/>
    </row>
    <row r="57" ht="19.5" customHeight="1">
      <c r="A57" s="378">
        <v>2603926.0</v>
      </c>
      <c r="B57" s="379" t="s">
        <v>591</v>
      </c>
      <c r="C57" s="380" t="s">
        <v>504</v>
      </c>
      <c r="D57" s="390"/>
      <c r="E57" s="391"/>
      <c r="F57" s="391"/>
      <c r="G57" s="390"/>
      <c r="H57" s="381"/>
      <c r="I57" s="381"/>
      <c r="J57" s="391"/>
      <c r="K57" s="391"/>
      <c r="L57" s="391"/>
      <c r="M57" s="391"/>
      <c r="N57" s="391"/>
      <c r="O57" s="391"/>
      <c r="P57" s="391"/>
      <c r="Q57" s="391"/>
      <c r="R57" s="391"/>
      <c r="S57" s="391"/>
    </row>
    <row r="58" ht="19.5" customHeight="1">
      <c r="A58" s="382">
        <v>2604007.0</v>
      </c>
      <c r="B58" s="383" t="s">
        <v>453</v>
      </c>
      <c r="C58" s="384" t="s">
        <v>415</v>
      </c>
      <c r="D58" s="388"/>
      <c r="E58" s="389"/>
      <c r="F58" s="389"/>
      <c r="G58" s="388"/>
      <c r="H58" s="385"/>
      <c r="I58" s="385"/>
      <c r="J58" s="389"/>
      <c r="K58" s="389"/>
      <c r="L58" s="389"/>
      <c r="M58" s="389"/>
      <c r="N58" s="389"/>
      <c r="O58" s="389"/>
      <c r="P58" s="389"/>
      <c r="Q58" s="389"/>
      <c r="R58" s="389"/>
      <c r="S58" s="389"/>
    </row>
    <row r="59" ht="19.5" customHeight="1">
      <c r="A59" s="378">
        <v>2604106.0</v>
      </c>
      <c r="B59" s="379" t="s">
        <v>315</v>
      </c>
      <c r="C59" s="380" t="s">
        <v>317</v>
      </c>
      <c r="D59" s="390"/>
      <c r="E59" s="391"/>
      <c r="F59" s="391"/>
      <c r="G59" s="390"/>
      <c r="H59" s="381"/>
      <c r="I59" s="381"/>
      <c r="J59" s="391"/>
      <c r="K59" s="391"/>
      <c r="L59" s="391"/>
      <c r="M59" s="391"/>
      <c r="N59" s="391"/>
      <c r="O59" s="391"/>
      <c r="P59" s="391"/>
      <c r="Q59" s="391"/>
      <c r="R59" s="391"/>
      <c r="S59" s="391"/>
    </row>
    <row r="60" ht="19.5" customHeight="1">
      <c r="A60" s="382">
        <v>2604155.0</v>
      </c>
      <c r="B60" s="383" t="s">
        <v>592</v>
      </c>
      <c r="C60" s="384" t="s">
        <v>437</v>
      </c>
      <c r="D60" s="388"/>
      <c r="E60" s="389"/>
      <c r="F60" s="389"/>
      <c r="G60" s="388"/>
      <c r="H60" s="385"/>
      <c r="I60" s="385"/>
      <c r="J60" s="389"/>
      <c r="K60" s="389"/>
      <c r="L60" s="389"/>
      <c r="M60" s="389"/>
      <c r="N60" s="389"/>
      <c r="O60" s="389"/>
      <c r="P60" s="389"/>
      <c r="Q60" s="389"/>
      <c r="R60" s="389"/>
      <c r="S60" s="389"/>
    </row>
    <row r="61" ht="19.5" customHeight="1">
      <c r="A61" s="378">
        <v>2604205.0</v>
      </c>
      <c r="B61" s="379" t="s">
        <v>593</v>
      </c>
      <c r="C61" s="380" t="s">
        <v>418</v>
      </c>
      <c r="D61" s="390"/>
      <c r="E61" s="391"/>
      <c r="F61" s="391"/>
      <c r="G61" s="390"/>
      <c r="H61" s="381"/>
      <c r="I61" s="381"/>
      <c r="J61" s="391"/>
      <c r="K61" s="391"/>
      <c r="L61" s="391"/>
      <c r="M61" s="391"/>
      <c r="N61" s="391"/>
      <c r="O61" s="391"/>
      <c r="P61" s="391"/>
      <c r="Q61" s="391"/>
      <c r="R61" s="391"/>
      <c r="S61" s="391"/>
    </row>
    <row r="62" ht="19.5" customHeight="1">
      <c r="A62" s="382">
        <v>2604304.0</v>
      </c>
      <c r="B62" s="383" t="s">
        <v>594</v>
      </c>
      <c r="C62" s="384" t="s">
        <v>423</v>
      </c>
      <c r="D62" s="388"/>
      <c r="E62" s="389"/>
      <c r="F62" s="389"/>
      <c r="G62" s="388"/>
      <c r="H62" s="385"/>
      <c r="I62" s="385"/>
      <c r="J62" s="389"/>
      <c r="K62" s="389"/>
      <c r="L62" s="389"/>
      <c r="M62" s="389"/>
      <c r="N62" s="389"/>
      <c r="O62" s="389"/>
      <c r="P62" s="389"/>
      <c r="Q62" s="389"/>
      <c r="R62" s="389"/>
      <c r="S62" s="389"/>
    </row>
    <row r="63" ht="19.5" customHeight="1">
      <c r="A63" s="378">
        <v>2604403.0</v>
      </c>
      <c r="B63" s="379" t="s">
        <v>595</v>
      </c>
      <c r="C63" s="380" t="s">
        <v>415</v>
      </c>
      <c r="D63" s="390"/>
      <c r="E63" s="391"/>
      <c r="F63" s="391"/>
      <c r="G63" s="390"/>
      <c r="H63" s="381"/>
      <c r="I63" s="381"/>
      <c r="J63" s="391"/>
      <c r="K63" s="391"/>
      <c r="L63" s="391"/>
      <c r="M63" s="391"/>
      <c r="N63" s="391"/>
      <c r="O63" s="391"/>
      <c r="P63" s="391"/>
      <c r="Q63" s="391"/>
      <c r="R63" s="391"/>
      <c r="S63" s="391"/>
    </row>
    <row r="64" ht="19.5" customHeight="1">
      <c r="A64" s="382">
        <v>2604502.0</v>
      </c>
      <c r="B64" s="383" t="s">
        <v>596</v>
      </c>
      <c r="C64" s="384" t="s">
        <v>418</v>
      </c>
      <c r="D64" s="388"/>
      <c r="E64" s="389"/>
      <c r="F64" s="389"/>
      <c r="G64" s="388"/>
      <c r="H64" s="385"/>
      <c r="I64" s="385"/>
      <c r="J64" s="389"/>
      <c r="K64" s="389"/>
      <c r="L64" s="389"/>
      <c r="M64" s="389"/>
      <c r="N64" s="389"/>
      <c r="O64" s="389"/>
      <c r="P64" s="389"/>
      <c r="Q64" s="389"/>
      <c r="R64" s="389"/>
      <c r="S64" s="389"/>
    </row>
    <row r="65" ht="19.5" customHeight="1">
      <c r="A65" s="378">
        <v>2604601.0</v>
      </c>
      <c r="B65" s="379" t="s">
        <v>597</v>
      </c>
      <c r="C65" s="380" t="s">
        <v>415</v>
      </c>
      <c r="D65" s="390"/>
      <c r="E65" s="391"/>
      <c r="F65" s="391"/>
      <c r="G65" s="390"/>
      <c r="H65" s="381"/>
      <c r="I65" s="381"/>
      <c r="J65" s="391"/>
      <c r="K65" s="391"/>
      <c r="L65" s="391"/>
      <c r="M65" s="391"/>
      <c r="N65" s="391"/>
      <c r="O65" s="391"/>
      <c r="P65" s="391"/>
      <c r="Q65" s="391"/>
      <c r="R65" s="391"/>
      <c r="S65" s="391"/>
    </row>
    <row r="66" ht="19.5" customHeight="1">
      <c r="A66" s="382">
        <v>2604700.0</v>
      </c>
      <c r="B66" s="383" t="s">
        <v>598</v>
      </c>
      <c r="C66" s="384" t="s">
        <v>421</v>
      </c>
      <c r="D66" s="388"/>
      <c r="E66" s="389"/>
      <c r="F66" s="389"/>
      <c r="G66" s="388"/>
      <c r="H66" s="385"/>
      <c r="I66" s="385"/>
      <c r="J66" s="389"/>
      <c r="K66" s="389"/>
      <c r="L66" s="389"/>
      <c r="M66" s="389"/>
      <c r="N66" s="389"/>
      <c r="O66" s="389"/>
      <c r="P66" s="389"/>
      <c r="Q66" s="389"/>
      <c r="R66" s="389"/>
      <c r="S66" s="389"/>
    </row>
    <row r="67" ht="19.5" customHeight="1">
      <c r="A67" s="378">
        <v>2604809.0</v>
      </c>
      <c r="B67" s="379" t="s">
        <v>599</v>
      </c>
      <c r="C67" s="380" t="s">
        <v>418</v>
      </c>
      <c r="D67" s="390"/>
      <c r="E67" s="391"/>
      <c r="F67" s="391"/>
      <c r="G67" s="390"/>
      <c r="H67" s="381"/>
      <c r="I67" s="381"/>
      <c r="J67" s="391"/>
      <c r="K67" s="391"/>
      <c r="L67" s="391"/>
      <c r="M67" s="391"/>
      <c r="N67" s="391"/>
      <c r="O67" s="391"/>
      <c r="P67" s="391"/>
      <c r="Q67" s="391"/>
      <c r="R67" s="391"/>
      <c r="S67" s="391"/>
    </row>
    <row r="68" ht="19.5" customHeight="1">
      <c r="A68" s="382">
        <v>2604908.0</v>
      </c>
      <c r="B68" s="383" t="s">
        <v>600</v>
      </c>
      <c r="C68" s="384" t="s">
        <v>437</v>
      </c>
      <c r="D68" s="388"/>
      <c r="E68" s="389"/>
      <c r="F68" s="389"/>
      <c r="G68" s="388"/>
      <c r="H68" s="385"/>
      <c r="I68" s="385"/>
      <c r="J68" s="389"/>
      <c r="K68" s="389"/>
      <c r="L68" s="389"/>
      <c r="M68" s="389"/>
      <c r="N68" s="389"/>
      <c r="O68" s="389"/>
      <c r="P68" s="389"/>
      <c r="Q68" s="389"/>
      <c r="R68" s="389"/>
      <c r="S68" s="389"/>
    </row>
    <row r="69" ht="19.5" customHeight="1">
      <c r="A69" s="378">
        <v>2605004.0</v>
      </c>
      <c r="B69" s="379" t="s">
        <v>601</v>
      </c>
      <c r="C69" s="380" t="s">
        <v>317</v>
      </c>
      <c r="D69" s="390"/>
      <c r="E69" s="391"/>
      <c r="F69" s="391"/>
      <c r="G69" s="390"/>
      <c r="H69" s="381"/>
      <c r="I69" s="381"/>
      <c r="J69" s="391"/>
      <c r="K69" s="391"/>
      <c r="L69" s="391"/>
      <c r="M69" s="391"/>
      <c r="N69" s="391"/>
      <c r="O69" s="391"/>
      <c r="P69" s="391"/>
      <c r="Q69" s="391"/>
      <c r="R69" s="391"/>
      <c r="S69" s="391"/>
    </row>
    <row r="70" ht="19.5" customHeight="1">
      <c r="A70" s="382">
        <v>2605103.0</v>
      </c>
      <c r="B70" s="383" t="s">
        <v>602</v>
      </c>
      <c r="C70" s="384" t="s">
        <v>425</v>
      </c>
      <c r="D70" s="388"/>
      <c r="E70" s="389"/>
      <c r="F70" s="389"/>
      <c r="G70" s="388"/>
      <c r="H70" s="385"/>
      <c r="I70" s="385"/>
      <c r="J70" s="389"/>
      <c r="K70" s="389"/>
      <c r="L70" s="389"/>
      <c r="M70" s="389"/>
      <c r="N70" s="389"/>
      <c r="O70" s="389"/>
      <c r="P70" s="389"/>
      <c r="Q70" s="389"/>
      <c r="R70" s="389"/>
      <c r="S70" s="389"/>
    </row>
    <row r="71" ht="19.5" customHeight="1">
      <c r="A71" s="378">
        <v>2605152.0</v>
      </c>
      <c r="B71" s="379" t="s">
        <v>603</v>
      </c>
      <c r="C71" s="380" t="s">
        <v>433</v>
      </c>
      <c r="D71" s="390"/>
      <c r="E71" s="391"/>
      <c r="F71" s="391"/>
      <c r="G71" s="390"/>
      <c r="H71" s="381"/>
      <c r="I71" s="381"/>
      <c r="J71" s="391"/>
      <c r="K71" s="391"/>
      <c r="L71" s="391"/>
      <c r="M71" s="391"/>
      <c r="N71" s="391"/>
      <c r="O71" s="391"/>
      <c r="P71" s="391"/>
      <c r="Q71" s="391"/>
      <c r="R71" s="391"/>
      <c r="S71" s="391"/>
    </row>
    <row r="72" ht="19.5" customHeight="1">
      <c r="A72" s="382">
        <v>2605202.0</v>
      </c>
      <c r="B72" s="383" t="s">
        <v>454</v>
      </c>
      <c r="C72" s="384" t="s">
        <v>418</v>
      </c>
      <c r="D72" s="388"/>
      <c r="E72" s="389"/>
      <c r="F72" s="389"/>
      <c r="G72" s="388"/>
      <c r="H72" s="385"/>
      <c r="I72" s="385"/>
      <c r="J72" s="389"/>
      <c r="K72" s="389"/>
      <c r="L72" s="389"/>
      <c r="M72" s="389"/>
      <c r="N72" s="389"/>
      <c r="O72" s="389"/>
      <c r="P72" s="389"/>
      <c r="Q72" s="389"/>
      <c r="R72" s="389"/>
      <c r="S72" s="389"/>
    </row>
    <row r="73" ht="19.5" customHeight="1">
      <c r="A73" s="378">
        <v>2605301.0</v>
      </c>
      <c r="B73" s="379" t="s">
        <v>604</v>
      </c>
      <c r="C73" s="380" t="s">
        <v>427</v>
      </c>
      <c r="D73" s="390"/>
      <c r="E73" s="391"/>
      <c r="F73" s="391"/>
      <c r="G73" s="390"/>
      <c r="H73" s="381"/>
      <c r="I73" s="381"/>
      <c r="J73" s="391"/>
      <c r="K73" s="391"/>
      <c r="L73" s="391"/>
      <c r="M73" s="391"/>
      <c r="N73" s="391"/>
      <c r="O73" s="391"/>
      <c r="P73" s="391"/>
      <c r="Q73" s="391"/>
      <c r="R73" s="391"/>
      <c r="S73" s="391"/>
    </row>
    <row r="74" ht="19.5" customHeight="1">
      <c r="A74" s="382">
        <v>2605400.0</v>
      </c>
      <c r="B74" s="383" t="s">
        <v>605</v>
      </c>
      <c r="C74" s="384" t="s">
        <v>437</v>
      </c>
      <c r="D74" s="388"/>
      <c r="E74" s="389"/>
      <c r="F74" s="389"/>
      <c r="G74" s="388"/>
      <c r="H74" s="385"/>
      <c r="I74" s="385"/>
      <c r="J74" s="389"/>
      <c r="K74" s="389"/>
      <c r="L74" s="389"/>
      <c r="M74" s="389"/>
      <c r="N74" s="389"/>
      <c r="O74" s="389"/>
      <c r="P74" s="389"/>
      <c r="Q74" s="389"/>
      <c r="R74" s="389"/>
      <c r="S74" s="389"/>
    </row>
    <row r="75" ht="19.5" customHeight="1">
      <c r="A75" s="378">
        <v>2605459.0</v>
      </c>
      <c r="B75" s="379" t="s">
        <v>409</v>
      </c>
      <c r="C75" s="380" t="s">
        <v>104</v>
      </c>
      <c r="D75" s="390"/>
      <c r="E75" s="391"/>
      <c r="F75" s="391"/>
      <c r="G75" s="390"/>
      <c r="H75" s="381"/>
      <c r="I75" s="381"/>
      <c r="J75" s="391"/>
      <c r="K75" s="391"/>
      <c r="L75" s="391"/>
      <c r="M75" s="391"/>
      <c r="N75" s="391"/>
      <c r="O75" s="391"/>
      <c r="P75" s="391"/>
      <c r="Q75" s="391"/>
      <c r="R75" s="391"/>
      <c r="S75" s="391"/>
    </row>
    <row r="76" ht="19.5" customHeight="1">
      <c r="A76" s="382">
        <v>2605509.0</v>
      </c>
      <c r="B76" s="383" t="s">
        <v>606</v>
      </c>
      <c r="C76" s="384" t="s">
        <v>415</v>
      </c>
      <c r="D76" s="388"/>
      <c r="E76" s="389"/>
      <c r="F76" s="389"/>
      <c r="G76" s="388"/>
      <c r="H76" s="385"/>
      <c r="I76" s="385"/>
      <c r="J76" s="389"/>
      <c r="K76" s="389"/>
      <c r="L76" s="389"/>
      <c r="M76" s="389"/>
      <c r="N76" s="389"/>
      <c r="O76" s="389"/>
      <c r="P76" s="389"/>
      <c r="Q76" s="389"/>
      <c r="R76" s="389"/>
      <c r="S76" s="389"/>
    </row>
    <row r="77" ht="19.5" customHeight="1">
      <c r="A77" s="378">
        <v>2605608.0</v>
      </c>
      <c r="B77" s="379" t="s">
        <v>607</v>
      </c>
      <c r="C77" s="380" t="s">
        <v>430</v>
      </c>
      <c r="D77" s="390"/>
      <c r="E77" s="391"/>
      <c r="F77" s="391"/>
      <c r="G77" s="390"/>
      <c r="H77" s="381"/>
      <c r="I77" s="381"/>
      <c r="J77" s="391"/>
      <c r="K77" s="391"/>
      <c r="L77" s="391"/>
      <c r="M77" s="391"/>
      <c r="N77" s="391"/>
      <c r="O77" s="391"/>
      <c r="P77" s="391"/>
      <c r="Q77" s="391"/>
      <c r="R77" s="391"/>
      <c r="S77" s="391"/>
    </row>
    <row r="78" ht="19.5" customHeight="1">
      <c r="A78" s="382">
        <v>2605707.0</v>
      </c>
      <c r="B78" s="383" t="s">
        <v>608</v>
      </c>
      <c r="C78" s="384" t="s">
        <v>504</v>
      </c>
      <c r="D78" s="388"/>
      <c r="E78" s="389"/>
      <c r="F78" s="389"/>
      <c r="G78" s="388"/>
      <c r="H78" s="385"/>
      <c r="I78" s="385"/>
      <c r="J78" s="389"/>
      <c r="K78" s="389"/>
      <c r="L78" s="389"/>
      <c r="M78" s="389"/>
      <c r="N78" s="389"/>
      <c r="O78" s="389"/>
      <c r="P78" s="389"/>
      <c r="Q78" s="389"/>
      <c r="R78" s="389"/>
      <c r="S78" s="389"/>
    </row>
    <row r="79" ht="19.5" customHeight="1">
      <c r="A79" s="378">
        <v>2605806.0</v>
      </c>
      <c r="B79" s="379" t="s">
        <v>609</v>
      </c>
      <c r="C79" s="380" t="s">
        <v>437</v>
      </c>
      <c r="D79" s="390"/>
      <c r="E79" s="391"/>
      <c r="F79" s="391"/>
      <c r="G79" s="390"/>
      <c r="H79" s="381"/>
      <c r="I79" s="381"/>
      <c r="J79" s="391"/>
      <c r="K79" s="391"/>
      <c r="L79" s="391"/>
      <c r="M79" s="391"/>
      <c r="N79" s="391"/>
      <c r="O79" s="391"/>
      <c r="P79" s="391"/>
      <c r="Q79" s="391"/>
      <c r="R79" s="391"/>
      <c r="S79" s="391"/>
    </row>
    <row r="80" ht="19.5" customHeight="1">
      <c r="A80" s="382">
        <v>2605905.0</v>
      </c>
      <c r="B80" s="383" t="s">
        <v>610</v>
      </c>
      <c r="C80" s="384" t="s">
        <v>418</v>
      </c>
      <c r="D80" s="388"/>
      <c r="E80" s="389"/>
      <c r="F80" s="389"/>
      <c r="G80" s="388"/>
      <c r="H80" s="385"/>
      <c r="I80" s="385"/>
      <c r="J80" s="389"/>
      <c r="K80" s="389"/>
      <c r="L80" s="389"/>
      <c r="M80" s="389"/>
      <c r="N80" s="389"/>
      <c r="O80" s="389"/>
      <c r="P80" s="389"/>
      <c r="Q80" s="389"/>
      <c r="R80" s="389"/>
      <c r="S80" s="389"/>
    </row>
    <row r="81" ht="19.5" customHeight="1">
      <c r="A81" s="378">
        <v>2606002.0</v>
      </c>
      <c r="B81" s="379" t="s">
        <v>420</v>
      </c>
      <c r="C81" s="380" t="s">
        <v>421</v>
      </c>
      <c r="D81" s="390"/>
      <c r="E81" s="391"/>
      <c r="F81" s="391"/>
      <c r="G81" s="390"/>
      <c r="H81" s="381"/>
      <c r="I81" s="381"/>
      <c r="J81" s="391"/>
      <c r="K81" s="391"/>
      <c r="L81" s="391"/>
      <c r="M81" s="391"/>
      <c r="N81" s="391"/>
      <c r="O81" s="391"/>
      <c r="P81" s="391"/>
      <c r="Q81" s="391"/>
      <c r="R81" s="391"/>
      <c r="S81" s="391"/>
    </row>
    <row r="82" ht="19.5" customHeight="1">
      <c r="A82" s="382">
        <v>2606101.0</v>
      </c>
      <c r="B82" s="383" t="s">
        <v>611</v>
      </c>
      <c r="C82" s="384" t="s">
        <v>415</v>
      </c>
      <c r="D82" s="388"/>
      <c r="E82" s="389"/>
      <c r="F82" s="389"/>
      <c r="G82" s="388"/>
      <c r="H82" s="385"/>
      <c r="I82" s="385"/>
      <c r="J82" s="389"/>
      <c r="K82" s="389"/>
      <c r="L82" s="389"/>
      <c r="M82" s="389"/>
      <c r="N82" s="389"/>
      <c r="O82" s="389"/>
      <c r="P82" s="389"/>
      <c r="Q82" s="389"/>
      <c r="R82" s="389"/>
      <c r="S82" s="389"/>
    </row>
    <row r="83" ht="19.5" customHeight="1">
      <c r="A83" s="378">
        <v>2606200.0</v>
      </c>
      <c r="B83" s="379" t="s">
        <v>414</v>
      </c>
      <c r="C83" s="380" t="s">
        <v>415</v>
      </c>
      <c r="D83" s="390"/>
      <c r="E83" s="391"/>
      <c r="F83" s="391"/>
      <c r="G83" s="390"/>
      <c r="H83" s="381"/>
      <c r="I83" s="381"/>
      <c r="J83" s="391"/>
      <c r="K83" s="391"/>
      <c r="L83" s="391"/>
      <c r="M83" s="391"/>
      <c r="N83" s="391"/>
      <c r="O83" s="391"/>
      <c r="P83" s="391"/>
      <c r="Q83" s="391"/>
      <c r="R83" s="391"/>
      <c r="S83" s="391"/>
    </row>
    <row r="84" ht="19.5" customHeight="1">
      <c r="A84" s="382">
        <v>2606309.0</v>
      </c>
      <c r="B84" s="383" t="s">
        <v>612</v>
      </c>
      <c r="C84" s="384" t="s">
        <v>427</v>
      </c>
      <c r="D84" s="388"/>
      <c r="E84" s="389"/>
      <c r="F84" s="389"/>
      <c r="G84" s="388"/>
      <c r="H84" s="385"/>
      <c r="I84" s="385"/>
      <c r="J84" s="389"/>
      <c r="K84" s="389"/>
      <c r="L84" s="389"/>
      <c r="M84" s="389"/>
      <c r="N84" s="389"/>
      <c r="O84" s="389"/>
      <c r="P84" s="389"/>
      <c r="Q84" s="389"/>
      <c r="R84" s="389"/>
      <c r="S84" s="389"/>
    </row>
    <row r="85" ht="19.5" customHeight="1">
      <c r="A85" s="378">
        <v>2606408.0</v>
      </c>
      <c r="B85" s="379" t="s">
        <v>613</v>
      </c>
      <c r="C85" s="380" t="s">
        <v>317</v>
      </c>
      <c r="D85" s="390"/>
      <c r="E85" s="391"/>
      <c r="F85" s="391"/>
      <c r="G85" s="390"/>
      <c r="H85" s="381"/>
      <c r="I85" s="381"/>
      <c r="J85" s="391"/>
      <c r="K85" s="391"/>
      <c r="L85" s="391"/>
      <c r="M85" s="391"/>
      <c r="N85" s="391"/>
      <c r="O85" s="391"/>
      <c r="P85" s="391"/>
      <c r="Q85" s="391"/>
      <c r="R85" s="391"/>
      <c r="S85" s="391"/>
    </row>
    <row r="86" ht="19.5" customHeight="1">
      <c r="A86" s="382">
        <v>2606507.0</v>
      </c>
      <c r="B86" s="383" t="s">
        <v>614</v>
      </c>
      <c r="C86" s="384" t="s">
        <v>421</v>
      </c>
      <c r="D86" s="388"/>
      <c r="E86" s="389"/>
      <c r="F86" s="389"/>
      <c r="G86" s="388"/>
      <c r="H86" s="385"/>
      <c r="I86" s="385"/>
      <c r="J86" s="389"/>
      <c r="K86" s="389"/>
      <c r="L86" s="389"/>
      <c r="M86" s="389"/>
      <c r="N86" s="389"/>
      <c r="O86" s="389"/>
      <c r="P86" s="389"/>
      <c r="Q86" s="389"/>
      <c r="R86" s="389"/>
      <c r="S86" s="389"/>
    </row>
    <row r="87" ht="19.5" customHeight="1">
      <c r="A87" s="378">
        <v>2606606.0</v>
      </c>
      <c r="B87" s="379" t="s">
        <v>615</v>
      </c>
      <c r="C87" s="380" t="s">
        <v>425</v>
      </c>
      <c r="D87" s="390"/>
      <c r="E87" s="391"/>
      <c r="F87" s="391"/>
      <c r="G87" s="390"/>
      <c r="H87" s="381"/>
      <c r="I87" s="381"/>
      <c r="J87" s="391"/>
      <c r="K87" s="391"/>
      <c r="L87" s="391"/>
      <c r="M87" s="391"/>
      <c r="N87" s="391"/>
      <c r="O87" s="391"/>
      <c r="P87" s="391"/>
      <c r="Q87" s="391"/>
      <c r="R87" s="391"/>
      <c r="S87" s="391"/>
    </row>
    <row r="88" ht="19.5" customHeight="1">
      <c r="A88" s="382">
        <v>2606705.0</v>
      </c>
      <c r="B88" s="383" t="s">
        <v>616</v>
      </c>
      <c r="C88" s="384" t="s">
        <v>317</v>
      </c>
      <c r="D88" s="388"/>
      <c r="E88" s="389"/>
      <c r="F88" s="389"/>
      <c r="G88" s="388"/>
      <c r="H88" s="385"/>
      <c r="I88" s="385"/>
      <c r="J88" s="389"/>
      <c r="K88" s="389"/>
      <c r="L88" s="389"/>
      <c r="M88" s="389"/>
      <c r="N88" s="389"/>
      <c r="O88" s="389"/>
      <c r="P88" s="389"/>
      <c r="Q88" s="389"/>
      <c r="R88" s="389"/>
      <c r="S88" s="389"/>
    </row>
    <row r="89" ht="19.5" customHeight="1">
      <c r="A89" s="378">
        <v>2606804.0</v>
      </c>
      <c r="B89" s="379" t="s">
        <v>442</v>
      </c>
      <c r="C89" s="380" t="s">
        <v>104</v>
      </c>
      <c r="D89" s="390"/>
      <c r="E89" s="391"/>
      <c r="F89" s="391"/>
      <c r="G89" s="390"/>
      <c r="H89" s="381"/>
      <c r="I89" s="381"/>
      <c r="J89" s="391"/>
      <c r="K89" s="391"/>
      <c r="L89" s="391"/>
      <c r="M89" s="391"/>
      <c r="N89" s="391"/>
      <c r="O89" s="391"/>
      <c r="P89" s="391"/>
      <c r="Q89" s="391"/>
      <c r="R89" s="391"/>
      <c r="S89" s="391"/>
    </row>
    <row r="90" ht="19.5" customHeight="1">
      <c r="A90" s="382">
        <v>2606903.0</v>
      </c>
      <c r="B90" s="383" t="s">
        <v>617</v>
      </c>
      <c r="C90" s="384" t="s">
        <v>430</v>
      </c>
      <c r="D90" s="388"/>
      <c r="E90" s="389"/>
      <c r="F90" s="389"/>
      <c r="G90" s="388"/>
      <c r="H90" s="385"/>
      <c r="I90" s="385"/>
      <c r="J90" s="389"/>
      <c r="K90" s="389"/>
      <c r="L90" s="389"/>
      <c r="M90" s="389"/>
      <c r="N90" s="389"/>
      <c r="O90" s="389"/>
      <c r="P90" s="389"/>
      <c r="Q90" s="389"/>
      <c r="R90" s="389"/>
      <c r="S90" s="389"/>
    </row>
    <row r="91" ht="19.5" customHeight="1">
      <c r="A91" s="378">
        <v>2607000.0</v>
      </c>
      <c r="B91" s="379" t="s">
        <v>618</v>
      </c>
      <c r="C91" s="380" t="s">
        <v>425</v>
      </c>
      <c r="D91" s="390"/>
      <c r="E91" s="391"/>
      <c r="F91" s="391"/>
      <c r="G91" s="390"/>
      <c r="H91" s="381"/>
      <c r="I91" s="381"/>
      <c r="J91" s="391"/>
      <c r="K91" s="391"/>
      <c r="L91" s="391"/>
      <c r="M91" s="391"/>
      <c r="N91" s="391"/>
      <c r="O91" s="391"/>
      <c r="P91" s="391"/>
      <c r="Q91" s="391"/>
      <c r="R91" s="391"/>
      <c r="S91" s="391"/>
    </row>
    <row r="92" ht="19.5" customHeight="1">
      <c r="A92" s="382">
        <v>2607109.0</v>
      </c>
      <c r="B92" s="383" t="s">
        <v>619</v>
      </c>
      <c r="C92" s="384" t="s">
        <v>430</v>
      </c>
      <c r="D92" s="388"/>
      <c r="E92" s="389"/>
      <c r="F92" s="389"/>
      <c r="G92" s="388"/>
      <c r="H92" s="385"/>
      <c r="I92" s="385"/>
      <c r="J92" s="389"/>
      <c r="K92" s="389"/>
      <c r="L92" s="389"/>
      <c r="M92" s="389"/>
      <c r="N92" s="389"/>
      <c r="O92" s="389"/>
      <c r="P92" s="389"/>
      <c r="Q92" s="389"/>
      <c r="R92" s="389"/>
      <c r="S92" s="389"/>
    </row>
    <row r="93" ht="19.5" customHeight="1">
      <c r="A93" s="378">
        <v>2607208.0</v>
      </c>
      <c r="B93" s="379" t="s">
        <v>620</v>
      </c>
      <c r="C93" s="380" t="s">
        <v>104</v>
      </c>
      <c r="D93" s="390"/>
      <c r="E93" s="391"/>
      <c r="F93" s="391"/>
      <c r="G93" s="390"/>
      <c r="H93" s="381"/>
      <c r="I93" s="381"/>
      <c r="J93" s="391"/>
      <c r="K93" s="391"/>
      <c r="L93" s="391"/>
      <c r="M93" s="391"/>
      <c r="N93" s="391"/>
      <c r="O93" s="391"/>
      <c r="P93" s="391"/>
      <c r="Q93" s="391"/>
      <c r="R93" s="391"/>
      <c r="S93" s="391"/>
    </row>
    <row r="94" ht="19.5" customHeight="1">
      <c r="A94" s="382">
        <v>2607307.0</v>
      </c>
      <c r="B94" s="383" t="s">
        <v>621</v>
      </c>
      <c r="C94" s="384" t="s">
        <v>427</v>
      </c>
      <c r="D94" s="388"/>
      <c r="E94" s="389"/>
      <c r="F94" s="389"/>
      <c r="G94" s="388"/>
      <c r="H94" s="385"/>
      <c r="I94" s="385"/>
      <c r="J94" s="389"/>
      <c r="K94" s="389"/>
      <c r="L94" s="389"/>
      <c r="M94" s="389"/>
      <c r="N94" s="389"/>
      <c r="O94" s="389"/>
      <c r="P94" s="389"/>
      <c r="Q94" s="389"/>
      <c r="R94" s="389"/>
      <c r="S94" s="389"/>
    </row>
    <row r="95" ht="19.5" customHeight="1">
      <c r="A95" s="378">
        <v>2607406.0</v>
      </c>
      <c r="B95" s="379" t="s">
        <v>622</v>
      </c>
      <c r="C95" s="380" t="s">
        <v>504</v>
      </c>
      <c r="D95" s="390"/>
      <c r="E95" s="391"/>
      <c r="F95" s="391"/>
      <c r="G95" s="390"/>
      <c r="H95" s="381"/>
      <c r="I95" s="381"/>
      <c r="J95" s="391"/>
      <c r="K95" s="391"/>
      <c r="L95" s="391"/>
      <c r="M95" s="391"/>
      <c r="N95" s="391"/>
      <c r="O95" s="391"/>
      <c r="P95" s="391"/>
      <c r="Q95" s="391"/>
      <c r="R95" s="391"/>
      <c r="S95" s="391"/>
    </row>
    <row r="96" ht="19.5" customHeight="1">
      <c r="A96" s="382">
        <v>2607505.0</v>
      </c>
      <c r="B96" s="383" t="s">
        <v>623</v>
      </c>
      <c r="C96" s="384" t="s">
        <v>421</v>
      </c>
      <c r="D96" s="388"/>
      <c r="E96" s="389"/>
      <c r="F96" s="389"/>
      <c r="G96" s="388"/>
      <c r="H96" s="385"/>
      <c r="I96" s="385"/>
      <c r="J96" s="389"/>
      <c r="K96" s="389"/>
      <c r="L96" s="389"/>
      <c r="M96" s="389"/>
      <c r="N96" s="389"/>
      <c r="O96" s="389"/>
      <c r="P96" s="389"/>
      <c r="Q96" s="389"/>
      <c r="R96" s="389"/>
      <c r="S96" s="389"/>
    </row>
    <row r="97" ht="19.5" customHeight="1">
      <c r="A97" s="378">
        <v>2607604.0</v>
      </c>
      <c r="B97" s="379" t="s">
        <v>624</v>
      </c>
      <c r="C97" s="380" t="s">
        <v>104</v>
      </c>
      <c r="D97" s="390"/>
      <c r="E97" s="391"/>
      <c r="F97" s="391"/>
      <c r="G97" s="390"/>
      <c r="H97" s="381"/>
      <c r="I97" s="381"/>
      <c r="J97" s="391"/>
      <c r="K97" s="391"/>
      <c r="L97" s="391"/>
      <c r="M97" s="391"/>
      <c r="N97" s="391"/>
      <c r="O97" s="391"/>
      <c r="P97" s="391"/>
      <c r="Q97" s="391"/>
      <c r="R97" s="391"/>
      <c r="S97" s="391"/>
    </row>
    <row r="98" ht="19.5" customHeight="1">
      <c r="A98" s="382">
        <v>2607653.0</v>
      </c>
      <c r="B98" s="383" t="s">
        <v>625</v>
      </c>
      <c r="C98" s="384" t="s">
        <v>415</v>
      </c>
      <c r="D98" s="388"/>
      <c r="E98" s="389"/>
      <c r="F98" s="389"/>
      <c r="G98" s="388"/>
      <c r="H98" s="385"/>
      <c r="I98" s="385"/>
      <c r="J98" s="389"/>
      <c r="K98" s="389"/>
      <c r="L98" s="389"/>
      <c r="M98" s="389"/>
      <c r="N98" s="389"/>
      <c r="O98" s="389"/>
      <c r="P98" s="389"/>
      <c r="Q98" s="389"/>
      <c r="R98" s="389"/>
      <c r="S98" s="389"/>
    </row>
    <row r="99" ht="19.5" customHeight="1">
      <c r="A99" s="378">
        <v>2607703.0</v>
      </c>
      <c r="B99" s="379" t="s">
        <v>626</v>
      </c>
      <c r="C99" s="380" t="s">
        <v>430</v>
      </c>
      <c r="D99" s="390"/>
      <c r="E99" s="391"/>
      <c r="F99" s="391"/>
      <c r="G99" s="390"/>
      <c r="H99" s="381"/>
      <c r="I99" s="381"/>
      <c r="J99" s="391"/>
      <c r="K99" s="391"/>
      <c r="L99" s="391"/>
      <c r="M99" s="391"/>
      <c r="N99" s="391"/>
      <c r="O99" s="391"/>
      <c r="P99" s="391"/>
      <c r="Q99" s="391"/>
      <c r="R99" s="391"/>
      <c r="S99" s="391"/>
    </row>
    <row r="100" ht="19.5" customHeight="1">
      <c r="A100" s="382">
        <v>2607752.0</v>
      </c>
      <c r="B100" s="383" t="s">
        <v>627</v>
      </c>
      <c r="C100" s="384" t="s">
        <v>104</v>
      </c>
      <c r="D100" s="388"/>
      <c r="E100" s="389"/>
      <c r="F100" s="389"/>
      <c r="G100" s="388"/>
      <c r="H100" s="385"/>
      <c r="I100" s="385"/>
      <c r="J100" s="389"/>
      <c r="K100" s="389"/>
      <c r="L100" s="389"/>
      <c r="M100" s="389"/>
      <c r="N100" s="389"/>
      <c r="O100" s="389"/>
      <c r="P100" s="389"/>
      <c r="Q100" s="389"/>
      <c r="R100" s="389"/>
      <c r="S100" s="389"/>
    </row>
    <row r="101" ht="19.5" customHeight="1">
      <c r="A101" s="378">
        <v>2607802.0</v>
      </c>
      <c r="B101" s="379" t="s">
        <v>628</v>
      </c>
      <c r="C101" s="380" t="s">
        <v>415</v>
      </c>
      <c r="D101" s="390"/>
      <c r="E101" s="391"/>
      <c r="F101" s="391"/>
      <c r="G101" s="390"/>
      <c r="H101" s="381"/>
      <c r="I101" s="381"/>
      <c r="J101" s="391"/>
      <c r="K101" s="391"/>
      <c r="L101" s="391"/>
      <c r="M101" s="391"/>
      <c r="N101" s="391"/>
      <c r="O101" s="391"/>
      <c r="P101" s="391"/>
      <c r="Q101" s="391"/>
      <c r="R101" s="391"/>
      <c r="S101" s="391"/>
    </row>
    <row r="102" ht="19.5" customHeight="1">
      <c r="A102" s="382">
        <v>2607901.0</v>
      </c>
      <c r="B102" s="383" t="s">
        <v>411</v>
      </c>
      <c r="C102" s="384" t="s">
        <v>104</v>
      </c>
      <c r="D102" s="388"/>
      <c r="E102" s="389"/>
      <c r="F102" s="389"/>
      <c r="G102" s="388"/>
      <c r="H102" s="385"/>
      <c r="I102" s="385"/>
      <c r="J102" s="389"/>
      <c r="K102" s="389"/>
      <c r="L102" s="389"/>
      <c r="M102" s="389"/>
      <c r="N102" s="389"/>
      <c r="O102" s="389"/>
      <c r="P102" s="389"/>
      <c r="Q102" s="389"/>
      <c r="R102" s="389"/>
      <c r="S102" s="389"/>
    </row>
    <row r="103" ht="19.5" customHeight="1">
      <c r="A103" s="378">
        <v>2607950.0</v>
      </c>
      <c r="B103" s="379" t="s">
        <v>629</v>
      </c>
      <c r="C103" s="380" t="s">
        <v>418</v>
      </c>
      <c r="D103" s="390"/>
      <c r="E103" s="391"/>
      <c r="F103" s="391"/>
      <c r="G103" s="390"/>
      <c r="H103" s="381"/>
      <c r="I103" s="381"/>
      <c r="J103" s="391"/>
      <c r="K103" s="391"/>
      <c r="L103" s="391"/>
      <c r="M103" s="391"/>
      <c r="N103" s="391"/>
      <c r="O103" s="391"/>
      <c r="P103" s="391"/>
      <c r="Q103" s="391"/>
      <c r="R103" s="391"/>
      <c r="S103" s="391"/>
    </row>
    <row r="104" ht="19.5" customHeight="1">
      <c r="A104" s="382">
        <v>2608008.0</v>
      </c>
      <c r="B104" s="383" t="s">
        <v>630</v>
      </c>
      <c r="C104" s="384" t="s">
        <v>317</v>
      </c>
      <c r="D104" s="388"/>
      <c r="E104" s="389"/>
      <c r="F104" s="389"/>
      <c r="G104" s="388"/>
      <c r="H104" s="385"/>
      <c r="I104" s="385"/>
      <c r="J104" s="389"/>
      <c r="K104" s="389"/>
      <c r="L104" s="389"/>
      <c r="M104" s="389"/>
      <c r="N104" s="389"/>
      <c r="O104" s="389"/>
      <c r="P104" s="389"/>
      <c r="Q104" s="389"/>
      <c r="R104" s="389"/>
      <c r="S104" s="389"/>
    </row>
    <row r="105" ht="19.5" customHeight="1">
      <c r="A105" s="378">
        <v>2608057.0</v>
      </c>
      <c r="B105" s="379" t="s">
        <v>631</v>
      </c>
      <c r="C105" s="380" t="s">
        <v>504</v>
      </c>
      <c r="D105" s="390"/>
      <c r="E105" s="391"/>
      <c r="F105" s="391"/>
      <c r="G105" s="390"/>
      <c r="H105" s="381"/>
      <c r="I105" s="381"/>
      <c r="J105" s="391"/>
      <c r="K105" s="391"/>
      <c r="L105" s="391"/>
      <c r="M105" s="391"/>
      <c r="N105" s="391"/>
      <c r="O105" s="391"/>
      <c r="P105" s="391"/>
      <c r="Q105" s="391"/>
      <c r="R105" s="391"/>
      <c r="S105" s="391"/>
    </row>
    <row r="106" ht="19.5" customHeight="1">
      <c r="A106" s="382">
        <v>2608107.0</v>
      </c>
      <c r="B106" s="383" t="s">
        <v>632</v>
      </c>
      <c r="C106" s="384" t="s">
        <v>437</v>
      </c>
      <c r="D106" s="388"/>
      <c r="E106" s="389"/>
      <c r="F106" s="389"/>
      <c r="G106" s="388"/>
      <c r="H106" s="385"/>
      <c r="I106" s="385"/>
      <c r="J106" s="389"/>
      <c r="K106" s="389"/>
      <c r="L106" s="389"/>
      <c r="M106" s="389"/>
      <c r="N106" s="389"/>
      <c r="O106" s="389"/>
      <c r="P106" s="389"/>
      <c r="Q106" s="389"/>
      <c r="R106" s="389"/>
      <c r="S106" s="389"/>
    </row>
    <row r="107" ht="19.5" customHeight="1">
      <c r="A107" s="378">
        <v>2608206.0</v>
      </c>
      <c r="B107" s="379" t="s">
        <v>633</v>
      </c>
      <c r="C107" s="380" t="s">
        <v>418</v>
      </c>
      <c r="D107" s="390"/>
      <c r="E107" s="391"/>
      <c r="F107" s="391"/>
      <c r="G107" s="390"/>
      <c r="H107" s="381"/>
      <c r="I107" s="381"/>
      <c r="J107" s="391"/>
      <c r="K107" s="391"/>
      <c r="L107" s="391"/>
      <c r="M107" s="391"/>
      <c r="N107" s="391"/>
      <c r="O107" s="391"/>
      <c r="P107" s="391"/>
      <c r="Q107" s="391"/>
      <c r="R107" s="391"/>
      <c r="S107" s="391"/>
    </row>
    <row r="108" ht="19.5" customHeight="1">
      <c r="A108" s="382">
        <v>2608255.0</v>
      </c>
      <c r="B108" s="383" t="s">
        <v>634</v>
      </c>
      <c r="C108" s="384" t="s">
        <v>421</v>
      </c>
      <c r="D108" s="388"/>
      <c r="E108" s="389"/>
      <c r="F108" s="389"/>
      <c r="G108" s="388"/>
      <c r="H108" s="385"/>
      <c r="I108" s="385"/>
      <c r="J108" s="389"/>
      <c r="K108" s="389"/>
      <c r="L108" s="389"/>
      <c r="M108" s="389"/>
      <c r="N108" s="389"/>
      <c r="O108" s="389"/>
      <c r="P108" s="389"/>
      <c r="Q108" s="389"/>
      <c r="R108" s="389"/>
      <c r="S108" s="389"/>
    </row>
    <row r="109" ht="19.5" customHeight="1">
      <c r="A109" s="378">
        <v>2608305.0</v>
      </c>
      <c r="B109" s="379" t="s">
        <v>635</v>
      </c>
      <c r="C109" s="380" t="s">
        <v>421</v>
      </c>
      <c r="D109" s="390"/>
      <c r="E109" s="391"/>
      <c r="F109" s="391"/>
      <c r="G109" s="390"/>
      <c r="H109" s="381"/>
      <c r="I109" s="381"/>
      <c r="J109" s="391"/>
      <c r="K109" s="391"/>
      <c r="L109" s="391"/>
      <c r="M109" s="391"/>
      <c r="N109" s="391"/>
      <c r="O109" s="391"/>
      <c r="P109" s="391"/>
      <c r="Q109" s="391"/>
      <c r="R109" s="391"/>
      <c r="S109" s="391"/>
    </row>
    <row r="110" ht="19.5" customHeight="1">
      <c r="A110" s="382">
        <v>2608404.0</v>
      </c>
      <c r="B110" s="383" t="s">
        <v>636</v>
      </c>
      <c r="C110" s="384" t="s">
        <v>421</v>
      </c>
      <c r="D110" s="388"/>
      <c r="E110" s="389"/>
      <c r="F110" s="389"/>
      <c r="G110" s="388"/>
      <c r="H110" s="385"/>
      <c r="I110" s="385"/>
      <c r="J110" s="389"/>
      <c r="K110" s="389"/>
      <c r="L110" s="389"/>
      <c r="M110" s="389"/>
      <c r="N110" s="389"/>
      <c r="O110" s="389"/>
      <c r="P110" s="389"/>
      <c r="Q110" s="389"/>
      <c r="R110" s="389"/>
      <c r="S110" s="389"/>
    </row>
    <row r="111" ht="19.5" customHeight="1">
      <c r="A111" s="378">
        <v>2608453.0</v>
      </c>
      <c r="B111" s="379" t="s">
        <v>637</v>
      </c>
      <c r="C111" s="380" t="s">
        <v>415</v>
      </c>
      <c r="D111" s="390"/>
      <c r="E111" s="391"/>
      <c r="F111" s="391"/>
      <c r="G111" s="390"/>
      <c r="H111" s="381"/>
      <c r="I111" s="381"/>
      <c r="J111" s="391"/>
      <c r="K111" s="391"/>
      <c r="L111" s="391"/>
      <c r="M111" s="391"/>
      <c r="N111" s="391"/>
      <c r="O111" s="391"/>
      <c r="P111" s="391"/>
      <c r="Q111" s="391"/>
      <c r="R111" s="391"/>
      <c r="S111" s="391"/>
    </row>
    <row r="112" ht="19.5" customHeight="1">
      <c r="A112" s="382">
        <v>2608503.0</v>
      </c>
      <c r="B112" s="383" t="s">
        <v>638</v>
      </c>
      <c r="C112" s="384" t="s">
        <v>415</v>
      </c>
      <c r="D112" s="388"/>
      <c r="E112" s="389"/>
      <c r="F112" s="389"/>
      <c r="G112" s="388"/>
      <c r="H112" s="385"/>
      <c r="I112" s="385"/>
      <c r="J112" s="389"/>
      <c r="K112" s="389"/>
      <c r="L112" s="389"/>
      <c r="M112" s="389"/>
      <c r="N112" s="389"/>
      <c r="O112" s="389"/>
      <c r="P112" s="389"/>
      <c r="Q112" s="389"/>
      <c r="R112" s="389"/>
      <c r="S112" s="389"/>
    </row>
    <row r="113" ht="19.5" customHeight="1">
      <c r="A113" s="378">
        <v>2608602.0</v>
      </c>
      <c r="B113" s="379" t="s">
        <v>639</v>
      </c>
      <c r="C113" s="380" t="s">
        <v>421</v>
      </c>
      <c r="D113" s="390"/>
      <c r="E113" s="391"/>
      <c r="F113" s="391"/>
      <c r="G113" s="390"/>
      <c r="H113" s="381"/>
      <c r="I113" s="381"/>
      <c r="J113" s="391"/>
      <c r="K113" s="391"/>
      <c r="L113" s="391"/>
      <c r="M113" s="391"/>
      <c r="N113" s="391"/>
      <c r="O113" s="391"/>
      <c r="P113" s="391"/>
      <c r="Q113" s="391"/>
      <c r="R113" s="391"/>
      <c r="S113" s="391"/>
    </row>
    <row r="114" ht="19.5" customHeight="1">
      <c r="A114" s="382">
        <v>2608701.0</v>
      </c>
      <c r="B114" s="383" t="s">
        <v>640</v>
      </c>
      <c r="C114" s="384" t="s">
        <v>317</v>
      </c>
      <c r="D114" s="388"/>
      <c r="E114" s="389"/>
      <c r="F114" s="389"/>
      <c r="G114" s="388"/>
      <c r="H114" s="385"/>
      <c r="I114" s="385"/>
      <c r="J114" s="389"/>
      <c r="K114" s="389"/>
      <c r="L114" s="389"/>
      <c r="M114" s="389"/>
      <c r="N114" s="389"/>
      <c r="O114" s="389"/>
      <c r="P114" s="389"/>
      <c r="Q114" s="389"/>
      <c r="R114" s="389"/>
      <c r="S114" s="389"/>
    </row>
    <row r="115" ht="19.5" customHeight="1">
      <c r="A115" s="378">
        <v>2608750.0</v>
      </c>
      <c r="B115" s="379" t="s">
        <v>641</v>
      </c>
      <c r="C115" s="380" t="s">
        <v>433</v>
      </c>
      <c r="D115" s="390"/>
      <c r="E115" s="391"/>
      <c r="F115" s="391"/>
      <c r="G115" s="390"/>
      <c r="H115" s="381"/>
      <c r="I115" s="381"/>
      <c r="J115" s="391"/>
      <c r="K115" s="391"/>
      <c r="L115" s="391"/>
      <c r="M115" s="391"/>
      <c r="N115" s="391"/>
      <c r="O115" s="391"/>
      <c r="P115" s="391"/>
      <c r="Q115" s="391"/>
      <c r="R115" s="391"/>
      <c r="S115" s="391"/>
    </row>
    <row r="116" ht="19.5" customHeight="1">
      <c r="A116" s="382">
        <v>2608800.0</v>
      </c>
      <c r="B116" s="383" t="s">
        <v>642</v>
      </c>
      <c r="C116" s="384" t="s">
        <v>421</v>
      </c>
      <c r="D116" s="388"/>
      <c r="E116" s="389"/>
      <c r="F116" s="389"/>
      <c r="G116" s="388"/>
      <c r="H116" s="385"/>
      <c r="I116" s="385"/>
      <c r="J116" s="389"/>
      <c r="K116" s="389"/>
      <c r="L116" s="389"/>
      <c r="M116" s="389"/>
      <c r="N116" s="389"/>
      <c r="O116" s="389"/>
      <c r="P116" s="389"/>
      <c r="Q116" s="389"/>
      <c r="R116" s="389"/>
      <c r="S116" s="389"/>
    </row>
    <row r="117" ht="19.5" customHeight="1">
      <c r="A117" s="378">
        <v>2608909.0</v>
      </c>
      <c r="B117" s="379" t="s">
        <v>436</v>
      </c>
      <c r="C117" s="380" t="s">
        <v>437</v>
      </c>
      <c r="D117" s="390"/>
      <c r="E117" s="391"/>
      <c r="F117" s="391"/>
      <c r="G117" s="390"/>
      <c r="H117" s="381"/>
      <c r="I117" s="381"/>
      <c r="J117" s="391"/>
      <c r="K117" s="391"/>
      <c r="L117" s="391"/>
      <c r="M117" s="391"/>
      <c r="N117" s="391"/>
      <c r="O117" s="391"/>
      <c r="P117" s="391"/>
      <c r="Q117" s="391"/>
      <c r="R117" s="391"/>
      <c r="S117" s="391"/>
    </row>
    <row r="118" ht="19.5" customHeight="1">
      <c r="A118" s="382">
        <v>2609006.0</v>
      </c>
      <c r="B118" s="383" t="s">
        <v>643</v>
      </c>
      <c r="C118" s="384" t="s">
        <v>415</v>
      </c>
      <c r="D118" s="388"/>
      <c r="E118" s="389"/>
      <c r="F118" s="389"/>
      <c r="G118" s="388"/>
      <c r="H118" s="385"/>
      <c r="I118" s="385"/>
      <c r="J118" s="389"/>
      <c r="K118" s="389"/>
      <c r="L118" s="389"/>
      <c r="M118" s="389"/>
      <c r="N118" s="389"/>
      <c r="O118" s="389"/>
      <c r="P118" s="389"/>
      <c r="Q118" s="389"/>
      <c r="R118" s="389"/>
      <c r="S118" s="389"/>
    </row>
    <row r="119" ht="19.5" customHeight="1">
      <c r="A119" s="378">
        <v>2609105.0</v>
      </c>
      <c r="B119" s="379" t="s">
        <v>644</v>
      </c>
      <c r="C119" s="380" t="s">
        <v>437</v>
      </c>
      <c r="D119" s="390"/>
      <c r="E119" s="391"/>
      <c r="F119" s="391"/>
      <c r="G119" s="390"/>
      <c r="H119" s="381"/>
      <c r="I119" s="381"/>
      <c r="J119" s="391"/>
      <c r="K119" s="391"/>
      <c r="L119" s="391"/>
      <c r="M119" s="391"/>
      <c r="N119" s="391"/>
      <c r="O119" s="391"/>
      <c r="P119" s="391"/>
      <c r="Q119" s="391"/>
      <c r="R119" s="391"/>
      <c r="S119" s="391"/>
    </row>
    <row r="120" ht="19.5" customHeight="1">
      <c r="A120" s="382">
        <v>2609154.0</v>
      </c>
      <c r="B120" s="383" t="s">
        <v>645</v>
      </c>
      <c r="C120" s="384" t="s">
        <v>425</v>
      </c>
      <c r="D120" s="388"/>
      <c r="E120" s="389"/>
      <c r="F120" s="389"/>
      <c r="G120" s="388"/>
      <c r="H120" s="385"/>
      <c r="I120" s="385"/>
      <c r="J120" s="389"/>
      <c r="K120" s="389"/>
      <c r="L120" s="389"/>
      <c r="M120" s="389"/>
      <c r="N120" s="389"/>
      <c r="O120" s="389"/>
      <c r="P120" s="389"/>
      <c r="Q120" s="389"/>
      <c r="R120" s="389"/>
      <c r="S120" s="389"/>
    </row>
    <row r="121" ht="19.5" customHeight="1">
      <c r="A121" s="378">
        <v>2609204.0</v>
      </c>
      <c r="B121" s="379" t="s">
        <v>646</v>
      </c>
      <c r="C121" s="380" t="s">
        <v>418</v>
      </c>
      <c r="D121" s="390"/>
      <c r="E121" s="391"/>
      <c r="F121" s="391"/>
      <c r="G121" s="390"/>
      <c r="H121" s="381"/>
      <c r="I121" s="381"/>
      <c r="J121" s="391"/>
      <c r="K121" s="391"/>
      <c r="L121" s="391"/>
      <c r="M121" s="391"/>
      <c r="N121" s="391"/>
      <c r="O121" s="391"/>
      <c r="P121" s="391"/>
      <c r="Q121" s="391"/>
      <c r="R121" s="391"/>
      <c r="S121" s="391"/>
    </row>
    <row r="122" ht="19.5" customHeight="1">
      <c r="A122" s="382">
        <v>2609303.0</v>
      </c>
      <c r="B122" s="383" t="s">
        <v>647</v>
      </c>
      <c r="C122" s="384" t="s">
        <v>423</v>
      </c>
      <c r="D122" s="388"/>
      <c r="E122" s="389"/>
      <c r="F122" s="389"/>
      <c r="G122" s="388"/>
      <c r="H122" s="385"/>
      <c r="I122" s="385"/>
      <c r="J122" s="389"/>
      <c r="K122" s="389"/>
      <c r="L122" s="389"/>
      <c r="M122" s="389"/>
      <c r="N122" s="389"/>
      <c r="O122" s="389"/>
      <c r="P122" s="389"/>
      <c r="Q122" s="389"/>
      <c r="R122" s="389"/>
      <c r="S122" s="389"/>
    </row>
    <row r="123" ht="19.5" customHeight="1">
      <c r="A123" s="378">
        <v>2609402.0</v>
      </c>
      <c r="B123" s="379" t="s">
        <v>460</v>
      </c>
      <c r="C123" s="380" t="s">
        <v>104</v>
      </c>
      <c r="D123" s="390"/>
      <c r="E123" s="391"/>
      <c r="F123" s="391"/>
      <c r="G123" s="390"/>
      <c r="H123" s="381"/>
      <c r="I123" s="381"/>
      <c r="J123" s="391"/>
      <c r="K123" s="391"/>
      <c r="L123" s="391"/>
      <c r="M123" s="391"/>
      <c r="N123" s="391"/>
      <c r="O123" s="391"/>
      <c r="P123" s="391"/>
      <c r="Q123" s="391"/>
      <c r="R123" s="391"/>
      <c r="S123" s="391"/>
    </row>
    <row r="124" ht="19.5" customHeight="1">
      <c r="A124" s="382">
        <v>2609501.0</v>
      </c>
      <c r="B124" s="383" t="s">
        <v>416</v>
      </c>
      <c r="C124" s="384" t="s">
        <v>415</v>
      </c>
      <c r="D124" s="388"/>
      <c r="E124" s="389"/>
      <c r="F124" s="389"/>
      <c r="G124" s="388"/>
      <c r="H124" s="385"/>
      <c r="I124" s="385"/>
      <c r="J124" s="389"/>
      <c r="K124" s="389"/>
      <c r="L124" s="389"/>
      <c r="M124" s="389"/>
      <c r="N124" s="389"/>
      <c r="O124" s="389"/>
      <c r="P124" s="389"/>
      <c r="Q124" s="389"/>
      <c r="R124" s="389"/>
      <c r="S124" s="389"/>
    </row>
    <row r="125" ht="19.5" customHeight="1">
      <c r="A125" s="378">
        <v>2609600.0</v>
      </c>
      <c r="B125" s="379" t="s">
        <v>412</v>
      </c>
      <c r="C125" s="380" t="s">
        <v>104</v>
      </c>
      <c r="D125" s="390"/>
      <c r="E125" s="391"/>
      <c r="F125" s="391"/>
      <c r="G125" s="390"/>
      <c r="H125" s="381"/>
      <c r="I125" s="381"/>
      <c r="J125" s="391"/>
      <c r="K125" s="391"/>
      <c r="L125" s="391"/>
      <c r="M125" s="391"/>
      <c r="N125" s="391"/>
      <c r="O125" s="391"/>
      <c r="P125" s="391"/>
      <c r="Q125" s="391"/>
      <c r="R125" s="391"/>
      <c r="S125" s="391"/>
    </row>
    <row r="126" ht="19.5" customHeight="1">
      <c r="A126" s="382">
        <v>2609709.0</v>
      </c>
      <c r="B126" s="383" t="s">
        <v>648</v>
      </c>
      <c r="C126" s="384" t="s">
        <v>437</v>
      </c>
      <c r="D126" s="388"/>
      <c r="E126" s="389"/>
      <c r="F126" s="389"/>
      <c r="G126" s="388"/>
      <c r="H126" s="385"/>
      <c r="I126" s="385"/>
      <c r="J126" s="389"/>
      <c r="K126" s="389"/>
      <c r="L126" s="389"/>
      <c r="M126" s="389"/>
      <c r="N126" s="389"/>
      <c r="O126" s="389"/>
      <c r="P126" s="389"/>
      <c r="Q126" s="389"/>
      <c r="R126" s="389"/>
      <c r="S126" s="389"/>
    </row>
    <row r="127" ht="19.5" customHeight="1">
      <c r="A127" s="378">
        <v>2609808.0</v>
      </c>
      <c r="B127" s="379" t="s">
        <v>649</v>
      </c>
      <c r="C127" s="380" t="s">
        <v>433</v>
      </c>
      <c r="D127" s="390"/>
      <c r="E127" s="391"/>
      <c r="F127" s="391"/>
      <c r="G127" s="390"/>
      <c r="H127" s="381"/>
      <c r="I127" s="381"/>
      <c r="J127" s="391"/>
      <c r="K127" s="391"/>
      <c r="L127" s="391"/>
      <c r="M127" s="391"/>
      <c r="N127" s="391"/>
      <c r="O127" s="391"/>
      <c r="P127" s="391"/>
      <c r="Q127" s="391"/>
      <c r="R127" s="391"/>
      <c r="S127" s="391"/>
    </row>
    <row r="128" ht="19.5" customHeight="1">
      <c r="A128" s="382">
        <v>2609907.0</v>
      </c>
      <c r="B128" s="383" t="s">
        <v>426</v>
      </c>
      <c r="C128" s="384" t="s">
        <v>427</v>
      </c>
      <c r="D128" s="388"/>
      <c r="E128" s="389"/>
      <c r="F128" s="389"/>
      <c r="G128" s="388"/>
      <c r="H128" s="385"/>
      <c r="I128" s="385"/>
      <c r="J128" s="389"/>
      <c r="K128" s="389"/>
      <c r="L128" s="389"/>
      <c r="M128" s="389"/>
      <c r="N128" s="389"/>
      <c r="O128" s="389"/>
      <c r="P128" s="389"/>
      <c r="Q128" s="389"/>
      <c r="R128" s="389"/>
      <c r="S128" s="389"/>
    </row>
    <row r="129" ht="19.5" customHeight="1">
      <c r="A129" s="378">
        <v>2610004.0</v>
      </c>
      <c r="B129" s="379" t="s">
        <v>419</v>
      </c>
      <c r="C129" s="380" t="s">
        <v>418</v>
      </c>
      <c r="D129" s="390"/>
      <c r="E129" s="391"/>
      <c r="F129" s="391"/>
      <c r="G129" s="390"/>
      <c r="H129" s="381"/>
      <c r="I129" s="381"/>
      <c r="J129" s="391"/>
      <c r="K129" s="391"/>
      <c r="L129" s="391"/>
      <c r="M129" s="391"/>
      <c r="N129" s="391"/>
      <c r="O129" s="391"/>
      <c r="P129" s="391"/>
      <c r="Q129" s="391"/>
      <c r="R129" s="391"/>
      <c r="S129" s="391"/>
    </row>
    <row r="130" ht="19.5" customHeight="1">
      <c r="A130" s="382">
        <v>2610103.0</v>
      </c>
      <c r="B130" s="383" t="s">
        <v>650</v>
      </c>
      <c r="C130" s="384" t="s">
        <v>421</v>
      </c>
      <c r="D130" s="388"/>
      <c r="E130" s="389"/>
      <c r="F130" s="389"/>
      <c r="G130" s="388"/>
      <c r="H130" s="385"/>
      <c r="I130" s="385"/>
      <c r="J130" s="389"/>
      <c r="K130" s="389"/>
      <c r="L130" s="389"/>
      <c r="M130" s="389"/>
      <c r="N130" s="389"/>
      <c r="O130" s="389"/>
      <c r="P130" s="389"/>
      <c r="Q130" s="389"/>
      <c r="R130" s="389"/>
      <c r="S130" s="389"/>
    </row>
    <row r="131" ht="19.5" customHeight="1">
      <c r="A131" s="378">
        <v>2610202.0</v>
      </c>
      <c r="B131" s="379" t="s">
        <v>651</v>
      </c>
      <c r="C131" s="380" t="s">
        <v>317</v>
      </c>
      <c r="D131" s="390"/>
      <c r="E131" s="391"/>
      <c r="F131" s="391"/>
      <c r="G131" s="390"/>
      <c r="H131" s="381"/>
      <c r="I131" s="381"/>
      <c r="J131" s="391"/>
      <c r="K131" s="391"/>
      <c r="L131" s="391"/>
      <c r="M131" s="391"/>
      <c r="N131" s="391"/>
      <c r="O131" s="391"/>
      <c r="P131" s="391"/>
      <c r="Q131" s="391"/>
      <c r="R131" s="391"/>
      <c r="S131" s="391"/>
    </row>
    <row r="132" ht="19.5" customHeight="1">
      <c r="A132" s="382">
        <v>2610301.0</v>
      </c>
      <c r="B132" s="383" t="s">
        <v>652</v>
      </c>
      <c r="C132" s="384" t="s">
        <v>421</v>
      </c>
      <c r="D132" s="388"/>
      <c r="E132" s="389"/>
      <c r="F132" s="389"/>
      <c r="G132" s="388"/>
      <c r="H132" s="385"/>
      <c r="I132" s="385"/>
      <c r="J132" s="389"/>
      <c r="K132" s="389"/>
      <c r="L132" s="389"/>
      <c r="M132" s="389"/>
      <c r="N132" s="389"/>
      <c r="O132" s="389"/>
      <c r="P132" s="389"/>
      <c r="Q132" s="389"/>
      <c r="R132" s="389"/>
      <c r="S132" s="389"/>
    </row>
    <row r="133" ht="19.5" customHeight="1">
      <c r="A133" s="378">
        <v>2610400.0</v>
      </c>
      <c r="B133" s="379" t="s">
        <v>653</v>
      </c>
      <c r="C133" s="380" t="s">
        <v>423</v>
      </c>
      <c r="D133" s="390"/>
      <c r="E133" s="391"/>
      <c r="F133" s="391"/>
      <c r="G133" s="390"/>
      <c r="H133" s="381"/>
      <c r="I133" s="381"/>
      <c r="J133" s="391"/>
      <c r="K133" s="391"/>
      <c r="L133" s="391"/>
      <c r="M133" s="391"/>
      <c r="N133" s="391"/>
      <c r="O133" s="391"/>
      <c r="P133" s="391"/>
      <c r="Q133" s="391"/>
      <c r="R133" s="391"/>
      <c r="S133" s="391"/>
    </row>
    <row r="134" ht="19.5" customHeight="1">
      <c r="A134" s="382">
        <v>2610509.0</v>
      </c>
      <c r="B134" s="383" t="s">
        <v>654</v>
      </c>
      <c r="C134" s="384" t="s">
        <v>437</v>
      </c>
      <c r="D134" s="388"/>
      <c r="E134" s="389"/>
      <c r="F134" s="389"/>
      <c r="G134" s="388"/>
      <c r="H134" s="385"/>
      <c r="I134" s="385"/>
      <c r="J134" s="389"/>
      <c r="K134" s="389"/>
      <c r="L134" s="389"/>
      <c r="M134" s="389"/>
      <c r="N134" s="389"/>
      <c r="O134" s="389"/>
      <c r="P134" s="389"/>
      <c r="Q134" s="389"/>
      <c r="R134" s="389"/>
      <c r="S134" s="389"/>
    </row>
    <row r="135" ht="19.5" customHeight="1">
      <c r="A135" s="378">
        <v>2610608.0</v>
      </c>
      <c r="B135" s="379" t="s">
        <v>655</v>
      </c>
      <c r="C135" s="380" t="s">
        <v>415</v>
      </c>
      <c r="D135" s="390"/>
      <c r="E135" s="391"/>
      <c r="F135" s="391"/>
      <c r="G135" s="390"/>
      <c r="H135" s="381"/>
      <c r="I135" s="381"/>
      <c r="J135" s="391"/>
      <c r="K135" s="391"/>
      <c r="L135" s="391"/>
      <c r="M135" s="391"/>
      <c r="N135" s="391"/>
      <c r="O135" s="391"/>
      <c r="P135" s="391"/>
      <c r="Q135" s="391"/>
      <c r="R135" s="391"/>
      <c r="S135" s="391"/>
    </row>
    <row r="136" ht="19.5" customHeight="1">
      <c r="A136" s="382">
        <v>2610707.0</v>
      </c>
      <c r="B136" s="383" t="s">
        <v>339</v>
      </c>
      <c r="C136" s="384" t="s">
        <v>104</v>
      </c>
      <c r="D136" s="388"/>
      <c r="E136" s="389"/>
      <c r="F136" s="389"/>
      <c r="G136" s="388"/>
      <c r="H136" s="385"/>
      <c r="I136" s="385"/>
      <c r="J136" s="389"/>
      <c r="K136" s="389"/>
      <c r="L136" s="389"/>
      <c r="M136" s="389"/>
      <c r="N136" s="389"/>
      <c r="O136" s="389"/>
      <c r="P136" s="389"/>
      <c r="Q136" s="389"/>
      <c r="R136" s="389"/>
      <c r="S136" s="389"/>
    </row>
    <row r="137" ht="19.5" customHeight="1">
      <c r="A137" s="378">
        <v>2610806.0</v>
      </c>
      <c r="B137" s="379" t="s">
        <v>656</v>
      </c>
      <c r="C137" s="380" t="s">
        <v>421</v>
      </c>
      <c r="D137" s="390"/>
      <c r="E137" s="391"/>
      <c r="F137" s="391"/>
      <c r="G137" s="390"/>
      <c r="H137" s="381"/>
      <c r="I137" s="381"/>
      <c r="J137" s="391"/>
      <c r="K137" s="391"/>
      <c r="L137" s="391"/>
      <c r="M137" s="391"/>
      <c r="N137" s="391"/>
      <c r="O137" s="391"/>
      <c r="P137" s="391"/>
      <c r="Q137" s="391"/>
      <c r="R137" s="391"/>
      <c r="S137" s="391"/>
    </row>
    <row r="138" ht="19.5" customHeight="1">
      <c r="A138" s="382">
        <v>2610905.0</v>
      </c>
      <c r="B138" s="383" t="s">
        <v>497</v>
      </c>
      <c r="C138" s="384" t="s">
        <v>317</v>
      </c>
      <c r="D138" s="388"/>
      <c r="E138" s="389"/>
      <c r="F138" s="389"/>
      <c r="G138" s="388"/>
      <c r="H138" s="385"/>
      <c r="I138" s="385"/>
      <c r="J138" s="389"/>
      <c r="K138" s="389"/>
      <c r="L138" s="389"/>
      <c r="M138" s="389"/>
      <c r="N138" s="389"/>
      <c r="O138" s="389"/>
      <c r="P138" s="389"/>
      <c r="Q138" s="389"/>
      <c r="R138" s="389"/>
      <c r="S138" s="389"/>
    </row>
    <row r="139" ht="19.5" customHeight="1">
      <c r="A139" s="378">
        <v>2611002.0</v>
      </c>
      <c r="B139" s="379" t="s">
        <v>503</v>
      </c>
      <c r="C139" s="380" t="s">
        <v>504</v>
      </c>
      <c r="D139" s="390"/>
      <c r="E139" s="391"/>
      <c r="F139" s="391"/>
      <c r="G139" s="390"/>
      <c r="H139" s="381"/>
      <c r="I139" s="381"/>
      <c r="J139" s="391"/>
      <c r="K139" s="391"/>
      <c r="L139" s="391"/>
      <c r="M139" s="391"/>
      <c r="N139" s="391"/>
      <c r="O139" s="391"/>
      <c r="P139" s="391"/>
      <c r="Q139" s="391"/>
      <c r="R139" s="391"/>
      <c r="S139" s="391"/>
    </row>
    <row r="140" ht="19.5" customHeight="1">
      <c r="A140" s="382">
        <v>2611101.0</v>
      </c>
      <c r="B140" s="383" t="s">
        <v>432</v>
      </c>
      <c r="C140" s="384" t="s">
        <v>433</v>
      </c>
      <c r="D140" s="388"/>
      <c r="E140" s="389"/>
      <c r="F140" s="389"/>
      <c r="G140" s="388"/>
      <c r="H140" s="385"/>
      <c r="I140" s="385"/>
      <c r="J140" s="389"/>
      <c r="K140" s="389"/>
      <c r="L140" s="389"/>
      <c r="M140" s="389"/>
      <c r="N140" s="389"/>
      <c r="O140" s="389"/>
      <c r="P140" s="389"/>
      <c r="Q140" s="389"/>
      <c r="R140" s="389"/>
      <c r="S140" s="389"/>
    </row>
    <row r="141" ht="19.5" customHeight="1">
      <c r="A141" s="378">
        <v>2611200.0</v>
      </c>
      <c r="B141" s="379" t="s">
        <v>657</v>
      </c>
      <c r="C141" s="380" t="s">
        <v>317</v>
      </c>
      <c r="D141" s="390"/>
      <c r="E141" s="391"/>
      <c r="F141" s="391"/>
      <c r="G141" s="390"/>
      <c r="H141" s="381"/>
      <c r="I141" s="381"/>
      <c r="J141" s="391"/>
      <c r="K141" s="391"/>
      <c r="L141" s="391"/>
      <c r="M141" s="391"/>
      <c r="N141" s="391"/>
      <c r="O141" s="391"/>
      <c r="P141" s="391"/>
      <c r="Q141" s="391"/>
      <c r="R141" s="391"/>
      <c r="S141" s="391"/>
    </row>
    <row r="142" ht="19.5" customHeight="1">
      <c r="A142" s="382">
        <v>2611309.0</v>
      </c>
      <c r="B142" s="383" t="s">
        <v>658</v>
      </c>
      <c r="C142" s="384" t="s">
        <v>317</v>
      </c>
      <c r="D142" s="388"/>
      <c r="E142" s="389"/>
      <c r="F142" s="389"/>
      <c r="G142" s="388"/>
      <c r="H142" s="385"/>
      <c r="I142" s="385"/>
      <c r="J142" s="389"/>
      <c r="K142" s="389"/>
      <c r="L142" s="389"/>
      <c r="M142" s="389"/>
      <c r="N142" s="389"/>
      <c r="O142" s="389"/>
      <c r="P142" s="389"/>
      <c r="Q142" s="389"/>
      <c r="R142" s="389"/>
      <c r="S142" s="389"/>
    </row>
    <row r="143" ht="19.5" customHeight="1">
      <c r="A143" s="378">
        <v>2611408.0</v>
      </c>
      <c r="B143" s="379" t="s">
        <v>659</v>
      </c>
      <c r="C143" s="380" t="s">
        <v>418</v>
      </c>
      <c r="D143" s="390"/>
      <c r="E143" s="391"/>
      <c r="F143" s="391"/>
      <c r="G143" s="390"/>
      <c r="H143" s="381"/>
      <c r="I143" s="381"/>
      <c r="J143" s="391"/>
      <c r="K143" s="391"/>
      <c r="L143" s="391"/>
      <c r="M143" s="391"/>
      <c r="N143" s="391"/>
      <c r="O143" s="391"/>
      <c r="P143" s="391"/>
      <c r="Q143" s="391"/>
      <c r="R143" s="391"/>
      <c r="S143" s="391"/>
    </row>
    <row r="144" ht="19.5" customHeight="1">
      <c r="A144" s="382">
        <v>2611507.0</v>
      </c>
      <c r="B144" s="383" t="s">
        <v>660</v>
      </c>
      <c r="C144" s="384" t="s">
        <v>418</v>
      </c>
      <c r="D144" s="388"/>
      <c r="E144" s="389"/>
      <c r="F144" s="389"/>
      <c r="G144" s="388"/>
      <c r="H144" s="385"/>
      <c r="I144" s="385"/>
      <c r="J144" s="389"/>
      <c r="K144" s="389"/>
      <c r="L144" s="389"/>
      <c r="M144" s="389"/>
      <c r="N144" s="389"/>
      <c r="O144" s="389"/>
      <c r="P144" s="389"/>
      <c r="Q144" s="389"/>
      <c r="R144" s="389"/>
      <c r="S144" s="389"/>
    </row>
    <row r="145" ht="19.5" customHeight="1">
      <c r="A145" s="378">
        <v>2611533.0</v>
      </c>
      <c r="B145" s="379" t="s">
        <v>661</v>
      </c>
      <c r="C145" s="380" t="s">
        <v>430</v>
      </c>
      <c r="D145" s="390"/>
      <c r="E145" s="391"/>
      <c r="F145" s="391"/>
      <c r="G145" s="390"/>
      <c r="H145" s="381"/>
      <c r="I145" s="381"/>
      <c r="J145" s="391"/>
      <c r="K145" s="391"/>
      <c r="L145" s="391"/>
      <c r="M145" s="391"/>
      <c r="N145" s="391"/>
      <c r="O145" s="391"/>
      <c r="P145" s="391"/>
      <c r="Q145" s="391"/>
      <c r="R145" s="391"/>
      <c r="S145" s="391"/>
    </row>
    <row r="146" ht="19.5" customHeight="1">
      <c r="A146" s="382">
        <v>2611606.0</v>
      </c>
      <c r="B146" s="383" t="s">
        <v>96</v>
      </c>
      <c r="C146" s="384" t="s">
        <v>104</v>
      </c>
      <c r="D146" s="388"/>
      <c r="E146" s="389"/>
      <c r="F146" s="389"/>
      <c r="G146" s="388"/>
      <c r="H146" s="385"/>
      <c r="I146" s="385"/>
      <c r="J146" s="389"/>
      <c r="K146" s="389"/>
      <c r="L146" s="389"/>
      <c r="M146" s="389"/>
      <c r="N146" s="389"/>
      <c r="O146" s="389"/>
      <c r="P146" s="389"/>
      <c r="Q146" s="389"/>
      <c r="R146" s="389"/>
      <c r="S146" s="389"/>
    </row>
    <row r="147" ht="19.5" customHeight="1">
      <c r="A147" s="378">
        <v>2611705.0</v>
      </c>
      <c r="B147" s="379" t="s">
        <v>662</v>
      </c>
      <c r="C147" s="380" t="s">
        <v>317</v>
      </c>
      <c r="D147" s="390"/>
      <c r="E147" s="391"/>
      <c r="F147" s="391"/>
      <c r="G147" s="390"/>
      <c r="H147" s="381"/>
      <c r="I147" s="381"/>
      <c r="J147" s="391"/>
      <c r="K147" s="391"/>
      <c r="L147" s="391"/>
      <c r="M147" s="391"/>
      <c r="N147" s="391"/>
      <c r="O147" s="391"/>
      <c r="P147" s="391"/>
      <c r="Q147" s="391"/>
      <c r="R147" s="391"/>
      <c r="S147" s="391"/>
    </row>
    <row r="148" ht="19.5" customHeight="1">
      <c r="A148" s="382">
        <v>2611804.0</v>
      </c>
      <c r="B148" s="383" t="s">
        <v>663</v>
      </c>
      <c r="C148" s="384" t="s">
        <v>418</v>
      </c>
      <c r="D148" s="388"/>
      <c r="E148" s="389"/>
      <c r="F148" s="389"/>
      <c r="G148" s="388"/>
      <c r="H148" s="385"/>
      <c r="I148" s="385"/>
      <c r="J148" s="389"/>
      <c r="K148" s="389"/>
      <c r="L148" s="389"/>
      <c r="M148" s="389"/>
      <c r="N148" s="389"/>
      <c r="O148" s="389"/>
      <c r="P148" s="389"/>
      <c r="Q148" s="389"/>
      <c r="R148" s="389"/>
      <c r="S148" s="389"/>
    </row>
    <row r="149" ht="19.5" customHeight="1">
      <c r="A149" s="378">
        <v>2611903.0</v>
      </c>
      <c r="B149" s="379" t="s">
        <v>664</v>
      </c>
      <c r="C149" s="380" t="s">
        <v>418</v>
      </c>
      <c r="D149" s="390"/>
      <c r="E149" s="391"/>
      <c r="F149" s="391"/>
      <c r="G149" s="390"/>
      <c r="H149" s="381"/>
      <c r="I149" s="381"/>
      <c r="J149" s="391"/>
      <c r="K149" s="391"/>
      <c r="L149" s="391"/>
      <c r="M149" s="391"/>
      <c r="N149" s="391"/>
      <c r="O149" s="391"/>
      <c r="P149" s="391"/>
      <c r="Q149" s="391"/>
      <c r="R149" s="391"/>
      <c r="S149" s="391"/>
    </row>
    <row r="150" ht="19.5" customHeight="1">
      <c r="A150" s="382">
        <v>2612000.0</v>
      </c>
      <c r="B150" s="383" t="s">
        <v>665</v>
      </c>
      <c r="C150" s="384" t="s">
        <v>317</v>
      </c>
      <c r="D150" s="388"/>
      <c r="E150" s="389"/>
      <c r="F150" s="389"/>
      <c r="G150" s="388"/>
      <c r="H150" s="385"/>
      <c r="I150" s="385"/>
      <c r="J150" s="389"/>
      <c r="K150" s="389"/>
      <c r="L150" s="389"/>
      <c r="M150" s="389"/>
      <c r="N150" s="389"/>
      <c r="O150" s="389"/>
      <c r="P150" s="389"/>
      <c r="Q150" s="389"/>
      <c r="R150" s="389"/>
      <c r="S150" s="389"/>
    </row>
    <row r="151" ht="19.5" customHeight="1">
      <c r="A151" s="378">
        <v>2612109.0</v>
      </c>
      <c r="B151" s="379" t="s">
        <v>666</v>
      </c>
      <c r="C151" s="380" t="s">
        <v>437</v>
      </c>
      <c r="D151" s="390"/>
      <c r="E151" s="391"/>
      <c r="F151" s="391"/>
      <c r="G151" s="390"/>
      <c r="H151" s="381"/>
      <c r="I151" s="381"/>
      <c r="J151" s="391"/>
      <c r="K151" s="391"/>
      <c r="L151" s="391"/>
      <c r="M151" s="391"/>
      <c r="N151" s="391"/>
      <c r="O151" s="391"/>
      <c r="P151" s="391"/>
      <c r="Q151" s="391"/>
      <c r="R151" s="391"/>
      <c r="S151" s="391"/>
    </row>
    <row r="152" ht="19.5" customHeight="1">
      <c r="A152" s="382">
        <v>2612208.0</v>
      </c>
      <c r="B152" s="383" t="s">
        <v>422</v>
      </c>
      <c r="C152" s="384" t="s">
        <v>423</v>
      </c>
      <c r="D152" s="388"/>
      <c r="E152" s="389"/>
      <c r="F152" s="389"/>
      <c r="G152" s="388"/>
      <c r="H152" s="385"/>
      <c r="I152" s="385"/>
      <c r="J152" s="389"/>
      <c r="K152" s="389"/>
      <c r="L152" s="389"/>
      <c r="M152" s="389"/>
      <c r="N152" s="389"/>
      <c r="O152" s="389"/>
      <c r="P152" s="389"/>
      <c r="Q152" s="389"/>
      <c r="R152" s="389"/>
      <c r="S152" s="389"/>
    </row>
    <row r="153" ht="19.5" customHeight="1">
      <c r="A153" s="378">
        <v>2612307.0</v>
      </c>
      <c r="B153" s="379" t="s">
        <v>667</v>
      </c>
      <c r="C153" s="380" t="s">
        <v>421</v>
      </c>
      <c r="D153" s="390"/>
      <c r="E153" s="391"/>
      <c r="F153" s="391"/>
      <c r="G153" s="390"/>
      <c r="H153" s="381"/>
      <c r="I153" s="381"/>
      <c r="J153" s="391"/>
      <c r="K153" s="391"/>
      <c r="L153" s="391"/>
      <c r="M153" s="391"/>
      <c r="N153" s="391"/>
      <c r="O153" s="391"/>
      <c r="P153" s="391"/>
      <c r="Q153" s="391"/>
      <c r="R153" s="391"/>
      <c r="S153" s="391"/>
    </row>
    <row r="154" ht="19.5" customHeight="1">
      <c r="A154" s="382">
        <v>2612406.0</v>
      </c>
      <c r="B154" s="383" t="s">
        <v>668</v>
      </c>
      <c r="C154" s="384" t="s">
        <v>317</v>
      </c>
      <c r="D154" s="388"/>
      <c r="E154" s="389"/>
      <c r="F154" s="389"/>
      <c r="G154" s="388"/>
      <c r="H154" s="385"/>
      <c r="I154" s="385"/>
      <c r="J154" s="389"/>
      <c r="K154" s="389"/>
      <c r="L154" s="389"/>
      <c r="M154" s="389"/>
      <c r="N154" s="389"/>
      <c r="O154" s="389"/>
      <c r="P154" s="389"/>
      <c r="Q154" s="389"/>
      <c r="R154" s="389"/>
      <c r="S154" s="389"/>
    </row>
    <row r="155" ht="19.5" customHeight="1">
      <c r="A155" s="378">
        <v>2612455.0</v>
      </c>
      <c r="B155" s="379" t="s">
        <v>669</v>
      </c>
      <c r="C155" s="380" t="s">
        <v>427</v>
      </c>
      <c r="D155" s="390"/>
      <c r="E155" s="391"/>
      <c r="F155" s="391"/>
      <c r="G155" s="390"/>
      <c r="H155" s="381"/>
      <c r="I155" s="381"/>
      <c r="J155" s="391"/>
      <c r="K155" s="391"/>
      <c r="L155" s="391"/>
      <c r="M155" s="391"/>
      <c r="N155" s="391"/>
      <c r="O155" s="391"/>
      <c r="P155" s="391"/>
      <c r="Q155" s="391"/>
      <c r="R155" s="391"/>
      <c r="S155" s="391"/>
    </row>
    <row r="156" ht="19.5" customHeight="1">
      <c r="A156" s="382">
        <v>2612471.0</v>
      </c>
      <c r="B156" s="383" t="s">
        <v>670</v>
      </c>
      <c r="C156" s="384" t="s">
        <v>430</v>
      </c>
      <c r="D156" s="388"/>
      <c r="E156" s="389"/>
      <c r="F156" s="389"/>
      <c r="G156" s="388"/>
      <c r="H156" s="385"/>
      <c r="I156" s="385"/>
      <c r="J156" s="389"/>
      <c r="K156" s="389"/>
      <c r="L156" s="389"/>
      <c r="M156" s="389"/>
      <c r="N156" s="389"/>
      <c r="O156" s="389"/>
      <c r="P156" s="389"/>
      <c r="Q156" s="389"/>
      <c r="R156" s="389"/>
      <c r="S156" s="389"/>
    </row>
    <row r="157" ht="19.5" customHeight="1">
      <c r="A157" s="378">
        <v>2612505.0</v>
      </c>
      <c r="B157" s="379" t="s">
        <v>671</v>
      </c>
      <c r="C157" s="380" t="s">
        <v>437</v>
      </c>
      <c r="D157" s="390"/>
      <c r="E157" s="391"/>
      <c r="F157" s="391"/>
      <c r="G157" s="390"/>
      <c r="H157" s="381"/>
      <c r="I157" s="381"/>
      <c r="J157" s="391"/>
      <c r="K157" s="391"/>
      <c r="L157" s="391"/>
      <c r="M157" s="391"/>
      <c r="N157" s="391"/>
      <c r="O157" s="391"/>
      <c r="P157" s="391"/>
      <c r="Q157" s="391"/>
      <c r="R157" s="391"/>
      <c r="S157" s="391"/>
    </row>
    <row r="158" ht="19.5" customHeight="1">
      <c r="A158" s="382">
        <v>2612554.0</v>
      </c>
      <c r="B158" s="383" t="s">
        <v>672</v>
      </c>
      <c r="C158" s="384" t="s">
        <v>427</v>
      </c>
      <c r="D158" s="388"/>
      <c r="E158" s="389"/>
      <c r="F158" s="389"/>
      <c r="G158" s="388"/>
      <c r="H158" s="385"/>
      <c r="I158" s="385"/>
      <c r="J158" s="389"/>
      <c r="K158" s="389"/>
      <c r="L158" s="389"/>
      <c r="M158" s="389"/>
      <c r="N158" s="389"/>
      <c r="O158" s="389"/>
      <c r="P158" s="389"/>
      <c r="Q158" s="389"/>
      <c r="R158" s="389"/>
      <c r="S158" s="389"/>
    </row>
    <row r="159" ht="19.5" customHeight="1">
      <c r="A159" s="378">
        <v>2612604.0</v>
      </c>
      <c r="B159" s="379" t="s">
        <v>673</v>
      </c>
      <c r="C159" s="380" t="s">
        <v>433</v>
      </c>
      <c r="D159" s="390"/>
      <c r="E159" s="391"/>
      <c r="F159" s="391"/>
      <c r="G159" s="390"/>
      <c r="H159" s="381"/>
      <c r="I159" s="381"/>
      <c r="J159" s="391"/>
      <c r="K159" s="391"/>
      <c r="L159" s="391"/>
      <c r="M159" s="391"/>
      <c r="N159" s="391"/>
      <c r="O159" s="391"/>
      <c r="P159" s="391"/>
      <c r="Q159" s="391"/>
      <c r="R159" s="391"/>
      <c r="S159" s="391"/>
    </row>
    <row r="160" ht="19.5" customHeight="1">
      <c r="A160" s="382">
        <v>2612703.0</v>
      </c>
      <c r="B160" s="383" t="s">
        <v>674</v>
      </c>
      <c r="C160" s="384" t="s">
        <v>437</v>
      </c>
      <c r="D160" s="388"/>
      <c r="E160" s="389"/>
      <c r="F160" s="389"/>
      <c r="G160" s="388"/>
      <c r="H160" s="385"/>
      <c r="I160" s="385"/>
      <c r="J160" s="389"/>
      <c r="K160" s="389"/>
      <c r="L160" s="389"/>
      <c r="M160" s="389"/>
      <c r="N160" s="389"/>
      <c r="O160" s="389"/>
      <c r="P160" s="389"/>
      <c r="Q160" s="389"/>
      <c r="R160" s="389"/>
      <c r="S160" s="389"/>
    </row>
    <row r="161" ht="19.5" customHeight="1">
      <c r="A161" s="378">
        <v>2612802.0</v>
      </c>
      <c r="B161" s="379" t="s">
        <v>675</v>
      </c>
      <c r="C161" s="380" t="s">
        <v>430</v>
      </c>
      <c r="D161" s="390"/>
      <c r="E161" s="391"/>
      <c r="F161" s="391"/>
      <c r="G161" s="390"/>
      <c r="H161" s="381"/>
      <c r="I161" s="381"/>
      <c r="J161" s="391"/>
      <c r="K161" s="391"/>
      <c r="L161" s="391"/>
      <c r="M161" s="391"/>
      <c r="N161" s="391"/>
      <c r="O161" s="391"/>
      <c r="P161" s="391"/>
      <c r="Q161" s="391"/>
      <c r="R161" s="391"/>
      <c r="S161" s="391"/>
    </row>
    <row r="162" ht="19.5" customHeight="1">
      <c r="A162" s="382">
        <v>2612901.0</v>
      </c>
      <c r="B162" s="383" t="s">
        <v>676</v>
      </c>
      <c r="C162" s="384" t="s">
        <v>418</v>
      </c>
      <c r="D162" s="388"/>
      <c r="E162" s="389"/>
      <c r="F162" s="389"/>
      <c r="G162" s="388"/>
      <c r="H162" s="385"/>
      <c r="I162" s="385"/>
      <c r="J162" s="389"/>
      <c r="K162" s="389"/>
      <c r="L162" s="389"/>
      <c r="M162" s="389"/>
      <c r="N162" s="389"/>
      <c r="O162" s="389"/>
      <c r="P162" s="389"/>
      <c r="Q162" s="389"/>
      <c r="R162" s="389"/>
      <c r="S162" s="389"/>
    </row>
    <row r="163" ht="19.5" customHeight="1">
      <c r="A163" s="378">
        <v>2613008.0</v>
      </c>
      <c r="B163" s="379" t="s">
        <v>677</v>
      </c>
      <c r="C163" s="380" t="s">
        <v>317</v>
      </c>
      <c r="D163" s="390"/>
      <c r="E163" s="391"/>
      <c r="F163" s="391"/>
      <c r="G163" s="390"/>
      <c r="H163" s="381"/>
      <c r="I163" s="381"/>
      <c r="J163" s="391"/>
      <c r="K163" s="391"/>
      <c r="L163" s="391"/>
      <c r="M163" s="391"/>
      <c r="N163" s="391"/>
      <c r="O163" s="391"/>
      <c r="P163" s="391"/>
      <c r="Q163" s="391"/>
      <c r="R163" s="391"/>
      <c r="S163" s="391"/>
    </row>
    <row r="164" ht="19.5" customHeight="1">
      <c r="A164" s="382">
        <v>2613107.0</v>
      </c>
      <c r="B164" s="383" t="s">
        <v>678</v>
      </c>
      <c r="C164" s="384" t="s">
        <v>317</v>
      </c>
      <c r="D164" s="388"/>
      <c r="E164" s="389"/>
      <c r="F164" s="389"/>
      <c r="G164" s="388"/>
      <c r="H164" s="385"/>
      <c r="I164" s="385"/>
      <c r="J164" s="389"/>
      <c r="K164" s="389"/>
      <c r="L164" s="389"/>
      <c r="M164" s="389"/>
      <c r="N164" s="389"/>
      <c r="O164" s="389"/>
      <c r="P164" s="389"/>
      <c r="Q164" s="389"/>
      <c r="R164" s="389"/>
      <c r="S164" s="389"/>
    </row>
    <row r="165" ht="19.5" customHeight="1">
      <c r="A165" s="378">
        <v>2613206.0</v>
      </c>
      <c r="B165" s="379" t="s">
        <v>679</v>
      </c>
      <c r="C165" s="380" t="s">
        <v>421</v>
      </c>
      <c r="D165" s="390"/>
      <c r="E165" s="391"/>
      <c r="F165" s="391"/>
      <c r="G165" s="390"/>
      <c r="H165" s="381"/>
      <c r="I165" s="381"/>
      <c r="J165" s="391"/>
      <c r="K165" s="391"/>
      <c r="L165" s="391"/>
      <c r="M165" s="391"/>
      <c r="N165" s="391"/>
      <c r="O165" s="391"/>
      <c r="P165" s="391"/>
      <c r="Q165" s="391"/>
      <c r="R165" s="391"/>
      <c r="S165" s="391"/>
    </row>
    <row r="166" ht="19.5" customHeight="1">
      <c r="A166" s="382">
        <v>2613305.0</v>
      </c>
      <c r="B166" s="383" t="s">
        <v>680</v>
      </c>
      <c r="C166" s="384" t="s">
        <v>317</v>
      </c>
      <c r="D166" s="388"/>
      <c r="E166" s="389"/>
      <c r="F166" s="389"/>
      <c r="G166" s="388"/>
      <c r="H166" s="385"/>
      <c r="I166" s="385"/>
      <c r="J166" s="389"/>
      <c r="K166" s="389"/>
      <c r="L166" s="389"/>
      <c r="M166" s="389"/>
      <c r="N166" s="389"/>
      <c r="O166" s="389"/>
      <c r="P166" s="389"/>
      <c r="Q166" s="389"/>
      <c r="R166" s="389"/>
      <c r="S166" s="389"/>
    </row>
    <row r="167" ht="19.5" customHeight="1">
      <c r="A167" s="378">
        <v>2613404.0</v>
      </c>
      <c r="B167" s="379" t="s">
        <v>681</v>
      </c>
      <c r="C167" s="380" t="s">
        <v>418</v>
      </c>
      <c r="D167" s="390"/>
      <c r="E167" s="391"/>
      <c r="F167" s="391"/>
      <c r="G167" s="390"/>
      <c r="H167" s="381"/>
      <c r="I167" s="381"/>
      <c r="J167" s="391"/>
      <c r="K167" s="391"/>
      <c r="L167" s="391"/>
      <c r="M167" s="391"/>
      <c r="N167" s="391"/>
      <c r="O167" s="391"/>
      <c r="P167" s="391"/>
      <c r="Q167" s="391"/>
      <c r="R167" s="391"/>
      <c r="S167" s="391"/>
    </row>
    <row r="168" ht="19.5" customHeight="1">
      <c r="A168" s="382">
        <v>2613503.0</v>
      </c>
      <c r="B168" s="383" t="s">
        <v>682</v>
      </c>
      <c r="C168" s="384" t="s">
        <v>423</v>
      </c>
      <c r="D168" s="388"/>
      <c r="E168" s="389"/>
      <c r="F168" s="389"/>
      <c r="G168" s="388"/>
      <c r="H168" s="385"/>
      <c r="I168" s="385"/>
      <c r="J168" s="389"/>
      <c r="K168" s="389"/>
      <c r="L168" s="389"/>
      <c r="M168" s="389"/>
      <c r="N168" s="389"/>
      <c r="O168" s="389"/>
      <c r="P168" s="389"/>
      <c r="Q168" s="389"/>
      <c r="R168" s="389"/>
      <c r="S168" s="389"/>
    </row>
    <row r="169" ht="19.5" customHeight="1">
      <c r="A169" s="378">
        <v>2613602.0</v>
      </c>
      <c r="B169" s="379" t="s">
        <v>683</v>
      </c>
      <c r="C169" s="380" t="s">
        <v>430</v>
      </c>
      <c r="D169" s="390"/>
      <c r="E169" s="391"/>
      <c r="F169" s="391"/>
      <c r="G169" s="390"/>
      <c r="H169" s="381"/>
      <c r="I169" s="381"/>
      <c r="J169" s="391"/>
      <c r="K169" s="391"/>
      <c r="L169" s="391"/>
      <c r="M169" s="391"/>
      <c r="N169" s="391"/>
      <c r="O169" s="391"/>
      <c r="P169" s="391"/>
      <c r="Q169" s="391"/>
      <c r="R169" s="391"/>
      <c r="S169" s="391"/>
    </row>
    <row r="170" ht="19.5" customHeight="1">
      <c r="A170" s="382">
        <v>2613701.0</v>
      </c>
      <c r="B170" s="383" t="s">
        <v>684</v>
      </c>
      <c r="C170" s="384" t="s">
        <v>104</v>
      </c>
      <c r="D170" s="388"/>
      <c r="E170" s="389"/>
      <c r="F170" s="389"/>
      <c r="G170" s="388"/>
      <c r="H170" s="385"/>
      <c r="I170" s="385"/>
      <c r="J170" s="389"/>
      <c r="K170" s="389"/>
      <c r="L170" s="389"/>
      <c r="M170" s="389"/>
      <c r="N170" s="389"/>
      <c r="O170" s="389"/>
      <c r="P170" s="389"/>
      <c r="Q170" s="389"/>
      <c r="R170" s="389"/>
      <c r="S170" s="389"/>
    </row>
    <row r="171" ht="19.5" customHeight="1">
      <c r="A171" s="378">
        <v>2613800.0</v>
      </c>
      <c r="B171" s="379" t="s">
        <v>685</v>
      </c>
      <c r="C171" s="380" t="s">
        <v>437</v>
      </c>
      <c r="D171" s="390"/>
      <c r="E171" s="391"/>
      <c r="F171" s="391"/>
      <c r="G171" s="390"/>
      <c r="H171" s="381"/>
      <c r="I171" s="381"/>
      <c r="J171" s="391"/>
      <c r="K171" s="391"/>
      <c r="L171" s="391"/>
      <c r="M171" s="391"/>
      <c r="N171" s="391"/>
      <c r="O171" s="391"/>
      <c r="P171" s="391"/>
      <c r="Q171" s="391"/>
      <c r="R171" s="391"/>
      <c r="S171" s="391"/>
    </row>
    <row r="172" ht="19.5" customHeight="1">
      <c r="A172" s="382">
        <v>2613909.0</v>
      </c>
      <c r="B172" s="383" t="s">
        <v>429</v>
      </c>
      <c r="C172" s="384" t="s">
        <v>430</v>
      </c>
      <c r="D172" s="388"/>
      <c r="E172" s="389"/>
      <c r="F172" s="389"/>
      <c r="G172" s="388"/>
      <c r="H172" s="385"/>
      <c r="I172" s="385"/>
      <c r="J172" s="389"/>
      <c r="K172" s="389"/>
      <c r="L172" s="389"/>
      <c r="M172" s="389"/>
      <c r="N172" s="389"/>
      <c r="O172" s="389"/>
      <c r="P172" s="389"/>
      <c r="Q172" s="389"/>
      <c r="R172" s="389"/>
      <c r="S172" s="389"/>
    </row>
    <row r="173" ht="19.5" customHeight="1">
      <c r="A173" s="378">
        <v>2614006.0</v>
      </c>
      <c r="B173" s="379" t="s">
        <v>686</v>
      </c>
      <c r="C173" s="380" t="s">
        <v>423</v>
      </c>
      <c r="D173" s="390"/>
      <c r="E173" s="391"/>
      <c r="F173" s="391"/>
      <c r="G173" s="390"/>
      <c r="H173" s="381"/>
      <c r="I173" s="381"/>
      <c r="J173" s="391"/>
      <c r="K173" s="391"/>
      <c r="L173" s="391"/>
      <c r="M173" s="391"/>
      <c r="N173" s="391"/>
      <c r="O173" s="391"/>
      <c r="P173" s="391"/>
      <c r="Q173" s="391"/>
      <c r="R173" s="391"/>
      <c r="S173" s="391"/>
    </row>
    <row r="174" ht="19.5" customHeight="1">
      <c r="A174" s="382">
        <v>2614105.0</v>
      </c>
      <c r="B174" s="383" t="s">
        <v>687</v>
      </c>
      <c r="C174" s="384" t="s">
        <v>425</v>
      </c>
      <c r="D174" s="388"/>
      <c r="E174" s="389"/>
      <c r="F174" s="389"/>
      <c r="G174" s="388"/>
      <c r="H174" s="385"/>
      <c r="I174" s="385"/>
      <c r="J174" s="389"/>
      <c r="K174" s="389"/>
      <c r="L174" s="389"/>
      <c r="M174" s="389"/>
      <c r="N174" s="389"/>
      <c r="O174" s="389"/>
      <c r="P174" s="389"/>
      <c r="Q174" s="389"/>
      <c r="R174" s="389"/>
      <c r="S174" s="389"/>
    </row>
    <row r="175" ht="19.5" customHeight="1">
      <c r="A175" s="378">
        <v>2614204.0</v>
      </c>
      <c r="B175" s="379" t="s">
        <v>688</v>
      </c>
      <c r="C175" s="380" t="s">
        <v>418</v>
      </c>
      <c r="D175" s="390"/>
      <c r="E175" s="391"/>
      <c r="F175" s="391"/>
      <c r="G175" s="390"/>
      <c r="H175" s="381"/>
      <c r="I175" s="381"/>
      <c r="J175" s="391"/>
      <c r="K175" s="391"/>
      <c r="L175" s="391"/>
      <c r="M175" s="391"/>
      <c r="N175" s="391"/>
      <c r="O175" s="391"/>
      <c r="P175" s="391"/>
      <c r="Q175" s="391"/>
      <c r="R175" s="391"/>
      <c r="S175" s="391"/>
    </row>
    <row r="176" ht="19.5" customHeight="1">
      <c r="A176" s="382">
        <v>2614303.0</v>
      </c>
      <c r="B176" s="383" t="s">
        <v>689</v>
      </c>
      <c r="C176" s="384" t="s">
        <v>427</v>
      </c>
      <c r="D176" s="388"/>
      <c r="E176" s="389"/>
      <c r="F176" s="389"/>
      <c r="G176" s="388"/>
      <c r="H176" s="385"/>
      <c r="I176" s="385"/>
      <c r="J176" s="389"/>
      <c r="K176" s="389"/>
      <c r="L176" s="389"/>
      <c r="M176" s="389"/>
      <c r="N176" s="389"/>
      <c r="O176" s="389"/>
      <c r="P176" s="389"/>
      <c r="Q176" s="389"/>
      <c r="R176" s="389"/>
      <c r="S176" s="389"/>
    </row>
    <row r="177" ht="19.5" customHeight="1">
      <c r="A177" s="378">
        <v>2614402.0</v>
      </c>
      <c r="B177" s="379" t="s">
        <v>690</v>
      </c>
      <c r="C177" s="380" t="s">
        <v>430</v>
      </c>
      <c r="D177" s="390"/>
      <c r="E177" s="391"/>
      <c r="F177" s="391"/>
      <c r="G177" s="390"/>
      <c r="H177" s="381"/>
      <c r="I177" s="381"/>
      <c r="J177" s="391"/>
      <c r="K177" s="391"/>
      <c r="L177" s="391"/>
      <c r="M177" s="391"/>
      <c r="N177" s="391"/>
      <c r="O177" s="391"/>
      <c r="P177" s="391"/>
      <c r="Q177" s="391"/>
      <c r="R177" s="391"/>
      <c r="S177" s="391"/>
    </row>
    <row r="178" ht="19.5" customHeight="1">
      <c r="A178" s="382">
        <v>2614501.0</v>
      </c>
      <c r="B178" s="383" t="s">
        <v>485</v>
      </c>
      <c r="C178" s="384" t="s">
        <v>437</v>
      </c>
      <c r="D178" s="388"/>
      <c r="E178" s="389"/>
      <c r="F178" s="389"/>
      <c r="G178" s="388"/>
      <c r="H178" s="385"/>
      <c r="I178" s="385"/>
      <c r="J178" s="389"/>
      <c r="K178" s="389"/>
      <c r="L178" s="389"/>
      <c r="M178" s="389"/>
      <c r="N178" s="389"/>
      <c r="O178" s="389"/>
      <c r="P178" s="389"/>
      <c r="Q178" s="389"/>
      <c r="R178" s="389"/>
      <c r="S178" s="389"/>
    </row>
    <row r="179" ht="19.5" customHeight="1">
      <c r="A179" s="378">
        <v>2614600.0</v>
      </c>
      <c r="B179" s="379" t="s">
        <v>691</v>
      </c>
      <c r="C179" s="380" t="s">
        <v>430</v>
      </c>
      <c r="D179" s="390"/>
      <c r="E179" s="391"/>
      <c r="F179" s="391"/>
      <c r="G179" s="390"/>
      <c r="H179" s="381"/>
      <c r="I179" s="381"/>
      <c r="J179" s="391"/>
      <c r="K179" s="391"/>
      <c r="L179" s="391"/>
      <c r="M179" s="391"/>
      <c r="N179" s="391"/>
      <c r="O179" s="391"/>
      <c r="P179" s="391"/>
      <c r="Q179" s="391"/>
      <c r="R179" s="391"/>
      <c r="S179" s="391"/>
    </row>
    <row r="180" ht="19.5" customHeight="1">
      <c r="A180" s="382">
        <v>2614709.0</v>
      </c>
      <c r="B180" s="383" t="s">
        <v>692</v>
      </c>
      <c r="C180" s="384" t="s">
        <v>317</v>
      </c>
      <c r="D180" s="388"/>
      <c r="E180" s="389"/>
      <c r="F180" s="389"/>
      <c r="G180" s="388"/>
      <c r="H180" s="385"/>
      <c r="I180" s="385"/>
      <c r="J180" s="389"/>
      <c r="K180" s="389"/>
      <c r="L180" s="389"/>
      <c r="M180" s="389"/>
      <c r="N180" s="389"/>
      <c r="O180" s="389"/>
      <c r="P180" s="389"/>
      <c r="Q180" s="389"/>
      <c r="R180" s="389"/>
      <c r="S180" s="389"/>
    </row>
    <row r="181" ht="19.5" customHeight="1">
      <c r="A181" s="378">
        <v>2614808.0</v>
      </c>
      <c r="B181" s="379" t="s">
        <v>693</v>
      </c>
      <c r="C181" s="380" t="s">
        <v>504</v>
      </c>
      <c r="D181" s="390"/>
      <c r="E181" s="391"/>
      <c r="F181" s="391"/>
      <c r="G181" s="390"/>
      <c r="H181" s="381"/>
      <c r="I181" s="381"/>
      <c r="J181" s="391"/>
      <c r="K181" s="391"/>
      <c r="L181" s="391"/>
      <c r="M181" s="391"/>
      <c r="N181" s="391"/>
      <c r="O181" s="391"/>
      <c r="P181" s="391"/>
      <c r="Q181" s="391"/>
      <c r="R181" s="391"/>
      <c r="S181" s="391"/>
    </row>
    <row r="182" ht="19.5" customHeight="1">
      <c r="A182" s="382">
        <v>2614857.0</v>
      </c>
      <c r="B182" s="383" t="s">
        <v>694</v>
      </c>
      <c r="C182" s="384" t="s">
        <v>418</v>
      </c>
      <c r="D182" s="388"/>
      <c r="E182" s="389"/>
      <c r="F182" s="389"/>
      <c r="G182" s="388"/>
      <c r="H182" s="385"/>
      <c r="I182" s="385"/>
      <c r="J182" s="389"/>
      <c r="K182" s="389"/>
      <c r="L182" s="389"/>
      <c r="M182" s="389"/>
      <c r="N182" s="389"/>
      <c r="O182" s="389"/>
      <c r="P182" s="389"/>
      <c r="Q182" s="389"/>
      <c r="R182" s="389"/>
      <c r="S182" s="389"/>
    </row>
    <row r="183" ht="19.5" customHeight="1">
      <c r="A183" s="378">
        <v>2615003.0</v>
      </c>
      <c r="B183" s="379" t="s">
        <v>695</v>
      </c>
      <c r="C183" s="380" t="s">
        <v>437</v>
      </c>
      <c r="D183" s="390"/>
      <c r="E183" s="391"/>
      <c r="F183" s="391"/>
      <c r="G183" s="390"/>
      <c r="H183" s="381"/>
      <c r="I183" s="381"/>
      <c r="J183" s="391"/>
      <c r="K183" s="391"/>
      <c r="L183" s="391"/>
      <c r="M183" s="391"/>
      <c r="N183" s="391"/>
      <c r="O183" s="391"/>
      <c r="P183" s="391"/>
      <c r="Q183" s="391"/>
      <c r="R183" s="391"/>
      <c r="S183" s="391"/>
    </row>
    <row r="184" ht="19.5" customHeight="1">
      <c r="A184" s="382">
        <v>2615102.0</v>
      </c>
      <c r="B184" s="383" t="s">
        <v>696</v>
      </c>
      <c r="C184" s="384" t="s">
        <v>421</v>
      </c>
      <c r="D184" s="388"/>
      <c r="E184" s="389"/>
      <c r="F184" s="389"/>
      <c r="G184" s="388"/>
      <c r="H184" s="385"/>
      <c r="I184" s="385"/>
      <c r="J184" s="389"/>
      <c r="K184" s="389"/>
      <c r="L184" s="389"/>
      <c r="M184" s="389"/>
      <c r="N184" s="389"/>
      <c r="O184" s="389"/>
      <c r="P184" s="389"/>
      <c r="Q184" s="389"/>
      <c r="R184" s="389"/>
      <c r="S184" s="389"/>
    </row>
    <row r="185" ht="19.5" customHeight="1">
      <c r="A185" s="378">
        <v>2615201.0</v>
      </c>
      <c r="B185" s="379" t="s">
        <v>697</v>
      </c>
      <c r="C185" s="380" t="s">
        <v>423</v>
      </c>
      <c r="D185" s="390"/>
      <c r="E185" s="391"/>
      <c r="F185" s="391"/>
      <c r="G185" s="390"/>
      <c r="H185" s="381"/>
      <c r="I185" s="381"/>
      <c r="J185" s="391"/>
      <c r="K185" s="391"/>
      <c r="L185" s="391"/>
      <c r="M185" s="391"/>
      <c r="N185" s="391"/>
      <c r="O185" s="391"/>
      <c r="P185" s="391"/>
      <c r="Q185" s="391"/>
      <c r="R185" s="391"/>
      <c r="S185" s="391"/>
    </row>
    <row r="186" ht="19.5" customHeight="1">
      <c r="A186" s="382">
        <v>2615300.0</v>
      </c>
      <c r="B186" s="383" t="s">
        <v>698</v>
      </c>
      <c r="C186" s="384" t="s">
        <v>415</v>
      </c>
      <c r="D186" s="388"/>
      <c r="E186" s="389"/>
      <c r="F186" s="389"/>
      <c r="G186" s="388"/>
      <c r="H186" s="385"/>
      <c r="I186" s="385"/>
      <c r="J186" s="389"/>
      <c r="K186" s="389"/>
      <c r="L186" s="389"/>
      <c r="M186" s="389"/>
      <c r="N186" s="389"/>
      <c r="O186" s="389"/>
      <c r="P186" s="389"/>
      <c r="Q186" s="389"/>
      <c r="R186" s="389"/>
      <c r="S186" s="389"/>
    </row>
    <row r="187" ht="19.5" customHeight="1">
      <c r="A187" s="378">
        <v>2615409.0</v>
      </c>
      <c r="B187" s="379" t="s">
        <v>699</v>
      </c>
      <c r="C187" s="380" t="s">
        <v>437</v>
      </c>
      <c r="D187" s="390"/>
      <c r="E187" s="391"/>
      <c r="F187" s="391"/>
      <c r="G187" s="390"/>
      <c r="H187" s="381"/>
      <c r="I187" s="381"/>
      <c r="J187" s="391"/>
      <c r="K187" s="391"/>
      <c r="L187" s="391"/>
      <c r="M187" s="391"/>
      <c r="N187" s="391"/>
      <c r="O187" s="391"/>
      <c r="P187" s="391"/>
      <c r="Q187" s="391"/>
      <c r="R187" s="391"/>
      <c r="S187" s="391"/>
    </row>
    <row r="188" ht="19.5" customHeight="1">
      <c r="A188" s="382">
        <v>2615508.0</v>
      </c>
      <c r="B188" s="383" t="s">
        <v>700</v>
      </c>
      <c r="C188" s="384" t="s">
        <v>415</v>
      </c>
      <c r="D188" s="388"/>
      <c r="E188" s="389"/>
      <c r="F188" s="389"/>
      <c r="G188" s="388"/>
      <c r="H188" s="385"/>
      <c r="I188" s="385"/>
      <c r="J188" s="389"/>
      <c r="K188" s="389"/>
      <c r="L188" s="389"/>
      <c r="M188" s="389"/>
      <c r="N188" s="389"/>
      <c r="O188" s="389"/>
      <c r="P188" s="389"/>
      <c r="Q188" s="389"/>
      <c r="R188" s="389"/>
      <c r="S188" s="389"/>
    </row>
    <row r="189" ht="19.5" customHeight="1">
      <c r="A189" s="378">
        <v>2615607.0</v>
      </c>
      <c r="B189" s="379" t="s">
        <v>701</v>
      </c>
      <c r="C189" s="380" t="s">
        <v>427</v>
      </c>
      <c r="D189" s="390"/>
      <c r="E189" s="391"/>
      <c r="F189" s="391"/>
      <c r="G189" s="390"/>
      <c r="H189" s="381"/>
      <c r="I189" s="381"/>
      <c r="J189" s="391"/>
      <c r="K189" s="391"/>
      <c r="L189" s="391"/>
      <c r="M189" s="391"/>
      <c r="N189" s="391"/>
      <c r="O189" s="391"/>
      <c r="P189" s="391"/>
      <c r="Q189" s="391"/>
      <c r="R189" s="391"/>
      <c r="S189" s="391"/>
    </row>
    <row r="190" ht="19.5" customHeight="1">
      <c r="A190" s="382">
        <v>2615706.0</v>
      </c>
      <c r="B190" s="383" t="s">
        <v>702</v>
      </c>
      <c r="C190" s="384" t="s">
        <v>430</v>
      </c>
      <c r="D190" s="388"/>
      <c r="E190" s="389"/>
      <c r="F190" s="389"/>
      <c r="G190" s="388"/>
      <c r="H190" s="385"/>
      <c r="I190" s="385"/>
      <c r="J190" s="389"/>
      <c r="K190" s="389"/>
      <c r="L190" s="389"/>
      <c r="M190" s="389"/>
      <c r="N190" s="389"/>
      <c r="O190" s="389"/>
      <c r="P190" s="389"/>
      <c r="Q190" s="389"/>
      <c r="R190" s="389"/>
      <c r="S190" s="389"/>
    </row>
    <row r="191" ht="19.5" customHeight="1">
      <c r="A191" s="378">
        <v>2615805.0</v>
      </c>
      <c r="B191" s="379" t="s">
        <v>703</v>
      </c>
      <c r="C191" s="380" t="s">
        <v>421</v>
      </c>
      <c r="D191" s="390"/>
      <c r="E191" s="391"/>
      <c r="F191" s="391"/>
      <c r="G191" s="390"/>
      <c r="H191" s="381"/>
      <c r="I191" s="381"/>
      <c r="J191" s="391"/>
      <c r="K191" s="391"/>
      <c r="L191" s="391"/>
      <c r="M191" s="391"/>
      <c r="N191" s="391"/>
      <c r="O191" s="391"/>
      <c r="P191" s="391"/>
      <c r="Q191" s="391"/>
      <c r="R191" s="391"/>
      <c r="S191" s="391"/>
    </row>
    <row r="192" ht="19.5" customHeight="1">
      <c r="A192" s="382">
        <v>2615904.0</v>
      </c>
      <c r="B192" s="383" t="s">
        <v>704</v>
      </c>
      <c r="C192" s="384" t="s">
        <v>430</v>
      </c>
      <c r="D192" s="388"/>
      <c r="E192" s="389"/>
      <c r="F192" s="389"/>
      <c r="G192" s="388"/>
      <c r="H192" s="385"/>
      <c r="I192" s="385"/>
      <c r="J192" s="389"/>
      <c r="K192" s="389"/>
      <c r="L192" s="389"/>
      <c r="M192" s="389"/>
      <c r="N192" s="389"/>
      <c r="O192" s="389"/>
      <c r="P192" s="389"/>
      <c r="Q192" s="389"/>
      <c r="R192" s="389"/>
      <c r="S192" s="389"/>
    </row>
    <row r="193" ht="19.5" customHeight="1">
      <c r="A193" s="378">
        <v>2616001.0</v>
      </c>
      <c r="B193" s="379" t="s">
        <v>705</v>
      </c>
      <c r="C193" s="380" t="s">
        <v>421</v>
      </c>
      <c r="D193" s="390"/>
      <c r="E193" s="391"/>
      <c r="F193" s="391"/>
      <c r="G193" s="390"/>
      <c r="H193" s="381"/>
      <c r="I193" s="381"/>
      <c r="J193" s="391"/>
      <c r="K193" s="391"/>
      <c r="L193" s="391"/>
      <c r="M193" s="391"/>
      <c r="N193" s="391"/>
      <c r="O193" s="391"/>
      <c r="P193" s="391"/>
      <c r="Q193" s="391"/>
      <c r="R193" s="391"/>
      <c r="S193" s="391"/>
    </row>
    <row r="194" ht="19.5" customHeight="1">
      <c r="A194" s="382">
        <v>2616100.0</v>
      </c>
      <c r="B194" s="383" t="s">
        <v>706</v>
      </c>
      <c r="C194" s="384" t="s">
        <v>423</v>
      </c>
      <c r="D194" s="388"/>
      <c r="E194" s="389"/>
      <c r="F194" s="389"/>
      <c r="G194" s="388"/>
      <c r="H194" s="385"/>
      <c r="I194" s="385"/>
      <c r="J194" s="389"/>
      <c r="K194" s="389"/>
      <c r="L194" s="389"/>
      <c r="M194" s="389"/>
      <c r="N194" s="389"/>
      <c r="O194" s="389"/>
      <c r="P194" s="389"/>
      <c r="Q194" s="389"/>
      <c r="R194" s="389"/>
      <c r="S194" s="389"/>
    </row>
    <row r="195" ht="19.5" customHeight="1">
      <c r="A195" s="378">
        <v>2616183.0</v>
      </c>
      <c r="B195" s="379" t="s">
        <v>707</v>
      </c>
      <c r="C195" s="380" t="s">
        <v>437</v>
      </c>
      <c r="D195" s="390"/>
      <c r="E195" s="391"/>
      <c r="F195" s="391"/>
      <c r="G195" s="390"/>
      <c r="H195" s="381"/>
      <c r="I195" s="381"/>
      <c r="J195" s="391"/>
      <c r="K195" s="391"/>
      <c r="L195" s="391"/>
      <c r="M195" s="391"/>
      <c r="N195" s="391"/>
      <c r="O195" s="391"/>
      <c r="P195" s="391"/>
      <c r="Q195" s="391"/>
      <c r="R195" s="391"/>
      <c r="S195" s="391"/>
    </row>
    <row r="196" ht="19.5" customHeight="1">
      <c r="A196" s="382">
        <v>2616209.0</v>
      </c>
      <c r="B196" s="383" t="s">
        <v>708</v>
      </c>
      <c r="C196" s="384" t="s">
        <v>437</v>
      </c>
      <c r="D196" s="388"/>
      <c r="E196" s="389"/>
      <c r="F196" s="389"/>
      <c r="G196" s="388"/>
      <c r="H196" s="385"/>
      <c r="I196" s="385"/>
      <c r="J196" s="389"/>
      <c r="K196" s="389"/>
      <c r="L196" s="389"/>
      <c r="M196" s="389"/>
      <c r="N196" s="389"/>
      <c r="O196" s="389"/>
      <c r="P196" s="389"/>
      <c r="Q196" s="389"/>
      <c r="R196" s="389"/>
      <c r="S196" s="389"/>
    </row>
    <row r="197" ht="19.5" customHeight="1">
      <c r="A197" s="378">
        <v>2616308.0</v>
      </c>
      <c r="B197" s="379" t="s">
        <v>709</v>
      </c>
      <c r="C197" s="380" t="s">
        <v>415</v>
      </c>
      <c r="D197" s="390"/>
      <c r="E197" s="391"/>
      <c r="F197" s="391"/>
      <c r="G197" s="390"/>
      <c r="H197" s="381"/>
      <c r="I197" s="381"/>
      <c r="J197" s="391"/>
      <c r="K197" s="391"/>
      <c r="L197" s="391"/>
      <c r="M197" s="391"/>
      <c r="N197" s="391"/>
      <c r="O197" s="391"/>
      <c r="P197" s="391"/>
      <c r="Q197" s="391"/>
      <c r="R197" s="391"/>
      <c r="S197" s="391"/>
    </row>
    <row r="198" ht="19.5" customHeight="1">
      <c r="A198" s="382">
        <v>2616407.0</v>
      </c>
      <c r="B198" s="383" t="s">
        <v>417</v>
      </c>
      <c r="C198" s="384" t="s">
        <v>418</v>
      </c>
      <c r="D198" s="388"/>
      <c r="E198" s="389"/>
      <c r="F198" s="389"/>
      <c r="G198" s="388"/>
      <c r="H198" s="385"/>
      <c r="I198" s="385"/>
      <c r="J198" s="389"/>
      <c r="K198" s="389"/>
      <c r="L198" s="389"/>
      <c r="M198" s="389"/>
      <c r="N198" s="389"/>
      <c r="O198" s="389"/>
      <c r="P198" s="389"/>
      <c r="Q198" s="389"/>
      <c r="R198" s="389"/>
      <c r="S198" s="389"/>
    </row>
    <row r="199" ht="19.5" customHeight="1">
      <c r="A199" s="378">
        <v>2616506.0</v>
      </c>
      <c r="B199" s="379" t="s">
        <v>710</v>
      </c>
      <c r="C199" s="380" t="s">
        <v>418</v>
      </c>
      <c r="D199" s="390"/>
      <c r="E199" s="391"/>
      <c r="F199" s="391"/>
      <c r="G199" s="390"/>
      <c r="H199" s="381"/>
      <c r="I199" s="381"/>
      <c r="J199" s="391"/>
      <c r="K199" s="391"/>
      <c r="L199" s="391"/>
      <c r="M199" s="391"/>
      <c r="N199" s="391"/>
      <c r="O199" s="391"/>
      <c r="P199" s="391"/>
      <c r="Q199" s="391"/>
      <c r="R199" s="391"/>
      <c r="S199" s="391"/>
    </row>
  </sheetData>
  <autoFilter ref="$A$2:$S$199">
    <sortState ref="A2:S199">
      <sortCondition ref="A2:A199"/>
    </sortState>
  </autoFilter>
  <drawing r:id="rId1"/>
</worksheet>
</file>