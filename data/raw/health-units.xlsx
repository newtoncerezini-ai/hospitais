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spitais Regionais e OSS" sheetId="1" r:id="rId5"/>
    <sheet state="visible" name="Os Seis Grandes" sheetId="2" r:id="rId6"/>
    <sheet state="visible" name="UNIDADES EM CONSTRUÇÃO" sheetId="3" r:id="rId7"/>
    <sheet state="visible" name="UPA e UPA-E" sheetId="4" r:id="rId8"/>
    <sheet state="visible" name="Rede Credenciada" sheetId="5" r:id="rId9"/>
    <sheet state="visible" name="NÃO MEXER Consolidado" sheetId="6" r:id="rId10"/>
    <sheet state="visible" name="LEIA-ME" sheetId="7" r:id="rId11"/>
    <sheet state="visible" name="0_Template_Cod_Mun_RD" sheetId="8" r:id="rId12"/>
  </sheets>
  <definedNames>
    <definedName hidden="1" localSheetId="3" name="_xlnm._FilterDatabase">'UPA e UPA-E'!$B$2:$I$32</definedName>
    <definedName hidden="1" localSheetId="7" name="_xlnm._FilterDatabase">'0_Template_Cod_Mun_RD'!$A$2:$S$199</definedName>
    <definedName hidden="1" localSheetId="4" name="Z_09549009_DDA2_40E2_A258_491072C3BE75_.wvu.FilterData">'Rede Credenciada'!$A$2:$G$32</definedName>
    <definedName hidden="1" localSheetId="0" name="Z_09549009_DDA2_40E2_A258_491072C3BE75_.wvu.FilterData">'Hospitais Regionais e OSS'!$A$2:$T$32</definedName>
    <definedName hidden="1" localSheetId="0" name="Z_0647DFF8_23B6_403F_86D4_CBD5AFE7C53F_.wvu.FilterData">'Hospitais Regionais e OSS'!$A$2:$AA$1000</definedName>
  </definedNames>
  <calcPr/>
  <customWorkbookViews>
    <customWorkbookView activeSheetId="0" maximized="1" windowHeight="0" windowWidth="0" guid="{09549009-DDA2-40E2-A258-491072C3BE75}" name="OSS"/>
    <customWorkbookView activeSheetId="0" maximized="1" windowHeight="0" windowWidth="0" guid="{0647DFF8-23B6-403F-86D4-CBD5AFE7C53F}" name="Gestão Própria"/>
  </customWorkbookViews>
</workbook>
</file>

<file path=xl/sharedStrings.xml><?xml version="1.0" encoding="utf-8"?>
<sst xmlns="http://schemas.openxmlformats.org/spreadsheetml/2006/main" count="1618" uniqueCount="611">
  <si>
    <t>Novas Maternidades</t>
  </si>
  <si>
    <t>HOSPITAL</t>
  </si>
  <si>
    <t>Localização</t>
  </si>
  <si>
    <t>GERES</t>
  </si>
  <si>
    <t>UPA ou UPAE</t>
  </si>
  <si>
    <t>Tipo de Gestão</t>
  </si>
  <si>
    <t>Leitos previstos</t>
  </si>
  <si>
    <t>OSS</t>
  </si>
  <si>
    <t>Número de leitos</t>
  </si>
  <si>
    <t>Perfil</t>
  </si>
  <si>
    <t>Leitos</t>
  </si>
  <si>
    <t>Nº Profissionais Total</t>
  </si>
  <si>
    <t>Investimento nesta gestão</t>
  </si>
  <si>
    <t>Investimento para obra e equipagem</t>
  </si>
  <si>
    <t>Tipo de Gestão (OSS / Gestão Própria)</t>
  </si>
  <si>
    <t>Leitos abertos nesta gestão</t>
  </si>
  <si>
    <t>Tipos de leitos abertos nesta gestão</t>
  </si>
  <si>
    <t xml:space="preserve">Leitos a abrir com o fim das reformas </t>
  </si>
  <si>
    <t>Principais avanços nessa gestão</t>
  </si>
  <si>
    <t>Nº Profissionais convocados nesta gestão</t>
  </si>
  <si>
    <t>Profissionais Servidores</t>
  </si>
  <si>
    <t>Valor do contrato de manutenção predial (anual)</t>
  </si>
  <si>
    <t>Cofinanciamento 2022</t>
  </si>
  <si>
    <t>Profissionais CLT</t>
  </si>
  <si>
    <t>Cofinanciamento 2025</t>
  </si>
  <si>
    <t>Profissionais PJ</t>
  </si>
  <si>
    <t>Aumento Cofinanciamento  (2022 a 2025) %</t>
  </si>
  <si>
    <t>Profissionais Terceirizados</t>
  </si>
  <si>
    <t>Jovem Aprendiz</t>
  </si>
  <si>
    <t>Investimento nesta gestão¹</t>
  </si>
  <si>
    <t>Maternidade de Garanhuns</t>
  </si>
  <si>
    <t>Nova equipagem</t>
  </si>
  <si>
    <t>-</t>
  </si>
  <si>
    <t>Obras de infraestrutura</t>
  </si>
  <si>
    <t>Leitos a abrir com o fim das reformas</t>
  </si>
  <si>
    <t>Cofinanciamento 2022 (Apenas Gestão Própria)</t>
  </si>
  <si>
    <t>Cofinanciamento 2025 (Apenas Gestão Própria)</t>
  </si>
  <si>
    <t>V</t>
  </si>
  <si>
    <t>Aumento Cofinanciamento  (2022 a 2025) % (Apenas Gestão Própria)</t>
  </si>
  <si>
    <t>Repasse (OS) em 2025</t>
  </si>
  <si>
    <t>Comissionados</t>
  </si>
  <si>
    <t>Maternidade de alto risco: Centro de parto normal; unidade de cuidados intermediários; UCI Neonatal convencional; UTI Neonatal; UTI Materna; Suíte PPP (parto, pós-parto e puerpério); 4 salas cirúrgicas; Enfermaria de alto risco; Enfermaria de ginecologia; Enfermaria de Alojamento Conjunto</t>
  </si>
  <si>
    <t>Contratos Temporários</t>
  </si>
  <si>
    <t>UPAE Grande Recife</t>
  </si>
  <si>
    <t>Aguardando informação</t>
  </si>
  <si>
    <t>Cedidos de outros órgãos</t>
  </si>
  <si>
    <t>Rodovia BR 101, km 47, s/n, Desterro, Abreu e Lima, CEP: 53.520-01</t>
  </si>
  <si>
    <t>Hospital Agamenon Magalhães (HAM)</t>
  </si>
  <si>
    <t>Hospital Geral da Mirueira</t>
  </si>
  <si>
    <t>Gestão própria</t>
  </si>
  <si>
    <t>I</t>
  </si>
  <si>
    <t xml:space="preserve"> Estrada da Santa Casa, s/n, Mirueira-Paulista/PE</t>
  </si>
  <si>
    <t>Enfermaria Saúde Mental</t>
  </si>
  <si>
    <t>clínica médica, hanseníase, saúde mental (referência para tratamento de alcoolismo e outras drogas)</t>
  </si>
  <si>
    <t>Atendimento ambulatorial especializado em Angiologia, Cardiologia, Dermatologia, Endocrinologia, Gastroenterologia, Otorrinolaringologia, Pneumologia, Reumatologia e Urologia, além de atendimento multiprofissional nas áreas de Enfermagem, Farmácia, Fisioterapia, Fonoaudiologia, Nutrição, Psicologia, Serviço Social.</t>
  </si>
  <si>
    <t>Crescimento do repasse direto: repasse cresceu 28,1% entre 2022 e 2025, de R$ 5,0 milhões para R$ 6,5 milhões.</t>
  </si>
  <si>
    <t>UPAE Carpina</t>
  </si>
  <si>
    <t>R. Luís Gonzaga Amorim Ribeiro, 50 - Santa Cruz, Carpina - PE, 55811-100</t>
  </si>
  <si>
    <t>II</t>
  </si>
  <si>
    <t>Atendimento ambulatorial especializado em Alergologia, Angiologia/Cirurgia Vascular, Clínica Médica, Cardiologia, Dermatologia, Endocrinologia, Gastroenterologia, Ginecologia (CAF e Biópsias), Infectologia, Mastologia, Nefrologia, Otorrinolaringologia, Pneumologia, Reumatologia e Urologia, além de atendimento multiprofissional nas áreas de Enfermagem, Farmácia, Fisioterapia, Fonoaudiologia, Nutrição, Psicologia, Serviço Social.</t>
  </si>
  <si>
    <t>Aquisição/execução: manutenção do telhado (R$ 47.881,01) e aquisição de 65 cadeiras tipo longarina de 3 lugares (R$ 52.000,00), entre outros itens.</t>
  </si>
  <si>
    <r>
      <rPr>
        <rFont val="Roboto"/>
        <b/>
        <color theme="1"/>
        <sz val="10.0"/>
      </rPr>
      <t>Equipagem</t>
    </r>
    <r>
      <rPr>
        <rFont val="Roboto"/>
        <color theme="1"/>
        <sz val="10.0"/>
      </rPr>
      <t>: Ampliação de 12 leitos de saúde mental; Substituição de todas as camas da unidade; Implantação do Núcleo Interno de Regulação-NIR; Implantação de 30 cargos de liderança para servidores-FSUS; Requalificação do  setor do  Raio-x (em andamento);  Incremento de recursos humanos; Abertura de 10 leitos-clínica médica (em andamento).</t>
    </r>
  </si>
  <si>
    <t>UPAE Goiana</t>
  </si>
  <si>
    <t>CNPJ n.º:  10.572.048/0001-28
Endereço: Margem da PE 75 Bela Vista Goiana PE, 55900-000</t>
  </si>
  <si>
    <t>Hospital Geral de Areias</t>
  </si>
  <si>
    <t>XII</t>
  </si>
  <si>
    <t>Atendimentos ambulatoriais nas especialidades de Cardiologia, Mastologia, Urologia, Endocrinologia, Dermatologia, Angiologia / Vascular, Pré-natal de alto risco, Ginecologia, Otorrinolaringologia e Neurologia.</t>
  </si>
  <si>
    <t xml:space="preserve">Avenida Recife, 810, Estância, Recife </t>
  </si>
  <si>
    <t xml:space="preserve">Urgência: Odontologia, clínica médica, pediatria. Ambulatório: Bucomaxilo, Clínica Médica Geral Adulto, Ortopedia, Gastroenterologia, reumatologia, Odontologia e Pediatria.
</t>
  </si>
  <si>
    <t>AQUISIÇÕES: DE ESFIGMOMANÔMETRO ANERÓIDE COM PEDESTAL
INDICADOR DIGITAL DE PESAGEM LIDER LD1050
MONITOR MULTIPARAMÉTRICO PROLIFE
ESFIGMOMANÔMETRO ANERÓIDE COM PEDESTAL
APARELHO DETECTOR FETAL DIGITAL
APARELHO COLPOSCÓPIO BINOCULAR
APARELHO COLPOSCÓPIO BINOCULAR
APARELHO DE ULTRASSOM ERGONÔMICO
ESFIGMOMANÔMETRO ANERÓIDE COM PEDESTAL
APARELHO ELETROTERAPIA NEORODIM
APARELHO DE ULTRASSOM TERAPÊUTICO
PAUDÁRIO (ALONGAMENTO)
PEDALINHO (EXERCÍCIOS)
ESTEIRA ERGOMÉTRICA SPEEDO
ESTEIRA ERGOMÉTRICA SPEEDO
APARELHO DE MAMOGRAFIA E ACESSÓRIOS
APARELHO DE DENSITOMETRIA ÓSSEA
CARRINHO DE EMERGÊNCIA
CAIXAS ENDOSCÓPICO/COLONOSCÓPICO
REPROCESSADORA AUTOMÁTICA DE ENDOSCÓPIO
CONCENTRADOR DE OXIGÊNIO
MONITOR MULTIPARAMÉTRICO PROLIFE
CARDIOVERSOR/DESFIBRILADOR
VENTILADOR PULMONAR MECÂNICO PORTÁTIL
CARRINHO DE EMERGÊNCIA
CAIXAS ENDOSCÓPICO/COLONOSCÓPICO
CADEIRA DE BANHO HIGIÊNICA
MONITOR MULTIPARÂMETRO
CARRINHO DE EMERGÊNCIA
APARELHO DE RAIO X
ESFIGMOMANÔMETRO ANERÓIDE COM PEDESTAL
ESFIGMOMANÔMETRO ANERÓIDE
ESTEIRA ERGOMÉTRICA
APARELHO SISTEMA DE ERGOMETRIA APEX 1000
MONITOR MULTIPARÂMETRO
TERMÔMETRO CLÍNICO DIGITAL</t>
  </si>
  <si>
    <t>Requalificação da emergência pediatrica, requalificação do ambulatório de odontologia , incluindo o PNE - pacientes com necessidades especiais;  Implantação do Serviço Especializado em Engenharia de Segurança e em Medicina do Trabalho – SESMT; Implementação do Huddle nas emergências; Aqusição de 01 (uma) ambulância de suporte avançado (UTI) Movél;  Aquisição de instrumentais cirúrgicos; Aquisição de cadeiras odontológicas;  Incremento de recursos humanos; Substituição de todas as camas da unidade; Implantação de 31 cargos de liderança para servidores-FSUS.</t>
  </si>
  <si>
    <t>Hospital Nossa Senhora de Aparecida</t>
  </si>
  <si>
    <t>HTRI</t>
  </si>
  <si>
    <t>Avenida Rodolfo Aureliano, 976, Vila Torres Galvão, Paulista</t>
  </si>
  <si>
    <t>Neurologia clínica e cirúrgica pediátrica, pediatria clínica, pediatria cirúrgica, cirurgia vascular com hemodinâmica, endoscopia digestiva alta adulto e pediátrica, urgência e emergência adulto e pediátrica</t>
  </si>
  <si>
    <t>Hospital inaugurado em 15/06/2026.</t>
  </si>
  <si>
    <t>Hospital Correia Picanço</t>
  </si>
  <si>
    <t>Avenida Conselheiro Rosa e Silva, 2130, Tamarineira, Recife.</t>
  </si>
  <si>
    <t>Urgência: Infectologia. Ambulatorial: Infectologia adulto, enfermagem, psicologia, odontologia, nutrição, serviço social, cardiologia, neurologia, ginecologia, endocrinologia, médico do trabalho, nefrologia, dermatologia, pneumologia, proctologia e psiquiatria.</t>
  </si>
  <si>
    <t>Estrada do Arraial, 2723, Casa Amarela - Recife</t>
  </si>
  <si>
    <t>Abertura do ambulatório de tuberculose multirresistente (TB-MDR), Aquisição de raio-x digital, aquisição de ultrasson com doppler, videolaringoscópio e videobroncoscópio, substituição de todas as camas hospitalares, reforma da emergência adulto (em andamento), Implantação de 31 cargos de liderança para servidores-FSUS.</t>
  </si>
  <si>
    <t>Hospital Psiquiátrico Ulysses Pernambucano</t>
  </si>
  <si>
    <t>Referência estadual em assistência psiquiátrica</t>
  </si>
  <si>
    <t>Requalificação da capela, implementação do Núcleo Interno de Regulação (NIR), troca de todas as camas hospitalares, Aqusição de 01 (uma) ambulância de suporte avançado (UTI) Movél; Aquisição de 30 novos computadores, Requalificação da casa dos residentes, Reforma da enfermaria Adail Santos;  Incremento de recursos humanos; Reforma da emergência (em andamento), Implantação de 31 cargos de liderança para servidores-FSUS.</t>
  </si>
  <si>
    <t>Hospital São Lucas</t>
  </si>
  <si>
    <t>BR 363, Praça Flamboyant, Fernando de Noronha</t>
  </si>
  <si>
    <t>Urgência: pediatria, clínica médica e odontologia. Ambulatório:  pediatria, obstetrícia, psiquiatria e odontologia</t>
  </si>
  <si>
    <r>
      <rPr>
        <rFont val="Roboto"/>
        <b/>
        <color theme="1"/>
        <sz val="10.0"/>
      </rPr>
      <t xml:space="preserve">Urgência: </t>
    </r>
    <r>
      <rPr>
        <rFont val="Roboto"/>
        <color theme="1"/>
        <sz val="10.0"/>
      </rPr>
      <t xml:space="preserve">Cardiologia, Clínica Médica, Cirurgia Geral, Ginecologia, Obstetrícia de alto risco, Otorrinolaringologia. </t>
    </r>
    <r>
      <rPr>
        <rFont val="Roboto"/>
        <b/>
        <color theme="1"/>
        <sz val="10.0"/>
      </rPr>
      <t xml:space="preserve">Ambulatorial: </t>
    </r>
    <r>
      <rPr>
        <rFont val="Roboto"/>
        <color theme="1"/>
        <sz val="10.0"/>
      </rPr>
      <t xml:space="preserve">Cardiologia, cirurgia bariátrica, cirurgia geral, cirurgia plástica, cirurgia vascular, clínica médica, endocrinologia, ginecologia, obstetrícia de alto risco e otorrinolaringologia. 
</t>
    </r>
  </si>
  <si>
    <t>Maternidade de Ouricuri</t>
  </si>
  <si>
    <r>
      <rPr>
        <rFont val="Roboto"/>
        <b/>
        <color theme="1"/>
        <sz val="10.0"/>
      </rPr>
      <t>Equipamentos</t>
    </r>
    <r>
      <rPr>
        <rFont val="Roboto"/>
        <color theme="1"/>
        <sz val="10.0"/>
      </rPr>
      <t xml:space="preserve">: 12 camas elétricas (entregues); 10 macas (entregues); 9 poltronas hospitalares (entregues); 2 bisturis elétricos (entregues); 3 balanças antropométricas (entregues); 1 foco cirúrgico (entregues); 1 autoclave vertical (entregues); 1 cardiovesor bifásico (entregues); 2 monitores cardíacos (entregues); 3 esfigmomanômetros (entregues); 1 colposcópio (entregue); 1 aparelho de ultrassonografia portátil com doppler e ecocardiograma (entregues); 1 aparelho de raio-x móvel (entregue); 1 cadeira odontológica (entregue); 1 aparelho de gasometria (entregue / recurso de emenda). </t>
    </r>
    <r>
      <rPr>
        <rFont val="Roboto"/>
        <b/>
        <color theme="1"/>
        <sz val="10.0"/>
      </rPr>
      <t>Infraestrutura</t>
    </r>
    <r>
      <rPr>
        <rFont val="Roboto"/>
        <color theme="1"/>
        <sz val="10.0"/>
      </rPr>
      <t>:  reforma do ambulatório, reforma com ampliação (em andamento).</t>
    </r>
  </si>
  <si>
    <t>Hospital Jaboatão Prazeres</t>
  </si>
  <si>
    <t>R. Recife, s/n - Cajueiro Seco, Jaboatão dos Guararapes - PE</t>
  </si>
  <si>
    <t>Urgência pediátrica, adulta e odontológica, clínica médica e cirúrgica.</t>
  </si>
  <si>
    <t xml:space="preserve">Inauguração do Bloco Cirúrgico - 2025; Implantação de 4 leitos de SRPA; Criação de farmácias satélites; Requalificação do espaço de convivência; Aquisição de 01 (um) Raio-X Digital,  Requalificação da sala do raio-x; Aquisição de autoclave; Aquisição de ventiladores pulmonares; Aquisição de eletrocardiógrafo; Ampliação de  9 leitos de saúde mental; Requalificação do CME (em andamento);  Incremento de recursos humanos; Substituição de todas as camas da unidade; Implantação de 31 cargos de liderança para servidores-FSUS.
</t>
  </si>
  <si>
    <t>IX</t>
  </si>
  <si>
    <t>UPAE Arcoverde</t>
  </si>
  <si>
    <t>Hospital Nossa Senhora das Graças/Alfa</t>
  </si>
  <si>
    <t>Av. Conselheiro João Alfredo, 491, Bairro Santa Luzia, no município de Arcoverde, CEP: 56517-100</t>
  </si>
  <si>
    <t>FGH</t>
  </si>
  <si>
    <t>Av. Visc. de Jequitinhonha, 1144 - Boa Viagem, CEP 51030-020</t>
  </si>
  <si>
    <t>Clínico Neuro</t>
  </si>
  <si>
    <t>Assistência clínica, cirúrgica e intensiva, com especialidades como Cardiologia Clínica, Cirurgia Geral, Cirurgia Torácica, Geriatria, Cuidados Paliativos, Urologia, Clínica Médica, Neurologia e Pneumologia, além de UTI Adulto, Centro Cirúrgico, Recuperação Pós-Anestésica e serviços de apoio diagnóstico e terapêutico.</t>
  </si>
  <si>
    <t>VI</t>
  </si>
  <si>
    <t>Ampliação da capacidade assistencial, com 290 leitos SUS, incluindo 100 leitos de UTI; crescimento de 68,2% das internações entre 2023 e 2024; expansão da produção para 67,2 mil procedimentos em 2024; aquisição de novos equipamentos e mobiliários por meio de Plano de Investimento (R$20.436.525,53); e fortalecimento do custeio e da assistência de média e alta complexidade, climatização da UTI 4 para habilitação de 20 leitos (R$518.000,00).</t>
  </si>
  <si>
    <t>Atendimento ambulatorial especializado em Cardiologia, Dermatologia, Endocrinologia, Gastroenterologia, Ginecologia (CAF e Biópsias), Mastologia, Neurologia, Oftalmologia, Otorrinolaringologia, Pneumologia, Urologia, além de atendimento multiprofissional nas áreas de Enfermagem, Farmácia, Fisioterapia, Fonoaudiologia, Nutrição, Psicologia, Serviço Social.</t>
  </si>
  <si>
    <t>Hospital Brites de Albuquerque</t>
  </si>
  <si>
    <r>
      <rPr>
        <rFont val="Roboto"/>
        <b/>
        <color theme="1"/>
        <sz val="10.0"/>
      </rPr>
      <t>Estamos fazendo</t>
    </r>
    <r>
      <rPr>
        <rFont val="Roboto"/>
        <color theme="1"/>
        <sz val="10.0"/>
      </rPr>
      <t xml:space="preserve">: Aquisição de 1 nova hemodinâmica. </t>
    </r>
    <r>
      <rPr>
        <rFont val="Roboto"/>
        <b/>
        <color theme="1"/>
        <sz val="10.0"/>
      </rPr>
      <t>Já entregamos</t>
    </r>
    <r>
      <rPr>
        <rFont val="Roboto"/>
        <color theme="1"/>
        <sz val="10.0"/>
      </rPr>
      <t>: 1 mamógrafo; 5 aparelhos de ultrassom; 5 microscópios binoculares; 7 aparelhos de anestesia; 1 cadeira ginecológica; 1 aparelho de emissão otoacústica; 1 serra cardíaca; 1 fibroscópio; 40 monitores multiparamétricos; berço aquecido; incubadora neonatal; biliberço; instrumentais cirúrgicos; camas elétricas.</t>
    </r>
  </si>
  <si>
    <t>Aquisição de equipamentos: cadeira de rodas, densitômetro, retinógrafo, ultrassonógrafos, aparelho de MAPA e nasofibroscópio.</t>
  </si>
  <si>
    <t>Avenida Pan Nordestina, 4215, PE-015, SN - Tabajara, Olinda</t>
  </si>
  <si>
    <t>Clínica Médica e Pediatria e suporte de Terapia Intensiva Adulto e Pediátrica</t>
  </si>
  <si>
    <t>Maternidade de Igarassu</t>
  </si>
  <si>
    <t>UPAE Palmares</t>
  </si>
  <si>
    <t>BR 101, KM 185, S/N, Bairro Newton Carneiro (Engenho Quilombo dos Palmares), em Palmares, Pernambuco</t>
  </si>
  <si>
    <t>Recuperação e ampliação da capacidade assistencial, com crescimento de 127,5% das internações entre 2023 e 2024; manutenção de 150 leitos SUS, incluindo 90 leitos de UTI adulta e pediátrica; fortalecimento da assistência em Clínica Médica, Pediatria e Terapia Intensiva; ampliação do financiamento da unidade; Plano de investimento para aquisição de equipamentos médico-hospitalares destinados à implantação de 10 (dez) leitos de Unidade de Terapia Intensiva Pediátrica (Cardioversor, BIPAP com Monitor Gráfico , Bomba de Infusão, Eletrocardiógrafo, Marcapasso Cardíaco Externo, Monitor Multiparâmetros para UTI, Ultrassom Diagnóstico sem Aplicação Transesofágica , Ventilador Pulmonar Pressométrico e Volumétrico, Carro de Emergência , Oftalmoscópio, Transdutor linear, Medidor de cuff) no valor de R$ R$1.238.197,74e consolidação do hospital como referência de média e alta complexidade na Rede Estadual de Saúde</t>
  </si>
  <si>
    <t>III</t>
  </si>
  <si>
    <t>Atendimento ambulatorial especializado em Angiologia/Cirurgia Vascular, Clínica Médica, Cardiologia, Dermatologia, Endocrinologia, Ginecologia (CAF e Biópsias), Mastologia, Nefrologia, Neurologia, Oftalmologia, Otorrinolaringologia, Pneumologia, Pediatria, Reumatologia e Urologia, além de atendimento multiprofissional nas áreas de Enfermagem, Farmácia, Fisioterapia, Fonoaudiologia, Nutrição, Psicologia, Serviço Social.</t>
  </si>
  <si>
    <t>Hospital Metropolitano Sul Dom Helder Câmara</t>
  </si>
  <si>
    <t xml:space="preserve">Crescimento do repasse total anual: repasse cresceu 261,0% entre 2022 e 2025, de R$ 1,7 milhões para R$ 6,0 milhões.
Plano de investimento e modernização: R$ 287.072,87 aplicados na aquisição de equipamentos assistenciais e de diagnóstico: Audiômetro, Cadeira Otorrinológica, Mesa de Exames (maca fixa), Cadeira de Rodas para Obeso, Aparelho para Fisioterapia por Ondas Curtas.
</t>
  </si>
  <si>
    <t>Maternidade de Serra Talhada</t>
  </si>
  <si>
    <t>XI</t>
  </si>
  <si>
    <t>Rodovia BR 101 Sul, km 28, s/nº, Centro, Cabo de Santo Agostinho, CEP: 54.510-000</t>
  </si>
  <si>
    <t>UPAE Escada</t>
  </si>
  <si>
    <t>Avenida Engenheiro Alves de Souza, s/n, Jaguaribe, CEP: 55.500-000</t>
  </si>
  <si>
    <t>UPAE-R Petrolina</t>
  </si>
  <si>
    <r>
      <rPr>
        <rFont val="Roboto"/>
        <b/>
        <color theme="1"/>
        <sz val="10.0"/>
      </rPr>
      <t>Estamos fazendo</t>
    </r>
    <r>
      <rPr>
        <rFont val="Roboto"/>
        <color theme="1"/>
        <sz val="10.0"/>
      </rPr>
      <t xml:space="preserve">: Aquisição e instaçação de 6 elevadores, dos quais 2 já foram entregues; requalificação do bloco cirúrgico ambulatorial; requalificação de 6 salas cirúrgicas, das quais 2 já foram entregues; emergência cardiológica; requalificação da fachada; requalificação das enfermarias. </t>
    </r>
    <r>
      <rPr>
        <rFont val="Roboto"/>
        <b/>
        <color theme="1"/>
        <sz val="10.0"/>
      </rPr>
      <t>Já entregamos</t>
    </r>
    <r>
      <rPr>
        <rFont val="Roboto"/>
        <color theme="1"/>
        <sz val="10.0"/>
      </rPr>
      <t>: requalificação da cozinha e do refeitório; requalificação do Wilma Lessa; requalificação das enfermarias do alojamento conjunto; requalificação da UTI geral; requalificação das enfermarias de clínica médica.</t>
    </r>
  </si>
  <si>
    <t>UTI Adulto</t>
  </si>
  <si>
    <t xml:space="preserve">Atendimento ambulatorial especializado em Alergologia, Angiologia, Cardiologia, Dermatologia, Endocrinologia, Gastroenterologia, Infectologia, Mastologia, Nefrologia, Oftalmologia, Otorrinolaringologia, Pneumologia, Reumatologia, Urologia, além de atendimento multiprofissional nas áreas de Enfermagem, Farmácia, Fisioterapia, Fonoaudiologia, Nutrição, Psicologia, Serviço Social.
</t>
  </si>
  <si>
    <t>VIII</t>
  </si>
  <si>
    <t>R$ 475.362,22</t>
  </si>
  <si>
    <t xml:space="preserve">Clínica Médica, Cirurgia Geral, Traumato-ortopedia, Cirurgia Cardíaca, Cardiologia Intervencionista e Cirurgia Vascular, além dos serviços não médicos de Enfermagem, Serviço Social, Fisioterapia, Fonoaudiologia, Nutrição, Psicologia e SAD.
</t>
  </si>
  <si>
    <t xml:space="preserve">Modernização da capacidade diagnóstica com aquisição de equipamentos através de plano de investimento, no valor de R$ 14.511.533,85: motor cirúrgico, camas tipo Fowler, tomógrafo e sistema de infusão para contraste, mesa cirúrgica elétrica , arco cirúrgico, autoclaves hospitalar horizontal, Máquina hemodinâmica, perfurador ósseo, raio-X digital, secador de traquéias, foco cirúrgico de teto, lavadora de endoscópio, elevador para transposição de leitos, Ventilador Pulmonar, Citocentrífuga, Ventilômetro, Ultrassom Diagnóstico; fortalecimento da assistência cardiovascular de alta complexidade, incluindo Cardiologia Intervencionista/Hemodinâmica e Cirurgia Cardíaca; manutenção de 169 leitos; qualificação dos atendimentos de urgência e emergência; e fortalecimento do hospital como referência para aproximadamente 1,2 milhão de habitantes da Região Metropolitana e Litoral Sul. </t>
  </si>
  <si>
    <t>Cadeira otorrinolaringológica, ultrassom diagnóstico sem aplicação transesofágica, desfibrilador, oxímetros de pulso e balança digital adulto.</t>
  </si>
  <si>
    <t>Hospital Metropolitano Norte Miguel Arraes</t>
  </si>
  <si>
    <t>Estrada da Fazendinha, s/nº, Jaguaribe</t>
  </si>
  <si>
    <t>UPAE-R Serra Talhada</t>
  </si>
  <si>
    <t>Clínica Médica, Clínica Cirúrgica, Traumato-Ortopedia e Urologia</t>
  </si>
  <si>
    <t>Hospital da Restauração (HR)</t>
  </si>
  <si>
    <t>UPAE-R Caruaru</t>
  </si>
  <si>
    <t>IV</t>
  </si>
  <si>
    <t>Implantação de plano de investimento para modernização do serviço de R$ 10,2 milhões, com aquisição de equipamentos como tomógrafo, arco cirúrgico, respiradores e monitores; readequação de setores e fortalecimento da urgência/emergência e da capacidade diagnóstica e cirúrgica; manutenção de 180 leitos; e consolidação da unidade como referência para mais de 1 milhão de habitantes da Região Metropolitana Norte e Zona da Mata Norte.</t>
  </si>
  <si>
    <t>UPAE Caruaru</t>
  </si>
  <si>
    <t>Av. José Marques Fontes, S/N, Indianópolis</t>
  </si>
  <si>
    <t>Hospital Mestre Dominguinhos</t>
  </si>
  <si>
    <t>Hospital Metropolitano Oeste Pelópidas Silveira</t>
  </si>
  <si>
    <t>Garanhuns</t>
  </si>
  <si>
    <t>Av. Gov. Agamenon Magalhães, s/n - Derby, Recife - PE</t>
  </si>
  <si>
    <t>Atendimento ambulatorial especializado em Alergologia, Angiologia, Cardiologia, Cirurgia Geral, Dermatologia, Endocrinologia, Gastroenterologia, Hematologia, Infectologia, Mastologia, Nefrologia, Neurologia, Oftalmologia, Otorrinolaringologia, Pneumologia, Proctologia, Reumatologia e Urologia, além de suporte anestésico para procedimentos realizados em sala cirúrgica. A unidade conta ainda com atendimento multiprofissional nas áreas de Enfermagem, Farmácia, Fisioterapia, Fonoaudiologia, Nutrição, Psicologia, Serviço Social e Terapia Ocupacional</t>
  </si>
  <si>
    <t>Rodovia BR-232, Km 06 - Curado</t>
  </si>
  <si>
    <t>R$ 4.289.540,15</t>
  </si>
  <si>
    <t>Clínica Médica, Cardiologia, Neurologia, Neurocirurgia, Cardio Intervencionista e Neurointervencionista</t>
  </si>
  <si>
    <r>
      <rPr>
        <rFont val="Roboto"/>
        <b/>
        <color theme="1"/>
        <sz val="10.0"/>
      </rPr>
      <t xml:space="preserve">Urgência: </t>
    </r>
    <r>
      <rPr>
        <rFont val="Roboto"/>
        <color theme="1"/>
        <sz val="10.0"/>
      </rPr>
      <t xml:space="preserve">Ortopedia e Traumatologia, queimados, neurocirurgia, neurologia, clínica médica, vascular e emergência pediátrica;                                                                       </t>
    </r>
    <r>
      <rPr>
        <rFont val="Roboto"/>
        <b/>
        <color theme="1"/>
        <sz val="10.0"/>
      </rPr>
      <t xml:space="preserve">Referência Ambulatorial: </t>
    </r>
    <r>
      <rPr>
        <rFont val="Roboto"/>
        <color theme="1"/>
        <sz val="10.0"/>
      </rPr>
      <t xml:space="preserve">Bucomaxilofacial adulto e pediátrica, cirurgia geral, cirurgia vascular, clínica médica, hemodinâmica, neurocirurgia, neurocirurgia  pediátrica, ortopedia e traumatologia adulto e pediátrica, ortopedia adulto e pediátrica, queimados e reumatologia.
</t>
    </r>
  </si>
  <si>
    <t>Microscopio cirúrgico oftalmológico, aparelho de ultrassonografia (ultrassom), facoemulsificador, foco cirúrgico de teto, sistema de vídeo endoscopia flexível, carro de anestesia, monitor multiparamêtrico, cadeira para exames de urodinâmica.</t>
  </si>
  <si>
    <t>UPAE Belo Jardim</t>
  </si>
  <si>
    <t>BR-232, 785, Bairro São Pedro, no município de Belo Jardim, CEP: 55158-810</t>
  </si>
  <si>
    <t xml:space="preserve">Atendimento especializado em Alergologia, Angiologia, Cardiologia, Clínico geral, Dermatologia, Endocrinologia, Gastroenterologia, Ginecologia, Nefrologia, neurologia, Oftalmologia, Otorrinolaringologia, Urologia, além de atendimento multiprofissional nas áreas de Enfermagem, Farmácia, Fisioterapia, Fonoaudiologia, Nutrição, Psicologia, Serviço social.
</t>
  </si>
  <si>
    <t>Modernização do parque tecnológico e estrutural, com mais de R$ 8,3 milhões em plano de investimento (Aparelho de tomografia computadorizada, Ecocardiógrafo, Ultrassom com transdutor doppler colorido, Ventiladores pulmonares, Aparelho  de anestesia, Autoclave , Cardioversor, Microscópio cirúrgico, Mesa cirúrgica elétrica, Foco cirúrgico de teto) e Emenda Parlamentar para aquisição de microcomputadores no valor de R$ R$297.230,84; fortalecimento da assistência de alta complexidade em Cardiologia, Neurologia e Neurocirurgia; manutenção de 180 leitos, incluindo 30 de UTI; fortalecimento da hemodinâmica e dos serviços diagnósticos especializados; e consolidação do hospital como referência estadual para casos cardiovasculares e neurológicos de alta complexidade.</t>
  </si>
  <si>
    <t>R$ 34.816,70</t>
  </si>
  <si>
    <t>Aquisição/execução: equipamento para monitoramento ambulatorial de pressão arterial (MAPA), entre outros itens.</t>
  </si>
  <si>
    <t>Aparelhos de ultrassom móvel; aparelho de hemodinâmica; tomógrafo; 1 ressonância magnética; aparelho de raio-x panorâmico; mesas cirúrgicas; microcópio cirúrgico; bisturi elétrico; cardioversor; carro de emergência; aparelhos de anestesia; arcos cirúrgicos móveis; camas elétricas; instrumentais cirúrgicos; coagulador por plasma de argônio.</t>
  </si>
  <si>
    <t>Hospital Belarmino Correia</t>
  </si>
  <si>
    <r>
      <rPr>
        <rFont val="Roboto"/>
        <b/>
        <color theme="1"/>
        <sz val="10.0"/>
      </rPr>
      <t>Estamos fazendo</t>
    </r>
    <r>
      <rPr>
        <rFont val="Roboto"/>
        <color theme="1"/>
        <sz val="10.0"/>
      </rPr>
      <t xml:space="preserve">: instalação de 02 novos elevadores; requalificação da emergência pediátrica; requalificação das UTIs A e B; requalificação do 4º andar; requalificação do refeitório e da cozinha; reestruturação do estacionamento; requalificação do setor de hemodiálise. </t>
    </r>
    <r>
      <rPr>
        <rFont val="Roboto"/>
        <b/>
        <color theme="1"/>
        <sz val="10.0"/>
      </rPr>
      <t>Já entregamos</t>
    </r>
    <r>
      <rPr>
        <rFont val="Roboto"/>
        <color theme="1"/>
        <sz val="10.0"/>
      </rPr>
      <t>: Instalação de 1 tomógrafo; requalificação do setor de imagem; instalação da central de laudos; requalificação do setor de patologia; requalificação da biblioteca; requalificação da unidade de tratamento de queimados; requalificação do setor de endoscopia; requalificação da sala vermelha do trauma; requalificação do 6º andar; requalificação do 8º andar; requalificação da UTI pediátrica; requalificação da sala laranja do trauma; requalificação da fachada; requalificação da USAN - Unidade de Suporte Avançado em Neurocirurgia com ampliação de 09 leitos.</t>
    </r>
  </si>
  <si>
    <t>UPAE Limoeiro</t>
  </si>
  <si>
    <t>Margem PE-90, S/N, Fazenda Livramento, Limoeiro - PE, 55700-000</t>
  </si>
  <si>
    <t>Praça Correia Picanço, s/n - Centro, Goiana - PE</t>
  </si>
  <si>
    <t>Urgência: Clínica Médica, Pediatria, Ortopedia, Cirurgia Geral, Obstetrícia. Ambulatório: cardiologista, cirurgia geral, ortopedia, obstetrícia, pré natal de alto risco, ginecologia cirúrgico, ginecologia, pediatria, planejamento familiar, dermatologia, endocrinologia, gastroenterologia, oftalmologia, neonatologia, pediatria, pneumologia geral, mastologia, vascular, urologia, psiquiatria, psicologia, neurologia, nutrição, fisioterapia, clínica médica e programa pé diabético.</t>
  </si>
  <si>
    <t>Atendimento especializado em Angiologia, Cardiologia, Dermatologia, Endocrinologia, Gastroenterologia, Ginecologia, Mastologia, Nefrologia, Oftalmologia, Otorrinolaringologia, Urologia, além de atendimento multiprofissional nas áreas de Enfermagem, Farmácia, Fisioterapia, Fonoaudiologia, Nutrição, Psicologia, Serviço Social.</t>
  </si>
  <si>
    <t>Repasse evoluiu de R$ 5,4 milhões para R$ 8,8 milhões. Aquisição de equipamentos através de Plano de investimento, no valor de R$ 905.105,00</t>
  </si>
  <si>
    <t>Hospital Barão de Lucena (HBL)</t>
  </si>
  <si>
    <t>Av. Caxangá, 3860 - Iputinga, Recife - PE</t>
  </si>
  <si>
    <t>UTI Pediátrica</t>
  </si>
  <si>
    <r>
      <rPr>
        <rFont val="Roboto"/>
        <b/>
        <color theme="1"/>
        <sz val="10.0"/>
      </rPr>
      <t xml:space="preserve">Urgência: </t>
    </r>
    <r>
      <rPr>
        <rFont val="Roboto"/>
        <color theme="1"/>
        <sz val="10.0"/>
      </rPr>
      <t xml:space="preserve">Obstetrícia de alto risco, emergência pediátrica. </t>
    </r>
    <r>
      <rPr>
        <rFont val="Roboto"/>
        <b/>
        <color theme="1"/>
        <sz val="10.0"/>
      </rPr>
      <t>Ambulatório</t>
    </r>
    <r>
      <rPr>
        <rFont val="Roboto"/>
        <color theme="1"/>
        <sz val="10.0"/>
      </rPr>
      <t>: Dermatologia, obstetrícia de alto risco, oncologia, nefrologia adulto e pediátrico, clínicas cirúrgicas (vascular, geral, proctologia, torácica, ginecologia e mastologia), endocrinologia, neuropediatria e programa de ostomizados, SAE (Serviço de Atenção Especializada em HIV/Aids)</t>
    </r>
  </si>
  <si>
    <t>UPAE Garanhuns</t>
  </si>
  <si>
    <t>Rodovia BR-423,BR 423, km 96,8, Bairro São José, Garanhuns Km 90, CEP: 55.290-000</t>
  </si>
  <si>
    <t xml:space="preserve">Criação sala teste do Pezinho; Requalificação da emergência da Pediátrica; Requalificação da sala do Raio x; Aquisição de um raio -x digital;  troca de todas as camas;  Aquisição de 02 (duas) ambulâncias avançadas; Requalificação do berçário com aquisição de novas incubadoras; Requalificação da Clínica da Pediátrica; Aquisição de mobílias; Estruturação do Centro cirúrgico com aquisição de novos equipamentos; Aquisição de instrumentais;   Incremento de recursos humanos; Implantação do Serviço de Gestão de Transporte - SETRANS; Implantação do Núcleo Interno de Regulação-NIR; Implantação de 31 cargos de liderança para servidores-FSUS.
</t>
  </si>
  <si>
    <t xml:space="preserve">Aquisição de 1 mamógrafo; sistema de videolaparoscopia; 01 sistema de ultrassonografia digital; 1 micrótomo de rotação; 1 mesa cirúrgica elétrica; 2 videogastroscópio; 1 videolaringoscópio; aparelho de fototerapia; aparelho de banho histológico; incubadora neonatal; aparelho de fototerapia direta; bilirrubinômetro; 9 aparelhos de anestesia; instrumentais cirúrgicos; camas elétricas. </t>
  </si>
  <si>
    <t>Atendimento ambulatorial especializado em Cardiologia, Cirurgia Geral, Dermatologia, Endocrinologia, Gastroenterologia, Geriatria, Ginecologia (CAF e Biopsia), Mastologia, Nefrologia, Neurologia, Oftalmologia, Otorrinolaringologia, Reumatologia e Urologia, além de atendimento multiprofissional nas áreas de Enfermagem, Farmácia, Fisioterapia, Fonoaudiologia, Nutrição, Psicologia, Serviço Social.</t>
  </si>
  <si>
    <t>Hospital Ermírio Coutinho</t>
  </si>
  <si>
    <t>FMSA</t>
  </si>
  <si>
    <r>
      <rPr>
        <rFont val="Roboto"/>
        <b/>
        <color theme="1"/>
        <sz val="10.0"/>
      </rPr>
      <t>Estamos fazendo</t>
    </r>
    <r>
      <rPr>
        <rFont val="Roboto"/>
        <b val="0"/>
        <color theme="1"/>
        <sz val="10.0"/>
      </rPr>
      <t xml:space="preserve">: Requalificação das enfermarias do 3ª andar; requalificação da fachada; reforma do setor de quimioterapia, hemodiálise, laboratório, CME - Central de Material e Esterilização, SAME - Serviço de Arquivo Médico; instalação do novo setor de hemodiálise. </t>
    </r>
    <r>
      <rPr>
        <rFont val="Roboto"/>
        <b/>
        <color theme="1"/>
        <sz val="10.0"/>
      </rPr>
      <t>Já entregamos</t>
    </r>
    <r>
      <rPr>
        <rFont val="Roboto"/>
        <b val="0"/>
        <color theme="1"/>
        <sz val="10.0"/>
      </rPr>
      <t>:</t>
    </r>
    <r>
      <rPr>
        <rFont val="Roboto"/>
        <b/>
        <color theme="1"/>
        <sz val="10.0"/>
      </rPr>
      <t xml:space="preserve"> </t>
    </r>
    <r>
      <rPr>
        <rFont val="Roboto"/>
        <b val="0"/>
        <color theme="1"/>
        <sz val="10.0"/>
      </rPr>
      <t xml:space="preserve">Requalificação da UTI adulto; requalificação da UTI pediátrica; Requalificação da UTI neonatal; instalação de 02 novos elevadores. </t>
    </r>
  </si>
  <si>
    <t>R$ 3.162.643,06</t>
  </si>
  <si>
    <t>Trav. Bancário Leopoldino V. de Melo, Centro, Nazaré da Mata, CEP: 55.800-000</t>
  </si>
  <si>
    <t>Aquisição de equipamento através de plano de investimento, no valor de R$3.162.643,06 contemplando: Aparelho de anestesia, cardioversor, ventilador pulmonar de transporte, ultrassonógrafo, bisturi elétrico e foco cirúrgico.</t>
  </si>
  <si>
    <t>Hospital Getúlio Vargas (HGV)</t>
  </si>
  <si>
    <t>Av. Gen. San Martin, s/n - Cordeiro, Recife - PE</t>
  </si>
  <si>
    <t xml:space="preserve">Atenção materno-infantil de baixa e média complexidade; obstetrícia, pediatria, internação, ambulatório e apoio diagnóstico
</t>
  </si>
  <si>
    <t>UPAE Salgueiro</t>
  </si>
  <si>
    <t>R. João Veras de Siqueira, s/n - Nossa Sra. Aparecida, Salgueiro - PE, 56000-000</t>
  </si>
  <si>
    <r>
      <rPr>
        <rFont val="Roboto"/>
        <b/>
        <color theme="1"/>
        <sz val="10.0"/>
      </rPr>
      <t xml:space="preserve">Urgência: </t>
    </r>
    <r>
      <rPr>
        <rFont val="Roboto"/>
        <color theme="1"/>
        <sz val="10.0"/>
      </rPr>
      <t xml:space="preserve">Clínica Médica, Ortopedia e Traumatologia, Bucomaxilofacial, Cirurgia Geral e Cirurgia Vascular. </t>
    </r>
    <r>
      <rPr>
        <rFont val="Roboto"/>
        <b/>
        <color theme="1"/>
        <sz val="10.0"/>
      </rPr>
      <t xml:space="preserve">Ambulatorial: </t>
    </r>
    <r>
      <rPr>
        <rFont val="Roboto"/>
        <color theme="1"/>
        <sz val="10.0"/>
      </rPr>
      <t>Clínica Médica, cirurgia geral, cirurgia vascular, dermatologia, endocrinologia, gastroenterologia, geriatria, neurologia, neurocirurgia, nutrição, acupuntura, ortopedia e traumatologia, ortopedia e traumatologia pediátrica especializada em pé torto, proctologia e urologia.</t>
    </r>
  </si>
  <si>
    <t>VII</t>
  </si>
  <si>
    <t>Atendimento ambulatorial especializado em Angiologia, Dermatologia, Endocrinologia, Cardiologia, Gastroenterologia,  Ginecologia, Mastologia, Otorrinolaringologia, Ortopedia, Reumatologia e Urologia, além de atendimento multiprofissional nas áreas de Enfermagem, Farmácia, Fisioterapia, Fonoaudiologia, Nutrição, Psicologia, Serviço Social.</t>
  </si>
  <si>
    <t>Expansão da assistência pediátrica de alta complexidade com abertura de 10 novos leitos de UTI Pediátrica em 2025; Aquisição de equipamentos através de plano de investimento, no valor de R$R$ 876.821,53 (monitor cardíaco, oxímetro, carro de parada com desfibrilador e microscópio biológico trinocular), R$1.516.227,45 investidos em obras e R$133.050,00 através de Emenda parlamentar; fortalecimento da assistência materno-infantil e obstétrica; manutenção da maternidade com cerca de 200 nascimentos/mês; fortalecimento da urgência/emergência 24h, ambulatórios especializados e serviços diagnósticos; e ampliação da capacidade de resposta regional para os 20 municípios da II GERES.</t>
  </si>
  <si>
    <t>Aparelho de hemodinâmica; aparelho de raio-x odontológico; ventiladores pulmonares; aparelhos de anestesia; foco cirúrgico fixo; foco cirúrgico móvel; umidificador aquecido; bomba injetora de contraste; instrumentais cirúrgicos; carro de emergência; mesa cirúrgica; aparelho de anestesia; ventilador pulmonar de transporte; arco cirúrgico; sistema de videolaparoscopia; eletrocardiógrafo; aparelho de ultrassom móvel; perfurador ósseo; camas elétricas.</t>
  </si>
  <si>
    <r>
      <rPr>
        <rFont val="Roboto"/>
        <b/>
        <color theme="1"/>
        <sz val="10.0"/>
      </rPr>
      <t>Estamos fazendo</t>
    </r>
    <r>
      <rPr>
        <rFont val="Roboto"/>
        <color theme="1"/>
        <sz val="10.0"/>
      </rPr>
      <t xml:space="preserve">: requalificação das enfermarias; instalação de 2 novos elevadores; requalificação do bloco cirúrgico ambulatorial. </t>
    </r>
    <r>
      <rPr>
        <rFont val="Roboto"/>
        <b/>
        <color theme="1"/>
        <sz val="10.0"/>
      </rPr>
      <t>Já entregamos</t>
    </r>
    <r>
      <rPr>
        <rFont val="Roboto"/>
        <color theme="1"/>
        <sz val="10.0"/>
      </rPr>
      <t>: implantação do novo bloco cirúrgicom com 8 salas; implantação da  hemodinâmica;  requalificação do setor de raio-x; requalificação do castelo d'água.</t>
    </r>
  </si>
  <si>
    <t>Hospital João Murilo de Oliveira</t>
  </si>
  <si>
    <t>UPAE Ouricuri</t>
  </si>
  <si>
    <t>Av Manoel Irineu Araujo - Centro, Ouricuri - PE, 56200-000</t>
  </si>
  <si>
    <t>Av. Henrique de Holanda, 87 - Casa - Matriz, Vitória de Santo Antão -PE</t>
  </si>
  <si>
    <t>Hospital Otávio de Freitas (HOF)</t>
  </si>
  <si>
    <t>Atendimento ambulatorial especializado em Alergologia, Angiologia, Cardiologia, Dermatologia, Endocrinologia, Psiquiatria e Urologia, além de atendimento multiprofissional nas áreas de Enfermagem, Farmácia, Fisioterapia, Fonoaudiologia, Nutrição, Psicologia, Serviço Social.</t>
  </si>
  <si>
    <t>R. Aprígio Guimarães, 600 - Tejipio, Recife - PE</t>
  </si>
  <si>
    <t>UTI Pediátrica Crônica e Unidade de Cuidados Pronlongados (UCP)</t>
  </si>
  <si>
    <t>Hospital geral de referência regional, com atendimento de urgência/emergência 24h e assistência em Clínica Médica, Pediatria, Ortopedia e Obstetrícia, além de serviços ambulatoriais e assistência materno-infantil.</t>
  </si>
  <si>
    <t>Aquisição de equipamentos: mamógrafo, ultrassom, aparelho de raio-X, MAPA, dermatoscópio e ar condicionado.</t>
  </si>
  <si>
    <r>
      <rPr>
        <rFont val="Roboto"/>
        <b/>
        <color theme="1"/>
        <sz val="10.0"/>
      </rPr>
      <t xml:space="preserve">Urgência: </t>
    </r>
    <r>
      <rPr>
        <rFont val="Roboto"/>
        <color theme="1"/>
        <sz val="10.0"/>
      </rPr>
      <t xml:space="preserve">Clínica Médica, Cirurgia Geral, Endoscopia, Urgência Dialítica, Ortopedia e Traumatologia, Urologia, Urologia Pediátrica, Tisiologia, Pneumologia e Cirurgia Torácica. </t>
    </r>
    <r>
      <rPr>
        <rFont val="Roboto"/>
        <b/>
        <color theme="1"/>
        <sz val="10.0"/>
      </rPr>
      <t xml:space="preserve">Ambulatorial: </t>
    </r>
    <r>
      <rPr>
        <rFont val="Roboto"/>
        <color theme="1"/>
        <sz val="10.0"/>
      </rPr>
      <t xml:space="preserve">Clínica Médica, Cirurgia Geral, Clínicas Cirúrgicas (geral, urologia, traumatologia e ortopedia), Dermatologia, Ambulatório do Sono, Programa de Bexiga Neurogênica, Oxigenioterapia, Tuberculose, Hanseníase, Serviço de Atendimento Especializado IST/Aids.
</t>
    </r>
  </si>
  <si>
    <t>Sistema de videolaparoscopia; ventiladores pulmonares; aparelhos de anestesia; foco cirúrgico fixo; carro de emergência; mesa cirúrgica; aparelho de anestesia; ventilador pulmonar de transporte; arco cirúrgico; sistema de videolaparoscopia; eletrocardiógrafo; aparelho de ultrassom móvel; perfurador ósseo; camas elétricas; instrumentais cirúrgicos; aparelho de radio-x móvel e fixo.</t>
  </si>
  <si>
    <t>UPAE Afogados da Ingazeira</t>
  </si>
  <si>
    <t>Modernização e fortalecimento da estrutura assistencial; plano de investimentos em equipamentos no valor de R$ 1.281.419,05, comteplando a aquisição de Aparelho de Anestesia com Monitor Multiparâmetros, Incubadora Neonatal (estacionária), Ventilador Pulmonar Pressométrico e Volumétrico, Bilirrubinômetro, Berço aquecido, Cardioversor, Mesa de Mayo, Berço Hospitalar com Grades, Emenda parlamentar para reforma e ampliação de nfermaria no valor de R$233.050,00 e Emenda parlamentar para aquisição de ambulância de grande porte no valor de R$240.000,00; qualificação da assistência materno-infantil; fortalecimento da urgência e emergência; manutenção e qualificação dos serviços de Clínica Médica, Pediatria, Ortopedia e Obstetrícia; e consolidação da unidade como referência regional para Vitória de Santo Antão e municípios do entorno.</t>
  </si>
  <si>
    <t>Rua Antônio Alves dos Santos, S/N, Bairro Centro, no município de Afogados da Ingazeira, CEP: 56800-000</t>
  </si>
  <si>
    <r>
      <rPr>
        <rFont val="Roboto"/>
        <b/>
        <color theme="1"/>
        <sz val="10.0"/>
      </rPr>
      <t>Estamos fazendo</t>
    </r>
    <r>
      <rPr>
        <rFont val="Roboto"/>
        <color theme="1"/>
        <sz val="10.0"/>
      </rPr>
      <t xml:space="preserve">: Requalificação da emergência pediátrica; requalificação da UTI pediátrica. </t>
    </r>
    <r>
      <rPr>
        <rFont val="Roboto"/>
        <b/>
        <color theme="1"/>
        <sz val="10.0"/>
      </rPr>
      <t>Já entregamos</t>
    </r>
    <r>
      <rPr>
        <rFont val="Roboto"/>
        <color theme="1"/>
        <sz val="10.0"/>
      </rPr>
      <t>: requalificação da cozinha e refeitório; requalificação do SAME - Serviço de Arquivo Médico e Estatística; requalificação e ampliação dos leitos de tisiologia;  requalificação do bloco cirúrgico ambulatorial; requalificação da caixa d'água;  requalificação do setor de endoscopia; requalificação da administração geral; requalificação do setor de imagem; requalificação da UTI respiratória.</t>
    </r>
  </si>
  <si>
    <t>X</t>
  </si>
  <si>
    <t>Hospital Regional Sílvio Magalhães Palmares</t>
  </si>
  <si>
    <t xml:space="preserve">Atendimento ambulatorial especializado em Cardiologia, Dermatologia, Endocrinologia, Gastroenterologia, Ginecologia (CAF e Biópsias), Mastologia, Nefrologia, Oftalmologia, Otorrinolaringologia, Reumatologia, Urologia, além de atendimento multiprofissional nas áreas de Enfermagem, Farmácia, Fisioterapia, Fonoaudiologia, Nutrição, Psicologia, Serviço Social e Terapia Ocupacional.
</t>
  </si>
  <si>
    <t>Hospital Regional do Agreste (HRA)</t>
  </si>
  <si>
    <t>Entre 2022 e 2025, o repasse direto à unidade cresceu 13,7%, passando de R$ 5,5 milhões para R$ 6,2 milhões.</t>
  </si>
  <si>
    <t>Rodovia BR-232, Km 130 - s/n - Indianópolis, Caruaru - PE</t>
  </si>
  <si>
    <t>Br 101, Km 185, s/n Engenho Quilombo dos, Palmares - PE</t>
  </si>
  <si>
    <t>UPAE Serra Talhada</t>
  </si>
  <si>
    <r>
      <rPr>
        <rFont val="Roboto"/>
        <b/>
        <color theme="1"/>
        <sz val="10.0"/>
      </rPr>
      <t xml:space="preserve">Urgência: </t>
    </r>
    <r>
      <rPr>
        <rFont val="Roboto"/>
        <color theme="1"/>
        <sz val="10.0"/>
      </rPr>
      <t xml:space="preserve">Clínica Médica, Endoscopia, Urgência dialítica, Ortopedia e Traumatologia, Bucomaxilofacial,  Cirurgia Geral e Vascular. </t>
    </r>
    <r>
      <rPr>
        <rFont val="Roboto"/>
        <b/>
        <color theme="1"/>
        <sz val="10.0"/>
      </rPr>
      <t xml:space="preserve">Ambulatorial: </t>
    </r>
    <r>
      <rPr>
        <rFont val="Roboto"/>
        <color theme="1"/>
        <sz val="10.0"/>
      </rPr>
      <t xml:space="preserve">Cirurgia Geral, Clínica Médica, Ortopedia e Traumatologia, Bucomaxilofacial, Neurocirurgia e Cabeça e Pescoço. </t>
    </r>
  </si>
  <si>
    <t>R. Quatorze de Julho, s/n - Cagep, Serra Talhada - PE, 56909-000</t>
  </si>
  <si>
    <t>Hospital regional de média e alta complexidade, referência para a Mata Sul. Atua em urgência/emergência, internação e ambulatório, com Clínica Médica, Cirurgia Geral, Traumato-Ortopedia, Pediatria, Obstetrícia, UTI Adulto e Neopediátrica, além de serviços diagnósticos e terapêuticos. É também referência para pacientes com microcefalia.</t>
  </si>
  <si>
    <t>Atendimento ambulatorial especializado em Cardiologia, Nefrologia, Neurologia, Oftalmologia, Urologia, e Psicologia, além de atendimento multiprofissional nas áreas de Enfermagem, Farmácia, Fisioterapia, Fonoaudiologia, Nutrição, Psicologia, Serviço Social.</t>
  </si>
  <si>
    <t>Aparelho de ultrassom fixo; aparelho de ultrassom portátil; aparelho de anestesia; arco cirúrgico móvel; autoclave; cardioversor; eletrocardiógrafo; mesa cirúrgica ortopédica; monitores multiparâmetros; refrigerador científico; instrumentais cirúrgicos; sistema de videolaparoscopia; videoendoscópio; videogastroscópio; videocolonoscópio; ventilador de transporte; perfurador pneumático; camas elétricas.</t>
  </si>
  <si>
    <t>Repasse evoluiu de R$ 10,1 milhões para R$ 11,0 milhões.</t>
  </si>
  <si>
    <r>
      <rPr>
        <rFont val="Roboto"/>
        <b/>
        <color theme="1"/>
        <sz val="10.0"/>
      </rPr>
      <t>Estamos fazendo</t>
    </r>
    <r>
      <rPr>
        <rFont val="Roboto"/>
        <color theme="1"/>
        <sz val="10.0"/>
      </rPr>
      <t xml:space="preserve">: requalificação da fachada; contrução do novo Hospital Regional do Agreste. </t>
    </r>
    <r>
      <rPr>
        <rFont val="Roboto"/>
        <b/>
        <color theme="1"/>
        <sz val="10.0"/>
      </rPr>
      <t>Já entregamos</t>
    </r>
    <r>
      <rPr>
        <rFont val="Roboto"/>
        <color theme="1"/>
        <sz val="10.0"/>
      </rPr>
      <t>: Requalificação do setor de endoscopia; requalificação do setor de hemodiálise; abertura de novos 14 leitos de clínica médica; requalificação do setor de tomografia; requalificação da recepção geral; requalificação da capela; requalificação da sala vermelha.</t>
    </r>
  </si>
  <si>
    <t>Modernização do parque tecnológico com aquisição de equipamentos e mobiliários, através de plano de investimento no valor de pouco mais de R$2,5 milhões para a aquisição de Tomógrafo Computadorizado (Acima de 16 canais até 80 canais), Aparelho de Anestesia, Cama PPP; R$3.752.080,02 investidos para revitalização do hospital e R$408.405,22 através de emendas parlamentares para aquisição de equipamentos e insumos; fortalecimento da capacidade cirúrgica, inclusive com cirurgias por videolaparoscopia; manutenção e qualificação da assistência de média e alta complexidade; fortalecimento das UTIs adulta e neopediátrica; e consolidação do hospital como referência para a população da Mata Sul.</t>
  </si>
  <si>
    <t>UPA/UPAE Petrolina</t>
  </si>
  <si>
    <t>Avenida Coronel Honorato Viana S/N, Palhinhas, Petrolina, CEP 56.308-000</t>
  </si>
  <si>
    <t>Hospital Mestre Vitalino</t>
  </si>
  <si>
    <t>Atendimento ambulatorial especializado em Cardiologia, Cirurgia Geral, Dermatologia, Endocrinologia, Gastroenterologia, Hematologia, Infectologia, Nefrologia, Neurologia, Oftalmologia, Otorrinolaringologia, Pneumologia, Proctologia, Reumatologia e Urologia, além de atendimento multiprofissional nas áreas de Enfermagem, Farmácia, Fisioterapia, Fonoaudiologia, Nutrição, Psicologia, Serviço Social e Terapia Ocupacional.</t>
  </si>
  <si>
    <t>BR-104, 756 - Luiz Gonzaga, Caruaru - PE</t>
  </si>
  <si>
    <t>R$ 2.461.752,49</t>
  </si>
  <si>
    <t>Aquisição de equipamentos: cardioversor, densitômetro ósseo, foco cirúrgico, ventilador pulmonar de transporte, videocolonoscópio e videogastroscópio.</t>
  </si>
  <si>
    <t>UPA Barra de Jangada</t>
  </si>
  <si>
    <t>Barra de Jangada, Jaboatão dos Guararapes - PE, 54470-240</t>
  </si>
  <si>
    <t>Hospital de grande porte, referência em média e alta complexidade para o Agreste. Atua em urgência e emergência, internação e atendimento especializado, com destaque para Clínica Médica, Clínica/Cirurgia Geral, Cardiologia, Neurologia e Pediatria. Possui ainda serviços especializados em Oncologia, Nefrologia, Cirurgia Cardíaca, Urologia, Arritmologia e especialidades pediátricas.</t>
  </si>
  <si>
    <t>(1) Investimento realizado em obras, novos equipamentos, novos elevadores, ações de manutenção, ata de serviços de engenharia e mobiliários (comprados diretamente pelos hospitais + adquiridos de forma centralizada pela SES)</t>
  </si>
  <si>
    <t>Fortalecimento da assistência de média e alta complexidade no Agreste; manutenção e qualificação dos serviços de Cardiologia, Neurologia, Pediatria, Cirurgia, Oncologia e Nefrologia; investimentos por meio de emendas parlamentares e termos aditivos para aquisição de materiais e equipamentos, no valor de R$18.649.747,38 e R$1.294.000,00 em Emendas parlamentares para aquisição de materiais médicos e requalificações; fortalecimento da capacidade operacional e manutenção do HMV como uma das principais referências hospitalares do interior de Pernambuco.</t>
  </si>
  <si>
    <t>A unidade presta atendimento de média complexidade em Clínica Médica, Pediatria e Traumatologia/Ortopedia, realizando estabilização de pacientes graves e encaminhamento aos hospitais de referência quando necessário.</t>
  </si>
  <si>
    <t>Hospital São Sebastião</t>
  </si>
  <si>
    <t xml:space="preserve"> Manutenção de atendimento 24 horas em Clínica Médica, Pediatria e Traumatologia/Ortopedia, fortalecendo a rede de urgência e emergência da I GERES.
Aquisição de novos equipamentos e mobiliário por meio de Plano de Investimento: Ar Condicionado 60.000 BTUS, Eletrocardiógrafo, RAIO X FIXO - DIGITAL, Monitor Multiparâmetros, Ventilador Pulmonar.
Manutenção de elevado volume de urgência e emergência.</t>
  </si>
  <si>
    <t>HCP</t>
  </si>
  <si>
    <t xml:space="preserve">Avenida Agamenom Magalhães, s/n - Maurício de Nassau, Caruaru </t>
  </si>
  <si>
    <t>UPA Cabo de Santo Agostinho</t>
  </si>
  <si>
    <t>Hospital de retaguarda de baixa e média complexidade, com atendimento 24h em Clínica Médica. Dá suporte às unidades de referência da Rede de Urgência e Emergência da II Macrorregião e dispõe de serviços de apoio diagnóstico e terapêutico, incluindo laboratório, radiologia, ultrassonografia, eletrocardiograma, ecocardiograma, endoscopia, colonoscopia e hemodiálise para pacientes internados.</t>
  </si>
  <si>
    <t>Rua 27, S/N – Cohab Cabo de Santo Agostinho – PE</t>
  </si>
  <si>
    <t xml:space="preserve"> A unidade atua na estabilização e observação de pacientes e no encaminhamento para serviços hospitalares de maior complexidade quando necessário.</t>
  </si>
  <si>
    <t>Modernização do parque tecnológico com aquisição de equipamentos hospitalares através de plano de investimento, no valor de R$922.953,63, com aquisição de Condicionador de ar 60.000 BTUS, ventilador pulmonar, carro térmico para transporte, câmara fria para 2 óbitos, balança antropométrica digital - adulto e Emenda parlamentar federal incremento do Teto MAC para fortalecimento da capacidade assistencial da unidade no valor de R$4.000.000,00; manutenção de 60 leitos de retaguarda; fortalecimento dos serviços de apoio diagnóstico e terapêutico; oferta de hemodiálise a pacientes internados; e fortalecimento do papel do hospital como unidade de retaguarda da rede de urgência e emergência da II Macrorregião.</t>
  </si>
  <si>
    <t>Manutenção da assistência de urgência e emergência em Clínica Médica e Pediatria, fortalecendo a cobertura da I GERES.
Aquisição de novos equipamentos e mobiliário por meio de Plano de Investimento: Ar condicionado split 60.000 BTUs, Cardioversor, Ventilador Pulmonar, Vídeo Laringoscópio, DEA - Desfibrilador Externo Automático.</t>
  </si>
  <si>
    <t>Hospital Regional Dom Moura</t>
  </si>
  <si>
    <t>UPA Engenho Velho</t>
  </si>
  <si>
    <t>Rua - Av. Gen. Manoel Rabelo, 5539 - Engenho Velho, Jaboatão dos Guararapes - PE</t>
  </si>
  <si>
    <t xml:space="preserve">Atua 24 horas, com atendimento resolutivo de quadros agudos e suporte diagnóstico, contribuindo para ampliar o acesso e reduzir a pressão sobre hospitais de referência.
</t>
  </si>
  <si>
    <t>Cama hospitalar para obeso até 300 kg; carro de emergência; monitor multiparamétrico; maca retrátil adaptável a ambulâncias até 300 kg; ar-condicionado 60.000 BTUs; ventilador pulmonar.</t>
  </si>
  <si>
    <t>UPA Imbiribeira</t>
  </si>
  <si>
    <t>Av. Mal. Mascarenhas de Morais, 4223 - Imbiribeira, Recife - PE</t>
  </si>
  <si>
    <t>Aspirador de secreções elétrico móvel; cadeira de rodas adulto; cadeira de rodas para obeso; berço hospitalar com grades; balança antropométrica infantil.</t>
  </si>
  <si>
    <t>Avenida Simoa Gomes, s/n - Heliópolis, Garanhuns.</t>
  </si>
  <si>
    <t>UPA Nova Descoberta</t>
  </si>
  <si>
    <t>Av. Ver. Otacílio Azevedo, s/n - Nova Descoberta, Recife - PE</t>
  </si>
  <si>
    <t>Urgência: cirurgia geral, clínica médica, clínica cirúrgica, obstetrícia, pediatria e traumatologia. Ambulatório: cardiologia, ginecologista, dermatologista, neurologista, neuropediatria, psiquiatria, pediátria, geriatria, mastologia, proctologista, traumatologia, urologia, angiologia, CAF e cirurgia geral.</t>
  </si>
  <si>
    <t>Processadora de raio-X; cama hospitalar Fowler mecânica; carrinho de parada; monitor multiparamétrico; eletrocardiógrafo; cardioversor; ventilador pulmonar.</t>
  </si>
  <si>
    <t>UPA Olinda</t>
  </si>
  <si>
    <t>Av. Dr. Joaquim Nabuco, S/N - Tabajara, Olinda - PE</t>
  </si>
  <si>
    <t xml:space="preserve">Implantação do Centro de Imagem, Implantação da UTI pediátrica (5 leitos), Implantação do Serviço de Gestão de Transporte (SETRANS),  Aquisição de 01 ambulância de suporte avançado, Revitalização da residência multiprofissional; Implantação do sistema de classificação de risco obstétrico; Criação do Espaço Acolher; Aquisição de 151 camas hospitalares;  Reforma do Central de Material e Esterilização - CME, em andamento; Incremento de recursos humanos; Requalificação do setor da ortopedia, em andamento;  Aquisição de mobílias; Aquisição de instrumentais cirúrgicos; Aquisição de autoclave; Aquisição de equipamentos médico-hospitalar; Implantação de 31 cargos de liderança para servidores-FSUS; </t>
  </si>
  <si>
    <t>Unidade de pronto atendimento de porte intermediário que desempenha papel essencial na rede de urgência e emergência da Região Metropolitana do Recife. Funcionando 24 horas por dia, a unidade oferece atendimento resolutivo para quadros clínicos agudos em adultos e crianças, contribuindo de forma significativa para a diminuição da sobrecarga hospitalar e para a ampliação do acesso a cuidados imediatos em saúde</t>
  </si>
  <si>
    <t>Hospital Regional Inácio de Sá</t>
  </si>
  <si>
    <t>Aquisição de equipamentos: cadeira de rodas para obeso, autoclave horizontal de mesa, bomba a vácuo odontológica, monitor multiparâmetro para UTI, eletrocardiógrafo, ventilador pulmonar, raio X portátil de coluna e cardioversor.</t>
  </si>
  <si>
    <t>Antônio Alençar Sampaio, 346 - Planalto, Salgueiro - PE</t>
  </si>
  <si>
    <t>Enfermaria Cirúrgica</t>
  </si>
  <si>
    <t>Rua Antônio Alençar Sampaio, 346, Planalto, Salgueiro.</t>
  </si>
  <si>
    <t>UPA São Lourenço</t>
  </si>
  <si>
    <t>Av. Dr. Francisco Correia, 2009 - Pixete, São Lourenço da Mata - PE</t>
  </si>
  <si>
    <t xml:space="preserve">Infraestrutura e modernização: Requalificação da lavanderia hospitalar; Aquisição de 61 computadores; Aquisição de 14 aparelhos de ar-condicionado; Aquisição de 05 refrigeradores duplex; Aquisição de novas camas hospitalares;  Aquisição de instrumentais cirúrgicos;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Implantação do Ambulatório de Inserção de DIU, Criação de Farmácias Satélites, Implantação da realização de cirurgias bucomaxilofaciais, Implantação da realização de ecocardiograma, Aquisição de 01 ambulância UTI; Aquisição de instrumentais; Aquisição de 02 ambulâncias básicas; Implantação de 31 cargos de liderança para servidores-FSUS
</t>
  </si>
  <si>
    <t xml:space="preserve">A unidade de média complexidade assegura atendimento contínuo à população de São Lourenço da Mata e municípios vizinhos. Sua infraestrutura é robusta e voltada para urgências clínicas, pediátricas e traumato-ortopédicas, contando com 19 leitos de observação, consultórios (médicos e odontológicos), além de salas de sutura, medicação, procedimentos e estabilização. 
</t>
  </si>
  <si>
    <t>Hospital Regional Ruy de Barros Correia</t>
  </si>
  <si>
    <t>Aquisição de equipamentos: aparelho de raio-X fixo digital, ventiladores mecânico pulmonar, eletrocardiógrafo, desfibrilador, camas hospitalares elétricas, incubadora de transporte neonatal, balança antropométrica digital pediátrica e berço hospitalar.</t>
  </si>
  <si>
    <t>Av. Dr. Agamenon Magalhães, s/n - Centro, Arcoverde - PE</t>
  </si>
  <si>
    <t>Enfermaria Pediátrica e Ortopedia Pediátrica</t>
  </si>
  <si>
    <t xml:space="preserve">Unidade de média complexidade e referência para os 13 municípios da VI Gerência Regional de Saúde. Destaca-se na assistência materno-infantil e oferece urgência, internação e atendimento ambulatorial em especialidades como Cardiologia, Cirurgia Geral, Clínica Médica, Pediatria, Ginecologia, Obstetrícia, Traumato-ortopedia, Neurologia, Urologia e Cirurgia Vascular, além de pré-natal de alto risco e serviços multiprofissionais. </t>
  </si>
  <si>
    <t>UPA Torrões</t>
  </si>
  <si>
    <t>Av. Eng. Abdias de Carvalho, nº 30 - Torrões, Recife - PE</t>
  </si>
  <si>
    <t>A unidade destaca-se pelo atendimento médico especializado em Clínica Médica, Pediatria e Ortopedia, oferecendo suporte diagnóstico completo que inclui exames de imagem, análises laboratoriais e eletrocardiogramas para garantir precisão terapêutica. Sua infraestrutura dispõe de 19 leitos de observação distribuídos entre leitos críticos e pediátricos, além de contar com Sala Vermelha equipada para emergências, Salas Amarelas para estabilização, área pediátrica dedicada, sala de isolamento para síndromes respiratórias agudas, consultórios médicos e odontológicos, e salas para sutura, inalação e medicação</t>
  </si>
  <si>
    <t>Aquisição de equipamentos: maca retrátil adaptável a ambulâncias até 300 kg, carro de transporte para cadáver, monitor multiparamétrico, oxímetro portátil, cardioversor e ventilador pulmonar adulto/pediátrico.</t>
  </si>
  <si>
    <t xml:space="preserve">• Modernização da infraestrutura em 2025, com aquisição de equipamentos e mobiliários e implementação do do Plano de Investimento no valor de R$2.991.567,24; Plano de Investimento – Prevenção e Combate a Incêndio no valor de R$R$ 1.011.334,01 e plano de investimento no valor de R$R$766 102,46 para reforma no setor de urgência e emergência.
• Estrutura assistencial com 165 leitos SUS, incluindo Clínica Médica, Pediatria, Cirurgia, Obstetrícia, Traumatologia, UTI Adulto, recuperação anestésica e atenção psicossocial.
• Captação de recurso federal: R$ 1.000.000,00 em 2023, via Emenda Parlamentar – Incremento do Teto MAC.
• Crescimento da produção assistencial: 33.301 internações entre 2022 e 2024; em 2024 foram 11.582 internações e 551.194 procedimentos.
• Crescimento do custeio direto: aumento de R$ 31.823.143,65 no repasse anual (+84,1%), passando de R$ 37.825.510,04 em 2022 para R$ 69.648.653,69 em 2025.
</t>
  </si>
  <si>
    <t>Hospital Regional Fernando Bezerra</t>
  </si>
  <si>
    <t>ISMEP</t>
  </si>
  <si>
    <t>UPA Paulista</t>
  </si>
  <si>
    <t>R. Teobaldo Gomes Torres, 510 - Centro, Ouricuri - PE</t>
  </si>
  <si>
    <t>Estr. do Frio, 1000 - Jardim Paulista, Paulista - PE</t>
  </si>
  <si>
    <t>Hospital regional de média complexidade, referência para os 11 municípios da IX GERES/Sertão do Araripe. Presta atendimento de urgência e emergência, internação, ambulatório e assistência em especialidades como Clínica Médica, Cirurgia Geral, Ginecologia/Obstetrícia, Pediatria e Traumato-Ortopedia, além de outras especialidades ambulatoriais.</t>
  </si>
  <si>
    <t>Seu perfil assistencial é altamente abrangente, sendo referência em clínica médica, pediatria, oftalmologia de emergência e urgência odontológica diurna (das 7h às 19h). A infraestrutura moderna suporta esse fluxo com salas especializadas de classificação de risco, isolamento respiratório, raio-X, farmácia, laboratório de análises clínicas e salas Vermelha e Amarelas voltadas à estabilização e observação dos pacientes.</t>
  </si>
  <si>
    <t>Aquisição de equipamentos: maca leito para obeso, ambulância padrão, monitor multiparamétrico, ventilador pulmonar adulto/pediátrico, eletrocardiógrafo, vídeo laringoscópio e autoclave 21L.</t>
  </si>
  <si>
    <t>R$ 31.990.404,32</t>
  </si>
  <si>
    <t>UPA Ibura</t>
  </si>
  <si>
    <t>R. Vale do Itajaí, S/n - Ibura, Recife - PE</t>
  </si>
  <si>
    <t>Profunda modernização estrutural e tecnológica, viabilizada por diversos termos aditivos que permitiram a implantação de UTIs Pediátrica, Neonatal e Adulto, a introdução do serviço de tomografia computadorizada, a criação de assistência especializada para o pé diabético e o aporte de milhões de reais em equipamentos e mobiliários através de Planos de investimento (R$5.132.298,00) e Emendas parlamentares (R$ 1.996.400,00). Do ponto de vista assistencial, o hospital demonstra alta resolutividade, superando consistentemente as metas de saídas hospitalares e produção cirúrgica, além de manter índices de satisfação do usuário acima de 90%.</t>
  </si>
  <si>
    <t>UPA Porte III, com atendimento 24h de urgência e emergência em Clínica Médica, Pediatria, Oftalmologia e Traumato-Ortopedia. Possui radiologia, laboratório, eletrocardiograma, nebulização, sutura, imobilização e estrutura para estabilização de pacientes graves. Tem capacidade operacional de até 450 atendimentos de baixa e média complexidade.</t>
  </si>
  <si>
    <t>Hospital Professor Agamenon Magalhães</t>
  </si>
  <si>
    <t>R. Manoel Pereira da Silva, 871 - Centro, Serra Talhada - PE, 56903-360</t>
  </si>
  <si>
    <t xml:space="preserve">Ampliação da capacidade para atendimento de casos pediátricos críticos durante a sazonalidade respiratória; expansão dos leitos destinados aos casos graves; disponibilização de equipamentos para suporte aos pacientes; implantação/reforço de protocolos específicos para assistência pediátrica; e fortalecimento da UPA como referência 24h em Clínica Médica, Pediatria, Oftalmologia e Traumato-Ortopedia. Aquisição através de plano de investimento de Monitor multiparamétrico; ventilador pulmonar; poltrona hospitalar; computador servidor; ar-condicionados 57.000 BTUs; monitor cardioversor; longarina 5 lugares.
</t>
  </si>
  <si>
    <t>Urgência: Cirurgia geral, Traumatologia, Pediatria, Clínica Médica, Obstetrícia, Odontologia. Ambulatório: Neuropediatria, endocrinologia, radiologia, pediatria, psiquiatria, otorrinolaringologia, projeto boa visão, dermatologia, oftalmologia, tocoginecologia, reumatologista, pediatria, cirurgião bucomaxilo, ultrassonografia, cardiologista, neurologista, geriatra, médico do trabalho, climatério, colposcopia, psicologia, otorrino pediátrico , pediatria neurodivergente, periodontia, odontopediatria, odontologia, pneumo/pediatra.</t>
  </si>
  <si>
    <t>UPA Curado</t>
  </si>
  <si>
    <t>R. Leonardo da Vinci, 68 - Curado II, Jaboatão dos Guararapes - PE</t>
  </si>
  <si>
    <t>UPA Porte III, com atendimento de urgência e emergência em Clínica Médica, Pediatria e Ortopedia 24h, além de Odontologia. Realiza atendimentos de baixa e média complexidade, estabilizando casos graves para posterior transferência à rede hospitalar. Possui raio-X, nebulização, sutura, imobilização, coleta laboratorial e eletrocardiograma.</t>
  </si>
  <si>
    <t>Modernização da unidade com investimento de R$ 559,2 mil em equipamentos e mobiliários; manutenção de 19 leitos, incluindo quatro destinados à estabilização de pacientes graves; fortalecimento da assistência 24h em Clínica Médica, Pediatria e Ortopedia; manutenção da qualificação como UPA Porte III; e fortalecimento da estrutura para estabilização e transferência de pacientes de maior complexidade.</t>
  </si>
  <si>
    <t>UPA Caxangá</t>
  </si>
  <si>
    <t>R. Ribeiro Pessoa, s/n - Iputinga, Recife - PE</t>
  </si>
  <si>
    <t xml:space="preserve">Aquisição de incubadoras de transporte; Aquisição de incubadoras neonatais; Aquisição de cardiotocógrafos; Aquisição de berços aquecidos; Aquisição de berços de acrílico; Fortalecimento da assistência obstétrica e neonatal; Qualificação da estrutura destinada ao atendimento materno-infantil; Requalificação da lavanderia hospitalar; Aquisição de 61 computadores; Aquisição de 14 aparelhos de ar-condicionado; Aquisição de 05 refrigeradores duplex; Aquisição de novas camas hospitalares;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01 contador de células; 02 incubadoras de transporte;
03 incubadoras neonatais; 01 equipamento de Raio-X Digital; 01 aparelho de Ultrassonografia; 02 cardiotocógrafos; 32 bombas de infusão; 03 ventiladores pulmonares;
08 monitores multiparâmetros; 02 cardioversores; 02 focos cirúrgicos de teto SkyLED;
01 bisturi elétrico; 01 mesa cirúrgica elétrica; 03 mesas cirúrgicas para o bloco cirúrgico;
02 ressectoscópios; 07 aspiradores cirúrgicos; Arco cirúrgico; Motor cirúrgico; Aparelho de anestesia com monitor incorporado; Berços aquecidos; 01 umidificador; Aquisição de 01 ambulância UTI; Aquisição de instrumentais; Substituição de todas as camas; 10 carros-maca; 05 carrinhos de curativos; 20 cadeiras de banho; 10 cadeiras de rodas; 25 berços de acrílico; 75 suportes de soro; 25 biombos; 30 longarinas; 50 cadeiras para auditório; 50 cadeiras;  Aquisição de 02 ambulâncias básicas; 07 laringoscópios adultos; 05 laringoscópios pediátricos; 03 laringoscópios neonatais; 08 kits de laringoscópio; 10 lâmpadas para laringoscópios; 07 estetoscópios cardiológicos; 04 cabos de oxímetro;
10 torpedos/cilindros de oxigênio; 15 cilindros de oxigênio;
</t>
  </si>
  <si>
    <t>UPA 24h de urgência e emergência, com atendimento por demanda espontânea em Clínica Médica, Pediatria e Ortopedia. Possui apoio diagnóstico com raio-X, eletrocardiograma, exames laboratoriais e gasometria, além de salas de medicação, sutura, inalação e classificação de risco.</t>
  </si>
  <si>
    <t>gestão
Readequação da Clínica Médica; fortalecimento da assistência pediátrica; regularização da cobertura de plantonistas pediátricos e disponibilização de materiais para a especialidade; manutenção de 19 leitos de observação; e continuidade da assistência 24h em Clínica Médica, Pediatria e Ortopedia.</t>
  </si>
  <si>
    <t>UPA Caruaru</t>
  </si>
  <si>
    <t>Caruaru – PE, Avenida José Marques Fontes, s/n, Vassoural/Santa Rosa</t>
  </si>
  <si>
    <t>Unidade de Pronto Atendimento 24h, voltada à urgência e emergência, com atendimento em Clínica Médica, Cardiologia, Traumatologia e Cirurgia do Trauma. Dispõe de 7 consultórios, raio-X, coleta de exames laboratoriais, imobilização, medicação, nebulização, sutura e classificação de risco.</t>
  </si>
  <si>
    <t>Modernização do parque de equipamentos; aquisição de digitalizador de imagens radiográficas, ventiladores, camas e berços; fortalecimento da capacidade de atendimento de urgência e emergência; e manutenção de elevado volume assistencial, com 155.811 atendimentos em 2024, superando a meta anual pactuada.</t>
  </si>
  <si>
    <t>UPA Igarassu</t>
  </si>
  <si>
    <t>Rodovia Br-101 Norte, km 47 - Cruz de Rebouças, Igarassu - PE</t>
  </si>
  <si>
    <t>Clínica Médica, Pediatria e Ortopedia</t>
  </si>
  <si>
    <t>Hospital do Sertão Governador Eduardo Campos</t>
  </si>
  <si>
    <t>Aparelho de raio-X fixo digital; ventilador pulmonar; cardioversor; eletrocardiógrafo.</t>
  </si>
  <si>
    <t>BR-232 - Serra Talhada, PE</t>
  </si>
  <si>
    <t>UPAE/Reabilitação do Recife</t>
  </si>
  <si>
    <t>R. Interna, 801 - Ipsep, Recife - PE</t>
  </si>
  <si>
    <t xml:space="preserve">Atendimento especializado à pessoa idosa, com assistência médica nas especialidades de Dermatologia, Vascular, Otorrinolaringologia, Otoneurologia, Reumatologia, Geriatria e Cardiologia, além de atendimento multiprofissional nas áreas de Nutrição, Psicologia, Fisioterapia, Fonoaudiologia, Terapia Ocupacional e Educação Física.
</t>
  </si>
  <si>
    <t>Hospital regional de média e alta complexidade, referência para o Sertão, com assistência em Clínica Médica, Cirurgia Geral, Cirurgia Vascular, Pediatria, Traumato-Ortopedia, Neurologia, Cardiologia e Anestesiologia, além de cuidados intensivos e suporte diagnóstico.</t>
  </si>
  <si>
    <r>
      <rPr>
        <rFont val="Roboto"/>
        <b/>
        <color theme="1"/>
        <sz val="10.0"/>
      </rPr>
      <t>UNIDADE INAUGURADA NESTA GESTÃO (1ª ETAPA EM 2024 E 2ª ETAPA EM 2025)
Aquisições</t>
    </r>
    <r>
      <rPr>
        <rFont val="Roboto"/>
        <color theme="1"/>
        <sz val="10.0"/>
      </rPr>
      <t xml:space="preserve">: Cadeiras universitárias com prancheta lateral; 01 Esteira ergométrica; Armários tipo estante em MDF; Cadeiras de rodas; Carrinhos auxiliares; Discos infláveis fisioterapêuticos para equilíbrio; Fornos tipo doméstico; Mesas auxiliares; Refrigeradores 320L; Bebedouros de coluna; Televisores.
</t>
    </r>
    <r>
      <rPr>
        <rFont val="Roboto"/>
        <b/>
        <color theme="1"/>
        <sz val="10.0"/>
      </rPr>
      <t>Serviços</t>
    </r>
    <r>
      <rPr>
        <rFont val="Roboto"/>
        <color theme="1"/>
        <sz val="10.0"/>
      </rPr>
      <t xml:space="preserve">: Implantação de ambulatório da dor -- fibromialgia; Hidroginástica para idosos; Atividades funcionais/esportivas. </t>
    </r>
  </si>
  <si>
    <t>Ampliação expressiva da produção hospitalar; implantação/fortalecimento da Hemodinâmica; aquisição de equipamentos, mobiliários, equipamentos de monitoramento e estruturação da Hemodinâmica, com R$5.715.620,47 investidos e R$217.389,00 em Emendas parlamentares; fortalecimento da assistência de média e alta complexidade no Sertão; crescimento das internações e manutenção de 40 leitos de UTI.</t>
  </si>
  <si>
    <t>Hospital Regional Emília Câmara</t>
  </si>
  <si>
    <t>R. Manoel Virgínio Sobrinho, 156-238, Afogados da Ingazeira - PE</t>
  </si>
  <si>
    <t>Hospital regional do SUS de média e alta complexidade, referência para os 12 municípios da X GERES. Atua nas áreas materno-infantil e em Cardiologia, Cirurgia Geral, Clínica Médica, emergência dialítica, Ginecologia/Obstetrícia, Ortopedia, Pediatria, Psiquiatria e Traumato-Ortopedia.</t>
  </si>
  <si>
    <t>Modernização e qualificação da estrutura diagnóstica e assistencial; aquisição de equipamentos através de Plano de investimento como: tomógrado, ultrassom, arco cirúrgico, equipamentos cirúrgicos, cardioversor, incubadora e ventilador pulmonar, no valor de R$ 4.989.152,95 e Emendas parlamentares para aquisição de ambulâncias e arco cirúrgico, no valor de R$676.214,00; fortalecimento da assistência materno-infantil e da atuação como referência regional para os 12 municípios da X GERES; e ampliação do financiamento da unidade.</t>
  </si>
  <si>
    <t>Unidade nova. Investimento na obra.</t>
  </si>
  <si>
    <t>Hospital Dom Malan</t>
  </si>
  <si>
    <t>R. Joaquim Nabuco, s/n - Centro, Petrolina - PE</t>
  </si>
  <si>
    <t>UTI Infantil</t>
  </si>
  <si>
    <t>Hospital de alta complexidade especializado na assistência materno-infantil, referência regional em Pediatria, Ginecologia e Obstetrícia, gestação de alto risco e cuidados intensivos neonatais e pediátricos. Possui emergência pediátrica e obstétrica 24h, ambulatórios especializados, Banco de Leite Humano e alojamento Canguru.</t>
  </si>
  <si>
    <t>Ampliação e qualificação da assistência materno-infantil; aquisição de 170 poltronas hospitalares e mobiliário em 2024, através de Plano de investimento, no valor de R$2.591.398,33; Equipagem do Centro de Estudos em 2025, no valor de R$87.711,53; captação de recursos por emendas parlamentares para aquisição de equipamentos e insumos, no valor de R$3.446.995,90; crescimento das internações e manutenção da unidade como referência regional em alta complexidade materno-infantil.</t>
  </si>
  <si>
    <t>Hospital da Mulher do Agreste</t>
  </si>
  <si>
    <t>Av. José Rodrigues de Jesus - Santa Rosa, Caruaru - PE</t>
  </si>
  <si>
    <t>UTI Neonatal</t>
  </si>
  <si>
    <t>Hospital especializado em saúde da mulher e atenção materno-infantil, de média e alta complexidade, com foco em obstetrícia e ginecologia; gestação de alto risco, UTI adulta e neonatal, bloco cirúrgico, Centro de Parto Normal, Casa da Gestante/Bebê/Puérpera e ambulatórios especializados.</t>
  </si>
  <si>
    <t>Conclusão e inauguração do hospital em maio de 2025; implantação da assistência materno-infantil de alta complexidade no Agreste; estruturação de 198 leitos; atendimento a gestantes de alto risco de 53 municípios; implantação de UTI adulta e neonatal, bloco cirúrgico com 5 salas, Casa da Gestante, Bebê e Puérpera, espaço Canguru e ambulatórios especializados; fortalecimento da regionalização da assistência à saúde da mulher.</t>
  </si>
  <si>
    <t xml:space="preserve">Hemope </t>
  </si>
  <si>
    <t>Especializado</t>
  </si>
  <si>
    <t xml:space="preserve">Rua Joaquim Nabuco, 171, Graças, Recife. </t>
  </si>
  <si>
    <t>Serviços de Pronto Atendimento (SPA)</t>
  </si>
  <si>
    <t xml:space="preserve">Hematologia urgência e pediátria. Ambulatório: cardiologia, ortopedia, endocrinologia, neurologia, hematologia pediátrico, hematologia adulto, psicologia, terapia ocupacional, fisioterapia, nutrição e odontologia. </t>
  </si>
  <si>
    <t xml:space="preserve">- 
</t>
  </si>
  <si>
    <t xml:space="preserve">Criação do setor de imunohematologia do doador, inauguração do serviço de pronto atendimento SPA-Adulto, implantação do núcleo interno de regulação-NIR; </t>
  </si>
  <si>
    <t>Hospital Regional José Fernandes Salsa</t>
  </si>
  <si>
    <t>R. Padre Nicolau Pímentel, 244 - José Fernades Salsa, Limoeiro - PE, 55700-000</t>
  </si>
  <si>
    <t xml:space="preserve">Traumatologia, Obstetrícia, Pediatria, Odontologia, Cirurgia Geral e Clínica Médica.
</t>
  </si>
  <si>
    <t xml:space="preserve">Aquisição de nova autoclave e compressor para funcionamento do CME; Aquisição de dois aparelhos para realização de exames de endoscopia; Aquisição de 02 ambulâncias;; Aquisição de equipamentos médico-hospitalares, incluindo bisturi elétrico, aparelho de ultrassonografia com doppler, analisador de gases sanguíneos, perfuradores cirúrgicos para ortopedia, incubadora de transporte, bilirrubinômetro e ressuscitador pulmonar infantil e otoscópio, aparelho de raio-x portátil digital e fixo, Incubadora neonatal, incubadora de transporte, eletrocardiógrafo,  12 kits instrumentais básico menor, 04 kits instrumentais básico médio, 02 kits de instrumentais básico maior, aparelho de ultrassom portátil+ecocardiograma, compressor 4D; Aquisição de mobiliário hospitalar, como camas hospitalares manuais e elétricas (21 unidades), macas para consultório, cadeiras de rodas, mesas de cabeceira, mesas auxiliares, poltronas, longarinas,  armário alto, armários baixos, mesas estação de trabalho , guarda-roupas em aço, escadas hospitalares e carrinhos auxiliares, poltrona para obeso, carros macas, estante aramadas; Aquisição de equipamentos de apoio e eletrodomésticos para a unidade, incluindo micro-ondas, refrigeradores e freezer, aparelho de tv, bebedouro; Aquisição de instrumentais; Aquisição de 60 computadores; Criação de farmácia satélite na emergência;
</t>
  </si>
  <si>
    <t>União Beneficente dos Trabalhadores do Moreno</t>
  </si>
  <si>
    <t>Moreno</t>
  </si>
  <si>
    <t>Programa Cuida PE</t>
  </si>
  <si>
    <t>ASHOPE - Associação de Serviços Hospitalares</t>
  </si>
  <si>
    <t>Recife</t>
  </si>
  <si>
    <t>Neuroclínica Adulto</t>
  </si>
  <si>
    <t>Hospital Maria Lucinda</t>
  </si>
  <si>
    <t>Enfermaria (Traumatologia-Ortopedia); UTI Pediátrica SRAG; Enfermaria Adulto SRAG; Programa Cuida PE; UTI Pediátrica</t>
  </si>
  <si>
    <t>Max Day Hospital Ltda.</t>
  </si>
  <si>
    <t>Sociedade Hospitalar Beneficente Maria Vitória</t>
  </si>
  <si>
    <t>Programa Cuida PE; Leitos clínicos com suporte de hemodiálise</t>
  </si>
  <si>
    <t>Irmandade da Santa Casa de Misericórdia do Recife</t>
  </si>
  <si>
    <t>Enfermaria (Traumatologia-Ortopedia); Programa Cuida PE</t>
  </si>
  <si>
    <t>Instituto de Medicina Integral Prof. Fernando Figueira IMIP</t>
  </si>
  <si>
    <t>Assistência Integral (Enfermaria Cirúrgica Pediátrica)</t>
  </si>
  <si>
    <t>Real Hospital Português de Beneficência em Pernambuco</t>
  </si>
  <si>
    <t>Cuida PE</t>
  </si>
  <si>
    <t>Hospital do Tricentenário</t>
  </si>
  <si>
    <t>Olinda</t>
  </si>
  <si>
    <t>UTI Adulto; Neuroclínica Adulto</t>
  </si>
  <si>
    <t>Ass. Prot. Maternidade e a Infância da Vitória de Santo Antão - APAMI Vitória</t>
  </si>
  <si>
    <t>Vitória de Santo Antão</t>
  </si>
  <si>
    <t>Enfermaria (Traumatologia-Ortopedia); Neuroclínica Adulto; Cuida PE; Leitos de enfermaria cirúrgica vascular; Enfermaria Adulto SRAG</t>
  </si>
  <si>
    <t>Centro Hospitalar Santa Maria</t>
  </si>
  <si>
    <t>Enfermaria Pediátrica SRAG; Cuida PE</t>
  </si>
  <si>
    <t>Instituto Vale do Capibaribe de Inovações em Educação e Saúde</t>
  </si>
  <si>
    <t>Limoeiro</t>
  </si>
  <si>
    <t>UTI Adulto SRAG</t>
  </si>
  <si>
    <t>Associação de Proteção a Maternidade e a Infância de Surubim</t>
  </si>
  <si>
    <t>Surubim</t>
  </si>
  <si>
    <t>Instituto Assistência Vale do Una</t>
  </si>
  <si>
    <t>Palmares</t>
  </si>
  <si>
    <t>Cuida PE; Leitos de Enfermaria Cirúrgica Vascular; UTI Pediátrica SRAG</t>
  </si>
  <si>
    <t>Instituto Esperança de Beneficência em Saúde de Pernambuco</t>
  </si>
  <si>
    <t>Escada</t>
  </si>
  <si>
    <t>Enfermaria Adulto SRAG; Cuida PE</t>
  </si>
  <si>
    <t>Memorial Hospital de Goiana Ltda.</t>
  </si>
  <si>
    <t>Goiana</t>
  </si>
  <si>
    <t>Enfermaria Adulto SRAG; Enfermaria Pediátrica SRAG; UTI Pediátrica; UTI Pediátrica SRAG</t>
  </si>
  <si>
    <t>Hospital Memorial de Pernambuco</t>
  </si>
  <si>
    <t>Caruaru</t>
  </si>
  <si>
    <t>Enfermaria Adulto SRAG; UTI Adulto SRAG; Neuroclínica Adulto</t>
  </si>
  <si>
    <t>Intensiva Day Hospital Ltda.</t>
  </si>
  <si>
    <t>Instituto do Câncer Infantil do Agreste -- ICIA</t>
  </si>
  <si>
    <t>Hospital São José Pesqueira Ltda.</t>
  </si>
  <si>
    <t>Pesqueira</t>
  </si>
  <si>
    <t>Casa de Saúde Perpétuo Socorro</t>
  </si>
  <si>
    <t>Associação de Proteção e Assistência à Maternidade e à Infância de Buíque -- APAMI Buíque</t>
  </si>
  <si>
    <t>Buíque</t>
  </si>
  <si>
    <t>Enfermaria Adulto SRAG; Enfermaria Obstetrícia SRAG; Enfermaria Pediátrica SRAG; Cuida PE</t>
  </si>
  <si>
    <t>Instituto Beneficente Vale do São Francisco</t>
  </si>
  <si>
    <t>Petrolândia</t>
  </si>
  <si>
    <t>Instituto Social das Medianeiras da Paz (Hospital e Maternidade Santa Maria de Araripina)</t>
  </si>
  <si>
    <t>Araripina</t>
  </si>
  <si>
    <t>Enfermaria (Traumatologia-Ortopedia); Cuida PE; UTI Pediátrica; Enfermaria Pediátrica SRAG</t>
  </si>
  <si>
    <t>CÓDIGO DO IBGE</t>
  </si>
  <si>
    <t>MUNICIPIO</t>
  </si>
  <si>
    <t>RD</t>
  </si>
  <si>
    <t>Tipo</t>
  </si>
  <si>
    <t xml:space="preserve">Unidade </t>
  </si>
  <si>
    <t>Texto</t>
  </si>
  <si>
    <t>Nº de Leitos</t>
  </si>
  <si>
    <t xml:space="preserve">Nº Profissionais convocados nesta gestão </t>
  </si>
  <si>
    <t>Valor do contrato de manutenção predial (Anual)</t>
  </si>
  <si>
    <t xml:space="preserve">Investimento nesta gestão 
</t>
  </si>
  <si>
    <t>2610707</t>
  </si>
  <si>
    <t>Paulista</t>
  </si>
  <si>
    <t>Metropolitana</t>
  </si>
  <si>
    <t>Fernando de Noronha</t>
  </si>
  <si>
    <t>Jaboatão dos Guararapes</t>
  </si>
  <si>
    <t>Cabo de Santo Agostinho</t>
  </si>
  <si>
    <t>Mata Norte</t>
  </si>
  <si>
    <t>Nazaré da Mata</t>
  </si>
  <si>
    <t>Mata Sul</t>
  </si>
  <si>
    <t>INFORMAÇÕES</t>
  </si>
  <si>
    <t>DICIONÁRIO DA PLANILHA</t>
  </si>
  <si>
    <t>Detalhamento</t>
  </si>
  <si>
    <t>COLUNAS</t>
  </si>
  <si>
    <t>PREENCHIMENTO</t>
  </si>
  <si>
    <t>Agreste Central</t>
  </si>
  <si>
    <t>NOME MUNICIPIO</t>
  </si>
  <si>
    <t>Agreste Meridional</t>
  </si>
  <si>
    <t>Agreste Setentrional</t>
  </si>
  <si>
    <t>Sertão Central</t>
  </si>
  <si>
    <t>Sertão de Itaparica</t>
  </si>
  <si>
    <t>Sertão do Araripe</t>
  </si>
  <si>
    <t>Sertão do Moxotó</t>
  </si>
  <si>
    <t>Sertão do Pajeú</t>
  </si>
  <si>
    <t>Sertão do São Francisco</t>
  </si>
  <si>
    <t>Abreu e Lima</t>
  </si>
  <si>
    <t>Afogados da Ingazeira</t>
  </si>
  <si>
    <t>Afrânio</t>
  </si>
  <si>
    <t>Agrestina</t>
  </si>
  <si>
    <t>Água Preta</t>
  </si>
  <si>
    <t>Águas Belas</t>
  </si>
  <si>
    <t>Salgueiro</t>
  </si>
  <si>
    <t>Alagoinha</t>
  </si>
  <si>
    <t>Aliança</t>
  </si>
  <si>
    <t>Altinho</t>
  </si>
  <si>
    <t>Amaraji</t>
  </si>
  <si>
    <t>Angelim</t>
  </si>
  <si>
    <t>Araçoiaba</t>
  </si>
  <si>
    <t>Arcoverde</t>
  </si>
  <si>
    <t>Barra de Guabiraba</t>
  </si>
  <si>
    <t>Barreiros</t>
  </si>
  <si>
    <t>Belém de Maria</t>
  </si>
  <si>
    <t>Belém do São Francisco</t>
  </si>
  <si>
    <t>Belo Jardim</t>
  </si>
  <si>
    <t>Betânia</t>
  </si>
  <si>
    <t>Bezerros</t>
  </si>
  <si>
    <t>Bodocó</t>
  </si>
  <si>
    <t>Bom Conselho</t>
  </si>
  <si>
    <t>Bom Jardim</t>
  </si>
  <si>
    <t>Bonito</t>
  </si>
  <si>
    <t>Brejão</t>
  </si>
  <si>
    <t>Brejinho</t>
  </si>
  <si>
    <t>Brejo da Madre de Deus</t>
  </si>
  <si>
    <t>Buenos Aires</t>
  </si>
  <si>
    <t>Ouricuri</t>
  </si>
  <si>
    <t>Cabrobó</t>
  </si>
  <si>
    <t>Cachoeirinha</t>
  </si>
  <si>
    <t>Caetés</t>
  </si>
  <si>
    <t>Calçado</t>
  </si>
  <si>
    <t>Calumbi</t>
  </si>
  <si>
    <t>Camaragibe</t>
  </si>
  <si>
    <t>Camocim de São Félix</t>
  </si>
  <si>
    <t>Camutanga</t>
  </si>
  <si>
    <t>Canhotinho</t>
  </si>
  <si>
    <t>Capoeiras</t>
  </si>
  <si>
    <t>Carnaíba</t>
  </si>
  <si>
    <t>Carnaubeira da Penha</t>
  </si>
  <si>
    <t>Serra Talhada</t>
  </si>
  <si>
    <t>Hospital Prof. Agamenon Magalhães</t>
  </si>
  <si>
    <t>Carpina</t>
  </si>
  <si>
    <t>Casinhas</t>
  </si>
  <si>
    <t>Catende</t>
  </si>
  <si>
    <t>Cedro</t>
  </si>
  <si>
    <t>Chã de Alegria</t>
  </si>
  <si>
    <t>Chã Grande</t>
  </si>
  <si>
    <t>Condado</t>
  </si>
  <si>
    <t>Correntes</t>
  </si>
  <si>
    <t>Cortês</t>
  </si>
  <si>
    <t>Cumaru</t>
  </si>
  <si>
    <t>Cupira</t>
  </si>
  <si>
    <t>Custódia</t>
  </si>
  <si>
    <t>Dormentes</t>
  </si>
  <si>
    <t>Exu</t>
  </si>
  <si>
    <t>Feira Nova</t>
  </si>
  <si>
    <t>Ferreiros</t>
  </si>
  <si>
    <t>Flores</t>
  </si>
  <si>
    <t>Floresta</t>
  </si>
  <si>
    <t>Frei Miguelinho</t>
  </si>
  <si>
    <t>Gameleira</t>
  </si>
  <si>
    <t>Glória do Goitá</t>
  </si>
  <si>
    <t>Granito</t>
  </si>
  <si>
    <t>Gravatá</t>
  </si>
  <si>
    <t>Iati</t>
  </si>
  <si>
    <t>Ibimirim</t>
  </si>
  <si>
    <t>Ibirajuba</t>
  </si>
  <si>
    <t>Igarassu</t>
  </si>
  <si>
    <t>Iguaracy</t>
  </si>
  <si>
    <t>Inajá</t>
  </si>
  <si>
    <t>Ingazeira</t>
  </si>
  <si>
    <t>Ipojuca</t>
  </si>
  <si>
    <t>Ipubi</t>
  </si>
  <si>
    <t>Itacuruba</t>
  </si>
  <si>
    <t>Itaíba</t>
  </si>
  <si>
    <t>Ilha de Itamaracá</t>
  </si>
  <si>
    <t>Itambé</t>
  </si>
  <si>
    <t>Itapetim</t>
  </si>
  <si>
    <t>Itapissuma</t>
  </si>
  <si>
    <t>Itaquitinga</t>
  </si>
  <si>
    <t>Jaqueira</t>
  </si>
  <si>
    <t>Jataúba</t>
  </si>
  <si>
    <t>Jatobá</t>
  </si>
  <si>
    <t>João Alfredo</t>
  </si>
  <si>
    <t>Joaquim Nabuco</t>
  </si>
  <si>
    <t>Jucati</t>
  </si>
  <si>
    <t>Jupi</t>
  </si>
  <si>
    <t>Jurema</t>
  </si>
  <si>
    <t>Lagoa do Carro</t>
  </si>
  <si>
    <t>Lagoa de Itaenga</t>
  </si>
  <si>
    <t>Lagoa do Ouro</t>
  </si>
  <si>
    <t>Lagoa dos Gatos</t>
  </si>
  <si>
    <t>Lagoa Grande</t>
  </si>
  <si>
    <t>Lajedo</t>
  </si>
  <si>
    <t>Macaparana</t>
  </si>
  <si>
    <t>Machados</t>
  </si>
  <si>
    <t>Manari</t>
  </si>
  <si>
    <t>Maraial</t>
  </si>
  <si>
    <t>Mirandiba</t>
  </si>
  <si>
    <t>Orobó</t>
  </si>
  <si>
    <t>Orocó</t>
  </si>
  <si>
    <t>Palmeirina</t>
  </si>
  <si>
    <t>Panelas</t>
  </si>
  <si>
    <t>Paranatama</t>
  </si>
  <si>
    <t>Parnamirim</t>
  </si>
  <si>
    <t>Passira</t>
  </si>
  <si>
    <t>Paudalho</t>
  </si>
  <si>
    <t>Pedra</t>
  </si>
  <si>
    <t>Petrolina</t>
  </si>
  <si>
    <t>Poção</t>
  </si>
  <si>
    <t>Pombos</t>
  </si>
  <si>
    <t>Primavera</t>
  </si>
  <si>
    <t>Quipapá</t>
  </si>
  <si>
    <t>Quixaba</t>
  </si>
  <si>
    <t>Riacho das Almas</t>
  </si>
  <si>
    <t>Ribeirão</t>
  </si>
  <si>
    <t>Rio Formoso</t>
  </si>
  <si>
    <t>Sairé</t>
  </si>
  <si>
    <t>Salgadinho</t>
  </si>
  <si>
    <t>Saloá</t>
  </si>
  <si>
    <t>Sanharó</t>
  </si>
  <si>
    <t>Santa Cruz</t>
  </si>
  <si>
    <t>Santa Cruz da Baixa Verde</t>
  </si>
  <si>
    <t>Santa Cruz do Capibaribe</t>
  </si>
  <si>
    <t>Santa Filomena</t>
  </si>
  <si>
    <t>Santa Maria da Boa Vista</t>
  </si>
  <si>
    <t>Santa Maria do Cambucá</t>
  </si>
  <si>
    <t>Santa Terezinha</t>
  </si>
  <si>
    <t>São Benedito do Sul</t>
  </si>
  <si>
    <t>São Bento do Una</t>
  </si>
  <si>
    <t>São Caitano</t>
  </si>
  <si>
    <t>São João</t>
  </si>
  <si>
    <t>São Joaquim do Monte</t>
  </si>
  <si>
    <t>São José da Coroa Grande</t>
  </si>
  <si>
    <t>São José do Belmonte</t>
  </si>
  <si>
    <t>São José do Egito</t>
  </si>
  <si>
    <t>São Lourenço da Mata</t>
  </si>
  <si>
    <t>São Vicente Férrer</t>
  </si>
  <si>
    <t>Serrita</t>
  </si>
  <si>
    <t>Sertânia</t>
  </si>
  <si>
    <t>Sirinhaém</t>
  </si>
  <si>
    <t>Moreilândia</t>
  </si>
  <si>
    <t>Solidão</t>
  </si>
  <si>
    <t>Tabira</t>
  </si>
  <si>
    <t>Tacaimbó</t>
  </si>
  <si>
    <t>Tacaratu</t>
  </si>
  <si>
    <t>Tamandaré</t>
  </si>
  <si>
    <t>Taquaritinga do Norte</t>
  </si>
  <si>
    <t>Terezinha</t>
  </si>
  <si>
    <t>Terra Nova</t>
  </si>
  <si>
    <t>Timbaúba</t>
  </si>
  <si>
    <t>Toritama</t>
  </si>
  <si>
    <t>Tracunhaém</t>
  </si>
  <si>
    <t>Trindade</t>
  </si>
  <si>
    <t>Triunfo</t>
  </si>
  <si>
    <t>Tupanatinga</t>
  </si>
  <si>
    <t>Tuparetama</t>
  </si>
  <si>
    <t>Venturosa</t>
  </si>
  <si>
    <t>Verdejante</t>
  </si>
  <si>
    <t>Vertente do Lério</t>
  </si>
  <si>
    <t>Vertentes</t>
  </si>
  <si>
    <t>EM CONSTRUÇÃO</t>
  </si>
  <si>
    <t>Vicência</t>
  </si>
  <si>
    <t>Xexéu</t>
  </si>
  <si>
    <t>UPAE</t>
  </si>
  <si>
    <t>UPAE, UPA</t>
  </si>
  <si>
    <t>UPA</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</si>
</sst>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yyyy"/>
    <numFmt numFmtId="165" formatCode="[$R$ -416]#,##0.00"/>
    <numFmt numFmtId="166" formatCode="m&quot;/&quot;d"/>
    <numFmt numFmtId="167" formatCode="mm/dd/yyyy"/>
  </numFmts>
  <fonts count="29">
    <font>
      <sz val="10.0"/>
      <color rgb="FF000000"/>
      <name val="Arial"/>
      <scheme val="minor"/>
    </font>
    <font>
      <sz val="10.0"/>
      <color rgb="FFFFFFFF"/>
      <name val="Roboto"/>
    </font>
    <font>
      <sz val="12.0"/>
      <color rgb="FFFFFFFF"/>
      <name val="Roboto"/>
    </font>
    <font>
      <i/>
      <sz val="10.0"/>
      <color rgb="FFC5CAE9"/>
      <name val="Roboto"/>
    </font>
    <font>
      <i/>
      <color rgb="FFC5CAE9"/>
      <name val="Roboto"/>
    </font>
    <font>
      <sz val="10.0"/>
      <color theme="1"/>
      <name val="Roboto"/>
    </font>
    <font>
      <b/>
      <sz val="10.0"/>
      <color rgb="FF303F9F"/>
      <name val="Roboto"/>
    </font>
    <font>
      <b/>
      <sz val="9.0"/>
      <color rgb="FF303F9F"/>
      <name val="Roboto"/>
    </font>
    <font>
      <sz val="10.0"/>
      <color theme="1"/>
      <name val="Arial"/>
      <scheme val="minor"/>
    </font>
    <font>
      <sz val="10.0"/>
      <color rgb="FF000000"/>
      <name val="Roboto"/>
    </font>
    <font>
      <b/>
      <sz val="10.0"/>
      <color theme="1"/>
      <name val="Roboto"/>
    </font>
    <font>
      <color theme="1"/>
      <name val="Calibri"/>
    </font>
    <font>
      <color rgb="FF141414"/>
      <name val="Arial"/>
    </font>
    <font>
      <sz val="10.0"/>
      <color rgb="FF141414"/>
      <name val="Roboto"/>
    </font>
    <font>
      <sz val="9.0"/>
      <color rgb="FF141414"/>
      <name val="Arial"/>
    </font>
    <font>
      <color rgb="FF000000"/>
      <name val="Roboto"/>
    </font>
    <font>
      <sz val="12.0"/>
      <color rgb="FF000000"/>
      <name val="Arial"/>
    </font>
    <font>
      <color theme="1"/>
      <name val="Arial"/>
      <scheme val="minor"/>
    </font>
    <font/>
    <font>
      <color theme="1"/>
      <name val="Roboto"/>
    </font>
    <font>
      <sz val="12.0"/>
      <color rgb="FFC5CAE9"/>
      <name val="Roboto"/>
    </font>
    <font>
      <sz val="12.0"/>
      <color rgb="FFC5CAE9"/>
      <name val="Roboto Condensed"/>
    </font>
    <font>
      <color theme="1"/>
      <name val="Arial"/>
    </font>
    <font>
      <sz val="18.0"/>
      <color rgb="FFFFFFFF"/>
      <name val="Roboto"/>
    </font>
    <font>
      <sz val="20.0"/>
      <color rgb="FFFFFFFF"/>
      <name val="Roboto"/>
    </font>
    <font>
      <color rgb="FF303F9F"/>
      <name val="Roboto"/>
    </font>
    <font>
      <i/>
      <color rgb="FF303F9F"/>
      <name val="Roboto Condensed"/>
    </font>
    <font>
      <sz val="10.0"/>
      <color rgb="FF434343"/>
      <name val="Roboto"/>
    </font>
    <font>
      <b/>
      <sz val="10.0"/>
      <color rgb="FF434343"/>
      <name val="Roboto"/>
    </font>
  </fonts>
  <fills count="9">
    <fill>
      <patternFill patternType="none"/>
    </fill>
    <fill>
      <patternFill patternType="lightGray"/>
    </fill>
    <fill>
      <patternFill patternType="solid">
        <fgColor rgb="FF1E1A5D"/>
        <bgColor rgb="FF1E1A5D"/>
      </patternFill>
    </fill>
    <fill>
      <patternFill patternType="solid">
        <fgColor rgb="FFF3F3F3"/>
        <bgColor rgb="FFF3F3F3"/>
      </patternFill>
    </fill>
    <fill>
      <patternFill patternType="solid">
        <fgColor rgb="FFFFFFFF"/>
        <bgColor rgb="FFFFFFFF"/>
      </patternFill>
    </fill>
    <fill>
      <patternFill patternType="solid">
        <fgColor rgb="FFEFEFEF"/>
        <bgColor rgb="FFEFEFEF"/>
      </patternFill>
    </fill>
    <fill>
      <patternFill patternType="solid">
        <fgColor rgb="FFE6B8AF"/>
        <bgColor rgb="FFE6B8AF"/>
      </patternFill>
    </fill>
    <fill>
      <patternFill patternType="solid">
        <fgColor rgb="FFFCE5CD"/>
        <bgColor rgb="FFFCE5CD"/>
      </patternFill>
    </fill>
    <fill>
      <patternFill patternType="solid">
        <fgColor rgb="FFD1DCF5"/>
        <bgColor rgb="FFD1DCF5"/>
      </patternFill>
    </fill>
  </fills>
  <borders count="22">
    <border/>
    <border>
      <right style="thin">
        <color rgb="FFD1DCF5"/>
      </right>
    </border>
    <border>
      <left style="thin">
        <color rgb="FFD1DCF5"/>
      </left>
      <right style="thin">
        <color rgb="FFD1DCF5"/>
      </right>
    </border>
    <border>
      <left style="thin">
        <color rgb="FFD1DCF5"/>
      </left>
      <right style="thin">
        <color rgb="FFD1DCF5"/>
      </right>
      <top style="thin">
        <color rgb="FF303F9F"/>
      </top>
    </border>
    <border>
      <right style="thin">
        <color rgb="FFD1DCF5"/>
      </right>
      <top style="thin">
        <color rgb="FF303F9F"/>
      </top>
    </border>
    <border>
      <left style="thin">
        <color rgb="FFE8EAF6"/>
      </left>
      <right style="thin">
        <color rgb="FFE8EAF6"/>
      </right>
      <top style="thin">
        <color rgb="FF303F9F"/>
      </top>
    </border>
    <border>
      <right style="thin">
        <color rgb="FFE8EAF6"/>
      </right>
      <top style="thin">
        <color rgb="FF303F9F"/>
      </top>
    </border>
    <border>
      <right style="thin">
        <color rgb="FFE8EAF6"/>
      </right>
    </border>
    <border>
      <left style="thin">
        <color rgb="FFE8EAF6"/>
      </left>
      <right style="thin">
        <color rgb="FFE8EAF6"/>
      </right>
    </border>
    <border>
      <left style="thin">
        <color rgb="FFE8EAF6"/>
      </left>
      <top style="thin">
        <color rgb="FF303F9F"/>
      </top>
    </border>
    <border>
      <top style="thin">
        <color rgb="FF303F9F"/>
      </top>
    </border>
    <border>
      <left style="thin">
        <color rgb="FFC5CAE9"/>
      </left>
      <right style="thin">
        <color rgb="FFE8EAF6"/>
      </right>
      <top style="thin">
        <color rgb="FF303F9F"/>
      </top>
    </border>
    <border>
      <right style="thin">
        <color rgb="FFC5CAE9"/>
      </right>
    </border>
    <border>
      <left style="thin">
        <color rgb="FFC5CAE9"/>
      </left>
      <right style="thin">
        <color rgb="FFC5CAE9"/>
      </right>
    </border>
    <border>
      <left style="thin">
        <color rgb="FFD1DCF5"/>
      </left>
    </border>
    <border>
      <left style="thin">
        <color rgb="FFC5CAE9"/>
      </left>
    </border>
    <border>
      <left style="thin">
        <color rgb="FFC5CAE9"/>
      </left>
      <right style="thin">
        <color rgb="FFD1DCF5"/>
      </right>
    </border>
    <border>
      <left style="thin">
        <color rgb="FFE8EAF6"/>
      </left>
      <right style="thin">
        <color rgb="FFC5CAE9"/>
      </right>
    </border>
    <border>
      <left style="thin">
        <color rgb="FFD1DCF5"/>
      </left>
      <right style="thin">
        <color rgb="FFC5CAE9"/>
      </right>
      <top style="thin">
        <color rgb="FFD1DCF5"/>
      </top>
    </border>
    <border>
      <top style="thin">
        <color rgb="FFFFFFFF"/>
      </top>
    </border>
    <border>
      <bottom style="thin">
        <color rgb="FF1E1A5D"/>
      </bottom>
    </border>
    <border>
      <left style="thin">
        <color rgb="FFD1DCF5"/>
      </left>
      <bottom style="thin">
        <color rgb="FFD1DCF5"/>
      </bottom>
    </border>
  </borders>
  <cellStyleXfs count="1">
    <xf borderId="0" fillId="0" fontId="0" numFmtId="0" applyAlignment="1" applyFont="1"/>
  </cellStyleXfs>
  <cellXfs count="335">
    <xf borderId="0" fillId="0" fontId="0" numFmtId="0" xfId="0" applyAlignment="1" applyFont="1">
      <alignment readingOrder="0" shrinkToFit="0" vertical="bottom" wrapText="0"/>
    </xf>
    <xf borderId="0" fillId="2" fontId="1" numFmtId="0" xfId="0" applyAlignment="1" applyFill="1" applyFont="1">
      <alignment shrinkToFit="0" vertical="bottom" wrapText="1"/>
    </xf>
    <xf borderId="0" fillId="2" fontId="2" numFmtId="0" xfId="0" applyAlignment="1" applyFill="1" applyFont="1">
      <alignment vertical="bottom"/>
    </xf>
    <xf borderId="1" fillId="2" fontId="3" numFmtId="164" xfId="0" applyAlignment="1" applyBorder="1" applyFill="1" applyFont="1" applyNumberFormat="1">
      <alignment horizontal="left" shrinkToFit="0" vertical="center" wrapText="1"/>
    </xf>
    <xf borderId="1" fillId="2" fontId="4" numFmtId="164" xfId="0" applyAlignment="1" applyBorder="1" applyFill="1" applyFont="1" applyNumberFormat="1">
      <alignment horizontal="left" vertical="center"/>
    </xf>
    <xf borderId="0" fillId="2" fontId="3" numFmtId="165" xfId="0" applyAlignment="1" applyFill="1" applyFont="1" applyNumberFormat="1">
      <alignment horizontal="center" shrinkToFit="0" vertical="center" wrapText="1"/>
    </xf>
    <xf borderId="0" fillId="2" fontId="4" numFmtId="164" xfId="0" applyAlignment="1" applyFill="1" applyFont="1" applyNumberFormat="1">
      <alignment horizontal="center" vertical="center"/>
    </xf>
    <xf borderId="0" fillId="2" fontId="4" numFmtId="165" xfId="0" applyAlignment="1" applyFill="1" applyFont="1" applyNumberFormat="1">
      <alignment horizontal="center" vertical="center"/>
    </xf>
    <xf borderId="0" fillId="2" fontId="4" numFmtId="3" xfId="0" applyAlignment="1" applyFill="1" applyFont="1" applyNumberFormat="1">
      <alignment horizontal="center" vertical="center"/>
    </xf>
    <xf borderId="0" fillId="2" fontId="3" numFmtId="164" xfId="0" applyAlignment="1" applyFill="1" applyFont="1" applyNumberFormat="1">
      <alignment horizontal="center" shrinkToFit="0" vertical="center" wrapText="1"/>
    </xf>
    <xf borderId="0" fillId="2" fontId="4" numFmtId="164" xfId="0" applyAlignment="1" applyFill="1" applyFont="1" applyNumberFormat="1">
      <alignment horizontal="center" shrinkToFit="0" vertical="center" wrapText="1"/>
    </xf>
    <xf borderId="0" fillId="2" fontId="4" numFmtId="164" xfId="0" applyAlignment="1" applyFill="1" applyFont="1" applyNumberFormat="1">
      <alignment horizontal="left" vertical="center"/>
    </xf>
    <xf borderId="0" fillId="2" fontId="4" numFmtId="0" xfId="0" applyAlignment="1" applyFill="1" applyFont="1">
      <alignment horizontal="left" vertical="center"/>
    </xf>
    <xf borderId="0" fillId="2" fontId="4" numFmtId="164" xfId="0" applyAlignment="1" applyFill="1" applyFont="1" applyNumberFormat="1">
      <alignment horizontal="left" shrinkToFit="0" vertical="center" wrapText="1"/>
    </xf>
    <xf borderId="0" fillId="2" fontId="4" numFmtId="0" xfId="0" applyAlignment="1" applyFill="1" applyFont="1">
      <alignment horizontal="center" vertical="center"/>
    </xf>
    <xf borderId="2" fillId="0" fontId="5" numFmtId="166" xfId="0" applyAlignment="1" applyBorder="1" applyFont="1" applyNumberFormat="1">
      <alignment horizontal="center" shrinkToFit="0" vertical="center" wrapText="1"/>
    </xf>
    <xf borderId="0" fillId="0" fontId="5" numFmtId="166" xfId="0" applyAlignment="1" applyFont="1" applyNumberFormat="1">
      <alignment horizontal="center" shrinkToFit="0" vertical="center" wrapText="1"/>
    </xf>
    <xf borderId="0" fillId="2" fontId="3" numFmtId="164" xfId="0" applyAlignment="1" applyFill="1" applyFont="1" applyNumberFormat="1">
      <alignment horizontal="left" shrinkToFit="0" vertical="center" wrapText="1"/>
    </xf>
    <xf borderId="3" fillId="0" fontId="6" numFmtId="0" xfId="0" applyAlignment="1" applyBorder="1" applyFont="1">
      <alignment horizontal="center" readingOrder="0" shrinkToFit="0" vertical="center" wrapText="1"/>
    </xf>
    <xf borderId="0" fillId="2" fontId="3" numFmtId="0" xfId="0" applyAlignment="1" applyFill="1" applyFont="1">
      <alignment horizontal="center" shrinkToFit="0" vertical="center" wrapText="1"/>
    </xf>
    <xf borderId="3" fillId="0" fontId="6" numFmtId="165" xfId="0" applyAlignment="1" applyBorder="1" applyFont="1" applyNumberFormat="1">
      <alignment horizontal="center" readingOrder="0" shrinkToFit="0" vertical="center" wrapText="1"/>
    </xf>
    <xf borderId="0" fillId="2" fontId="3" numFmtId="0" xfId="0" applyAlignment="1" applyFill="1" applyFont="1">
      <alignment horizontal="left" shrinkToFit="0" vertical="center" wrapText="1"/>
    </xf>
    <xf borderId="4" fillId="0" fontId="6" numFmtId="0" xfId="0" applyAlignment="1" applyBorder="1" applyFont="1">
      <alignment horizontal="center" readingOrder="0" shrinkToFit="0" vertical="center" wrapText="1"/>
    </xf>
    <xf borderId="4" fillId="0" fontId="7" numFmtId="0" xfId="0" applyAlignment="1" applyBorder="1" applyFont="1">
      <alignment horizontal="center" readingOrder="0" shrinkToFit="0" vertical="center" wrapText="1"/>
    </xf>
    <xf borderId="5" fillId="0" fontId="6" numFmtId="165" xfId="0" applyAlignment="1" applyBorder="1" applyFont="1" applyNumberFormat="1">
      <alignment horizontal="center" readingOrder="0" shrinkToFit="0" vertical="center" wrapText="1"/>
    </xf>
    <xf borderId="6" fillId="0" fontId="7" numFmtId="0" xfId="0" applyAlignment="1" applyBorder="1" applyFont="1">
      <alignment horizontal="center" readingOrder="0" shrinkToFit="0" vertical="center" wrapText="1"/>
    </xf>
    <xf borderId="5" fillId="0" fontId="7" numFmtId="165" xfId="0" applyAlignment="1" applyBorder="1" applyFont="1" applyNumberFormat="1">
      <alignment horizontal="center" readingOrder="0" shrinkToFit="0" vertical="center" wrapText="1"/>
    </xf>
    <xf borderId="3" fillId="0" fontId="6" numFmtId="3" xfId="0" applyAlignment="1" applyBorder="1" applyFont="1" applyNumberFormat="1">
      <alignment horizontal="center" readingOrder="0" shrinkToFit="0" vertical="center" wrapText="1"/>
    </xf>
    <xf borderId="5" fillId="0" fontId="6" numFmtId="0" xfId="0" applyAlignment="1" applyBorder="1" applyFont="1">
      <alignment horizontal="center" readingOrder="0" shrinkToFit="0" vertical="center" wrapText="1"/>
    </xf>
    <xf borderId="2" fillId="0" fontId="6" numFmtId="165" xfId="0" applyAlignment="1" applyBorder="1" applyFont="1" applyNumberFormat="1">
      <alignment horizontal="center" readingOrder="0" shrinkToFit="0" vertical="center" wrapText="1"/>
    </xf>
    <xf borderId="5" fillId="0" fontId="7" numFmtId="0" xfId="0" applyAlignment="1" applyBorder="1" applyFont="1">
      <alignment horizontal="center" readingOrder="0" shrinkToFit="0" vertical="center" wrapText="1"/>
    </xf>
    <xf borderId="4" fillId="0" fontId="6" numFmtId="165" xfId="0" applyAlignment="1" applyBorder="1" applyFont="1" applyNumberFormat="1">
      <alignment horizontal="center" readingOrder="0" shrinkToFit="0" vertical="center" wrapText="1"/>
    </xf>
    <xf borderId="2" fillId="0" fontId="8" numFmtId="0" xfId="0" applyBorder="1" applyFont="1"/>
    <xf borderId="7" fillId="0" fontId="6" numFmtId="165" xfId="0" applyAlignment="1" applyBorder="1" applyFont="1" applyNumberFormat="1">
      <alignment horizontal="center" readingOrder="0" shrinkToFit="0" vertical="center" wrapText="1"/>
    </xf>
    <xf borderId="2" fillId="0" fontId="5" numFmtId="0" xfId="0" applyAlignment="1" applyBorder="1" applyFont="1">
      <alignment shrinkToFit="0" vertical="center" wrapText="1"/>
    </xf>
    <xf borderId="8" fillId="0" fontId="6" numFmtId="165" xfId="0" applyAlignment="1" applyBorder="1" applyFont="1" applyNumberFormat="1">
      <alignment horizontal="center" readingOrder="0" shrinkToFit="0" vertical="center" wrapText="1"/>
    </xf>
    <xf borderId="2" fillId="0" fontId="5" numFmtId="0" xfId="0" applyAlignment="1" applyBorder="1" applyFont="1">
      <alignment horizontal="center" readingOrder="0" shrinkToFit="0" textRotation="0" vertical="center" wrapText="1"/>
    </xf>
    <xf borderId="9" fillId="0" fontId="7" numFmtId="0" xfId="0" applyAlignment="1" applyBorder="1" applyFont="1">
      <alignment horizontal="center" readingOrder="0" shrinkToFit="0" vertical="center" wrapText="1"/>
    </xf>
    <xf borderId="2" fillId="0" fontId="5" numFmtId="0" xfId="0" applyAlignment="1" applyBorder="1" applyFont="1">
      <alignment horizontal="center" readingOrder="0" vertical="center"/>
    </xf>
    <xf borderId="10" fillId="0" fontId="7" numFmtId="0" xfId="0" applyAlignment="1" applyBorder="1" applyFont="1">
      <alignment horizontal="center" readingOrder="0" shrinkToFit="0" vertical="center" wrapText="1"/>
    </xf>
    <xf borderId="0" fillId="3" fontId="5" numFmtId="0" xfId="0" applyAlignment="1" applyFill="1" applyFont="1">
      <alignment shrinkToFit="0" vertical="center" wrapText="1"/>
    </xf>
    <xf borderId="9" fillId="0" fontId="6" numFmtId="0" xfId="0" applyAlignment="1" applyBorder="1" applyFont="1">
      <alignment horizontal="center" readingOrder="0" shrinkToFit="0" vertical="center" wrapText="1"/>
    </xf>
    <xf borderId="2" fillId="0" fontId="5" numFmtId="3" xfId="0" applyAlignment="1" applyBorder="1" applyFont="1" applyNumberFormat="1">
      <alignment horizontal="center" readingOrder="0" shrinkToFit="0" vertical="center" wrapText="1"/>
    </xf>
    <xf borderId="2" fillId="0" fontId="5" numFmtId="165" xfId="0" applyAlignment="1" applyBorder="1" applyFont="1" applyNumberFormat="1">
      <alignment horizontal="center" readingOrder="0" shrinkToFit="0" vertical="center" wrapText="1"/>
    </xf>
    <xf borderId="11" fillId="0" fontId="7" numFmtId="0" xfId="0" applyAlignment="1" applyBorder="1" applyFont="1">
      <alignment horizontal="center" readingOrder="0" shrinkToFit="0" vertical="center" wrapText="1"/>
    </xf>
    <xf borderId="1" fillId="3" fontId="5" numFmtId="0" xfId="0" applyAlignment="1" applyBorder="1" applyFill="1" applyFont="1">
      <alignment horizontal="center" readingOrder="0" shrinkToFit="0" textRotation="0" vertical="center" wrapText="1"/>
    </xf>
    <xf borderId="2" fillId="0" fontId="5"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5" numFmtId="0" xfId="0" applyAlignment="1" applyFont="1">
      <alignment shrinkToFit="0" vertical="center" wrapText="1"/>
    </xf>
    <xf borderId="1" fillId="0" fontId="5" numFmtId="0" xfId="0" applyAlignment="1" applyBorder="1" applyFont="1">
      <alignment horizontal="center" readingOrder="0" shrinkToFit="0" textRotation="0" vertical="center" wrapText="1"/>
    </xf>
    <xf borderId="2" fillId="0" fontId="5" numFmtId="0" xfId="0" applyAlignment="1" applyBorder="1" applyFont="1">
      <alignment horizontal="center" readingOrder="0" shrinkToFit="0" vertical="center" wrapText="1"/>
    </xf>
    <xf borderId="12" fillId="0" fontId="5" numFmtId="0" xfId="0" applyAlignment="1" applyBorder="1" applyFont="1">
      <alignment horizontal="center" readingOrder="0" shrinkToFit="0" vertical="center" wrapText="1"/>
    </xf>
    <xf borderId="0" fillId="3" fontId="5" numFmtId="49" xfId="0" applyAlignment="1" applyFill="1" applyFont="1" applyNumberFormat="1">
      <alignment horizontal="center" readingOrder="0" shrinkToFit="0" vertical="center" wrapText="1"/>
    </xf>
    <xf borderId="13" fillId="0" fontId="5" numFmtId="165" xfId="0" applyAlignment="1" applyBorder="1" applyFont="1" applyNumberFormat="1">
      <alignment horizontal="center" readingOrder="0" shrinkToFit="0" vertical="center" wrapText="1"/>
    </xf>
    <xf borderId="2" fillId="0" fontId="5" numFmtId="0" xfId="0" applyAlignment="1" applyBorder="1" applyFont="1">
      <alignment horizontal="left" readingOrder="0" shrinkToFit="0" vertical="center" wrapText="1"/>
    </xf>
    <xf borderId="13" fillId="0" fontId="5" numFmtId="0" xfId="0" applyAlignment="1" applyBorder="1" applyFont="1">
      <alignment horizontal="center" readingOrder="0" shrinkToFit="0" vertical="center" wrapText="1"/>
    </xf>
    <xf borderId="2" fillId="3" fontId="5" numFmtId="0" xfId="0" applyAlignment="1" applyBorder="1" applyFill="1" applyFont="1">
      <alignment horizontal="center" readingOrder="0" vertical="center"/>
    </xf>
    <xf borderId="13" fillId="0" fontId="5" numFmtId="0" xfId="0" applyAlignment="1" applyBorder="1" applyFont="1">
      <alignment horizontal="left" readingOrder="0" shrinkToFit="0" vertical="center" wrapText="1"/>
    </xf>
    <xf borderId="2" fillId="3" fontId="5" numFmtId="165" xfId="0" applyAlignment="1" applyBorder="1" applyFill="1" applyFont="1" applyNumberFormat="1">
      <alignment horizontal="center" readingOrder="0" shrinkToFit="0" vertical="center" wrapText="1"/>
    </xf>
    <xf borderId="13" fillId="0" fontId="5" numFmtId="3" xfId="0" applyAlignment="1" applyBorder="1" applyFont="1" applyNumberFormat="1">
      <alignment horizontal="center" readingOrder="0" shrinkToFit="0" vertical="center" wrapText="1"/>
    </xf>
    <xf borderId="13" fillId="0" fontId="5" numFmtId="165" xfId="0" applyAlignment="1" applyBorder="1" applyFont="1" applyNumberFormat="1">
      <alignment horizontal="right" readingOrder="0" shrinkToFit="0" vertical="center" wrapText="1"/>
    </xf>
    <xf borderId="2" fillId="3" fontId="5" numFmtId="0" xfId="0" applyAlignment="1" applyBorder="1" applyFill="1" applyFont="1">
      <alignment horizontal="center" readingOrder="0" shrinkToFit="0" vertical="center" wrapText="1"/>
    </xf>
    <xf borderId="13" fillId="0" fontId="5" numFmtId="165" xfId="0" applyAlignment="1" applyBorder="1" applyFont="1" applyNumberFormat="1">
      <alignment horizontal="right" readingOrder="0" shrinkToFit="0" vertical="center" wrapText="1"/>
    </xf>
    <xf borderId="13" fillId="0" fontId="5" numFmtId="165" xfId="0" applyAlignment="1" applyBorder="1" applyFont="1" applyNumberFormat="1">
      <alignment horizontal="center" readingOrder="0" shrinkToFit="0" vertical="center" wrapText="1"/>
    </xf>
    <xf borderId="14" fillId="3" fontId="9" numFmtId="0" xfId="0" applyAlignment="1" applyBorder="1" applyFill="1" applyFont="1">
      <alignment horizontal="center" readingOrder="0" shrinkToFit="0" vertical="center" wrapText="1"/>
    </xf>
    <xf borderId="15" fillId="3" fontId="5" numFmtId="0" xfId="0" applyAlignment="1" applyBorder="1" applyFill="1" applyFont="1">
      <alignment horizontal="center" readingOrder="0" shrinkToFit="0" vertical="center" wrapText="1"/>
    </xf>
    <xf borderId="15" fillId="3" fontId="5" numFmtId="0" xfId="0" applyAlignment="1" applyBorder="1" applyFill="1" applyFont="1">
      <alignment horizontal="left" readingOrder="0" shrinkToFit="0" vertical="center" wrapText="1"/>
    </xf>
    <xf borderId="15" fillId="3" fontId="5" numFmtId="0" xfId="0" applyAlignment="1" applyBorder="1" applyFill="1" applyFont="1">
      <alignment horizontal="left" shrinkToFit="0" vertical="center" wrapText="1"/>
    </xf>
    <xf borderId="0" fillId="3" fontId="5" numFmtId="0" xfId="0" applyAlignment="1" applyFill="1" applyFont="1">
      <alignment horizontal="left" readingOrder="0" shrinkToFit="0" vertical="center" wrapText="1"/>
    </xf>
    <xf borderId="0" fillId="4" fontId="5" numFmtId="0" xfId="0" applyAlignment="1" applyFill="1" applyFont="1">
      <alignment vertical="center"/>
    </xf>
    <xf borderId="1" fillId="4" fontId="9" numFmtId="0" xfId="0" applyAlignment="1" applyBorder="1" applyFill="1" applyFont="1">
      <alignment horizontal="center" readingOrder="0" shrinkToFit="0" vertical="center" wrapText="1"/>
    </xf>
    <xf borderId="2" fillId="4" fontId="5" numFmtId="0" xfId="0" applyAlignment="1" applyBorder="1" applyFill="1" applyFont="1">
      <alignment horizontal="center" readingOrder="0" shrinkToFit="0" vertical="center" wrapText="1"/>
    </xf>
    <xf borderId="2" fillId="4" fontId="5" numFmtId="0" xfId="0" applyAlignment="1" applyBorder="1" applyFill="1" applyFont="1">
      <alignment horizontal="center" readingOrder="0" vertical="center"/>
    </xf>
    <xf borderId="2" fillId="4" fontId="5" numFmtId="165" xfId="0" applyAlignment="1" applyBorder="1" applyFill="1" applyFont="1" applyNumberFormat="1">
      <alignment horizontal="center" readingOrder="0" shrinkToFit="0" vertical="center" wrapText="1"/>
    </xf>
    <xf borderId="2" fillId="4" fontId="9" numFmtId="165" xfId="0" applyAlignment="1" applyBorder="1" applyFill="1" applyFont="1" applyNumberFormat="1">
      <alignment horizontal="center" readingOrder="0" vertical="center"/>
    </xf>
    <xf borderId="14" fillId="4" fontId="9" numFmtId="0" xfId="0" applyAlignment="1" applyBorder="1" applyFill="1" applyFont="1">
      <alignment horizontal="center" readingOrder="0" shrinkToFit="0" vertical="center" wrapText="1"/>
    </xf>
    <xf borderId="13" fillId="0" fontId="5" numFmtId="10" xfId="0" applyAlignment="1" applyBorder="1" applyFont="1" applyNumberFormat="1">
      <alignment horizontal="left" readingOrder="0" shrinkToFit="0" vertical="center" wrapText="1"/>
    </xf>
    <xf borderId="15" fillId="4" fontId="5" numFmtId="0" xfId="0" applyAlignment="1" applyBorder="1" applyFill="1" applyFont="1">
      <alignment horizontal="left" vertical="center"/>
    </xf>
    <xf borderId="15" fillId="4" fontId="5" numFmtId="0" xfId="0" applyAlignment="1" applyBorder="1" applyFill="1" applyFont="1">
      <alignment horizontal="left" readingOrder="0" vertical="center"/>
    </xf>
    <xf borderId="15" fillId="0" fontId="5" numFmtId="0" xfId="0" applyAlignment="1" applyBorder="1" applyFont="1">
      <alignment horizontal="left" readingOrder="0" shrinkToFit="0" vertical="center" wrapText="1"/>
    </xf>
    <xf borderId="0" fillId="4" fontId="5" numFmtId="0" xfId="0" applyAlignment="1" applyFill="1" applyFont="1">
      <alignment horizontal="left" vertical="center"/>
    </xf>
    <xf borderId="0" fillId="3" fontId="5" numFmtId="0" xfId="0" applyAlignment="1" applyFill="1" applyFont="1">
      <alignment vertical="center"/>
    </xf>
    <xf borderId="1" fillId="3" fontId="9" numFmtId="0" xfId="0" applyAlignment="1" applyBorder="1" applyFill="1" applyFont="1">
      <alignment horizontal="center" readingOrder="0" shrinkToFit="0" vertical="center" wrapText="1"/>
    </xf>
    <xf borderId="2" fillId="5" fontId="5" numFmtId="165" xfId="0" applyAlignment="1" applyBorder="1" applyFill="1" applyFont="1" applyNumberFormat="1">
      <alignment horizontal="center" readingOrder="0" shrinkToFit="0" vertical="center" wrapText="1"/>
    </xf>
    <xf borderId="2" fillId="6" fontId="5" numFmtId="165" xfId="0" applyAlignment="1" applyBorder="1" applyFill="1" applyFont="1" applyNumberFormat="1">
      <alignment horizontal="center" readingOrder="0" shrinkToFit="0" vertical="center" wrapText="1"/>
    </xf>
    <xf borderId="13" fillId="4" fontId="5" numFmtId="3" xfId="0" applyAlignment="1" applyBorder="1" applyFill="1" applyFont="1" applyNumberFormat="1">
      <alignment horizontal="center" readingOrder="0" shrinkToFit="0" vertical="center" wrapText="1"/>
    </xf>
    <xf borderId="15" fillId="0" fontId="5" numFmtId="0" xfId="0" applyAlignment="1" applyBorder="1" applyFont="1">
      <alignment horizontal="center" readingOrder="0" vertical="center"/>
    </xf>
    <xf borderId="2" fillId="0" fontId="5" numFmtId="0" xfId="0" applyAlignment="1" applyBorder="1" applyFont="1">
      <alignment horizontal="left" shrinkToFit="0" vertical="center" wrapText="1"/>
    </xf>
    <xf borderId="15" fillId="3" fontId="5" numFmtId="3" xfId="0" applyAlignment="1" applyBorder="1" applyFill="1" applyFont="1" applyNumberFormat="1">
      <alignment horizontal="left" readingOrder="0" vertical="center"/>
    </xf>
    <xf borderId="15" fillId="0" fontId="5" numFmtId="165" xfId="0" applyAlignment="1" applyBorder="1" applyFont="1" applyNumberFormat="1">
      <alignment horizontal="center" readingOrder="0" shrinkToFit="0" vertical="center" wrapText="1"/>
    </xf>
    <xf borderId="15" fillId="3" fontId="5" numFmtId="0" xfId="0" applyAlignment="1" applyBorder="1" applyFill="1" applyFont="1">
      <alignment horizontal="left" readingOrder="0" vertical="center"/>
    </xf>
    <xf borderId="2" fillId="0" fontId="5" numFmtId="0" xfId="0" applyAlignment="1" applyBorder="1" applyFont="1">
      <alignment vertical="center"/>
    </xf>
    <xf borderId="12" fillId="0" fontId="9" numFmtId="0" xfId="0" applyAlignment="1" applyBorder="1" applyFont="1">
      <alignment horizontal="center" readingOrder="0" shrinkToFit="0" vertical="center" wrapText="1"/>
    </xf>
    <xf borderId="15" fillId="0" fontId="5" numFmtId="0" xfId="0" applyAlignment="1" applyBorder="1" applyFont="1">
      <alignment horizontal="center" readingOrder="0" shrinkToFit="0" vertical="center" wrapText="1"/>
    </xf>
    <xf borderId="15" fillId="3" fontId="5" numFmtId="0" xfId="0" applyAlignment="1" applyBorder="1" applyFill="1" applyFont="1">
      <alignment horizontal="left" vertical="center"/>
    </xf>
    <xf borderId="13" fillId="0" fontId="5" numFmtId="0" xfId="0" applyAlignment="1" applyBorder="1" applyFont="1">
      <alignment horizontal="left" readingOrder="0" shrinkToFit="0" vertical="center" wrapText="1"/>
    </xf>
    <xf borderId="15" fillId="0" fontId="5" numFmtId="3" xfId="0" applyAlignment="1" applyBorder="1" applyFont="1" applyNumberFormat="1">
      <alignment horizontal="center" readingOrder="0" shrinkToFit="0" vertical="center" wrapText="1"/>
    </xf>
    <xf borderId="15" fillId="0" fontId="5" numFmtId="165" xfId="0" applyAlignment="1" applyBorder="1" applyFont="1" applyNumberFormat="1">
      <alignment horizontal="right" readingOrder="0" shrinkToFit="0" vertical="center" wrapText="1"/>
    </xf>
    <xf borderId="15" fillId="0" fontId="5" numFmtId="165" xfId="0" applyAlignment="1" applyBorder="1" applyFont="1" applyNumberFormat="1">
      <alignment horizontal="right" readingOrder="0" shrinkToFit="0" vertical="center" wrapText="1"/>
    </xf>
    <xf borderId="15" fillId="3" fontId="10" numFmtId="0" xfId="0" applyAlignment="1" applyBorder="1" applyFill="1" applyFont="1">
      <alignment horizontal="left" readingOrder="0" vertical="center"/>
    </xf>
    <xf borderId="2" fillId="0" fontId="9" numFmtId="0" xfId="0" applyAlignment="1" applyBorder="1" applyFont="1">
      <alignment horizontal="center" readingOrder="0" shrinkToFit="0" vertical="center" wrapText="1"/>
    </xf>
    <xf borderId="0" fillId="3" fontId="10" numFmtId="0" xfId="0" applyAlignment="1" applyFill="1" applyFont="1">
      <alignment horizontal="left" readingOrder="0" vertical="center"/>
    </xf>
    <xf borderId="2" fillId="0" fontId="5" numFmtId="165" xfId="0" applyAlignment="1" applyBorder="1" applyFont="1" applyNumberFormat="1">
      <alignment horizontal="center" readingOrder="0" shrinkToFit="0" vertical="center" wrapText="1"/>
    </xf>
    <xf borderId="2" fillId="4" fontId="5" numFmtId="49" xfId="0" applyAlignment="1" applyBorder="1" applyFill="1" applyFont="1" applyNumberFormat="1">
      <alignment horizontal="center" readingOrder="0" shrinkToFit="0" vertical="center" wrapText="1"/>
    </xf>
    <xf borderId="15" fillId="0" fontId="5" numFmtId="10" xfId="0" applyAlignment="1" applyBorder="1" applyFont="1" applyNumberFormat="1">
      <alignment horizontal="center" readingOrder="0" shrinkToFit="0" vertical="center" wrapText="1"/>
    </xf>
    <xf borderId="15" fillId="0" fontId="5" numFmtId="165" xfId="0" applyAlignment="1" applyBorder="1" applyFont="1" applyNumberFormat="1">
      <alignment horizontal="center" readingOrder="0" shrinkToFit="0" vertical="center" wrapText="1"/>
    </xf>
    <xf borderId="2" fillId="0" fontId="5" numFmtId="0" xfId="0" applyAlignment="1" applyBorder="1" applyFont="1">
      <alignment horizontal="center" vertical="center"/>
    </xf>
    <xf borderId="2" fillId="0" fontId="5" numFmtId="0" xfId="0" applyAlignment="1" applyBorder="1" applyFont="1">
      <alignment horizontal="left" vertical="center"/>
    </xf>
    <xf borderId="2" fillId="0" fontId="5" numFmtId="3" xfId="0" applyAlignment="1" applyBorder="1" applyFont="1" applyNumberFormat="1">
      <alignment horizontal="left" readingOrder="0" vertical="center"/>
    </xf>
    <xf borderId="2" fillId="0" fontId="5" numFmtId="0" xfId="0" applyAlignment="1" applyBorder="1" applyFont="1">
      <alignment horizontal="left" readingOrder="0" vertical="center"/>
    </xf>
    <xf borderId="2" fillId="0" fontId="5" numFmtId="0" xfId="0" applyAlignment="1" applyBorder="1" applyFont="1">
      <alignment horizontal="left" vertical="center"/>
    </xf>
    <xf borderId="2" fillId="0" fontId="10" numFmtId="0" xfId="0" applyAlignment="1" applyBorder="1" applyFont="1">
      <alignment horizontal="left" readingOrder="0" vertical="center"/>
    </xf>
    <xf borderId="0" fillId="3" fontId="5" numFmtId="0" xfId="0" applyAlignment="1" applyFill="1" applyFont="1">
      <alignment horizontal="left" vertical="center"/>
    </xf>
    <xf borderId="13" fillId="0" fontId="5" numFmtId="49" xfId="0" applyAlignment="1" applyBorder="1" applyFont="1" applyNumberFormat="1">
      <alignment horizontal="center" readingOrder="0" shrinkToFit="0" vertical="center" wrapText="1"/>
    </xf>
    <xf borderId="2" fillId="0" fontId="11" numFmtId="49" xfId="0" applyAlignment="1" applyBorder="1" applyFont="1" applyNumberFormat="1">
      <alignment horizontal="center" readingOrder="0" shrinkToFit="0" vertical="center" wrapText="1"/>
    </xf>
    <xf borderId="2" fillId="0" fontId="12" numFmtId="165" xfId="0" applyAlignment="1" applyBorder="1" applyFont="1" applyNumberFormat="1">
      <alignment horizontal="center" readingOrder="0" shrinkToFit="0" vertical="center" wrapText="1"/>
    </xf>
    <xf borderId="2" fillId="0" fontId="5" numFmtId="167" xfId="0" applyAlignment="1" applyBorder="1" applyFont="1" applyNumberFormat="1">
      <alignment horizontal="center" vertical="center"/>
    </xf>
    <xf borderId="0" fillId="0" fontId="5" numFmtId="3" xfId="0" applyAlignment="1" applyFont="1" applyNumberFormat="1">
      <alignment horizontal="center" readingOrder="0" shrinkToFit="0" vertical="center" wrapText="1"/>
    </xf>
    <xf borderId="2" fillId="4" fontId="13" numFmtId="165" xfId="0" applyAlignment="1" applyBorder="1" applyFill="1" applyFont="1" applyNumberFormat="1">
      <alignment horizontal="center" readingOrder="0" shrinkToFit="0" vertical="center" wrapText="1"/>
    </xf>
    <xf borderId="0" fillId="0" fontId="5" numFmtId="0" xfId="0" applyAlignment="1" applyFont="1">
      <alignment readingOrder="0" shrinkToFit="0" vertical="center" wrapText="1"/>
    </xf>
    <xf borderId="2" fillId="0" fontId="5" numFmtId="167" xfId="0" applyAlignment="1" applyBorder="1" applyFont="1" applyNumberFormat="1">
      <alignment horizontal="left" vertical="center"/>
    </xf>
    <xf borderId="0" fillId="0" fontId="5" numFmtId="0" xfId="0" applyAlignment="1" applyFont="1">
      <alignment horizontal="center" readingOrder="0" shrinkToFit="0" vertical="center" wrapText="1"/>
    </xf>
    <xf borderId="15" fillId="4" fontId="5" numFmtId="167" xfId="0" applyAlignment="1" applyBorder="1" applyFill="1" applyFont="1" applyNumberFormat="1">
      <alignment horizontal="left" vertical="center"/>
    </xf>
    <xf borderId="0" fillId="0" fontId="5" numFmtId="0" xfId="0" applyAlignment="1" applyFont="1">
      <alignment vertical="center"/>
    </xf>
    <xf borderId="0" fillId="0" fontId="9" numFmtId="165" xfId="0" applyAlignment="1" applyFont="1" applyNumberFormat="1">
      <alignment horizontal="right" readingOrder="0" shrinkToFit="0" vertical="center" wrapText="0"/>
    </xf>
    <xf borderId="1" fillId="0" fontId="5" numFmtId="0" xfId="0" applyAlignment="1" applyBorder="1" applyFont="1">
      <alignment horizontal="center" readingOrder="0" vertical="center"/>
    </xf>
    <xf borderId="0" fillId="4" fontId="5" numFmtId="0" xfId="0" applyAlignment="1" applyFill="1" applyFont="1">
      <alignment horizontal="left" readingOrder="0" vertical="center"/>
    </xf>
    <xf borderId="2" fillId="0" fontId="5" numFmtId="3" xfId="0" applyAlignment="1" applyBorder="1" applyFont="1" applyNumberFormat="1">
      <alignment horizontal="center" vertical="center"/>
    </xf>
    <xf borderId="2" fillId="3" fontId="5" numFmtId="49" xfId="0" applyAlignment="1" applyBorder="1" applyFill="1" applyFont="1" applyNumberFormat="1">
      <alignment horizontal="center" readingOrder="0" shrinkToFit="0" vertical="center" wrapText="1"/>
    </xf>
    <xf borderId="2" fillId="0" fontId="5" numFmtId="3" xfId="0" applyAlignment="1" applyBorder="1" applyFont="1" applyNumberFormat="1">
      <alignment horizontal="center" readingOrder="0" vertical="center"/>
    </xf>
    <xf borderId="0" fillId="3" fontId="5" numFmtId="165" xfId="0" applyAlignment="1" applyFill="1" applyFont="1" applyNumberFormat="1">
      <alignment horizontal="center" readingOrder="0" shrinkToFit="0" vertical="center" wrapText="1"/>
    </xf>
    <xf borderId="2" fillId="0" fontId="5" numFmtId="164" xfId="0" applyAlignment="1" applyBorder="1" applyFont="1" applyNumberFormat="1">
      <alignment horizontal="center" vertical="center"/>
    </xf>
    <xf borderId="2" fillId="3" fontId="13" numFmtId="165" xfId="0" applyAlignment="1" applyBorder="1" applyFill="1" applyFont="1" applyNumberFormat="1">
      <alignment horizontal="center" readingOrder="0" vertical="center"/>
    </xf>
    <xf borderId="2" fillId="0" fontId="5" numFmtId="164" xfId="0" applyAlignment="1" applyBorder="1" applyFont="1" applyNumberFormat="1">
      <alignment horizontal="left" vertical="center"/>
    </xf>
    <xf borderId="15" fillId="0" fontId="5" numFmtId="165" xfId="0" applyAlignment="1" applyBorder="1" applyFont="1" applyNumberFormat="1">
      <alignment horizontal="right" readingOrder="0" vertical="center"/>
    </xf>
    <xf borderId="2" fillId="0" fontId="5" numFmtId="165" xfId="0" applyAlignment="1" applyBorder="1" applyFont="1" applyNumberFormat="1">
      <alignment horizontal="center" readingOrder="0" vertical="center"/>
    </xf>
    <xf borderId="2" fillId="0" fontId="14" numFmtId="0" xfId="0" applyAlignment="1" applyBorder="1" applyFont="1">
      <alignment horizontal="center" readingOrder="0" vertical="center"/>
    </xf>
    <xf borderId="14" fillId="0" fontId="5" numFmtId="0" xfId="0" applyAlignment="1" applyBorder="1" applyFont="1">
      <alignment vertical="center"/>
    </xf>
    <xf borderId="0" fillId="0" fontId="9" numFmtId="0" xfId="0" applyAlignment="1" applyFont="1">
      <alignment horizontal="center" readingOrder="0" shrinkToFit="0" vertical="center" wrapText="1"/>
    </xf>
    <xf borderId="0" fillId="0" fontId="5" numFmtId="0" xfId="0" applyAlignment="1" applyFont="1">
      <alignment horizontal="center" readingOrder="0" vertical="center"/>
    </xf>
    <xf borderId="0" fillId="0" fontId="5" numFmtId="165" xfId="0" applyAlignment="1" applyFont="1" applyNumberFormat="1">
      <alignment horizontal="center" vertical="center"/>
    </xf>
    <xf borderId="0" fillId="0" fontId="5" numFmtId="3" xfId="0" applyAlignment="1" applyFont="1" applyNumberFormat="1">
      <alignment horizontal="center" vertical="center"/>
    </xf>
    <xf borderId="15" fillId="0" fontId="5" numFmtId="165" xfId="0" applyAlignment="1" applyBorder="1" applyFont="1" applyNumberFormat="1">
      <alignment horizontal="center" vertical="center"/>
    </xf>
    <xf borderId="15" fillId="0" fontId="5" numFmtId="164" xfId="0" applyAlignment="1" applyBorder="1" applyFont="1" applyNumberFormat="1">
      <alignment horizontal="center" shrinkToFit="0" vertical="center" wrapText="1"/>
    </xf>
    <xf borderId="15" fillId="0" fontId="5" numFmtId="164" xfId="0" applyAlignment="1" applyBorder="1" applyFont="1" applyNumberFormat="1">
      <alignment horizontal="center" vertical="center"/>
    </xf>
    <xf borderId="15" fillId="0" fontId="5" numFmtId="164" xfId="0" applyAlignment="1" applyBorder="1" applyFont="1" applyNumberFormat="1">
      <alignment horizontal="left" vertical="center"/>
    </xf>
    <xf borderId="15" fillId="0" fontId="5" numFmtId="0" xfId="0" applyAlignment="1" applyBorder="1" applyFont="1">
      <alignment horizontal="left" vertical="center"/>
    </xf>
    <xf borderId="16" fillId="0" fontId="5" numFmtId="0" xfId="0" applyAlignment="1" applyBorder="1" applyFont="1">
      <alignment horizontal="left" vertical="center"/>
    </xf>
    <xf borderId="15" fillId="3" fontId="5" numFmtId="164" xfId="0" applyAlignment="1" applyBorder="1" applyFill="1" applyFont="1" applyNumberFormat="1">
      <alignment horizontal="left" vertical="center"/>
    </xf>
    <xf borderId="15" fillId="0" fontId="5" numFmtId="0" xfId="0" applyAlignment="1" applyBorder="1" applyFont="1">
      <alignment horizontal="center" shrinkToFit="0" vertical="center" wrapText="1"/>
    </xf>
    <xf borderId="15" fillId="0" fontId="5" numFmtId="0" xfId="0" applyAlignment="1" applyBorder="1" applyFont="1">
      <alignment horizontal="center" vertical="center"/>
    </xf>
    <xf borderId="16" fillId="0" fontId="5" numFmtId="0" xfId="0" applyAlignment="1" applyBorder="1" applyFont="1">
      <alignment horizontal="left" readingOrder="0" vertical="center"/>
    </xf>
    <xf borderId="15" fillId="0" fontId="5" numFmtId="3" xfId="0" applyAlignment="1" applyBorder="1" applyFont="1" applyNumberFormat="1">
      <alignment horizontal="center" readingOrder="0" vertical="center"/>
    </xf>
    <xf borderId="0" fillId="0" fontId="5" numFmtId="165" xfId="0" applyAlignment="1" applyFont="1" applyNumberFormat="1">
      <alignment horizontal="center" readingOrder="0" vertical="center"/>
    </xf>
    <xf borderId="15" fillId="0" fontId="5" numFmtId="165" xfId="0" applyAlignment="1" applyBorder="1" applyFont="1" applyNumberFormat="1">
      <alignment horizontal="right" readingOrder="0" vertical="center"/>
    </xf>
    <xf borderId="0" fillId="0" fontId="5" numFmtId="0" xfId="0" applyAlignment="1" applyFont="1">
      <alignment horizontal="center" vertical="center"/>
    </xf>
    <xf borderId="2" fillId="4" fontId="5" numFmtId="165" xfId="0" applyAlignment="1" applyBorder="1" applyFill="1" applyFont="1" applyNumberFormat="1">
      <alignment horizontal="center" readingOrder="0" vertical="center"/>
    </xf>
    <xf borderId="15" fillId="0" fontId="5" numFmtId="0" xfId="0" applyAlignment="1" applyBorder="1" applyFont="1">
      <alignment horizontal="center" readingOrder="0" shrinkToFit="0" vertical="center" wrapText="1"/>
    </xf>
    <xf borderId="0" fillId="4" fontId="9" numFmtId="165" xfId="0" applyAlignment="1" applyFill="1" applyFont="1" applyNumberFormat="1">
      <alignment horizontal="center" readingOrder="0" shrinkToFit="0" vertical="center" wrapText="1"/>
    </xf>
    <xf borderId="15" fillId="0" fontId="10" numFmtId="0" xfId="0" applyAlignment="1" applyBorder="1" applyFont="1">
      <alignment horizontal="center" readingOrder="0" shrinkToFit="0" vertical="center" wrapText="1"/>
    </xf>
    <xf borderId="0" fillId="4" fontId="15" numFmtId="165" xfId="0" applyAlignment="1" applyFill="1" applyFont="1" applyNumberFormat="1">
      <alignment horizontal="center" readingOrder="0" vertical="center"/>
    </xf>
    <xf borderId="2" fillId="3" fontId="5" numFmtId="165" xfId="0" applyAlignment="1" applyBorder="1" applyFill="1" applyFont="1" applyNumberFormat="1">
      <alignment horizontal="center" readingOrder="0" vertical="center"/>
    </xf>
    <xf borderId="0" fillId="0" fontId="5" numFmtId="164" xfId="0" applyAlignment="1" applyFont="1" applyNumberFormat="1">
      <alignment horizontal="center" vertical="center"/>
    </xf>
    <xf borderId="1" fillId="0" fontId="5" numFmtId="0" xfId="0" applyAlignment="1" applyBorder="1" applyFont="1">
      <alignment horizontal="center" readingOrder="0" shrinkToFit="0" vertical="center" wrapText="1"/>
    </xf>
    <xf borderId="1" fillId="0" fontId="5" numFmtId="0" xfId="0" applyAlignment="1" applyBorder="1" applyFont="1">
      <alignment horizontal="center" vertical="center"/>
    </xf>
    <xf borderId="1" fillId="0" fontId="5" numFmtId="164" xfId="0" applyAlignment="1" applyBorder="1" applyFont="1" applyNumberFormat="1">
      <alignment horizontal="center" vertical="center"/>
    </xf>
    <xf borderId="2" fillId="3" fontId="5" numFmtId="3" xfId="0" applyAlignment="1" applyBorder="1" applyFill="1" applyFont="1" applyNumberFormat="1">
      <alignment horizontal="center" readingOrder="0" vertical="center"/>
    </xf>
    <xf borderId="0" fillId="0" fontId="16" numFmtId="0" xfId="0" applyAlignment="1" applyFont="1">
      <alignment horizontal="center"/>
    </xf>
    <xf borderId="0" fillId="3" fontId="15" numFmtId="165" xfId="0" applyAlignment="1" applyFill="1" applyFont="1" applyNumberFormat="1">
      <alignment horizontal="center" readingOrder="0" vertical="center"/>
    </xf>
    <xf borderId="1" fillId="0" fontId="5" numFmtId="0" xfId="0" applyAlignment="1" applyBorder="1" applyFont="1">
      <alignment horizontal="left" readingOrder="0" shrinkToFit="0" vertical="center" wrapText="0"/>
    </xf>
    <xf borderId="2" fillId="4" fontId="5" numFmtId="1" xfId="0" applyAlignment="1" applyBorder="1" applyFill="1" applyFont="1" applyNumberFormat="1">
      <alignment horizontal="center" readingOrder="0" vertical="center"/>
    </xf>
    <xf borderId="2" fillId="3" fontId="5" numFmtId="1" xfId="0" applyAlignment="1" applyBorder="1" applyFill="1" applyFont="1" applyNumberFormat="1">
      <alignment horizontal="center" readingOrder="0" vertical="center"/>
    </xf>
    <xf borderId="0" fillId="4" fontId="9" numFmtId="0" xfId="0" applyAlignment="1" applyFill="1" applyFont="1">
      <alignment horizontal="center" readingOrder="0" shrinkToFit="0" vertical="center" wrapText="1"/>
    </xf>
    <xf borderId="15" fillId="4" fontId="5" numFmtId="164" xfId="0" applyAlignment="1" applyBorder="1" applyFill="1" applyFont="1" applyNumberFormat="1">
      <alignment horizontal="left" vertical="center"/>
    </xf>
    <xf borderId="0" fillId="3" fontId="5" numFmtId="0" xfId="0" applyAlignment="1" applyFill="1" applyFont="1">
      <alignment horizontal="center" readingOrder="0" shrinkToFit="0" vertical="center" wrapText="1"/>
    </xf>
    <xf borderId="1" fillId="4" fontId="5" numFmtId="0" xfId="0" applyAlignment="1" applyBorder="1" applyFill="1" applyFont="1">
      <alignment horizontal="center" readingOrder="0" shrinkToFit="0" vertical="center" wrapText="1"/>
    </xf>
    <xf borderId="1" fillId="3" fontId="5" numFmtId="0" xfId="0" applyAlignment="1" applyBorder="1" applyFill="1" applyFont="1">
      <alignment horizontal="center" readingOrder="0" shrinkToFit="0" vertical="center" wrapText="1"/>
    </xf>
    <xf borderId="13" fillId="0" fontId="5" numFmtId="4" xfId="0" applyAlignment="1" applyBorder="1" applyFont="1" applyNumberFormat="1">
      <alignment horizontal="center" readingOrder="0" shrinkToFit="0" vertical="center" wrapText="1"/>
    </xf>
    <xf borderId="13" fillId="0" fontId="9" numFmtId="165" xfId="0" applyAlignment="1" applyBorder="1" applyFont="1" applyNumberFormat="1">
      <alignment horizontal="center" readingOrder="0" vertical="center"/>
    </xf>
    <xf borderId="0" fillId="3" fontId="5" numFmtId="0" xfId="0" applyAlignment="1" applyFill="1" applyFont="1">
      <alignment horizontal="left" readingOrder="0" vertical="center"/>
    </xf>
    <xf borderId="13" fillId="0" fontId="13" numFmtId="165" xfId="0" applyAlignment="1" applyBorder="1" applyFont="1" applyNumberFormat="1">
      <alignment horizontal="right" readingOrder="0" shrinkToFit="0" vertical="center" wrapText="1"/>
    </xf>
    <xf borderId="13" fillId="0" fontId="13" numFmtId="0" xfId="0" applyAlignment="1" applyBorder="1" applyFont="1">
      <alignment horizontal="center" readingOrder="0" shrinkToFit="0" vertical="center" wrapText="1"/>
    </xf>
    <xf borderId="15" fillId="0" fontId="5" numFmtId="164" xfId="0" applyAlignment="1" applyBorder="1" applyFont="1" applyNumberFormat="1">
      <alignment horizontal="left" shrinkToFit="0" vertical="center" wrapText="1"/>
    </xf>
    <xf borderId="13" fillId="0" fontId="13" numFmtId="165" xfId="0" applyAlignment="1" applyBorder="1" applyFont="1" applyNumberFormat="1">
      <alignment horizontal="center" readingOrder="0" vertical="center"/>
    </xf>
    <xf borderId="0" fillId="3" fontId="9" numFmtId="165" xfId="0" applyAlignment="1" applyFill="1" applyFont="1" applyNumberFormat="1">
      <alignment horizontal="center" readingOrder="0" vertical="center"/>
    </xf>
    <xf borderId="15" fillId="0" fontId="5" numFmtId="0" xfId="0" applyAlignment="1" applyBorder="1" applyFont="1">
      <alignment horizontal="left" readingOrder="0" vertical="center"/>
    </xf>
    <xf borderId="13" fillId="0" fontId="5" numFmtId="0" xfId="0" applyAlignment="1" applyBorder="1" applyFont="1">
      <alignment horizontal="center" readingOrder="0" shrinkToFit="0" vertical="center" wrapText="1"/>
    </xf>
    <xf borderId="0" fillId="0" fontId="5" numFmtId="0" xfId="0" applyAlignment="1" applyFont="1">
      <alignment horizontal="left" readingOrder="0" vertical="center"/>
    </xf>
    <xf borderId="13" fillId="0" fontId="5" numFmtId="3" xfId="0" applyAlignment="1" applyBorder="1" applyFont="1" applyNumberFormat="1">
      <alignment horizontal="center" readingOrder="0" shrinkToFit="0" vertical="center" wrapText="1"/>
    </xf>
    <xf borderId="15" fillId="0" fontId="5" numFmtId="0" xfId="0" applyAlignment="1" applyBorder="1" applyFont="1">
      <alignment horizontal="left" shrinkToFit="0" vertical="center" wrapText="1"/>
    </xf>
    <xf borderId="0" fillId="0" fontId="5" numFmtId="0" xfId="0" applyAlignment="1" applyFont="1">
      <alignment horizontal="left" vertical="center"/>
    </xf>
    <xf borderId="0" fillId="3" fontId="9" numFmtId="0" xfId="0" applyAlignment="1" applyFill="1" applyFont="1">
      <alignment horizontal="center" readingOrder="0" shrinkToFit="0" vertical="center" wrapText="1"/>
    </xf>
    <xf borderId="15" fillId="0" fontId="5" numFmtId="0" xfId="0" applyAlignment="1" applyBorder="1" applyFont="1">
      <alignment horizontal="left" readingOrder="0" shrinkToFit="0" vertical="center" wrapText="1"/>
    </xf>
    <xf borderId="1" fillId="4" fontId="5" numFmtId="0" xfId="0" applyAlignment="1" applyBorder="1" applyFill="1" applyFont="1">
      <alignment horizontal="center" readingOrder="0" vertical="center"/>
    </xf>
    <xf borderId="13" fillId="0" fontId="5" numFmtId="0" xfId="0" applyAlignment="1" applyBorder="1" applyFont="1">
      <alignment horizontal="center" shrinkToFit="0" vertical="center" wrapText="1"/>
    </xf>
    <xf borderId="2" fillId="7" fontId="5" numFmtId="165" xfId="0" applyAlignment="1" applyBorder="1" applyFill="1" applyFont="1" applyNumberFormat="1">
      <alignment horizontal="center" readingOrder="0" shrinkToFit="0" vertical="center" wrapText="1"/>
    </xf>
    <xf borderId="14" fillId="4" fontId="5" numFmtId="0" xfId="0" applyAlignment="1" applyBorder="1" applyFill="1" applyFont="1">
      <alignment horizontal="center" readingOrder="0" shrinkToFit="0" vertical="center" wrapText="1"/>
    </xf>
    <xf borderId="1" fillId="3" fontId="5" numFmtId="0" xfId="0" applyAlignment="1" applyBorder="1" applyFill="1" applyFont="1">
      <alignment horizontal="center" vertical="center"/>
    </xf>
    <xf borderId="2" fillId="3" fontId="5" numFmtId="0" xfId="0" applyAlignment="1" applyBorder="1" applyFill="1" applyFont="1">
      <alignment horizontal="center" vertical="center"/>
    </xf>
    <xf borderId="2" fillId="3" fontId="5" numFmtId="1" xfId="0" applyAlignment="1" applyBorder="1" applyFill="1" applyFont="1" applyNumberFormat="1">
      <alignment horizontal="center" vertical="center"/>
    </xf>
    <xf borderId="2" fillId="3" fontId="5" numFmtId="165" xfId="0" applyAlignment="1" applyBorder="1" applyFill="1" applyFont="1" applyNumberFormat="1">
      <alignment horizontal="center" vertical="center"/>
    </xf>
    <xf borderId="2" fillId="3" fontId="5" numFmtId="165" xfId="0" applyAlignment="1" applyBorder="1" applyFill="1" applyFont="1" applyNumberFormat="1">
      <alignment horizontal="center" shrinkToFit="0" vertical="center" wrapText="1"/>
    </xf>
    <xf borderId="14" fillId="3" fontId="5" numFmtId="0" xfId="0" applyAlignment="1" applyBorder="1" applyFill="1" applyFont="1">
      <alignment horizontal="center" vertical="center"/>
    </xf>
    <xf borderId="1" fillId="7" fontId="5" numFmtId="0" xfId="0" applyAlignment="1" applyBorder="1" applyFill="1" applyFont="1">
      <alignment horizontal="left" readingOrder="0" vertical="center"/>
    </xf>
    <xf borderId="2" fillId="4" fontId="5" numFmtId="164" xfId="0" applyAlignment="1" applyBorder="1" applyFill="1" applyFont="1" applyNumberFormat="1">
      <alignment horizontal="center" vertical="center"/>
    </xf>
    <xf borderId="2" fillId="4" fontId="5" numFmtId="1" xfId="0" applyAlignment="1" applyBorder="1" applyFill="1" applyFont="1" applyNumberFormat="1">
      <alignment horizontal="center" vertical="center"/>
    </xf>
    <xf borderId="2" fillId="4" fontId="5" numFmtId="165" xfId="0" applyAlignment="1" applyBorder="1" applyFill="1" applyFont="1" applyNumberFormat="1">
      <alignment horizontal="center" vertical="center"/>
    </xf>
    <xf borderId="2" fillId="4" fontId="5" numFmtId="165" xfId="0" applyAlignment="1" applyBorder="1" applyFill="1" applyFont="1" applyNumberFormat="1">
      <alignment horizontal="center" shrinkToFit="0" vertical="center" wrapText="1"/>
    </xf>
    <xf borderId="0" fillId="0" fontId="5" numFmtId="165" xfId="0" applyAlignment="1" applyFont="1" applyNumberFormat="1">
      <alignment horizontal="right" readingOrder="0" vertical="center"/>
    </xf>
    <xf borderId="14" fillId="4" fontId="5" numFmtId="164" xfId="0" applyAlignment="1" applyBorder="1" applyFill="1" applyFont="1" applyNumberFormat="1">
      <alignment horizontal="center" vertical="center"/>
    </xf>
    <xf borderId="13" fillId="0" fontId="9" numFmtId="165" xfId="0" applyAlignment="1" applyBorder="1" applyFont="1" applyNumberFormat="1">
      <alignment horizontal="center" readingOrder="0" shrinkToFit="0" vertical="center" wrapText="1"/>
    </xf>
    <xf borderId="1" fillId="4" fontId="5" numFmtId="164" xfId="0" applyAlignment="1" applyBorder="1" applyFill="1" applyFont="1" applyNumberFormat="1">
      <alignment horizontal="center" vertical="center"/>
    </xf>
    <xf borderId="13" fillId="0" fontId="5" numFmtId="165" xfId="0" applyAlignment="1" applyBorder="1" applyFont="1" applyNumberFormat="1">
      <alignment horizontal="center" shrinkToFit="0" vertical="center" wrapText="1"/>
    </xf>
    <xf borderId="15" fillId="0" fontId="5" numFmtId="0" xfId="0" applyAlignment="1" applyBorder="1" applyFont="1">
      <alignment readingOrder="0" shrinkToFit="0" vertical="center" wrapText="1"/>
    </xf>
    <xf borderId="1" fillId="4" fontId="5" numFmtId="0" xfId="0" applyAlignment="1" applyBorder="1" applyFill="1" applyFont="1">
      <alignment horizontal="center" vertical="center"/>
    </xf>
    <xf borderId="2" fillId="4" fontId="5" numFmtId="0" xfId="0" applyAlignment="1" applyBorder="1" applyFill="1" applyFont="1">
      <alignment horizontal="center" vertical="center"/>
    </xf>
    <xf borderId="13" fillId="0" fontId="5" numFmtId="165" xfId="0" applyAlignment="1" applyBorder="1" applyFont="1" applyNumberFormat="1">
      <alignment horizontal="right" shrinkToFit="0" vertical="center" wrapText="1"/>
    </xf>
    <xf borderId="13" fillId="3" fontId="5" numFmtId="0" xfId="0" applyAlignment="1" applyBorder="1" applyFill="1" applyFont="1">
      <alignment horizontal="left" readingOrder="0" shrinkToFit="0" vertical="center" wrapText="1"/>
    </xf>
    <xf borderId="14" fillId="4" fontId="5" numFmtId="0" xfId="0" applyAlignment="1" applyBorder="1" applyFill="1" applyFont="1">
      <alignment horizontal="center" vertical="center"/>
    </xf>
    <xf borderId="1" fillId="0" fontId="5" numFmtId="0" xfId="0" applyAlignment="1" applyBorder="1" applyFont="1">
      <alignment horizontal="center" shrinkToFit="0" vertical="center" wrapText="1"/>
    </xf>
    <xf borderId="2" fillId="0" fontId="5" numFmtId="165" xfId="0" applyAlignment="1" applyBorder="1" applyFont="1" applyNumberFormat="1">
      <alignment horizontal="center" shrinkToFit="0" vertical="center" wrapText="1"/>
    </xf>
    <xf borderId="1" fillId="0" fontId="5" numFmtId="165" xfId="0" applyAlignment="1" applyBorder="1" applyFont="1" applyNumberFormat="1">
      <alignment horizontal="center" shrinkToFit="0" vertical="center" wrapText="1"/>
    </xf>
    <xf borderId="0" fillId="0" fontId="5" numFmtId="165" xfId="0" applyAlignment="1" applyFont="1" applyNumberFormat="1">
      <alignment horizontal="center" shrinkToFit="0" vertical="center" wrapText="1"/>
    </xf>
    <xf borderId="15" fillId="0" fontId="5" numFmtId="165" xfId="0" applyAlignment="1" applyBorder="1" applyFont="1" applyNumberFormat="1">
      <alignment horizontal="center" shrinkToFit="0" vertical="center" wrapText="1"/>
    </xf>
    <xf borderId="1" fillId="0" fontId="5" numFmtId="164" xfId="0" applyAlignment="1" applyBorder="1" applyFont="1" applyNumberFormat="1">
      <alignment horizontal="center" shrinkToFit="0" vertical="center" wrapText="1"/>
    </xf>
    <xf borderId="1" fillId="3" fontId="5" numFmtId="164" xfId="0" applyAlignment="1" applyBorder="1" applyFill="1" applyFont="1" applyNumberFormat="1">
      <alignment horizontal="center" vertical="center"/>
    </xf>
    <xf borderId="2" fillId="3" fontId="5" numFmtId="164" xfId="0" applyAlignment="1" applyBorder="1" applyFill="1" applyFont="1" applyNumberFormat="1">
      <alignment horizontal="center" vertical="center"/>
    </xf>
    <xf borderId="14" fillId="3" fontId="5" numFmtId="164" xfId="0" applyAlignment="1" applyBorder="1" applyFill="1" applyFont="1" applyNumberFormat="1">
      <alignment horizontal="center" vertical="center"/>
    </xf>
    <xf borderId="0" fillId="0" fontId="17" numFmtId="0" xfId="0" applyFont="1"/>
    <xf borderId="0" fillId="4" fontId="5" numFmtId="164" xfId="0" applyAlignment="1" applyFill="1" applyFont="1" applyNumberFormat="1">
      <alignment horizontal="center" vertical="center"/>
    </xf>
    <xf borderId="0" fillId="4" fontId="5" numFmtId="165" xfId="0" applyAlignment="1" applyFill="1" applyFont="1" applyNumberFormat="1">
      <alignment horizontal="center" vertical="center"/>
    </xf>
    <xf borderId="0" fillId="4" fontId="5" numFmtId="1" xfId="0" applyAlignment="1" applyFill="1" applyFont="1" applyNumberFormat="1">
      <alignment horizontal="center" vertical="center"/>
    </xf>
    <xf borderId="15" fillId="4" fontId="5" numFmtId="165" xfId="0" applyAlignment="1" applyBorder="1" applyFill="1" applyFont="1" applyNumberFormat="1">
      <alignment horizontal="center" vertical="center"/>
    </xf>
    <xf borderId="15" fillId="4" fontId="5" numFmtId="164" xfId="0" applyAlignment="1" applyBorder="1" applyFill="1" applyFont="1" applyNumberFormat="1">
      <alignment horizontal="center" vertical="center"/>
    </xf>
    <xf borderId="15" fillId="4" fontId="5" numFmtId="165" xfId="0" applyAlignment="1" applyBorder="1" applyFill="1" applyFont="1" applyNumberFormat="1">
      <alignment horizontal="center" shrinkToFit="0" vertical="center" wrapText="1"/>
    </xf>
    <xf borderId="0" fillId="3" fontId="5" numFmtId="164" xfId="0" applyAlignment="1" applyFill="1" applyFont="1" applyNumberFormat="1">
      <alignment horizontal="center" vertical="center"/>
    </xf>
    <xf borderId="0" fillId="3" fontId="5" numFmtId="165" xfId="0" applyAlignment="1" applyFill="1" applyFont="1" applyNumberFormat="1">
      <alignment horizontal="center" vertical="center"/>
    </xf>
    <xf borderId="0" fillId="3" fontId="5" numFmtId="1" xfId="0" applyAlignment="1" applyFill="1" applyFont="1" applyNumberFormat="1">
      <alignment horizontal="center" vertical="center"/>
    </xf>
    <xf borderId="15" fillId="3" fontId="5" numFmtId="165" xfId="0" applyAlignment="1" applyBorder="1" applyFill="1" applyFont="1" applyNumberFormat="1">
      <alignment horizontal="center" vertical="center"/>
    </xf>
    <xf borderId="15" fillId="3" fontId="5" numFmtId="164" xfId="0" applyAlignment="1" applyBorder="1" applyFill="1" applyFont="1" applyNumberFormat="1">
      <alignment horizontal="center" vertical="center"/>
    </xf>
    <xf borderId="15" fillId="3" fontId="5" numFmtId="165" xfId="0" applyAlignment="1" applyBorder="1" applyFill="1" applyFont="1" applyNumberFormat="1">
      <alignment horizontal="center" shrinkToFit="0" vertical="center" wrapText="1"/>
    </xf>
    <xf borderId="0" fillId="0" fontId="5" numFmtId="0" xfId="0" applyAlignment="1" applyFont="1">
      <alignment shrinkToFit="0" vertical="center" wrapText="1"/>
    </xf>
    <xf borderId="0" fillId="3" fontId="17" numFmtId="0" xfId="0" applyFill="1" applyFont="1"/>
    <xf borderId="0" fillId="4" fontId="17" numFmtId="0" xfId="0" applyFill="1" applyFont="1"/>
    <xf borderId="0" fillId="2" fontId="2" numFmtId="0" xfId="0" applyAlignment="1" applyFill="1" applyFont="1">
      <alignment shrinkToFit="0" vertical="bottom" wrapText="1"/>
    </xf>
    <xf borderId="1" fillId="2" fontId="4" numFmtId="164" xfId="0" applyAlignment="1" applyBorder="1" applyFill="1" applyFont="1" applyNumberFormat="1">
      <alignment horizontal="left" shrinkToFit="0" vertical="center" wrapText="1"/>
    </xf>
    <xf borderId="0" fillId="2" fontId="4" numFmtId="165" xfId="0" applyAlignment="1" applyFill="1" applyFont="1" applyNumberFormat="1">
      <alignment horizontal="center" shrinkToFit="0" vertical="center" wrapText="1"/>
    </xf>
    <xf borderId="0" fillId="0" fontId="17" numFmtId="0" xfId="0" applyAlignment="1" applyFont="1">
      <alignment shrinkToFit="0" vertical="center" wrapText="1"/>
    </xf>
    <xf borderId="0" fillId="2" fontId="4" numFmtId="165" xfId="0" applyAlignment="1" applyFill="1" applyFont="1" applyNumberFormat="1">
      <alignment horizontal="left" vertical="center"/>
    </xf>
    <xf borderId="0" fillId="2" fontId="4" numFmtId="164" xfId="0" applyAlignment="1" applyFill="1" applyFont="1" applyNumberFormat="1">
      <alignment horizontal="center" shrinkToFit="0" vertical="center" wrapText="0"/>
    </xf>
    <xf borderId="0" fillId="2" fontId="4" numFmtId="164" xfId="0" applyAlignment="1" applyFill="1" applyFont="1" applyNumberFormat="1">
      <alignment horizontal="left" shrinkToFit="0" vertical="center" wrapText="0"/>
    </xf>
    <xf borderId="12" fillId="0" fontId="6" numFmtId="0" xfId="0" applyAlignment="1" applyBorder="1" applyFont="1">
      <alignment horizontal="center" readingOrder="0" shrinkToFit="0" vertical="center" wrapText="1"/>
    </xf>
    <xf borderId="6" fillId="0" fontId="6" numFmtId="165" xfId="0" applyAlignment="1" applyBorder="1" applyFont="1" applyNumberFormat="1">
      <alignment horizontal="center" readingOrder="0" shrinkToFit="0" vertical="center" wrapText="0"/>
    </xf>
    <xf borderId="17" fillId="0" fontId="6" numFmtId="165" xfId="0" applyAlignment="1" applyBorder="1" applyFont="1" applyNumberFormat="1">
      <alignment horizontal="center" readingOrder="0" shrinkToFit="0" vertical="center" wrapText="1"/>
    </xf>
    <xf borderId="1" fillId="0" fontId="6" numFmtId="165" xfId="0" applyAlignment="1" applyBorder="1" applyFont="1" applyNumberFormat="1">
      <alignment horizontal="center" readingOrder="0" shrinkToFit="0" vertical="center" wrapText="1"/>
    </xf>
    <xf borderId="10" fillId="0" fontId="6" numFmtId="0" xfId="0" applyAlignment="1" applyBorder="1" applyFont="1">
      <alignment horizontal="center" readingOrder="0" shrinkToFit="0" vertical="center" wrapText="0"/>
    </xf>
    <xf borderId="18" fillId="0" fontId="6" numFmtId="0" xfId="0" applyAlignment="1" applyBorder="1" applyFont="1">
      <alignment horizontal="center" readingOrder="0" shrinkToFit="0" vertical="center" wrapText="1"/>
    </xf>
    <xf borderId="12" fillId="0" fontId="7" numFmtId="0" xfId="0" applyAlignment="1" applyBorder="1" applyFont="1">
      <alignment horizontal="center" readingOrder="0" shrinkToFit="0" vertical="center" wrapText="1"/>
    </xf>
    <xf borderId="13" fillId="0" fontId="7" numFmtId="0" xfId="0" applyAlignment="1" applyBorder="1" applyFont="1">
      <alignment horizontal="center" readingOrder="0" shrinkToFit="0" vertical="center" wrapText="0"/>
    </xf>
    <xf borderId="13" fillId="0" fontId="7" numFmtId="0" xfId="0" applyAlignment="1" applyBorder="1" applyFont="1">
      <alignment horizontal="center" readingOrder="0" shrinkToFit="0" vertical="center" wrapText="1"/>
    </xf>
    <xf borderId="6" fillId="0" fontId="6" numFmtId="0" xfId="0" applyAlignment="1" applyBorder="1" applyFont="1">
      <alignment horizontal="center" readingOrder="0" shrinkToFit="0" vertical="center" wrapText="1"/>
    </xf>
    <xf borderId="0" fillId="0" fontId="6" numFmtId="0" xfId="0" applyAlignment="1" applyFont="1">
      <alignment horizontal="center" readingOrder="0" shrinkToFit="0" vertical="center" wrapText="1"/>
    </xf>
    <xf borderId="12" fillId="0" fontId="18" numFmtId="0" xfId="0" applyBorder="1" applyFont="1"/>
    <xf borderId="12" fillId="4" fontId="19" numFmtId="49" xfId="0" applyAlignment="1" applyBorder="1" applyFill="1" applyFont="1" applyNumberFormat="1">
      <alignment horizontal="center" readingOrder="0" vertical="center"/>
    </xf>
    <xf borderId="0" fillId="4" fontId="19" numFmtId="165" xfId="0" applyAlignment="1" applyFill="1" applyFont="1" applyNumberFormat="1">
      <alignment vertical="center"/>
    </xf>
    <xf borderId="13" fillId="4" fontId="19" numFmtId="0" xfId="0" applyAlignment="1" applyBorder="1" applyFill="1" applyFont="1">
      <alignment shrinkToFit="0" vertical="center" wrapText="1"/>
    </xf>
    <xf borderId="14" fillId="0" fontId="5" numFmtId="0" xfId="0" applyAlignment="1" applyBorder="1" applyFont="1">
      <alignment horizontal="left" shrinkToFit="0" vertical="center" wrapText="1"/>
    </xf>
    <xf borderId="12" fillId="0" fontId="5" numFmtId="0" xfId="0" applyAlignment="1" applyBorder="1" applyFont="1">
      <alignment horizontal="center" vertical="center"/>
    </xf>
    <xf borderId="13" fillId="0" fontId="5" numFmtId="3" xfId="0" applyAlignment="1" applyBorder="1" applyFont="1" applyNumberFormat="1">
      <alignment horizontal="center" shrinkToFit="0" vertical="center" wrapText="1"/>
    </xf>
    <xf borderId="13" fillId="0" fontId="5" numFmtId="165" xfId="0" applyAlignment="1" applyBorder="1" applyFont="1" applyNumberFormat="1">
      <alignment horizontal="center" vertical="center"/>
    </xf>
    <xf borderId="12" fillId="0" fontId="5" numFmtId="165" xfId="0" applyAlignment="1" applyBorder="1" applyFont="1" applyNumberFormat="1">
      <alignment horizontal="center" vertical="center"/>
    </xf>
    <xf borderId="12" fillId="0" fontId="5" numFmtId="10" xfId="0" applyAlignment="1" applyBorder="1" applyFont="1" applyNumberFormat="1">
      <alignment horizontal="center" vertical="center"/>
    </xf>
    <xf borderId="13" fillId="0" fontId="5" numFmtId="0" xfId="0" applyAlignment="1" applyBorder="1" applyFont="1">
      <alignment horizontal="center" vertical="center"/>
    </xf>
    <xf borderId="0" fillId="0" fontId="5" numFmtId="0" xfId="0" applyAlignment="1" applyFont="1">
      <alignment horizontal="left" shrinkToFit="0" vertical="center" wrapText="1"/>
    </xf>
    <xf borderId="12" fillId="4" fontId="19" numFmtId="0" xfId="0" applyAlignment="1" applyBorder="1" applyFill="1" applyFont="1">
      <alignment horizontal="center" vertical="center"/>
    </xf>
    <xf borderId="12" fillId="0" fontId="5" numFmtId="0" xfId="0" applyAlignment="1" applyBorder="1" applyFont="1">
      <alignment horizontal="center" readingOrder="0" vertical="center"/>
    </xf>
    <xf borderId="12" fillId="0" fontId="5" numFmtId="165" xfId="0" applyAlignment="1" applyBorder="1" applyFont="1" applyNumberFormat="1">
      <alignment horizontal="left" readingOrder="0" vertical="center"/>
    </xf>
    <xf borderId="12" fillId="4" fontId="19" numFmtId="0" xfId="0" applyAlignment="1" applyBorder="1" applyFill="1" applyFont="1">
      <alignment horizontal="center" readingOrder="0" vertical="center"/>
    </xf>
    <xf borderId="0" fillId="4" fontId="19" numFmtId="165" xfId="0" applyAlignment="1" applyFill="1" applyFont="1" applyNumberFormat="1">
      <alignment readingOrder="0" vertical="center"/>
    </xf>
    <xf borderId="13" fillId="4" fontId="19" numFmtId="0" xfId="0" applyAlignment="1" applyBorder="1" applyFill="1" applyFont="1">
      <alignment readingOrder="0" shrinkToFit="0" vertical="center" wrapText="1"/>
    </xf>
    <xf borderId="12" fillId="3" fontId="19" numFmtId="0" xfId="0" applyAlignment="1" applyBorder="1" applyFill="1" applyFont="1">
      <alignment horizontal="center" vertical="center"/>
    </xf>
    <xf borderId="0" fillId="3" fontId="19" numFmtId="165" xfId="0" applyAlignment="1" applyFill="1" applyFont="1" applyNumberFormat="1">
      <alignment vertical="center"/>
    </xf>
    <xf borderId="13" fillId="3" fontId="19" numFmtId="0" xfId="0" applyAlignment="1" applyBorder="1" applyFill="1" applyFont="1">
      <alignment shrinkToFit="0" vertical="center" wrapText="1"/>
    </xf>
    <xf borderId="0" fillId="0" fontId="5" numFmtId="165" xfId="0" applyAlignment="1" applyFont="1" applyNumberFormat="1">
      <alignment horizontal="left" readingOrder="0" vertical="center"/>
    </xf>
    <xf borderId="0" fillId="2" fontId="20" numFmtId="0" xfId="0" applyFill="1" applyFont="1"/>
    <xf borderId="0" fillId="2" fontId="21" numFmtId="0" xfId="0" applyAlignment="1" applyFill="1" applyFont="1">
      <alignment horizontal="left"/>
    </xf>
    <xf borderId="0" fillId="2" fontId="22" numFmtId="0" xfId="0" applyFill="1" applyFont="1"/>
    <xf borderId="19" fillId="2" fontId="20" numFmtId="0" xfId="0" applyBorder="1" applyFill="1" applyFont="1"/>
    <xf borderId="19" fillId="2" fontId="21" numFmtId="0" xfId="0" applyAlignment="1" applyBorder="1" applyFill="1" applyFont="1">
      <alignment horizontal="left"/>
    </xf>
    <xf borderId="19" fillId="0" fontId="18" numFmtId="0" xfId="0" applyBorder="1" applyFont="1"/>
    <xf borderId="19" fillId="2" fontId="22" numFmtId="0" xfId="0" applyBorder="1" applyFill="1" applyFont="1"/>
    <xf borderId="20" fillId="2" fontId="23" numFmtId="0" xfId="0" applyAlignment="1" applyBorder="1" applyFill="1" applyFont="1">
      <alignment vertical="top"/>
    </xf>
    <xf borderId="20" fillId="2" fontId="24" numFmtId="0" xfId="0" applyAlignment="1" applyBorder="1" applyFill="1" applyFont="1">
      <alignment horizontal="left" vertical="top"/>
    </xf>
    <xf borderId="20" fillId="0" fontId="18" numFmtId="0" xfId="0" applyBorder="1" applyFont="1"/>
    <xf borderId="20" fillId="2" fontId="22" numFmtId="0" xfId="0" applyBorder="1" applyFill="1" applyFont="1"/>
    <xf borderId="0" fillId="8" fontId="25" numFmtId="0" xfId="0" applyAlignment="1" applyFill="1" applyFont="1">
      <alignment shrinkToFit="0" vertical="bottom" wrapText="0"/>
    </xf>
    <xf borderId="0" fillId="8" fontId="26" numFmtId="0" xfId="0" applyAlignment="1" applyFill="1" applyFont="1">
      <alignment readingOrder="0" shrinkToFit="0" vertical="top" wrapText="1"/>
    </xf>
    <xf borderId="0" fillId="8" fontId="22" numFmtId="0" xfId="0" applyFill="1" applyFont="1"/>
    <xf borderId="0" fillId="8" fontId="25" numFmtId="0" xfId="0" applyAlignment="1" applyFill="1" applyFont="1">
      <alignment shrinkToFit="0" vertical="top" wrapText="0"/>
    </xf>
    <xf borderId="0" fillId="0" fontId="27" numFmtId="0" xfId="0" applyFont="1"/>
    <xf borderId="0" fillId="0" fontId="27" numFmtId="0" xfId="0" applyAlignment="1" applyFont="1">
      <alignment horizontal="left"/>
    </xf>
    <xf borderId="0" fillId="0" fontId="6" numFmtId="0" xfId="0" applyAlignment="1" applyFont="1">
      <alignment horizontal="left"/>
    </xf>
    <xf borderId="0" fillId="0" fontId="27" numFmtId="0" xfId="0" applyAlignment="1" applyFont="1">
      <alignment vertical="bottom"/>
    </xf>
    <xf borderId="0" fillId="0" fontId="28" numFmtId="0" xfId="0" applyAlignment="1" applyFont="1">
      <alignment horizontal="left" vertical="bottom"/>
    </xf>
    <xf borderId="0" fillId="0" fontId="28" numFmtId="0" xfId="0" applyAlignment="1" applyFont="1">
      <alignment horizontal="center" vertical="bottom"/>
    </xf>
    <xf borderId="5" fillId="0" fontId="7" numFmtId="165" xfId="0" applyAlignment="1" applyBorder="1" applyFont="1" applyNumberFormat="1">
      <alignment horizontal="center" readingOrder="0" shrinkToFit="0" vertical="center" wrapText="0"/>
    </xf>
    <xf borderId="13" fillId="3" fontId="5" numFmtId="164" xfId="0" applyAlignment="1" applyBorder="1" applyFill="1" applyFont="1" applyNumberFormat="1">
      <alignment horizontal="center" vertical="center"/>
    </xf>
    <xf borderId="13" fillId="3" fontId="5" numFmtId="165" xfId="0" applyAlignment="1" applyBorder="1" applyFill="1" applyFont="1" applyNumberFormat="1">
      <alignment horizontal="left" readingOrder="0" vertical="center"/>
    </xf>
    <xf borderId="13" fillId="3" fontId="5" numFmtId="0" xfId="0" applyAlignment="1" applyBorder="1" applyFill="1" applyFont="1">
      <alignment horizontal="left" readingOrder="0" vertical="center"/>
    </xf>
    <xf borderId="13" fillId="3" fontId="5" numFmtId="0" xfId="0" applyAlignment="1" applyBorder="1" applyFill="1" applyFont="1">
      <alignment horizontal="left" vertical="center"/>
    </xf>
    <xf borderId="13" fillId="3" fontId="5" numFmtId="0" xfId="0" applyAlignment="1" applyBorder="1" applyFill="1" applyFont="1">
      <alignment horizontal="center" vertical="center"/>
    </xf>
    <xf borderId="15" fillId="3" fontId="5" numFmtId="0" xfId="0" applyAlignment="1" applyBorder="1" applyFill="1" applyFont="1">
      <alignment horizontal="center" vertical="center"/>
    </xf>
    <xf borderId="12" fillId="4" fontId="5" numFmtId="0" xfId="0" applyAlignment="1" applyBorder="1" applyFill="1" applyFont="1">
      <alignment horizontal="center" readingOrder="0" vertical="center"/>
    </xf>
    <xf borderId="13" fillId="4" fontId="5" numFmtId="165" xfId="0" applyAlignment="1" applyBorder="1" applyFill="1" applyFont="1" applyNumberFormat="1">
      <alignment horizontal="left" readingOrder="0" vertical="center"/>
    </xf>
    <xf borderId="13" fillId="4" fontId="5" numFmtId="0" xfId="0" applyAlignment="1" applyBorder="1" applyFill="1" applyFont="1">
      <alignment horizontal="left" readingOrder="0" vertical="center"/>
    </xf>
    <xf borderId="13" fillId="4" fontId="5" numFmtId="0" xfId="0" applyAlignment="1" applyBorder="1" applyFill="1" applyFont="1">
      <alignment horizontal="left" vertical="center"/>
    </xf>
    <xf borderId="13" fillId="4" fontId="5" numFmtId="0" xfId="0" applyAlignment="1" applyBorder="1" applyFill="1" applyFont="1">
      <alignment horizontal="center" vertical="center"/>
    </xf>
    <xf borderId="15" fillId="4" fontId="5" numFmtId="0" xfId="0" applyAlignment="1" applyBorder="1" applyFill="1" applyFont="1">
      <alignment horizontal="center" vertical="center"/>
    </xf>
    <xf borderId="12" fillId="3" fontId="5" numFmtId="0" xfId="0" applyAlignment="1" applyBorder="1" applyFill="1" applyFont="1">
      <alignment horizontal="center" readingOrder="0" vertical="center"/>
    </xf>
    <xf borderId="0" fillId="3" fontId="5" numFmtId="0" xfId="0" applyAlignment="1" applyFill="1" applyFont="1">
      <alignment horizontal="center" readingOrder="0" vertical="center"/>
    </xf>
    <xf borderId="15" fillId="3" fontId="5" numFmtId="165" xfId="0" applyAlignment="1" applyBorder="1" applyFill="1" applyFont="1" applyNumberFormat="1">
      <alignment horizontal="left" readingOrder="0" vertical="center"/>
    </xf>
    <xf borderId="0" fillId="4" fontId="5" numFmtId="0" xfId="0" applyAlignment="1" applyFill="1" applyFont="1">
      <alignment horizontal="center" readingOrder="0" vertical="center"/>
    </xf>
    <xf borderId="15" fillId="4" fontId="5" numFmtId="165" xfId="0" applyAlignment="1" applyBorder="1" applyFill="1" applyFont="1" applyNumberFormat="1">
      <alignment horizontal="left" readingOrder="0" vertical="center"/>
    </xf>
    <xf borderId="15" fillId="3" fontId="5" numFmtId="167" xfId="0" applyAlignment="1" applyBorder="1" applyFill="1" applyFont="1" applyNumberFormat="1">
      <alignment horizontal="left" vertical="center"/>
    </xf>
    <xf borderId="15" fillId="3" fontId="5" numFmtId="167" xfId="0" applyAlignment="1" applyBorder="1" applyFill="1" applyFont="1" applyNumberFormat="1">
      <alignment horizontal="center" vertical="center"/>
    </xf>
    <xf borderId="12" fillId="0" fontId="5" numFmtId="4" xfId="0" applyAlignment="1" applyBorder="1" applyFont="1" applyNumberFormat="1">
      <alignment horizontal="center" vertical="center"/>
    </xf>
    <xf borderId="12" fillId="0" fontId="5" numFmtId="3" xfId="0" applyAlignment="1" applyBorder="1" applyFont="1" applyNumberFormat="1">
      <alignment horizontal="center" vertical="center"/>
    </xf>
    <xf borderId="13" fillId="0" fontId="5" numFmtId="3" xfId="0" applyAlignment="1" applyBorder="1" applyFont="1" applyNumberFormat="1">
      <alignment horizontal="center" vertical="center"/>
    </xf>
    <xf borderId="1" fillId="3" fontId="19" numFmtId="0" xfId="0" applyAlignment="1" applyBorder="1" applyFill="1" applyFont="1">
      <alignment horizontal="center" shrinkToFit="0" textRotation="0" vertical="center" wrapText="1"/>
    </xf>
    <xf borderId="1" fillId="4" fontId="19" numFmtId="0" xfId="0" applyAlignment="1" applyBorder="1" applyFill="1" applyFont="1">
      <alignment horizontal="center" shrinkToFit="0" vertical="center" wrapText="1"/>
    </xf>
    <xf borderId="1" fillId="3" fontId="19" numFmtId="0" xfId="0" applyAlignment="1" applyBorder="1" applyFill="1" applyFont="1">
      <alignment horizontal="center" shrinkToFit="0" vertical="center" wrapText="1"/>
    </xf>
    <xf borderId="14" fillId="0" fontId="5" numFmtId="164" xfId="0" applyAlignment="1" applyBorder="1" applyFont="1" applyNumberFormat="1">
      <alignment horizontal="left" shrinkToFit="0" vertical="center" wrapText="1"/>
    </xf>
    <xf borderId="0" fillId="0" fontId="5" numFmtId="165" xfId="0" applyAlignment="1" applyFont="1" applyNumberFormat="1">
      <alignment horizontal="left" shrinkToFit="0" vertical="center" wrapText="1"/>
    </xf>
    <xf borderId="12" fillId="0" fontId="5" numFmtId="1" xfId="0" applyAlignment="1" applyBorder="1" applyFont="1" applyNumberFormat="1">
      <alignment horizontal="center" vertical="center"/>
    </xf>
    <xf borderId="21" fillId="0" fontId="5" numFmtId="164" xfId="0" applyAlignment="1" applyBorder="1" applyFont="1" applyNumberFormat="1">
      <alignment horizontal="left" shrinkToFit="0" vertical="center" wrapText="1"/>
    </xf>
  </cellXfs>
  <cellStyles count="1">
    <cellStyle xfId="0" name="Normal" builtinId="0"/>
  </cellStyles>
  <dxfs count="3">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s>
  <tableStyles count="5">
    <tableStyle count="2" pivot="0" name="Os Seis Grandes-style">
      <tableStyleElement dxfId="1" type="firstRowStripe"/>
      <tableStyleElement dxfId="2" type="secondRowStripe"/>
    </tableStyle>
    <tableStyle count="2" pivot="0" name="UNIDADES EM CONSTRUÇÃO-style">
      <tableStyleElement dxfId="1" type="firstRowStripe"/>
      <tableStyleElement dxfId="2" type="secondRowStripe"/>
    </tableStyle>
    <tableStyle count="2" pivot="0" name="Hospitais Regionais e OSS-style">
      <tableStyleElement dxfId="1" type="firstRowStripe"/>
      <tableStyleElement dxfId="2" type="secondRowStripe"/>
    </tableStyle>
    <tableStyle count="2" pivot="0" name="Rede Credenciada-style">
      <tableStyleElement dxfId="1" type="firstRowStripe"/>
      <tableStyleElement dxfId="2" type="secondRowStripe"/>
    </tableStyle>
    <tableStyle count="2" pivot="0" name="NÃO MEXER Consolidado-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66675</xdr:colOff>
      <xdr:row>0</xdr:row>
      <xdr:rowOff>0</xdr:rowOff>
    </xdr:from>
    <xdr:ext cx="4105275" cy="11239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4105275" cy="11239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-38100</xdr:colOff>
      <xdr:row>0</xdr:row>
      <xdr:rowOff>0</xdr:rowOff>
    </xdr:from>
    <xdr:ext cx="4105275" cy="11239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1914525</xdr:colOff>
      <xdr:row>0</xdr:row>
      <xdr:rowOff>0</xdr:rowOff>
    </xdr:from>
    <xdr:ext cx="4105275" cy="11239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xdr:colOff>
      <xdr:row>0</xdr:row>
      <xdr:rowOff>0</xdr:rowOff>
    </xdr:from>
    <xdr:ext cx="4105275" cy="11239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19050</xdr:colOff>
      <xdr:row>0</xdr:row>
      <xdr:rowOff>47625</xdr:rowOff>
    </xdr:from>
    <xdr:ext cx="5162550" cy="2486025"/>
    <xdr:sp>
      <xdr:nvSpPr>
        <xdr:cNvPr id="3" name="Shape 3"/>
        <xdr:cNvSpPr/>
      </xdr:nvSpPr>
      <xdr:spPr>
        <a:xfrm>
          <a:off x="1481050" y="900650"/>
          <a:ext cx="5143800" cy="2471700"/>
        </a:xfrm>
        <a:prstGeom prst="roundRect">
          <a:avLst>
            <a:gd fmla="val 16667" name="adj"/>
          </a:avLst>
        </a:prstGeom>
        <a:solidFill>
          <a:srgbClr val="E69138"/>
        </a:solidFill>
        <a:ln cap="flat" cmpd="sng" w="9525">
          <a:solidFill>
            <a:srgbClr val="E69138"/>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800">
              <a:solidFill>
                <a:srgbClr val="FFFFFF"/>
              </a:solidFill>
              <a:latin typeface="Poppins"/>
              <a:ea typeface="Poppins"/>
              <a:cs typeface="Poppins"/>
              <a:sym typeface="Poppins"/>
            </a:rPr>
            <a:t>APENAS SAESPRI</a:t>
          </a:r>
          <a:endParaRPr b="1" sz="3800">
            <a:solidFill>
              <a:srgbClr val="FFFFFF"/>
            </a:solidFill>
            <a:latin typeface="Poppins"/>
            <a:ea typeface="Poppins"/>
            <a:cs typeface="Poppins"/>
            <a:sym typeface="Poppins"/>
          </a:endParaRPr>
        </a:p>
      </xdr:txBody>
    </xdr:sp>
    <xdr:clientData fLocksWithSheet="0"/>
  </xdr:oneCellAnchor>
  <xdr:oneCellAnchor>
    <xdr:from>
      <xdr:col>0</xdr:col>
      <xdr:colOff>0</xdr:colOff>
      <xdr:row>0</xdr:row>
      <xdr:rowOff>0</xdr:rowOff>
    </xdr:from>
    <xdr:ext cx="4105275" cy="1123950"/>
    <xdr:pic>
      <xdr:nvPicPr>
        <xdr:cNvPr id="0" name="image2.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4105275" cy="11239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4105275" cy="1123950"/>
    <xdr:pic>
      <xdr:nvPicPr>
        <xdr:cNvPr id="0" name="image2.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3:AA1000" displayName="Table_3" name="Table_3" id="3">
  <tableColumns count="2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s>
  <tableStyleInfo name="Hospitais Regionais e OSS-style" showColumnStripes="0" showFirstColumn="1" showLastColumn="1" showRowStripes="1"/>
</table>
</file>

<file path=xl/tables/table2.xml><?xml version="1.0" encoding="utf-8"?>
<table xmlns="http://schemas.openxmlformats.org/spreadsheetml/2006/main" headerRowCount="0" ref="A3: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Os Seis Grandes-style" showColumnStripes="0" showFirstColumn="1" showLastColumn="1" showRowStripes="1"/>
</table>
</file>

<file path=xl/tables/table3.xml><?xml version="1.0" encoding="utf-8"?>
<table xmlns="http://schemas.openxmlformats.org/spreadsheetml/2006/main" headerRowCount="0" ref="A3:L1000" displayName="Table_2" name="Table_2" id="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UNIDADES EM CONSTRUÇÃO-style" showColumnStripes="0" showFirstColumn="1" showLastColumn="1" showRowStripes="1"/>
</table>
</file>

<file path=xl/tables/table4.xml><?xml version="1.0" encoding="utf-8"?>
<table xmlns="http://schemas.openxmlformats.org/spreadsheetml/2006/main" headerRowCount="0" ref="A3:G100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Rede Credenciada-style" showColumnStripes="0" showFirstColumn="1" showLastColumn="1" showRowStripes="1"/>
</table>
</file>

<file path=xl/tables/table5.xml><?xml version="1.0" encoding="utf-8"?>
<table xmlns="http://schemas.openxmlformats.org/spreadsheetml/2006/main" headerRowCount="0" ref="A3:U75" displayName="Table_5" name="Table_5" id="5">
  <tableColumns count="2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s>
  <tableStyleInfo name="NÃO MEXER Consolida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0"/>
  <cols>
    <col customWidth="1" min="1" max="1" width="1.25"/>
    <col customWidth="1" min="2" max="2" width="25.38"/>
    <col customWidth="1" min="3" max="3" width="8.5"/>
    <col customWidth="1" min="4" max="4" width="26.25"/>
    <col customWidth="1" min="5" max="5" width="9.5"/>
    <col customWidth="1" min="6" max="6" width="38.5"/>
    <col customWidth="1" min="7" max="8" width="10.88"/>
    <col customWidth="1" min="9" max="10" width="13.13"/>
    <col customWidth="1" min="11" max="11" width="32.63"/>
    <col customWidth="1" min="12" max="12" width="18.0"/>
    <col customWidth="1" min="13" max="13" width="18.38"/>
    <col customWidth="1" min="14" max="14" width="21.0"/>
    <col customWidth="1" min="15" max="15" width="19.13"/>
    <col customWidth="1" min="16" max="17" width="15.75"/>
    <col customWidth="1" min="18" max="18" width="19.5"/>
    <col customWidth="1" min="19" max="19" width="16.13"/>
    <col customWidth="1" min="20" max="20" width="60.25"/>
    <col customWidth="1" min="21" max="21" width="17.25"/>
    <col customWidth="1" min="22" max="22" width="13.25"/>
    <col customWidth="1" min="23" max="23" width="14.75"/>
    <col customWidth="1" min="24" max="24" width="15.13"/>
    <col customWidth="1" min="25" max="25" width="12.13"/>
    <col customWidth="1" min="26" max="26" width="12.63"/>
    <col customWidth="1" min="27" max="27" width="16.63"/>
  </cols>
  <sheetData>
    <row r="1" ht="89.25" customHeight="1">
      <c r="A1" s="1"/>
      <c r="B1" s="3"/>
      <c r="C1" s="5"/>
      <c r="D1" s="5"/>
      <c r="E1" s="5"/>
      <c r="F1" s="5"/>
      <c r="G1" s="9"/>
      <c r="H1" s="9"/>
      <c r="I1" s="9"/>
      <c r="J1" s="9"/>
      <c r="K1" s="17"/>
      <c r="L1" s="9"/>
      <c r="M1" s="17"/>
      <c r="N1" s="19"/>
      <c r="O1" s="21"/>
      <c r="P1" s="19"/>
      <c r="Q1" s="19"/>
      <c r="R1" s="21"/>
      <c r="S1" s="19"/>
      <c r="T1" s="21"/>
      <c r="U1" s="19"/>
      <c r="V1" s="19"/>
      <c r="W1" s="19"/>
      <c r="X1" s="19"/>
      <c r="Y1" s="19"/>
      <c r="Z1" s="19"/>
      <c r="AA1" s="19"/>
    </row>
    <row r="2" ht="55.5" customHeight="1">
      <c r="A2" s="16"/>
      <c r="B2" s="22" t="s">
        <v>1</v>
      </c>
      <c r="C2" s="29" t="s">
        <v>7</v>
      </c>
      <c r="D2" s="31" t="s">
        <v>14</v>
      </c>
      <c r="E2" s="33" t="s">
        <v>3</v>
      </c>
      <c r="F2" s="35" t="s">
        <v>2</v>
      </c>
      <c r="G2" s="28" t="s">
        <v>8</v>
      </c>
      <c r="H2" s="28" t="s">
        <v>15</v>
      </c>
      <c r="I2" s="28" t="s">
        <v>16</v>
      </c>
      <c r="J2" s="28" t="s">
        <v>34</v>
      </c>
      <c r="K2" s="28" t="s">
        <v>9</v>
      </c>
      <c r="L2" s="28" t="s">
        <v>11</v>
      </c>
      <c r="M2" s="28" t="s">
        <v>19</v>
      </c>
      <c r="N2" s="28" t="s">
        <v>21</v>
      </c>
      <c r="O2" s="28" t="s">
        <v>29</v>
      </c>
      <c r="P2" s="28" t="s">
        <v>35</v>
      </c>
      <c r="Q2" s="28" t="s">
        <v>36</v>
      </c>
      <c r="R2" s="28" t="s">
        <v>38</v>
      </c>
      <c r="S2" s="28" t="s">
        <v>39</v>
      </c>
      <c r="T2" s="41" t="s">
        <v>18</v>
      </c>
      <c r="U2" s="28" t="s">
        <v>20</v>
      </c>
      <c r="V2" s="28" t="s">
        <v>40</v>
      </c>
      <c r="W2" s="28" t="s">
        <v>23</v>
      </c>
      <c r="X2" s="28" t="s">
        <v>25</v>
      </c>
      <c r="Y2" s="28" t="s">
        <v>27</v>
      </c>
      <c r="Z2" s="28" t="s">
        <v>28</v>
      </c>
      <c r="AA2" s="28" t="s">
        <v>42</v>
      </c>
    </row>
    <row r="3" ht="78.75" customHeight="1">
      <c r="A3" s="48"/>
      <c r="B3" s="51" t="s">
        <v>48</v>
      </c>
      <c r="C3" s="53" t="s">
        <v>32</v>
      </c>
      <c r="D3" s="55" t="s">
        <v>49</v>
      </c>
      <c r="E3" s="55" t="s">
        <v>50</v>
      </c>
      <c r="F3" s="53" t="s">
        <v>51</v>
      </c>
      <c r="G3" s="55">
        <v>102.0</v>
      </c>
      <c r="H3" s="55">
        <v>12.0</v>
      </c>
      <c r="I3" s="55" t="s">
        <v>52</v>
      </c>
      <c r="J3" s="55" t="s">
        <v>32</v>
      </c>
      <c r="K3" s="57" t="s">
        <v>53</v>
      </c>
      <c r="L3" s="59">
        <v>386.0</v>
      </c>
      <c r="M3" s="55">
        <v>132.0</v>
      </c>
      <c r="N3" s="60">
        <v>5062936.89</v>
      </c>
      <c r="O3" s="62">
        <v>1.116220684E7</v>
      </c>
      <c r="P3" s="63">
        <v>2542612.0</v>
      </c>
      <c r="Q3" s="63">
        <v>2886030.4</v>
      </c>
      <c r="R3" s="76">
        <f t="shared" ref="R3:R4" si="1">(Q3-P3)/P3</f>
        <v>0.1350652007</v>
      </c>
      <c r="S3" s="62" t="s">
        <v>32</v>
      </c>
      <c r="T3" s="79" t="s">
        <v>61</v>
      </c>
      <c r="U3" s="57">
        <v>218.0</v>
      </c>
      <c r="V3" s="57"/>
      <c r="W3" s="57"/>
      <c r="X3" s="57"/>
      <c r="Y3" s="57">
        <v>77.0</v>
      </c>
      <c r="Z3" s="57"/>
      <c r="AA3" s="57">
        <v>91.0</v>
      </c>
    </row>
    <row r="4" ht="97.5" customHeight="1">
      <c r="A4" s="48"/>
      <c r="B4" s="51" t="s">
        <v>64</v>
      </c>
      <c r="C4" s="53" t="s">
        <v>32</v>
      </c>
      <c r="D4" s="55" t="s">
        <v>49</v>
      </c>
      <c r="E4" s="55" t="s">
        <v>50</v>
      </c>
      <c r="F4" s="53" t="s">
        <v>67</v>
      </c>
      <c r="G4" s="55">
        <v>103.0</v>
      </c>
      <c r="H4" s="55" t="s">
        <v>32</v>
      </c>
      <c r="I4" s="55" t="s">
        <v>32</v>
      </c>
      <c r="J4" s="55" t="s">
        <v>32</v>
      </c>
      <c r="K4" s="57" t="s">
        <v>68</v>
      </c>
      <c r="L4" s="85">
        <v>832.0</v>
      </c>
      <c r="M4" s="55">
        <v>516.0</v>
      </c>
      <c r="N4" s="60">
        <v>3921000.0</v>
      </c>
      <c r="O4" s="62">
        <v>1.667821775E7</v>
      </c>
      <c r="P4" s="63">
        <v>3292000.0</v>
      </c>
      <c r="Q4" s="63">
        <v>7635659.8</v>
      </c>
      <c r="R4" s="76">
        <f t="shared" si="1"/>
        <v>1.319459235</v>
      </c>
      <c r="S4" s="60" t="s">
        <v>32</v>
      </c>
      <c r="T4" s="79" t="s">
        <v>70</v>
      </c>
      <c r="U4" s="57">
        <v>419.0</v>
      </c>
      <c r="V4" s="57"/>
      <c r="W4" s="57"/>
      <c r="X4" s="57"/>
      <c r="Y4" s="57">
        <v>169.0</v>
      </c>
      <c r="Z4" s="57"/>
      <c r="AA4" s="57">
        <v>244.0</v>
      </c>
    </row>
    <row r="5" ht="41.25" customHeight="1">
      <c r="A5" s="48"/>
      <c r="B5" s="51" t="s">
        <v>71</v>
      </c>
      <c r="C5" s="53" t="s">
        <v>72</v>
      </c>
      <c r="D5" s="55" t="s">
        <v>7</v>
      </c>
      <c r="E5" s="55" t="s">
        <v>50</v>
      </c>
      <c r="F5" s="53" t="s">
        <v>73</v>
      </c>
      <c r="G5" s="55">
        <v>114.0</v>
      </c>
      <c r="H5" s="55" t="s">
        <v>32</v>
      </c>
      <c r="I5" s="55" t="s">
        <v>32</v>
      </c>
      <c r="J5" s="55">
        <v>99.0</v>
      </c>
      <c r="K5" s="57" t="s">
        <v>74</v>
      </c>
      <c r="L5" s="59">
        <v>626.0</v>
      </c>
      <c r="M5" s="55" t="s">
        <v>32</v>
      </c>
      <c r="N5" s="53" t="s">
        <v>32</v>
      </c>
      <c r="O5" s="60">
        <v>1.78E8</v>
      </c>
      <c r="P5" s="55" t="s">
        <v>32</v>
      </c>
      <c r="Q5" s="55" t="s">
        <v>32</v>
      </c>
      <c r="R5" s="76"/>
      <c r="S5" s="53" t="s">
        <v>32</v>
      </c>
      <c r="T5" s="79" t="s">
        <v>75</v>
      </c>
      <c r="U5" s="55"/>
      <c r="V5" s="55"/>
      <c r="W5" s="55">
        <v>493.0</v>
      </c>
      <c r="X5" s="55">
        <v>133.0</v>
      </c>
      <c r="Y5" s="55"/>
      <c r="Z5" s="55"/>
      <c r="AA5" s="55"/>
    </row>
    <row r="6" ht="94.5" customHeight="1">
      <c r="A6" s="48"/>
      <c r="B6" s="51" t="s">
        <v>76</v>
      </c>
      <c r="C6" s="53" t="s">
        <v>32</v>
      </c>
      <c r="D6" s="55" t="s">
        <v>49</v>
      </c>
      <c r="E6" s="55" t="s">
        <v>50</v>
      </c>
      <c r="F6" s="53" t="s">
        <v>77</v>
      </c>
      <c r="G6" s="55">
        <v>77.0</v>
      </c>
      <c r="H6" s="55" t="s">
        <v>32</v>
      </c>
      <c r="I6" s="55" t="s">
        <v>32</v>
      </c>
      <c r="J6" s="55" t="s">
        <v>32</v>
      </c>
      <c r="K6" s="57" t="s">
        <v>78</v>
      </c>
      <c r="L6" s="59">
        <v>628.0</v>
      </c>
      <c r="M6" s="55">
        <v>132.0</v>
      </c>
      <c r="N6" s="60">
        <v>3375684.39</v>
      </c>
      <c r="O6" s="60">
        <v>7695233.65</v>
      </c>
      <c r="P6" s="53">
        <v>4831232.71</v>
      </c>
      <c r="Q6" s="53">
        <v>8283645.51</v>
      </c>
      <c r="R6" s="76">
        <f t="shared" ref="R6:R7" si="2">(Q6-P6)/P6</f>
        <v>0.7146028782</v>
      </c>
      <c r="S6" s="60" t="s">
        <v>32</v>
      </c>
      <c r="T6" s="79" t="s">
        <v>80</v>
      </c>
      <c r="U6" s="57">
        <v>441.0</v>
      </c>
      <c r="V6" s="57"/>
      <c r="W6" s="57"/>
      <c r="X6" s="57"/>
      <c r="Y6" s="57">
        <v>120.0</v>
      </c>
      <c r="Z6" s="57"/>
      <c r="AA6" s="57">
        <v>67.0</v>
      </c>
    </row>
    <row r="7" ht="123.0" customHeight="1">
      <c r="A7" s="48"/>
      <c r="B7" s="51" t="s">
        <v>81</v>
      </c>
      <c r="C7" s="53" t="s">
        <v>32</v>
      </c>
      <c r="D7" s="55" t="s">
        <v>49</v>
      </c>
      <c r="E7" s="55" t="s">
        <v>50</v>
      </c>
      <c r="F7" s="53" t="s">
        <v>77</v>
      </c>
      <c r="G7" s="55">
        <v>115.0</v>
      </c>
      <c r="H7" s="55" t="s">
        <v>32</v>
      </c>
      <c r="I7" s="55" t="s">
        <v>32</v>
      </c>
      <c r="J7" s="55" t="s">
        <v>32</v>
      </c>
      <c r="K7" s="57" t="s">
        <v>82</v>
      </c>
      <c r="L7" s="59">
        <v>499.0</v>
      </c>
      <c r="M7" s="55">
        <v>204.0</v>
      </c>
      <c r="N7" s="60">
        <v>5063526.58</v>
      </c>
      <c r="O7" s="60">
        <v>1.604439489E7</v>
      </c>
      <c r="P7" s="53">
        <v>1857244.95</v>
      </c>
      <c r="Q7" s="53">
        <v>3738387.41</v>
      </c>
      <c r="R7" s="76">
        <f t="shared" si="2"/>
        <v>1.012867183</v>
      </c>
      <c r="S7" s="60" t="s">
        <v>32</v>
      </c>
      <c r="T7" s="79" t="s">
        <v>83</v>
      </c>
      <c r="U7" s="57">
        <v>249.0</v>
      </c>
      <c r="V7" s="57">
        <v>2.0</v>
      </c>
      <c r="W7" s="57"/>
      <c r="X7" s="57"/>
      <c r="Y7" s="57">
        <v>127.0</v>
      </c>
      <c r="Z7" s="57"/>
      <c r="AA7" s="57">
        <v>121.0</v>
      </c>
    </row>
    <row r="8" ht="149.25" customHeight="1">
      <c r="A8" s="48"/>
      <c r="B8" s="92" t="s">
        <v>84</v>
      </c>
      <c r="C8" s="53" t="s">
        <v>32</v>
      </c>
      <c r="D8" s="55" t="s">
        <v>49</v>
      </c>
      <c r="E8" s="55" t="s">
        <v>50</v>
      </c>
      <c r="F8" s="53" t="s">
        <v>85</v>
      </c>
      <c r="G8" s="55">
        <v>10.0</v>
      </c>
      <c r="H8" s="55" t="s">
        <v>32</v>
      </c>
      <c r="I8" s="55" t="s">
        <v>32</v>
      </c>
      <c r="J8" s="55" t="s">
        <v>32</v>
      </c>
      <c r="K8" s="57" t="s">
        <v>86</v>
      </c>
      <c r="L8" s="59">
        <v>13.0</v>
      </c>
      <c r="M8" s="55">
        <v>3.0</v>
      </c>
      <c r="N8" s="60" t="s">
        <v>32</v>
      </c>
      <c r="O8" s="62">
        <v>9639104.8</v>
      </c>
      <c r="P8" s="55" t="s">
        <v>32</v>
      </c>
      <c r="Q8" s="55" t="s">
        <v>32</v>
      </c>
      <c r="R8" s="95" t="s">
        <v>32</v>
      </c>
      <c r="S8" s="60" t="s">
        <v>32</v>
      </c>
      <c r="T8" s="79" t="s">
        <v>89</v>
      </c>
      <c r="U8" s="57"/>
      <c r="V8" s="57"/>
      <c r="W8" s="57"/>
      <c r="X8" s="57"/>
      <c r="Y8" s="57"/>
      <c r="Z8" s="57"/>
      <c r="AA8" s="57"/>
    </row>
    <row r="9" ht="112.5" customHeight="1">
      <c r="A9" s="48"/>
      <c r="B9" s="92" t="s">
        <v>90</v>
      </c>
      <c r="C9" s="53" t="s">
        <v>32</v>
      </c>
      <c r="D9" s="55" t="s">
        <v>49</v>
      </c>
      <c r="E9" s="55" t="s">
        <v>50</v>
      </c>
      <c r="F9" s="53" t="s">
        <v>91</v>
      </c>
      <c r="G9" s="55">
        <v>77.0</v>
      </c>
      <c r="H9" s="55" t="s">
        <v>32</v>
      </c>
      <c r="I9" s="55" t="s">
        <v>32</v>
      </c>
      <c r="J9" s="55" t="s">
        <v>32</v>
      </c>
      <c r="K9" s="57" t="s">
        <v>92</v>
      </c>
      <c r="L9" s="59">
        <v>525.0</v>
      </c>
      <c r="M9" s="55">
        <v>192.0</v>
      </c>
      <c r="N9" s="60">
        <v>4162937.89</v>
      </c>
      <c r="O9" s="60">
        <v>1.358819383E7</v>
      </c>
      <c r="P9" s="53">
        <v>2985642.0</v>
      </c>
      <c r="Q9" s="53">
        <v>3597132.0</v>
      </c>
      <c r="R9" s="76">
        <f>(Q9-P9)/P9</f>
        <v>0.2048102217</v>
      </c>
      <c r="S9" s="60" t="s">
        <v>32</v>
      </c>
      <c r="T9" s="79" t="s">
        <v>93</v>
      </c>
      <c r="U9" s="57">
        <v>400.0</v>
      </c>
      <c r="V9" s="57"/>
      <c r="W9" s="57"/>
      <c r="X9" s="57"/>
      <c r="Y9" s="57"/>
      <c r="Z9" s="57"/>
      <c r="AA9" s="57">
        <v>125.0</v>
      </c>
    </row>
    <row r="10" ht="111.0" customHeight="1">
      <c r="A10" s="48"/>
      <c r="B10" s="92" t="s">
        <v>96</v>
      </c>
      <c r="C10" s="53" t="s">
        <v>98</v>
      </c>
      <c r="D10" s="55" t="s">
        <v>7</v>
      </c>
      <c r="E10" s="55" t="s">
        <v>50</v>
      </c>
      <c r="F10" s="53" t="s">
        <v>99</v>
      </c>
      <c r="G10" s="55">
        <v>290.0</v>
      </c>
      <c r="H10" s="55">
        <v>30.0</v>
      </c>
      <c r="I10" s="55" t="s">
        <v>100</v>
      </c>
      <c r="J10" s="55" t="s">
        <v>32</v>
      </c>
      <c r="K10" s="57" t="s">
        <v>101</v>
      </c>
      <c r="L10" s="59">
        <v>1791.0</v>
      </c>
      <c r="M10" s="55" t="s">
        <v>32</v>
      </c>
      <c r="N10" s="53" t="s">
        <v>32</v>
      </c>
      <c r="O10" s="60">
        <v>2.095452353E7</v>
      </c>
      <c r="P10" s="53" t="s">
        <v>32</v>
      </c>
      <c r="Q10" s="53" t="s">
        <v>32</v>
      </c>
      <c r="R10" s="55" t="s">
        <v>32</v>
      </c>
      <c r="S10" s="53">
        <v>1.5998248639E8</v>
      </c>
      <c r="T10" s="79" t="s">
        <v>103</v>
      </c>
      <c r="U10" s="55"/>
      <c r="V10" s="55"/>
      <c r="W10" s="59">
        <v>1469.0</v>
      </c>
      <c r="X10" s="55">
        <v>336.0</v>
      </c>
      <c r="Y10" s="55"/>
      <c r="Z10" s="55"/>
      <c r="AA10" s="55"/>
    </row>
    <row r="11" ht="170.25" customHeight="1">
      <c r="A11" s="48"/>
      <c r="B11" s="92" t="s">
        <v>105</v>
      </c>
      <c r="C11" s="53" t="s">
        <v>72</v>
      </c>
      <c r="D11" s="55" t="s">
        <v>7</v>
      </c>
      <c r="E11" s="55" t="s">
        <v>50</v>
      </c>
      <c r="F11" s="53" t="s">
        <v>108</v>
      </c>
      <c r="G11" s="55">
        <v>150.0</v>
      </c>
      <c r="H11" s="55" t="s">
        <v>32</v>
      </c>
      <c r="I11" s="55" t="s">
        <v>32</v>
      </c>
      <c r="J11" s="55" t="s">
        <v>32</v>
      </c>
      <c r="K11" s="57" t="s">
        <v>109</v>
      </c>
      <c r="L11" s="59">
        <v>780.0</v>
      </c>
      <c r="M11" s="55" t="s">
        <v>32</v>
      </c>
      <c r="N11" s="53" t="s">
        <v>32</v>
      </c>
      <c r="O11" s="60">
        <v>1238197.74</v>
      </c>
      <c r="P11" s="55" t="s">
        <v>32</v>
      </c>
      <c r="Q11" s="55" t="s">
        <v>32</v>
      </c>
      <c r="R11" s="55" t="s">
        <v>32</v>
      </c>
      <c r="S11" s="53">
        <v>6.264543442E7</v>
      </c>
      <c r="T11" s="79" t="s">
        <v>113</v>
      </c>
      <c r="U11" s="55"/>
      <c r="V11" s="55"/>
      <c r="W11" s="55">
        <v>704.0</v>
      </c>
      <c r="X11" s="55">
        <v>76.0</v>
      </c>
      <c r="Y11" s="55"/>
      <c r="Z11" s="55"/>
      <c r="AA11" s="55"/>
    </row>
    <row r="12" ht="174.0" customHeight="1">
      <c r="A12" s="48"/>
      <c r="B12" s="92" t="s">
        <v>116</v>
      </c>
      <c r="C12" s="53" t="s">
        <v>98</v>
      </c>
      <c r="D12" s="55" t="s">
        <v>7</v>
      </c>
      <c r="E12" s="55" t="s">
        <v>50</v>
      </c>
      <c r="F12" s="113" t="s">
        <v>120</v>
      </c>
      <c r="G12" s="55">
        <v>157.0</v>
      </c>
      <c r="H12" s="55">
        <v>10.0</v>
      </c>
      <c r="I12" s="55" t="s">
        <v>125</v>
      </c>
      <c r="J12" s="55" t="s">
        <v>32</v>
      </c>
      <c r="K12" s="57" t="s">
        <v>129</v>
      </c>
      <c r="L12" s="59">
        <v>1205.0</v>
      </c>
      <c r="M12" s="55" t="s">
        <v>32</v>
      </c>
      <c r="N12" s="53" t="s">
        <v>32</v>
      </c>
      <c r="O12" s="60">
        <v>1.451153385E7</v>
      </c>
      <c r="P12" s="53" t="s">
        <v>32</v>
      </c>
      <c r="Q12" s="53" t="s">
        <v>32</v>
      </c>
      <c r="R12" s="55" t="s">
        <v>32</v>
      </c>
      <c r="S12" s="53">
        <v>1.1644544571E8</v>
      </c>
      <c r="T12" s="79" t="s">
        <v>130</v>
      </c>
      <c r="U12" s="55"/>
      <c r="V12" s="55"/>
      <c r="W12" s="55"/>
      <c r="X12" s="55"/>
      <c r="Y12" s="55"/>
      <c r="Z12" s="55"/>
      <c r="AA12" s="55"/>
    </row>
    <row r="13" ht="97.5" customHeight="1">
      <c r="A13" s="119"/>
      <c r="B13" s="92" t="s">
        <v>132</v>
      </c>
      <c r="C13" s="53" t="s">
        <v>98</v>
      </c>
      <c r="D13" s="55" t="s">
        <v>7</v>
      </c>
      <c r="E13" s="55" t="s">
        <v>50</v>
      </c>
      <c r="F13" s="113" t="s">
        <v>133</v>
      </c>
      <c r="G13" s="55">
        <v>181.0</v>
      </c>
      <c r="H13" s="55" t="s">
        <v>32</v>
      </c>
      <c r="I13" s="55" t="s">
        <v>32</v>
      </c>
      <c r="J13" s="55" t="s">
        <v>32</v>
      </c>
      <c r="K13" s="57" t="s">
        <v>135</v>
      </c>
      <c r="L13" s="59">
        <v>1254.0</v>
      </c>
      <c r="M13" s="55" t="s">
        <v>32</v>
      </c>
      <c r="N13" s="53" t="s">
        <v>32</v>
      </c>
      <c r="O13" s="124">
        <v>1.026214966E7</v>
      </c>
      <c r="P13" s="53" t="s">
        <v>32</v>
      </c>
      <c r="Q13" s="53" t="s">
        <v>32</v>
      </c>
      <c r="R13" s="55" t="s">
        <v>32</v>
      </c>
      <c r="S13" s="53">
        <v>1.0211073789E8</v>
      </c>
      <c r="T13" s="79" t="s">
        <v>139</v>
      </c>
      <c r="U13" s="55"/>
      <c r="V13" s="55"/>
      <c r="W13" s="55"/>
      <c r="X13" s="55"/>
      <c r="Y13" s="55"/>
      <c r="Z13" s="55"/>
      <c r="AA13" s="55"/>
    </row>
    <row r="14" ht="130.5" customHeight="1">
      <c r="A14" s="48"/>
      <c r="B14" s="92" t="s">
        <v>143</v>
      </c>
      <c r="C14" s="53" t="s">
        <v>98</v>
      </c>
      <c r="D14" s="55" t="s">
        <v>7</v>
      </c>
      <c r="E14" s="55" t="s">
        <v>50</v>
      </c>
      <c r="F14" s="53" t="s">
        <v>147</v>
      </c>
      <c r="G14" s="55">
        <v>150.0</v>
      </c>
      <c r="H14" s="55" t="s">
        <v>32</v>
      </c>
      <c r="I14" s="55" t="s">
        <v>32</v>
      </c>
      <c r="J14" s="55" t="s">
        <v>32</v>
      </c>
      <c r="K14" s="57" t="s">
        <v>149</v>
      </c>
      <c r="L14" s="59">
        <v>1546.0</v>
      </c>
      <c r="M14" s="55" t="s">
        <v>32</v>
      </c>
      <c r="N14" s="53" t="s">
        <v>32</v>
      </c>
      <c r="O14" s="60">
        <v>8675544.46</v>
      </c>
      <c r="P14" s="53" t="s">
        <v>32</v>
      </c>
      <c r="Q14" s="53" t="s">
        <v>32</v>
      </c>
      <c r="R14" s="55" t="s">
        <v>32</v>
      </c>
      <c r="S14" s="53">
        <v>1.0731685679E8</v>
      </c>
      <c r="T14" s="79" t="s">
        <v>155</v>
      </c>
      <c r="U14" s="55"/>
      <c r="V14" s="55"/>
      <c r="W14" s="59">
        <v>1274.0</v>
      </c>
      <c r="X14" s="55">
        <v>272.0</v>
      </c>
      <c r="Y14" s="55"/>
      <c r="Z14" s="55"/>
      <c r="AA14" s="55"/>
    </row>
    <row r="15" ht="138.75" customHeight="1">
      <c r="A15" s="48"/>
      <c r="B15" s="92" t="s">
        <v>159</v>
      </c>
      <c r="C15" s="53" t="s">
        <v>32</v>
      </c>
      <c r="D15" s="55" t="s">
        <v>49</v>
      </c>
      <c r="E15" s="55" t="s">
        <v>65</v>
      </c>
      <c r="F15" s="53" t="s">
        <v>163</v>
      </c>
      <c r="G15" s="55">
        <v>69.0</v>
      </c>
      <c r="H15" s="55" t="s">
        <v>32</v>
      </c>
      <c r="I15" s="55" t="s">
        <v>32</v>
      </c>
      <c r="J15" s="55" t="s">
        <v>32</v>
      </c>
      <c r="K15" s="57" t="s">
        <v>164</v>
      </c>
      <c r="L15" s="59">
        <v>655.0</v>
      </c>
      <c r="M15" s="55">
        <v>68.0</v>
      </c>
      <c r="N15" s="60">
        <v>4184442.93</v>
      </c>
      <c r="O15" s="60">
        <v>1.335889508E7</v>
      </c>
      <c r="P15" s="53">
        <v>2828257.2</v>
      </c>
      <c r="Q15" s="53">
        <v>1.26795196E7</v>
      </c>
      <c r="R15" s="76">
        <f>(Q15-P15)/P15</f>
        <v>3.483156482</v>
      </c>
      <c r="S15" s="60" t="s">
        <v>32</v>
      </c>
      <c r="T15" s="79" t="s">
        <v>173</v>
      </c>
      <c r="U15" s="57">
        <v>423.0</v>
      </c>
      <c r="V15" s="57"/>
      <c r="W15" s="57"/>
      <c r="X15" s="57"/>
      <c r="Y15" s="57">
        <v>105.0</v>
      </c>
      <c r="Z15" s="57"/>
      <c r="AA15" s="57">
        <v>127.0</v>
      </c>
    </row>
    <row r="16" ht="111.75" customHeight="1">
      <c r="A16" s="48"/>
      <c r="B16" s="92" t="s">
        <v>176</v>
      </c>
      <c r="C16" s="53" t="s">
        <v>177</v>
      </c>
      <c r="D16" s="55" t="s">
        <v>7</v>
      </c>
      <c r="E16" s="55" t="s">
        <v>58</v>
      </c>
      <c r="F16" s="53" t="s">
        <v>180</v>
      </c>
      <c r="G16" s="55">
        <v>57.0</v>
      </c>
      <c r="H16" s="55" t="s">
        <v>32</v>
      </c>
      <c r="I16" s="55" t="s">
        <v>32</v>
      </c>
      <c r="J16" s="55" t="s">
        <v>32</v>
      </c>
      <c r="K16" s="57" t="s">
        <v>184</v>
      </c>
      <c r="L16" s="59">
        <v>473.0</v>
      </c>
      <c r="M16" s="55" t="s">
        <v>32</v>
      </c>
      <c r="N16" s="53" t="s">
        <v>32</v>
      </c>
      <c r="O16" s="124">
        <v>2670011.77</v>
      </c>
      <c r="P16" s="53" t="s">
        <v>32</v>
      </c>
      <c r="Q16" s="53" t="s">
        <v>32</v>
      </c>
      <c r="R16" s="55" t="s">
        <v>32</v>
      </c>
      <c r="S16" s="53">
        <v>3.141697937E7</v>
      </c>
      <c r="T16" s="79" t="s">
        <v>190</v>
      </c>
      <c r="U16" s="55"/>
      <c r="V16" s="55"/>
      <c r="W16" s="55">
        <v>380.0</v>
      </c>
      <c r="X16" s="55">
        <v>93.0</v>
      </c>
      <c r="Y16" s="55"/>
      <c r="Z16" s="55"/>
      <c r="AA16" s="55"/>
    </row>
    <row r="17" ht="162.0" customHeight="1">
      <c r="A17" s="48"/>
      <c r="B17" s="92" t="s">
        <v>193</v>
      </c>
      <c r="C17" s="53" t="s">
        <v>72</v>
      </c>
      <c r="D17" s="55" t="s">
        <v>7</v>
      </c>
      <c r="E17" s="55" t="s">
        <v>50</v>
      </c>
      <c r="F17" s="53" t="s">
        <v>196</v>
      </c>
      <c r="G17" s="55">
        <v>129.0</v>
      </c>
      <c r="H17" s="55" t="s">
        <v>32</v>
      </c>
      <c r="I17" s="55" t="s">
        <v>32</v>
      </c>
      <c r="J17" s="55" t="s">
        <v>32</v>
      </c>
      <c r="K17" s="57" t="s">
        <v>201</v>
      </c>
      <c r="L17" s="59">
        <v>965.0</v>
      </c>
      <c r="M17" s="55" t="s">
        <v>32</v>
      </c>
      <c r="N17" s="53" t="s">
        <v>32</v>
      </c>
      <c r="O17" s="124">
        <v>1754469.05</v>
      </c>
      <c r="P17" s="53" t="s">
        <v>32</v>
      </c>
      <c r="Q17" s="53" t="s">
        <v>32</v>
      </c>
      <c r="R17" s="55" t="s">
        <v>32</v>
      </c>
      <c r="S17" s="53">
        <v>5.938690557E7</v>
      </c>
      <c r="T17" s="79" t="s">
        <v>206</v>
      </c>
      <c r="U17" s="55"/>
      <c r="V17" s="55"/>
      <c r="W17" s="55"/>
      <c r="X17" s="55"/>
      <c r="Y17" s="55"/>
      <c r="Z17" s="55"/>
      <c r="AA17" s="55"/>
    </row>
    <row r="18">
      <c r="A18" s="48"/>
      <c r="B18" s="92" t="s">
        <v>210</v>
      </c>
      <c r="C18" s="53" t="s">
        <v>177</v>
      </c>
      <c r="D18" s="55" t="s">
        <v>7</v>
      </c>
      <c r="E18" s="55" t="s">
        <v>114</v>
      </c>
      <c r="F18" s="53" t="s">
        <v>215</v>
      </c>
      <c r="G18" s="55">
        <v>184.0</v>
      </c>
      <c r="H18" s="55" t="s">
        <v>32</v>
      </c>
      <c r="I18" s="55" t="s">
        <v>32</v>
      </c>
      <c r="J18" s="55" t="s">
        <v>32</v>
      </c>
      <c r="K18" s="57" t="s">
        <v>219</v>
      </c>
      <c r="L18" s="59">
        <v>1400.0</v>
      </c>
      <c r="M18" s="55" t="s">
        <v>32</v>
      </c>
      <c r="N18" s="53" t="s">
        <v>32</v>
      </c>
      <c r="O18" s="60">
        <v>6740221.74</v>
      </c>
      <c r="P18" s="53" t="s">
        <v>32</v>
      </c>
      <c r="Q18" s="53" t="s">
        <v>32</v>
      </c>
      <c r="R18" s="55" t="s">
        <v>32</v>
      </c>
      <c r="S18" s="53">
        <v>6.321452366E7</v>
      </c>
      <c r="T18" s="79" t="s">
        <v>224</v>
      </c>
      <c r="U18" s="55">
        <v>232.0</v>
      </c>
      <c r="V18" s="55"/>
      <c r="W18" s="55">
        <v>927.0</v>
      </c>
      <c r="X18" s="55"/>
      <c r="Y18" s="55">
        <v>241.0</v>
      </c>
      <c r="Z18" s="55"/>
      <c r="AA18" s="55"/>
    </row>
    <row r="19" ht="98.25" customHeight="1">
      <c r="A19" s="48"/>
      <c r="B19" s="92" t="s">
        <v>227</v>
      </c>
      <c r="C19" s="53" t="s">
        <v>72</v>
      </c>
      <c r="D19" s="55" t="s">
        <v>7</v>
      </c>
      <c r="E19" s="55" t="s">
        <v>138</v>
      </c>
      <c r="F19" s="53" t="s">
        <v>229</v>
      </c>
      <c r="G19" s="55">
        <v>207.0</v>
      </c>
      <c r="H19" s="55" t="s">
        <v>32</v>
      </c>
      <c r="I19" s="55" t="s">
        <v>32</v>
      </c>
      <c r="J19" s="55" t="s">
        <v>32</v>
      </c>
      <c r="K19" s="57" t="s">
        <v>234</v>
      </c>
      <c r="L19" s="59">
        <v>2710.0</v>
      </c>
      <c r="M19" s="55" t="s">
        <v>32</v>
      </c>
      <c r="N19" s="53" t="s">
        <v>32</v>
      </c>
      <c r="O19" s="60">
        <v>1.994374738E7</v>
      </c>
      <c r="P19" s="53" t="s">
        <v>32</v>
      </c>
      <c r="Q19" s="53" t="s">
        <v>32</v>
      </c>
      <c r="R19" s="55" t="s">
        <v>32</v>
      </c>
      <c r="S19" s="53">
        <v>2.4337626168E8</v>
      </c>
      <c r="T19" s="79" t="s">
        <v>236</v>
      </c>
      <c r="U19" s="55"/>
      <c r="V19" s="55"/>
      <c r="W19" s="55">
        <v>2501.0</v>
      </c>
      <c r="X19" s="55">
        <v>209.0</v>
      </c>
      <c r="Y19" s="55"/>
      <c r="Z19" s="55"/>
      <c r="AA19" s="55"/>
    </row>
    <row r="20">
      <c r="A20" s="48"/>
      <c r="B20" s="92" t="s">
        <v>238</v>
      </c>
      <c r="C20" s="53" t="s">
        <v>240</v>
      </c>
      <c r="D20" s="55" t="s">
        <v>7</v>
      </c>
      <c r="E20" s="55" t="s">
        <v>138</v>
      </c>
      <c r="F20" s="53" t="s">
        <v>241</v>
      </c>
      <c r="G20" s="55">
        <v>60.0</v>
      </c>
      <c r="H20" s="55" t="s">
        <v>32</v>
      </c>
      <c r="I20" s="55" t="s">
        <v>32</v>
      </c>
      <c r="J20" s="55" t="s">
        <v>32</v>
      </c>
      <c r="K20" s="57" t="s">
        <v>243</v>
      </c>
      <c r="L20" s="59">
        <v>217.0</v>
      </c>
      <c r="M20" s="55" t="s">
        <v>32</v>
      </c>
      <c r="N20" s="53" t="s">
        <v>32</v>
      </c>
      <c r="O20" s="60">
        <v>4922953.63</v>
      </c>
      <c r="P20" s="53" t="s">
        <v>32</v>
      </c>
      <c r="Q20" s="53" t="s">
        <v>32</v>
      </c>
      <c r="R20" s="55" t="s">
        <v>32</v>
      </c>
      <c r="S20" s="53">
        <v>1.722605632E7</v>
      </c>
      <c r="T20" s="79" t="s">
        <v>246</v>
      </c>
      <c r="U20" s="55"/>
      <c r="V20" s="55"/>
      <c r="W20" s="55">
        <v>217.0</v>
      </c>
      <c r="X20" s="55"/>
      <c r="Y20" s="55"/>
      <c r="Z20" s="55"/>
      <c r="AA20" s="55"/>
    </row>
    <row r="21" ht="140.25" customHeight="1">
      <c r="A21" s="48"/>
      <c r="B21" s="92" t="s">
        <v>248</v>
      </c>
      <c r="C21" s="53" t="s">
        <v>32</v>
      </c>
      <c r="D21" s="55" t="s">
        <v>49</v>
      </c>
      <c r="E21" s="55" t="s">
        <v>37</v>
      </c>
      <c r="F21" s="53" t="s">
        <v>256</v>
      </c>
      <c r="G21" s="55">
        <v>156.0</v>
      </c>
      <c r="H21" s="55">
        <v>5.0</v>
      </c>
      <c r="I21" s="55" t="s">
        <v>169</v>
      </c>
      <c r="J21" s="55" t="s">
        <v>32</v>
      </c>
      <c r="K21" s="57" t="s">
        <v>259</v>
      </c>
      <c r="L21" s="59">
        <v>596.0</v>
      </c>
      <c r="M21" s="55">
        <v>386.0</v>
      </c>
      <c r="N21" s="60">
        <v>5359937.89</v>
      </c>
      <c r="O21" s="60">
        <v>2.186986914E7</v>
      </c>
      <c r="P21" s="53">
        <v>8807953.09</v>
      </c>
      <c r="Q21" s="53">
        <v>1.391788995E7</v>
      </c>
      <c r="R21" s="76">
        <f t="shared" ref="R21:R22" si="3">(Q21-P21)/P21</f>
        <v>0.5801503264</v>
      </c>
      <c r="S21" s="60" t="s">
        <v>32</v>
      </c>
      <c r="T21" s="79" t="s">
        <v>263</v>
      </c>
      <c r="U21" s="57">
        <v>63.0</v>
      </c>
      <c r="V21" s="57"/>
      <c r="W21" s="57"/>
      <c r="X21" s="57"/>
      <c r="Y21" s="57">
        <v>164.0</v>
      </c>
      <c r="Z21" s="57"/>
      <c r="AA21" s="57">
        <v>369.0</v>
      </c>
    </row>
    <row r="22" ht="187.5" customHeight="1">
      <c r="A22" s="48"/>
      <c r="B22" s="92" t="s">
        <v>265</v>
      </c>
      <c r="C22" s="53" t="s">
        <v>32</v>
      </c>
      <c r="D22" s="55" t="s">
        <v>49</v>
      </c>
      <c r="E22" s="55" t="s">
        <v>188</v>
      </c>
      <c r="F22" s="53" t="s">
        <v>267</v>
      </c>
      <c r="G22" s="55">
        <v>159.0</v>
      </c>
      <c r="H22" s="55">
        <v>20.0</v>
      </c>
      <c r="I22" s="55" t="s">
        <v>268</v>
      </c>
      <c r="J22" s="55" t="s">
        <v>32</v>
      </c>
      <c r="K22" s="57" t="s">
        <v>269</v>
      </c>
      <c r="L22" s="59">
        <v>998.0</v>
      </c>
      <c r="M22" s="55">
        <v>472.0</v>
      </c>
      <c r="N22" s="60">
        <v>5716381.14</v>
      </c>
      <c r="O22" s="60">
        <v>1.523960322E7</v>
      </c>
      <c r="P22" s="53">
        <v>7496505.37</v>
      </c>
      <c r="Q22" s="53">
        <v>1.551960895E7</v>
      </c>
      <c r="R22" s="76">
        <f t="shared" si="3"/>
        <v>1.070245826</v>
      </c>
      <c r="S22" s="60" t="s">
        <v>32</v>
      </c>
      <c r="T22" s="79" t="s">
        <v>272</v>
      </c>
      <c r="U22" s="57">
        <v>572.0</v>
      </c>
      <c r="V22" s="57"/>
      <c r="W22" s="57"/>
      <c r="X22" s="57"/>
      <c r="Y22" s="57">
        <v>76.0</v>
      </c>
      <c r="Z22" s="57"/>
      <c r="AA22" s="57">
        <v>350.0</v>
      </c>
    </row>
    <row r="23" ht="192.75" customHeight="1">
      <c r="A23" s="48"/>
      <c r="B23" s="92" t="s">
        <v>274</v>
      </c>
      <c r="C23" s="53" t="s">
        <v>72</v>
      </c>
      <c r="D23" s="55" t="s">
        <v>7</v>
      </c>
      <c r="E23" s="55" t="s">
        <v>102</v>
      </c>
      <c r="F23" s="53" t="s">
        <v>276</v>
      </c>
      <c r="G23" s="55">
        <v>165.0</v>
      </c>
      <c r="H23" s="55">
        <v>15.0</v>
      </c>
      <c r="I23" s="55" t="s">
        <v>277</v>
      </c>
      <c r="J23" s="55" t="s">
        <v>32</v>
      </c>
      <c r="K23" s="57" t="s">
        <v>278</v>
      </c>
      <c r="L23" s="59">
        <v>1378.0</v>
      </c>
      <c r="M23" s="55" t="s">
        <v>32</v>
      </c>
      <c r="N23" s="53" t="s">
        <v>32</v>
      </c>
      <c r="O23" s="60">
        <v>5769003.71</v>
      </c>
      <c r="P23" s="177" t="s">
        <v>32</v>
      </c>
      <c r="Q23" s="177" t="s">
        <v>32</v>
      </c>
      <c r="R23" s="55" t="s">
        <v>32</v>
      </c>
      <c r="S23" s="178">
        <v>6.964865369E7</v>
      </c>
      <c r="T23" s="79" t="s">
        <v>283</v>
      </c>
      <c r="U23" s="55">
        <v>208.0</v>
      </c>
      <c r="V23" s="55"/>
      <c r="W23" s="55">
        <v>1080.0</v>
      </c>
      <c r="X23" s="55"/>
      <c r="Y23" s="55">
        <v>90.0</v>
      </c>
      <c r="Z23" s="55"/>
      <c r="AA23" s="55"/>
    </row>
    <row r="24" ht="117.75" customHeight="1">
      <c r="A24" s="48"/>
      <c r="B24" s="92" t="s">
        <v>284</v>
      </c>
      <c r="C24" s="53" t="s">
        <v>285</v>
      </c>
      <c r="D24" s="55" t="s">
        <v>7</v>
      </c>
      <c r="E24" s="55" t="s">
        <v>94</v>
      </c>
      <c r="F24" s="53" t="s">
        <v>287</v>
      </c>
      <c r="G24" s="55">
        <v>53.0</v>
      </c>
      <c r="H24" s="55">
        <v>10.0</v>
      </c>
      <c r="I24" s="55" t="s">
        <v>169</v>
      </c>
      <c r="J24" s="55" t="s">
        <v>32</v>
      </c>
      <c r="K24" s="57" t="s">
        <v>289</v>
      </c>
      <c r="L24" s="59">
        <v>794.0</v>
      </c>
      <c r="M24" s="55" t="s">
        <v>32</v>
      </c>
      <c r="N24" s="53" t="s">
        <v>32</v>
      </c>
      <c r="O24" s="180">
        <v>7128698.26</v>
      </c>
      <c r="P24" s="181" t="s">
        <v>32</v>
      </c>
      <c r="Q24" s="181" t="s">
        <v>32</v>
      </c>
      <c r="R24" s="55" t="s">
        <v>32</v>
      </c>
      <c r="S24" s="183" t="s">
        <v>292</v>
      </c>
      <c r="T24" s="79" t="s">
        <v>295</v>
      </c>
      <c r="U24" s="55">
        <v>157.0</v>
      </c>
      <c r="V24" s="55"/>
      <c r="W24" s="55">
        <v>566.0</v>
      </c>
      <c r="X24" s="55">
        <v>71.0</v>
      </c>
      <c r="Y24" s="55"/>
      <c r="Z24" s="55"/>
      <c r="AA24" s="55"/>
    </row>
    <row r="25" ht="429.0" customHeight="1">
      <c r="A25" s="48"/>
      <c r="B25" s="92" t="s">
        <v>297</v>
      </c>
      <c r="C25" s="53" t="s">
        <v>32</v>
      </c>
      <c r="D25" s="55" t="s">
        <v>49</v>
      </c>
      <c r="E25" s="55" t="s">
        <v>50</v>
      </c>
      <c r="F25" s="53" t="s">
        <v>298</v>
      </c>
      <c r="G25" s="186">
        <v>66.0</v>
      </c>
      <c r="H25" s="186"/>
      <c r="I25" s="186"/>
      <c r="J25" s="186"/>
      <c r="K25" s="57" t="s">
        <v>300</v>
      </c>
      <c r="L25" s="188">
        <v>627.0</v>
      </c>
      <c r="M25" s="55">
        <v>210.0</v>
      </c>
      <c r="N25" s="60">
        <v>4237827.79</v>
      </c>
      <c r="O25" s="60">
        <v>1.103387034E7</v>
      </c>
      <c r="P25" s="53">
        <v>5515170.69</v>
      </c>
      <c r="Q25" s="53">
        <v>1.178376069E7</v>
      </c>
      <c r="R25" s="76">
        <f>(Q25-P25)/P25</f>
        <v>1.136608521</v>
      </c>
      <c r="S25" s="60" t="s">
        <v>32</v>
      </c>
      <c r="T25" s="192" t="s">
        <v>307</v>
      </c>
      <c r="U25" s="95">
        <v>495.0</v>
      </c>
      <c r="V25" s="95"/>
      <c r="W25" s="95"/>
      <c r="X25" s="95"/>
      <c r="Y25" s="95">
        <v>48.0</v>
      </c>
      <c r="Z25" s="95"/>
      <c r="AA25" s="95">
        <v>84.0</v>
      </c>
    </row>
    <row r="26" ht="87.75" customHeight="1">
      <c r="A26" s="48"/>
      <c r="B26" s="92" t="s">
        <v>317</v>
      </c>
      <c r="C26" s="53" t="s">
        <v>72</v>
      </c>
      <c r="D26" s="55" t="s">
        <v>7</v>
      </c>
      <c r="E26" s="55" t="s">
        <v>119</v>
      </c>
      <c r="F26" s="53" t="s">
        <v>319</v>
      </c>
      <c r="G26" s="194">
        <f>182+40</f>
        <v>222</v>
      </c>
      <c r="H26" s="55" t="s">
        <v>32</v>
      </c>
      <c r="I26" s="55" t="s">
        <v>32</v>
      </c>
      <c r="J26" s="55" t="s">
        <v>32</v>
      </c>
      <c r="K26" s="57" t="s">
        <v>323</v>
      </c>
      <c r="L26" s="59">
        <v>1154.0</v>
      </c>
      <c r="M26" s="55" t="s">
        <v>32</v>
      </c>
      <c r="N26" s="53" t="s">
        <v>32</v>
      </c>
      <c r="O26" s="60">
        <v>5715620.47</v>
      </c>
      <c r="P26" s="53" t="s">
        <v>32</v>
      </c>
      <c r="Q26" s="53" t="s">
        <v>32</v>
      </c>
      <c r="R26" s="55" t="s">
        <v>32</v>
      </c>
      <c r="S26" s="53">
        <v>6.715894759E7</v>
      </c>
      <c r="T26" s="79" t="s">
        <v>325</v>
      </c>
      <c r="U26" s="55"/>
      <c r="V26" s="55"/>
      <c r="W26" s="55">
        <v>1071.0</v>
      </c>
      <c r="X26" s="55">
        <v>83.0</v>
      </c>
      <c r="Y26" s="55"/>
      <c r="Z26" s="55"/>
      <c r="AA26" s="55"/>
    </row>
    <row r="27" ht="98.25" customHeight="1">
      <c r="A27" s="48"/>
      <c r="B27" s="92" t="s">
        <v>326</v>
      </c>
      <c r="C27" s="53" t="s">
        <v>72</v>
      </c>
      <c r="D27" s="55" t="s">
        <v>7</v>
      </c>
      <c r="E27" s="55" t="s">
        <v>209</v>
      </c>
      <c r="F27" s="53" t="s">
        <v>327</v>
      </c>
      <c r="G27" s="55">
        <v>125.0</v>
      </c>
      <c r="H27" s="55">
        <v>10.0</v>
      </c>
      <c r="I27" s="55" t="s">
        <v>169</v>
      </c>
      <c r="J27" s="55" t="s">
        <v>32</v>
      </c>
      <c r="K27" s="57" t="s">
        <v>328</v>
      </c>
      <c r="L27" s="59">
        <v>688.0</v>
      </c>
      <c r="M27" s="55" t="s">
        <v>32</v>
      </c>
      <c r="N27" s="53" t="s">
        <v>32</v>
      </c>
      <c r="O27" s="60">
        <v>5665366.95</v>
      </c>
      <c r="P27" s="53" t="s">
        <v>32</v>
      </c>
      <c r="Q27" s="53" t="s">
        <v>32</v>
      </c>
      <c r="R27" s="55" t="s">
        <v>32</v>
      </c>
      <c r="S27" s="53">
        <v>4.153610967E7</v>
      </c>
      <c r="T27" s="79" t="s">
        <v>329</v>
      </c>
      <c r="U27" s="55"/>
      <c r="V27" s="55"/>
      <c r="W27" s="55">
        <v>620.0</v>
      </c>
      <c r="X27" s="55">
        <v>68.0</v>
      </c>
      <c r="Y27" s="55"/>
      <c r="Z27" s="55"/>
      <c r="AA27" s="55"/>
    </row>
    <row r="28">
      <c r="A28" s="48"/>
      <c r="B28" s="92" t="s">
        <v>331</v>
      </c>
      <c r="C28" s="53" t="s">
        <v>285</v>
      </c>
      <c r="D28" s="55" t="s">
        <v>7</v>
      </c>
      <c r="E28" s="55" t="s">
        <v>127</v>
      </c>
      <c r="F28" s="53" t="s">
        <v>332</v>
      </c>
      <c r="G28" s="55">
        <v>239.0</v>
      </c>
      <c r="H28" s="55">
        <v>10.0</v>
      </c>
      <c r="I28" s="55" t="s">
        <v>333</v>
      </c>
      <c r="J28" s="55" t="s">
        <v>32</v>
      </c>
      <c r="K28" s="57" t="s">
        <v>334</v>
      </c>
      <c r="L28" s="59">
        <v>1464.0</v>
      </c>
      <c r="M28" s="55" t="s">
        <v>32</v>
      </c>
      <c r="N28" s="53" t="s">
        <v>32</v>
      </c>
      <c r="O28" s="208">
        <v>6126105.76</v>
      </c>
      <c r="P28" s="53" t="s">
        <v>32</v>
      </c>
      <c r="Q28" s="53" t="s">
        <v>32</v>
      </c>
      <c r="R28" s="55" t="s">
        <v>32</v>
      </c>
      <c r="S28" s="53">
        <v>1.0041951708E8</v>
      </c>
      <c r="T28" s="79" t="s">
        <v>335</v>
      </c>
      <c r="U28" s="55"/>
      <c r="V28" s="55"/>
      <c r="W28" s="55">
        <v>1284.0</v>
      </c>
      <c r="X28" s="55">
        <v>180.0</v>
      </c>
      <c r="Y28" s="55"/>
      <c r="Z28" s="55"/>
      <c r="AA28" s="55"/>
    </row>
    <row r="29" ht="111.75" customHeight="1">
      <c r="A29" s="48"/>
      <c r="B29" s="92" t="s">
        <v>336</v>
      </c>
      <c r="C29" s="53" t="s">
        <v>240</v>
      </c>
      <c r="D29" s="55" t="s">
        <v>7</v>
      </c>
      <c r="E29" s="55" t="s">
        <v>138</v>
      </c>
      <c r="F29" s="210" t="s">
        <v>337</v>
      </c>
      <c r="G29" s="55">
        <v>198.0</v>
      </c>
      <c r="H29" s="55">
        <v>10.0</v>
      </c>
      <c r="I29" s="55" t="s">
        <v>338</v>
      </c>
      <c r="J29" s="55" t="s">
        <v>32</v>
      </c>
      <c r="K29" s="57" t="s">
        <v>339</v>
      </c>
      <c r="L29" s="59">
        <v>1031.0</v>
      </c>
      <c r="M29" s="55" t="s">
        <v>32</v>
      </c>
      <c r="N29" s="53" t="s">
        <v>32</v>
      </c>
      <c r="O29" s="60">
        <v>5845658.18</v>
      </c>
      <c r="P29" s="53" t="s">
        <v>32</v>
      </c>
      <c r="Q29" s="53" t="s">
        <v>32</v>
      </c>
      <c r="R29" s="55" t="s">
        <v>32</v>
      </c>
      <c r="S29" s="53">
        <v>4.471225307E7</v>
      </c>
      <c r="T29" s="79" t="s">
        <v>340</v>
      </c>
      <c r="U29" s="55"/>
      <c r="V29" s="55"/>
      <c r="W29" s="55"/>
      <c r="X29" s="55"/>
      <c r="Y29" s="55"/>
      <c r="Z29" s="55"/>
      <c r="AA29" s="55"/>
    </row>
    <row r="30" ht="48.75" customHeight="1">
      <c r="A30" s="48"/>
      <c r="B30" s="51" t="s">
        <v>341</v>
      </c>
      <c r="C30" s="53" t="s">
        <v>32</v>
      </c>
      <c r="D30" s="55" t="s">
        <v>342</v>
      </c>
      <c r="E30" s="55" t="s">
        <v>50</v>
      </c>
      <c r="F30" s="53" t="s">
        <v>343</v>
      </c>
      <c r="G30" s="55">
        <v>62.0</v>
      </c>
      <c r="H30" s="55">
        <v>7.0</v>
      </c>
      <c r="I30" s="55" t="s">
        <v>344</v>
      </c>
      <c r="J30" s="55"/>
      <c r="K30" s="57" t="s">
        <v>345</v>
      </c>
      <c r="L30" s="59">
        <v>194.0</v>
      </c>
      <c r="M30" s="55" t="s">
        <v>32</v>
      </c>
      <c r="N30" s="212"/>
      <c r="O30" s="60">
        <v>1.534476817E7</v>
      </c>
      <c r="P30" s="53" t="s">
        <v>32</v>
      </c>
      <c r="Q30" s="53" t="s">
        <v>32</v>
      </c>
      <c r="R30" s="55" t="s">
        <v>346</v>
      </c>
      <c r="S30" s="53" t="s">
        <v>32</v>
      </c>
      <c r="T30" s="213" t="s">
        <v>347</v>
      </c>
      <c r="U30" s="186"/>
      <c r="V30" s="186"/>
      <c r="W30" s="186"/>
      <c r="X30" s="186"/>
      <c r="Y30" s="186"/>
      <c r="Z30" s="186"/>
      <c r="AA30" s="186"/>
    </row>
    <row r="31" ht="205.5" customHeight="1">
      <c r="A31" s="48"/>
      <c r="B31" s="51" t="s">
        <v>348</v>
      </c>
      <c r="C31" s="53" t="s">
        <v>32</v>
      </c>
      <c r="D31" s="55" t="s">
        <v>49</v>
      </c>
      <c r="E31" s="55" t="s">
        <v>58</v>
      </c>
      <c r="F31" s="53" t="s">
        <v>349</v>
      </c>
      <c r="G31" s="55">
        <v>79.0</v>
      </c>
      <c r="H31" s="55"/>
      <c r="I31" s="55"/>
      <c r="J31" s="55"/>
      <c r="K31" s="57" t="s">
        <v>350</v>
      </c>
      <c r="L31" s="59">
        <v>841.0</v>
      </c>
      <c r="M31" s="55">
        <v>319.0</v>
      </c>
      <c r="N31" s="60">
        <v>3600000.0</v>
      </c>
      <c r="O31" s="60">
        <v>3.272223326E7</v>
      </c>
      <c r="P31" s="53">
        <v>4876623.35</v>
      </c>
      <c r="Q31" s="53">
        <v>5433963.22</v>
      </c>
      <c r="R31" s="76">
        <f>(Q31-P31)/P31</f>
        <v>0.1142880698</v>
      </c>
      <c r="S31" s="216"/>
      <c r="T31" s="66" t="s">
        <v>351</v>
      </c>
      <c r="U31" s="217">
        <v>457.0</v>
      </c>
      <c r="V31" s="217"/>
      <c r="W31" s="217"/>
      <c r="X31" s="217"/>
      <c r="Y31" s="217">
        <v>94.0</v>
      </c>
      <c r="Z31" s="217"/>
      <c r="AA31" s="217">
        <v>290.0</v>
      </c>
    </row>
    <row r="32" ht="93.75" customHeight="1">
      <c r="A32" s="48"/>
      <c r="B32" s="163"/>
      <c r="C32" s="43"/>
      <c r="D32" s="93"/>
      <c r="E32" s="50"/>
      <c r="F32" s="89"/>
      <c r="G32" s="93"/>
      <c r="H32" s="93"/>
      <c r="I32" s="93"/>
      <c r="J32" s="93"/>
      <c r="K32" s="79"/>
      <c r="L32" s="93"/>
      <c r="M32" s="93"/>
      <c r="N32" s="93"/>
      <c r="O32" s="79"/>
      <c r="P32" s="93"/>
      <c r="Q32" s="93"/>
      <c r="R32" s="189"/>
      <c r="S32" s="149"/>
      <c r="T32" s="79"/>
      <c r="U32" s="55"/>
      <c r="V32" s="55"/>
      <c r="W32" s="55"/>
      <c r="X32" s="55"/>
      <c r="Y32" s="55"/>
      <c r="Z32" s="55"/>
      <c r="AA32" s="55"/>
    </row>
    <row r="33" ht="19.5" customHeight="1">
      <c r="A33" s="48"/>
      <c r="B33" s="219"/>
      <c r="C33" s="220"/>
      <c r="D33" s="221"/>
      <c r="E33" s="222"/>
      <c r="F33" s="223"/>
      <c r="G33" s="149"/>
      <c r="H33" s="149"/>
      <c r="I33" s="149"/>
      <c r="J33" s="149"/>
      <c r="K33" s="189"/>
      <c r="L33" s="149"/>
      <c r="M33" s="189"/>
      <c r="N33" s="149"/>
      <c r="O33" s="189"/>
      <c r="P33" s="149"/>
      <c r="Q33" s="149"/>
      <c r="R33" s="189"/>
      <c r="S33" s="149"/>
      <c r="T33" s="79"/>
      <c r="U33" s="55"/>
      <c r="V33" s="55"/>
      <c r="W33" s="55"/>
      <c r="X33" s="55"/>
      <c r="Y33" s="55"/>
      <c r="Z33" s="55"/>
      <c r="AA33" s="55"/>
    </row>
    <row r="34" ht="19.5" customHeight="1">
      <c r="A34" s="48"/>
      <c r="B34" s="224"/>
      <c r="C34" s="220"/>
      <c r="D34" s="221"/>
      <c r="E34" s="222"/>
      <c r="F34" s="223"/>
      <c r="G34" s="143"/>
      <c r="H34" s="143"/>
      <c r="I34" s="143"/>
      <c r="J34" s="143"/>
      <c r="K34" s="182"/>
      <c r="L34" s="143"/>
      <c r="M34" s="182"/>
      <c r="N34" s="149"/>
      <c r="O34" s="189"/>
      <c r="P34" s="149"/>
      <c r="Q34" s="149"/>
      <c r="R34" s="189"/>
      <c r="S34" s="149"/>
      <c r="T34" s="189"/>
      <c r="U34" s="194"/>
      <c r="V34" s="194"/>
      <c r="W34" s="194"/>
      <c r="X34" s="194"/>
      <c r="Y34" s="194"/>
      <c r="Z34" s="194"/>
      <c r="AA34" s="194"/>
    </row>
    <row r="35" ht="19.5" customHeight="1">
      <c r="A35" s="48"/>
      <c r="B35" s="219"/>
      <c r="C35" s="220"/>
      <c r="D35" s="221"/>
      <c r="E35" s="222"/>
      <c r="F35" s="223"/>
      <c r="G35" s="149"/>
      <c r="H35" s="149"/>
      <c r="I35" s="149"/>
      <c r="J35" s="149"/>
      <c r="K35" s="189"/>
      <c r="L35" s="149"/>
      <c r="M35" s="189"/>
      <c r="N35" s="149"/>
      <c r="O35" s="189"/>
      <c r="P35" s="149"/>
      <c r="Q35" s="149"/>
      <c r="R35" s="189"/>
      <c r="S35" s="149"/>
      <c r="T35" s="189"/>
      <c r="U35" s="194"/>
      <c r="V35" s="194"/>
      <c r="W35" s="194"/>
      <c r="X35" s="194"/>
      <c r="Y35" s="194"/>
      <c r="Z35" s="194"/>
      <c r="AA35" s="194"/>
    </row>
    <row r="36" ht="19.5" customHeight="1">
      <c r="A36" s="48"/>
      <c r="B36" s="219"/>
      <c r="C36" s="220"/>
      <c r="D36" s="221"/>
      <c r="E36" s="222"/>
      <c r="F36" s="223"/>
      <c r="G36" s="149"/>
      <c r="H36" s="149"/>
      <c r="I36" s="149"/>
      <c r="J36" s="149"/>
      <c r="K36" s="189"/>
      <c r="L36" s="149"/>
      <c r="M36" s="189"/>
      <c r="N36" s="149"/>
      <c r="O36" s="189"/>
      <c r="P36" s="149"/>
      <c r="Q36" s="149"/>
      <c r="R36" s="189"/>
      <c r="S36" s="149"/>
      <c r="T36" s="189"/>
      <c r="U36" s="194"/>
      <c r="V36" s="194"/>
      <c r="W36" s="194"/>
      <c r="X36" s="194"/>
      <c r="Y36" s="194"/>
      <c r="Z36" s="194"/>
      <c r="AA36" s="194"/>
    </row>
    <row r="37" ht="19.5" customHeight="1">
      <c r="A37" s="48"/>
      <c r="B37" s="219"/>
      <c r="C37" s="220"/>
      <c r="D37" s="221"/>
      <c r="E37" s="222"/>
      <c r="F37" s="223"/>
      <c r="G37" s="149"/>
      <c r="H37" s="149"/>
      <c r="I37" s="149"/>
      <c r="J37" s="149"/>
      <c r="K37" s="189"/>
      <c r="L37" s="149"/>
      <c r="M37" s="189"/>
      <c r="N37" s="149"/>
      <c r="O37" s="189"/>
      <c r="P37" s="149"/>
      <c r="Q37" s="149"/>
      <c r="R37" s="189"/>
      <c r="S37" s="149"/>
      <c r="T37" s="189"/>
      <c r="U37" s="194"/>
      <c r="V37" s="194"/>
      <c r="W37" s="194"/>
      <c r="X37" s="194"/>
      <c r="Y37" s="194"/>
      <c r="Z37" s="194"/>
      <c r="AA37" s="194"/>
    </row>
    <row r="38" ht="19.5" customHeight="1">
      <c r="A38" s="48"/>
      <c r="B38" s="224"/>
      <c r="C38" s="220"/>
      <c r="D38" s="221"/>
      <c r="E38" s="222"/>
      <c r="F38" s="223"/>
      <c r="G38" s="143"/>
      <c r="H38" s="143"/>
      <c r="I38" s="143"/>
      <c r="J38" s="143"/>
      <c r="K38" s="182"/>
      <c r="L38" s="143"/>
      <c r="M38" s="182"/>
      <c r="N38" s="149"/>
      <c r="O38" s="189"/>
      <c r="P38" s="149"/>
      <c r="Q38" s="149"/>
      <c r="R38" s="189"/>
      <c r="S38" s="149"/>
      <c r="T38" s="189"/>
      <c r="U38" s="194"/>
      <c r="V38" s="194"/>
      <c r="W38" s="194"/>
      <c r="X38" s="194"/>
      <c r="Y38" s="194"/>
      <c r="Z38" s="194"/>
      <c r="AA38" s="194"/>
    </row>
    <row r="39" ht="19.5" customHeight="1">
      <c r="A39" s="48"/>
      <c r="B39" s="224"/>
      <c r="C39" s="220"/>
      <c r="D39" s="221"/>
      <c r="E39" s="222"/>
      <c r="F39" s="223"/>
      <c r="G39" s="143"/>
      <c r="H39" s="143"/>
      <c r="I39" s="143"/>
      <c r="J39" s="143"/>
      <c r="K39" s="182"/>
      <c r="L39" s="143"/>
      <c r="M39" s="182"/>
      <c r="N39" s="149"/>
      <c r="O39" s="189"/>
      <c r="P39" s="149"/>
      <c r="Q39" s="149"/>
      <c r="R39" s="189"/>
      <c r="S39" s="149"/>
      <c r="T39" s="189"/>
      <c r="U39" s="194"/>
      <c r="V39" s="194"/>
      <c r="W39" s="194"/>
      <c r="X39" s="194"/>
      <c r="Y39" s="194"/>
      <c r="Z39" s="194"/>
      <c r="AA39" s="194"/>
    </row>
    <row r="40" ht="19.5" customHeight="1">
      <c r="A40" s="48"/>
      <c r="B40" s="224"/>
      <c r="C40" s="220"/>
      <c r="D40" s="221"/>
      <c r="E40" s="222"/>
      <c r="F40" s="223"/>
      <c r="G40" s="143"/>
      <c r="H40" s="143"/>
      <c r="I40" s="143"/>
      <c r="J40" s="143"/>
      <c r="K40" s="182"/>
      <c r="L40" s="143"/>
      <c r="M40" s="182"/>
      <c r="N40" s="149"/>
      <c r="O40" s="189"/>
      <c r="P40" s="149"/>
      <c r="Q40" s="149"/>
      <c r="R40" s="189"/>
      <c r="S40" s="149"/>
      <c r="T40" s="189"/>
      <c r="U40" s="194"/>
      <c r="V40" s="194"/>
      <c r="W40" s="194"/>
      <c r="X40" s="194"/>
      <c r="Y40" s="194"/>
      <c r="Z40" s="194"/>
      <c r="AA40" s="194"/>
    </row>
    <row r="41" ht="19.5" customHeight="1">
      <c r="A41" s="48"/>
      <c r="B41" s="224"/>
      <c r="C41" s="220"/>
      <c r="D41" s="221"/>
      <c r="E41" s="222"/>
      <c r="F41" s="223"/>
      <c r="G41" s="143"/>
      <c r="H41" s="143"/>
      <c r="I41" s="143"/>
      <c r="J41" s="143"/>
      <c r="K41" s="182"/>
      <c r="L41" s="143"/>
      <c r="M41" s="182"/>
      <c r="N41" s="149"/>
      <c r="O41" s="189"/>
      <c r="P41" s="149"/>
      <c r="Q41" s="149"/>
      <c r="R41" s="189"/>
      <c r="S41" s="149"/>
      <c r="T41" s="189"/>
      <c r="U41" s="194"/>
      <c r="V41" s="194"/>
      <c r="W41" s="194"/>
      <c r="X41" s="194"/>
      <c r="Y41" s="194"/>
      <c r="Z41" s="194"/>
      <c r="AA41" s="194"/>
    </row>
    <row r="42" ht="19.5" customHeight="1">
      <c r="A42" s="48"/>
      <c r="B42" s="224"/>
      <c r="C42" s="220"/>
      <c r="D42" s="221"/>
      <c r="E42" s="222"/>
      <c r="F42" s="223"/>
      <c r="G42" s="143"/>
      <c r="H42" s="143"/>
      <c r="I42" s="143"/>
      <c r="J42" s="143"/>
      <c r="K42" s="182"/>
      <c r="L42" s="143"/>
      <c r="M42" s="182"/>
      <c r="N42" s="149"/>
      <c r="O42" s="189"/>
      <c r="P42" s="149"/>
      <c r="Q42" s="149"/>
      <c r="R42" s="189"/>
      <c r="S42" s="149"/>
      <c r="T42" s="189"/>
      <c r="U42" s="194"/>
      <c r="V42" s="194"/>
      <c r="W42" s="194"/>
      <c r="X42" s="194"/>
      <c r="Y42" s="194"/>
      <c r="Z42" s="194"/>
      <c r="AA42" s="194"/>
    </row>
    <row r="43" ht="19.5" customHeight="1">
      <c r="A43" s="48"/>
      <c r="B43" s="224"/>
      <c r="C43" s="220"/>
      <c r="D43" s="221"/>
      <c r="E43" s="222"/>
      <c r="F43" s="223"/>
      <c r="G43" s="143"/>
      <c r="H43" s="143"/>
      <c r="I43" s="143"/>
      <c r="J43" s="143"/>
      <c r="K43" s="182"/>
      <c r="L43" s="143"/>
      <c r="M43" s="182"/>
      <c r="N43" s="149"/>
      <c r="O43" s="189"/>
      <c r="P43" s="149"/>
      <c r="Q43" s="149"/>
      <c r="R43" s="189"/>
      <c r="S43" s="149"/>
      <c r="T43" s="189"/>
      <c r="U43" s="194"/>
      <c r="V43" s="194"/>
      <c r="W43" s="194"/>
      <c r="X43" s="194"/>
      <c r="Y43" s="194"/>
      <c r="Z43" s="194"/>
      <c r="AA43" s="194"/>
    </row>
    <row r="44" ht="19.5" customHeight="1">
      <c r="A44" s="48"/>
      <c r="B44" s="224"/>
      <c r="C44" s="220"/>
      <c r="D44" s="221"/>
      <c r="E44" s="222"/>
      <c r="F44" s="223"/>
      <c r="G44" s="143"/>
      <c r="H44" s="143"/>
      <c r="I44" s="143"/>
      <c r="J44" s="143"/>
      <c r="K44" s="182"/>
      <c r="L44" s="143"/>
      <c r="M44" s="182"/>
      <c r="N44" s="149"/>
      <c r="O44" s="189"/>
      <c r="P44" s="149"/>
      <c r="Q44" s="149"/>
      <c r="R44" s="189"/>
      <c r="S44" s="149"/>
      <c r="T44" s="189"/>
      <c r="U44" s="194"/>
      <c r="V44" s="194"/>
      <c r="W44" s="194"/>
      <c r="X44" s="194"/>
      <c r="Y44" s="194"/>
      <c r="Z44" s="194"/>
      <c r="AA44" s="194"/>
    </row>
    <row r="45" ht="19.5" customHeight="1">
      <c r="A45" s="48"/>
      <c r="B45" s="224"/>
      <c r="C45" s="220"/>
      <c r="D45" s="221"/>
      <c r="E45" s="222"/>
      <c r="F45" s="223"/>
      <c r="G45" s="143"/>
      <c r="H45" s="143"/>
      <c r="I45" s="143"/>
      <c r="J45" s="143"/>
      <c r="K45" s="182"/>
      <c r="L45" s="143"/>
      <c r="M45" s="182"/>
      <c r="N45" s="149"/>
      <c r="O45" s="189"/>
      <c r="P45" s="149"/>
      <c r="Q45" s="149"/>
      <c r="R45" s="189"/>
      <c r="S45" s="149"/>
      <c r="T45" s="189"/>
      <c r="U45" s="194"/>
      <c r="V45" s="194"/>
      <c r="W45" s="194"/>
      <c r="X45" s="194"/>
      <c r="Y45" s="194"/>
      <c r="Z45" s="194"/>
      <c r="AA45" s="194"/>
    </row>
    <row r="46" ht="19.5" customHeight="1">
      <c r="A46" s="48"/>
      <c r="B46" s="224"/>
      <c r="C46" s="220"/>
      <c r="D46" s="221"/>
      <c r="E46" s="222"/>
      <c r="F46" s="223"/>
      <c r="G46" s="143"/>
      <c r="H46" s="143"/>
      <c r="I46" s="143"/>
      <c r="J46" s="143"/>
      <c r="K46" s="182"/>
      <c r="L46" s="143"/>
      <c r="M46" s="182"/>
      <c r="N46" s="149"/>
      <c r="O46" s="189"/>
      <c r="P46" s="149"/>
      <c r="Q46" s="149"/>
      <c r="R46" s="189"/>
      <c r="S46" s="149"/>
      <c r="T46" s="189"/>
      <c r="U46" s="194"/>
      <c r="V46" s="194"/>
      <c r="W46" s="194"/>
      <c r="X46" s="194"/>
      <c r="Y46" s="194"/>
      <c r="Z46" s="194"/>
      <c r="AA46" s="194"/>
    </row>
    <row r="47" ht="19.5" customHeight="1">
      <c r="A47" s="48"/>
      <c r="B47" s="224"/>
      <c r="C47" s="220"/>
      <c r="D47" s="221"/>
      <c r="E47" s="222"/>
      <c r="F47" s="223"/>
      <c r="G47" s="143"/>
      <c r="H47" s="143"/>
      <c r="I47" s="143"/>
      <c r="J47" s="143"/>
      <c r="K47" s="182"/>
      <c r="L47" s="143"/>
      <c r="M47" s="182"/>
      <c r="N47" s="149"/>
      <c r="O47" s="189"/>
      <c r="P47" s="149"/>
      <c r="Q47" s="149"/>
      <c r="R47" s="189"/>
      <c r="S47" s="149"/>
      <c r="T47" s="189"/>
      <c r="U47" s="194"/>
      <c r="V47" s="194"/>
      <c r="W47" s="194"/>
      <c r="X47" s="194"/>
      <c r="Y47" s="194"/>
      <c r="Z47" s="194"/>
      <c r="AA47" s="194"/>
    </row>
    <row r="48" ht="19.5" customHeight="1">
      <c r="A48" s="48"/>
      <c r="B48" s="224"/>
      <c r="C48" s="220"/>
      <c r="D48" s="221"/>
      <c r="E48" s="222"/>
      <c r="F48" s="223"/>
      <c r="G48" s="143"/>
      <c r="H48" s="143"/>
      <c r="I48" s="143"/>
      <c r="J48" s="143"/>
      <c r="K48" s="182"/>
      <c r="L48" s="143"/>
      <c r="M48" s="182"/>
      <c r="N48" s="149"/>
      <c r="O48" s="189"/>
      <c r="P48" s="149"/>
      <c r="Q48" s="149"/>
      <c r="R48" s="189"/>
      <c r="S48" s="149"/>
      <c r="T48" s="189"/>
      <c r="U48" s="194"/>
      <c r="V48" s="194"/>
      <c r="W48" s="194"/>
      <c r="X48" s="194"/>
      <c r="Y48" s="194"/>
      <c r="Z48" s="194"/>
      <c r="AA48" s="194"/>
    </row>
    <row r="49" ht="19.5" customHeight="1">
      <c r="A49" s="48"/>
      <c r="B49" s="224"/>
      <c r="C49" s="220"/>
      <c r="D49" s="221"/>
      <c r="E49" s="222"/>
      <c r="F49" s="223"/>
      <c r="G49" s="143"/>
      <c r="H49" s="143"/>
      <c r="I49" s="143"/>
      <c r="J49" s="143"/>
      <c r="K49" s="182"/>
      <c r="L49" s="143"/>
      <c r="M49" s="182"/>
      <c r="N49" s="149"/>
      <c r="O49" s="189"/>
      <c r="P49" s="149"/>
      <c r="Q49" s="149"/>
      <c r="R49" s="189"/>
      <c r="S49" s="149"/>
      <c r="T49" s="189"/>
      <c r="U49" s="194"/>
      <c r="V49" s="194"/>
      <c r="W49" s="194"/>
      <c r="X49" s="194"/>
      <c r="Y49" s="194"/>
      <c r="Z49" s="194"/>
      <c r="AA49" s="194"/>
    </row>
    <row r="50" ht="19.5" customHeight="1">
      <c r="A50" s="48"/>
      <c r="B50" s="224"/>
      <c r="C50" s="220"/>
      <c r="D50" s="221"/>
      <c r="E50" s="222"/>
      <c r="F50" s="223"/>
      <c r="G50" s="143"/>
      <c r="H50" s="143"/>
      <c r="I50" s="143"/>
      <c r="J50" s="143"/>
      <c r="K50" s="182"/>
      <c r="L50" s="143"/>
      <c r="M50" s="182"/>
      <c r="N50" s="149"/>
      <c r="O50" s="189"/>
      <c r="P50" s="149"/>
      <c r="Q50" s="149"/>
      <c r="R50" s="189"/>
      <c r="S50" s="149"/>
      <c r="T50" s="189"/>
      <c r="U50" s="194"/>
      <c r="V50" s="194"/>
      <c r="W50" s="194"/>
      <c r="X50" s="194"/>
      <c r="Y50" s="194"/>
      <c r="Z50" s="194"/>
      <c r="AA50" s="194"/>
    </row>
    <row r="51" ht="19.5" customHeight="1">
      <c r="A51" s="48"/>
      <c r="B51" s="224"/>
      <c r="C51" s="220"/>
      <c r="D51" s="221"/>
      <c r="E51" s="222"/>
      <c r="F51" s="223"/>
      <c r="G51" s="143"/>
      <c r="H51" s="143"/>
      <c r="I51" s="143"/>
      <c r="J51" s="143"/>
      <c r="K51" s="182"/>
      <c r="L51" s="143"/>
      <c r="M51" s="182"/>
      <c r="N51" s="149"/>
      <c r="O51" s="189"/>
      <c r="P51" s="149"/>
      <c r="Q51" s="149"/>
      <c r="R51" s="189"/>
      <c r="S51" s="149"/>
      <c r="T51" s="189"/>
      <c r="U51" s="194"/>
      <c r="V51" s="194"/>
      <c r="W51" s="194"/>
      <c r="X51" s="194"/>
      <c r="Y51" s="194"/>
      <c r="Z51" s="194"/>
      <c r="AA51" s="194"/>
    </row>
    <row r="52" ht="19.5" customHeight="1">
      <c r="A52" s="48"/>
      <c r="B52" s="224"/>
      <c r="C52" s="220"/>
      <c r="D52" s="221"/>
      <c r="E52" s="222"/>
      <c r="F52" s="223"/>
      <c r="G52" s="143"/>
      <c r="H52" s="143"/>
      <c r="I52" s="143"/>
      <c r="J52" s="143"/>
      <c r="K52" s="182"/>
      <c r="L52" s="143"/>
      <c r="M52" s="182"/>
      <c r="N52" s="149"/>
      <c r="O52" s="189"/>
      <c r="P52" s="149"/>
      <c r="Q52" s="149"/>
      <c r="R52" s="189"/>
      <c r="S52" s="149"/>
      <c r="T52" s="189"/>
      <c r="U52" s="194"/>
      <c r="V52" s="194"/>
      <c r="W52" s="194"/>
      <c r="X52" s="194"/>
      <c r="Y52" s="194"/>
      <c r="Z52" s="194"/>
      <c r="AA52" s="194"/>
    </row>
    <row r="53" ht="19.5" customHeight="1">
      <c r="A53" s="48"/>
      <c r="B53" s="224"/>
      <c r="C53" s="220"/>
      <c r="D53" s="221"/>
      <c r="E53" s="222"/>
      <c r="F53" s="223"/>
      <c r="G53" s="143"/>
      <c r="H53" s="143"/>
      <c r="I53" s="143"/>
      <c r="J53" s="143"/>
      <c r="K53" s="182"/>
      <c r="L53" s="143"/>
      <c r="M53" s="182"/>
      <c r="N53" s="149"/>
      <c r="O53" s="189"/>
      <c r="P53" s="149"/>
      <c r="Q53" s="149"/>
      <c r="R53" s="189"/>
      <c r="S53" s="149"/>
      <c r="T53" s="189"/>
      <c r="U53" s="194"/>
      <c r="V53" s="194"/>
      <c r="W53" s="194"/>
      <c r="X53" s="194"/>
      <c r="Y53" s="194"/>
      <c r="Z53" s="194"/>
      <c r="AA53" s="194"/>
    </row>
    <row r="54" ht="19.5" customHeight="1">
      <c r="A54" s="48"/>
      <c r="B54" s="224"/>
      <c r="C54" s="220"/>
      <c r="D54" s="221"/>
      <c r="E54" s="222"/>
      <c r="F54" s="223"/>
      <c r="G54" s="143"/>
      <c r="H54" s="143"/>
      <c r="I54" s="143"/>
      <c r="J54" s="143"/>
      <c r="K54" s="182"/>
      <c r="L54" s="143"/>
      <c r="M54" s="182"/>
      <c r="N54" s="149"/>
      <c r="O54" s="189"/>
      <c r="P54" s="149"/>
      <c r="Q54" s="149"/>
      <c r="R54" s="189"/>
      <c r="S54" s="149"/>
      <c r="T54" s="189"/>
      <c r="U54" s="194"/>
      <c r="V54" s="194"/>
      <c r="W54" s="194"/>
      <c r="X54" s="194"/>
      <c r="Y54" s="194"/>
      <c r="Z54" s="194"/>
      <c r="AA54" s="194"/>
    </row>
    <row r="55" ht="19.5" customHeight="1">
      <c r="A55" s="48"/>
      <c r="B55" s="224"/>
      <c r="C55" s="220"/>
      <c r="D55" s="221"/>
      <c r="E55" s="222"/>
      <c r="F55" s="223"/>
      <c r="G55" s="143"/>
      <c r="H55" s="143"/>
      <c r="I55" s="143"/>
      <c r="J55" s="143"/>
      <c r="K55" s="182"/>
      <c r="L55" s="143"/>
      <c r="M55" s="182"/>
      <c r="N55" s="149"/>
      <c r="O55" s="189"/>
      <c r="P55" s="149"/>
      <c r="Q55" s="149"/>
      <c r="R55" s="189"/>
      <c r="S55" s="149"/>
      <c r="T55" s="189"/>
      <c r="U55" s="194"/>
      <c r="V55" s="194"/>
      <c r="W55" s="194"/>
      <c r="X55" s="194"/>
      <c r="Y55" s="194"/>
      <c r="Z55" s="194"/>
      <c r="AA55" s="194"/>
    </row>
    <row r="56" ht="19.5" customHeight="1">
      <c r="A56" s="48"/>
      <c r="B56" s="224"/>
      <c r="C56" s="220"/>
      <c r="D56" s="221"/>
      <c r="E56" s="222"/>
      <c r="F56" s="223"/>
      <c r="G56" s="143"/>
      <c r="H56" s="143"/>
      <c r="I56" s="143"/>
      <c r="J56" s="143"/>
      <c r="K56" s="182"/>
      <c r="L56" s="143"/>
      <c r="M56" s="182"/>
      <c r="N56" s="149"/>
      <c r="O56" s="189"/>
      <c r="P56" s="149"/>
      <c r="Q56" s="149"/>
      <c r="R56" s="189"/>
      <c r="S56" s="149"/>
      <c r="T56" s="189"/>
      <c r="U56" s="194"/>
      <c r="V56" s="194"/>
      <c r="W56" s="194"/>
      <c r="X56" s="194"/>
      <c r="Y56" s="194"/>
      <c r="Z56" s="194"/>
      <c r="AA56" s="194"/>
    </row>
    <row r="57" ht="19.5" customHeight="1">
      <c r="A57" s="48"/>
      <c r="B57" s="224"/>
      <c r="C57" s="220"/>
      <c r="D57" s="221"/>
      <c r="E57" s="222"/>
      <c r="F57" s="223"/>
      <c r="G57" s="143"/>
      <c r="H57" s="143"/>
      <c r="I57" s="143"/>
      <c r="J57" s="143"/>
      <c r="K57" s="182"/>
      <c r="L57" s="143"/>
      <c r="M57" s="182"/>
      <c r="N57" s="149"/>
      <c r="O57" s="189"/>
      <c r="P57" s="149"/>
      <c r="Q57" s="149"/>
      <c r="R57" s="189"/>
      <c r="S57" s="149"/>
      <c r="T57" s="189"/>
      <c r="U57" s="194"/>
      <c r="V57" s="194"/>
      <c r="W57" s="194"/>
      <c r="X57" s="194"/>
      <c r="Y57" s="194"/>
      <c r="Z57" s="194"/>
      <c r="AA57" s="194"/>
    </row>
    <row r="58" ht="19.5" customHeight="1">
      <c r="A58" s="48"/>
      <c r="B58" s="224"/>
      <c r="C58" s="220"/>
      <c r="D58" s="221"/>
      <c r="E58" s="222"/>
      <c r="F58" s="223"/>
      <c r="G58" s="143"/>
      <c r="H58" s="143"/>
      <c r="I58" s="143"/>
      <c r="J58" s="143"/>
      <c r="K58" s="182"/>
      <c r="L58" s="143"/>
      <c r="M58" s="182"/>
      <c r="N58" s="149"/>
      <c r="O58" s="189"/>
      <c r="P58" s="149"/>
      <c r="Q58" s="149"/>
      <c r="R58" s="189"/>
      <c r="S58" s="149"/>
      <c r="T58" s="189"/>
      <c r="U58" s="194"/>
      <c r="V58" s="194"/>
      <c r="W58" s="194"/>
      <c r="X58" s="194"/>
      <c r="Y58" s="194"/>
      <c r="Z58" s="194"/>
      <c r="AA58" s="194"/>
    </row>
    <row r="59" ht="19.5" customHeight="1">
      <c r="A59" s="48"/>
      <c r="B59" s="224"/>
      <c r="C59" s="220"/>
      <c r="D59" s="221"/>
      <c r="E59" s="222"/>
      <c r="F59" s="223"/>
      <c r="G59" s="143"/>
      <c r="H59" s="143"/>
      <c r="I59" s="143"/>
      <c r="J59" s="143"/>
      <c r="K59" s="182"/>
      <c r="L59" s="143"/>
      <c r="M59" s="182"/>
      <c r="N59" s="149"/>
      <c r="O59" s="189"/>
      <c r="P59" s="149"/>
      <c r="Q59" s="149"/>
      <c r="R59" s="189"/>
      <c r="S59" s="149"/>
      <c r="T59" s="189"/>
      <c r="U59" s="194"/>
      <c r="V59" s="194"/>
      <c r="W59" s="194"/>
      <c r="X59" s="194"/>
      <c r="Y59" s="194"/>
      <c r="Z59" s="194"/>
      <c r="AA59" s="194"/>
    </row>
    <row r="60" ht="19.5" customHeight="1">
      <c r="A60" s="48"/>
      <c r="B60" s="224"/>
      <c r="C60" s="220"/>
      <c r="D60" s="221"/>
      <c r="E60" s="222"/>
      <c r="F60" s="223"/>
      <c r="G60" s="143"/>
      <c r="H60" s="143"/>
      <c r="I60" s="143"/>
      <c r="J60" s="143"/>
      <c r="K60" s="182"/>
      <c r="L60" s="143"/>
      <c r="M60" s="182"/>
      <c r="N60" s="149"/>
      <c r="O60" s="189"/>
      <c r="P60" s="149"/>
      <c r="Q60" s="149"/>
      <c r="R60" s="189"/>
      <c r="S60" s="149"/>
      <c r="T60" s="189"/>
      <c r="U60" s="194"/>
      <c r="V60" s="194"/>
      <c r="W60" s="194"/>
      <c r="X60" s="194"/>
      <c r="Y60" s="194"/>
      <c r="Z60" s="194"/>
      <c r="AA60" s="194"/>
    </row>
    <row r="61" ht="19.5" customHeight="1">
      <c r="A61" s="48"/>
      <c r="B61" s="224"/>
      <c r="C61" s="220"/>
      <c r="D61" s="221"/>
      <c r="E61" s="222"/>
      <c r="F61" s="223"/>
      <c r="G61" s="143"/>
      <c r="H61" s="143"/>
      <c r="I61" s="143"/>
      <c r="J61" s="143"/>
      <c r="K61" s="182"/>
      <c r="L61" s="143"/>
      <c r="M61" s="182"/>
      <c r="N61" s="149"/>
      <c r="O61" s="189"/>
      <c r="P61" s="149"/>
      <c r="Q61" s="149"/>
      <c r="R61" s="189"/>
      <c r="S61" s="149"/>
      <c r="T61" s="189"/>
      <c r="U61" s="194"/>
      <c r="V61" s="194"/>
      <c r="W61" s="194"/>
      <c r="X61" s="194"/>
      <c r="Y61" s="194"/>
      <c r="Z61" s="194"/>
      <c r="AA61" s="194"/>
    </row>
    <row r="62" ht="19.5" customHeight="1">
      <c r="A62" s="48"/>
      <c r="B62" s="224"/>
      <c r="C62" s="220"/>
      <c r="D62" s="221"/>
      <c r="E62" s="222"/>
      <c r="F62" s="223"/>
      <c r="G62" s="143"/>
      <c r="H62" s="143"/>
      <c r="I62" s="143"/>
      <c r="J62" s="143"/>
      <c r="K62" s="182"/>
      <c r="L62" s="143"/>
      <c r="M62" s="182"/>
      <c r="N62" s="149"/>
      <c r="O62" s="189"/>
      <c r="P62" s="149"/>
      <c r="Q62" s="149"/>
      <c r="R62" s="189"/>
      <c r="S62" s="149"/>
      <c r="T62" s="189"/>
      <c r="U62" s="194"/>
      <c r="V62" s="194"/>
      <c r="W62" s="194"/>
      <c r="X62" s="194"/>
      <c r="Y62" s="194"/>
      <c r="Z62" s="194"/>
      <c r="AA62" s="194"/>
    </row>
    <row r="63" ht="19.5" customHeight="1">
      <c r="A63" s="48"/>
      <c r="B63" s="224"/>
      <c r="C63" s="220"/>
      <c r="D63" s="221"/>
      <c r="E63" s="222"/>
      <c r="F63" s="223"/>
      <c r="G63" s="143"/>
      <c r="H63" s="143"/>
      <c r="I63" s="143"/>
      <c r="J63" s="143"/>
      <c r="K63" s="182"/>
      <c r="L63" s="143"/>
      <c r="M63" s="182"/>
      <c r="N63" s="149"/>
      <c r="O63" s="189"/>
      <c r="P63" s="149"/>
      <c r="Q63" s="149"/>
      <c r="R63" s="189"/>
      <c r="S63" s="149"/>
      <c r="T63" s="189"/>
      <c r="U63" s="194"/>
      <c r="V63" s="194"/>
      <c r="W63" s="194"/>
      <c r="X63" s="194"/>
      <c r="Y63" s="194"/>
      <c r="Z63" s="194"/>
      <c r="AA63" s="194"/>
    </row>
    <row r="64" ht="19.5" customHeight="1">
      <c r="A64" s="48"/>
      <c r="B64" s="224"/>
      <c r="C64" s="220"/>
      <c r="D64" s="221"/>
      <c r="E64" s="222"/>
      <c r="F64" s="223"/>
      <c r="G64" s="143"/>
      <c r="H64" s="143"/>
      <c r="I64" s="143"/>
      <c r="J64" s="143"/>
      <c r="K64" s="182"/>
      <c r="L64" s="143"/>
      <c r="M64" s="182"/>
      <c r="N64" s="149"/>
      <c r="O64" s="189"/>
      <c r="P64" s="149"/>
      <c r="Q64" s="149"/>
      <c r="R64" s="189"/>
      <c r="S64" s="149"/>
      <c r="T64" s="189"/>
      <c r="U64" s="194"/>
      <c r="V64" s="194"/>
      <c r="W64" s="194"/>
      <c r="X64" s="194"/>
      <c r="Y64" s="194"/>
      <c r="Z64" s="194"/>
      <c r="AA64" s="194"/>
    </row>
    <row r="65" ht="19.5" customHeight="1">
      <c r="A65" s="48"/>
      <c r="B65" s="224"/>
      <c r="C65" s="220"/>
      <c r="D65" s="221"/>
      <c r="E65" s="222"/>
      <c r="F65" s="223"/>
      <c r="G65" s="143"/>
      <c r="H65" s="143"/>
      <c r="I65" s="143"/>
      <c r="J65" s="143"/>
      <c r="K65" s="182"/>
      <c r="L65" s="143"/>
      <c r="M65" s="182"/>
      <c r="N65" s="149"/>
      <c r="O65" s="189"/>
      <c r="P65" s="149"/>
      <c r="Q65" s="149"/>
      <c r="R65" s="189"/>
      <c r="S65" s="149"/>
      <c r="T65" s="189"/>
      <c r="U65" s="194"/>
      <c r="V65" s="194"/>
      <c r="W65" s="194"/>
      <c r="X65" s="194"/>
      <c r="Y65" s="194"/>
      <c r="Z65" s="194"/>
      <c r="AA65" s="194"/>
    </row>
    <row r="66" ht="19.5" customHeight="1">
      <c r="A66" s="48"/>
      <c r="B66" s="224"/>
      <c r="C66" s="220"/>
      <c r="D66" s="221"/>
      <c r="E66" s="222"/>
      <c r="F66" s="223"/>
      <c r="G66" s="143"/>
      <c r="H66" s="143"/>
      <c r="I66" s="143"/>
      <c r="J66" s="143"/>
      <c r="K66" s="182"/>
      <c r="L66" s="143"/>
      <c r="M66" s="182"/>
      <c r="N66" s="149"/>
      <c r="O66" s="189"/>
      <c r="P66" s="149"/>
      <c r="Q66" s="149"/>
      <c r="R66" s="189"/>
      <c r="S66" s="149"/>
      <c r="T66" s="189"/>
      <c r="U66" s="194"/>
      <c r="V66" s="194"/>
      <c r="W66" s="194"/>
      <c r="X66" s="194"/>
      <c r="Y66" s="194"/>
      <c r="Z66" s="194"/>
      <c r="AA66" s="194"/>
    </row>
    <row r="67" ht="19.5" customHeight="1">
      <c r="A67" s="48"/>
      <c r="B67" s="224"/>
      <c r="C67" s="220"/>
      <c r="D67" s="221"/>
      <c r="E67" s="222"/>
      <c r="F67" s="223"/>
      <c r="G67" s="143"/>
      <c r="H67" s="143"/>
      <c r="I67" s="143"/>
      <c r="J67" s="143"/>
      <c r="K67" s="182"/>
      <c r="L67" s="143"/>
      <c r="M67" s="182"/>
      <c r="N67" s="149"/>
      <c r="O67" s="189"/>
      <c r="P67" s="149"/>
      <c r="Q67" s="149"/>
      <c r="R67" s="189"/>
      <c r="S67" s="149"/>
      <c r="T67" s="189"/>
      <c r="U67" s="194"/>
      <c r="V67" s="194"/>
      <c r="W67" s="194"/>
      <c r="X67" s="194"/>
      <c r="Y67" s="194"/>
      <c r="Z67" s="194"/>
      <c r="AA67" s="194"/>
    </row>
    <row r="68" ht="19.5" customHeight="1">
      <c r="A68" s="48"/>
      <c r="B68" s="224"/>
      <c r="C68" s="220"/>
      <c r="D68" s="221"/>
      <c r="E68" s="222"/>
      <c r="F68" s="223"/>
      <c r="G68" s="143"/>
      <c r="H68" s="143"/>
      <c r="I68" s="143"/>
      <c r="J68" s="143"/>
      <c r="K68" s="182"/>
      <c r="L68" s="143"/>
      <c r="M68" s="182"/>
      <c r="N68" s="149"/>
      <c r="O68" s="189"/>
      <c r="P68" s="149"/>
      <c r="Q68" s="149"/>
      <c r="R68" s="189"/>
      <c r="S68" s="149"/>
      <c r="T68" s="189"/>
      <c r="U68" s="194"/>
      <c r="V68" s="194"/>
      <c r="W68" s="194"/>
      <c r="X68" s="194"/>
      <c r="Y68" s="194"/>
      <c r="Z68" s="194"/>
      <c r="AA68" s="194"/>
    </row>
    <row r="69" ht="19.5" customHeight="1">
      <c r="A69" s="48"/>
      <c r="B69" s="224"/>
      <c r="C69" s="220"/>
      <c r="D69" s="221"/>
      <c r="E69" s="222"/>
      <c r="F69" s="223"/>
      <c r="G69" s="143"/>
      <c r="H69" s="143"/>
      <c r="I69" s="143"/>
      <c r="J69" s="143"/>
      <c r="K69" s="182"/>
      <c r="L69" s="143"/>
      <c r="M69" s="182"/>
      <c r="N69" s="149"/>
      <c r="O69" s="189"/>
      <c r="P69" s="149"/>
      <c r="Q69" s="149"/>
      <c r="R69" s="189"/>
      <c r="S69" s="149"/>
      <c r="T69" s="189"/>
      <c r="U69" s="194"/>
      <c r="V69" s="194"/>
      <c r="W69" s="194"/>
      <c r="X69" s="194"/>
      <c r="Y69" s="194"/>
      <c r="Z69" s="194"/>
      <c r="AA69" s="194"/>
    </row>
    <row r="70" ht="19.5" customHeight="1">
      <c r="A70" s="48"/>
      <c r="B70" s="224"/>
      <c r="C70" s="220"/>
      <c r="D70" s="221"/>
      <c r="E70" s="222"/>
      <c r="F70" s="223"/>
      <c r="G70" s="143"/>
      <c r="H70" s="143"/>
      <c r="I70" s="143"/>
      <c r="J70" s="143"/>
      <c r="K70" s="182"/>
      <c r="L70" s="143"/>
      <c r="M70" s="182"/>
      <c r="N70" s="149"/>
      <c r="O70" s="189"/>
      <c r="P70" s="149"/>
      <c r="Q70" s="149"/>
      <c r="R70" s="189"/>
      <c r="S70" s="149"/>
      <c r="T70" s="189"/>
      <c r="U70" s="194"/>
      <c r="V70" s="194"/>
      <c r="W70" s="194"/>
      <c r="X70" s="194"/>
      <c r="Y70" s="194"/>
      <c r="Z70" s="194"/>
      <c r="AA70" s="194"/>
    </row>
    <row r="71" ht="19.5" customHeight="1">
      <c r="A71" s="48"/>
      <c r="B71" s="224"/>
      <c r="C71" s="220"/>
      <c r="D71" s="221"/>
      <c r="E71" s="222"/>
      <c r="F71" s="223"/>
      <c r="G71" s="143"/>
      <c r="H71" s="143"/>
      <c r="I71" s="143"/>
      <c r="J71" s="143"/>
      <c r="K71" s="182"/>
      <c r="L71" s="143"/>
      <c r="M71" s="182"/>
      <c r="N71" s="149"/>
      <c r="O71" s="189"/>
      <c r="P71" s="149"/>
      <c r="Q71" s="149"/>
      <c r="R71" s="189"/>
      <c r="S71" s="149"/>
      <c r="T71" s="189"/>
      <c r="U71" s="194"/>
      <c r="V71" s="194"/>
      <c r="W71" s="194"/>
      <c r="X71" s="194"/>
      <c r="Y71" s="194"/>
      <c r="Z71" s="194"/>
      <c r="AA71" s="194"/>
    </row>
    <row r="72" ht="19.5" customHeight="1">
      <c r="A72" s="48"/>
      <c r="B72" s="224"/>
      <c r="C72" s="220"/>
      <c r="D72" s="221"/>
      <c r="E72" s="222"/>
      <c r="F72" s="223"/>
      <c r="G72" s="143"/>
      <c r="H72" s="143"/>
      <c r="I72" s="143"/>
      <c r="J72" s="143"/>
      <c r="K72" s="182"/>
      <c r="L72" s="143"/>
      <c r="M72" s="182"/>
      <c r="N72" s="149"/>
      <c r="O72" s="189"/>
      <c r="P72" s="149"/>
      <c r="Q72" s="149"/>
      <c r="R72" s="189"/>
      <c r="S72" s="149"/>
      <c r="T72" s="189"/>
      <c r="U72" s="194"/>
      <c r="V72" s="194"/>
      <c r="W72" s="194"/>
      <c r="X72" s="194"/>
      <c r="Y72" s="194"/>
      <c r="Z72" s="194"/>
      <c r="AA72" s="194"/>
    </row>
    <row r="73" ht="19.5" customHeight="1">
      <c r="A73" s="48"/>
      <c r="B73" s="224"/>
      <c r="C73" s="220"/>
      <c r="D73" s="221"/>
      <c r="E73" s="222"/>
      <c r="F73" s="223"/>
      <c r="G73" s="143"/>
      <c r="H73" s="143"/>
      <c r="I73" s="143"/>
      <c r="J73" s="143"/>
      <c r="K73" s="182"/>
      <c r="L73" s="143"/>
      <c r="M73" s="182"/>
      <c r="N73" s="149"/>
      <c r="O73" s="189"/>
      <c r="P73" s="149"/>
      <c r="Q73" s="149"/>
      <c r="R73" s="189"/>
      <c r="S73" s="149"/>
      <c r="T73" s="189"/>
      <c r="U73" s="194"/>
      <c r="V73" s="194"/>
      <c r="W73" s="194"/>
      <c r="X73" s="194"/>
      <c r="Y73" s="194"/>
      <c r="Z73" s="194"/>
      <c r="AA73" s="194"/>
    </row>
    <row r="74" ht="19.5" customHeight="1">
      <c r="A74" s="48"/>
      <c r="B74" s="224"/>
      <c r="C74" s="220"/>
      <c r="D74" s="221"/>
      <c r="E74" s="222"/>
      <c r="F74" s="223"/>
      <c r="G74" s="143"/>
      <c r="H74" s="143"/>
      <c r="I74" s="143"/>
      <c r="J74" s="143"/>
      <c r="K74" s="182"/>
      <c r="L74" s="143"/>
      <c r="M74" s="182"/>
      <c r="N74" s="149"/>
      <c r="O74" s="189"/>
      <c r="P74" s="149"/>
      <c r="Q74" s="149"/>
      <c r="R74" s="189"/>
      <c r="S74" s="149"/>
      <c r="T74" s="189"/>
      <c r="U74" s="194"/>
      <c r="V74" s="194"/>
      <c r="W74" s="194"/>
      <c r="X74" s="194"/>
      <c r="Y74" s="194"/>
      <c r="Z74" s="194"/>
      <c r="AA74" s="194"/>
    </row>
    <row r="75" ht="19.5" customHeight="1">
      <c r="A75" s="48"/>
      <c r="B75" s="224"/>
      <c r="C75" s="220"/>
      <c r="D75" s="221"/>
      <c r="E75" s="222"/>
      <c r="F75" s="223"/>
      <c r="G75" s="143"/>
      <c r="H75" s="143"/>
      <c r="I75" s="143"/>
      <c r="J75" s="143"/>
      <c r="K75" s="182"/>
      <c r="L75" s="143"/>
      <c r="M75" s="182"/>
      <c r="N75" s="149"/>
      <c r="O75" s="189"/>
      <c r="P75" s="149"/>
      <c r="Q75" s="149"/>
      <c r="R75" s="189"/>
      <c r="S75" s="149"/>
      <c r="T75" s="189"/>
      <c r="U75" s="194"/>
      <c r="V75" s="194"/>
      <c r="W75" s="194"/>
      <c r="X75" s="194"/>
      <c r="Y75" s="194"/>
      <c r="Z75" s="194"/>
      <c r="AA75" s="194"/>
    </row>
    <row r="76" ht="19.5" customHeight="1">
      <c r="A76" s="48"/>
      <c r="B76" s="224"/>
      <c r="C76" s="220"/>
      <c r="D76" s="221"/>
      <c r="E76" s="222"/>
      <c r="F76" s="223"/>
      <c r="G76" s="143"/>
      <c r="H76" s="143"/>
      <c r="I76" s="143"/>
      <c r="J76" s="143"/>
      <c r="K76" s="182"/>
      <c r="L76" s="143"/>
      <c r="M76" s="182"/>
      <c r="N76" s="149"/>
      <c r="O76" s="189"/>
      <c r="P76" s="149"/>
      <c r="Q76" s="149"/>
      <c r="R76" s="189"/>
      <c r="S76" s="149"/>
      <c r="T76" s="189"/>
      <c r="U76" s="194"/>
      <c r="V76" s="194"/>
      <c r="W76" s="194"/>
      <c r="X76" s="194"/>
      <c r="Y76" s="194"/>
      <c r="Z76" s="194"/>
      <c r="AA76" s="194"/>
    </row>
    <row r="77" ht="19.5" customHeight="1">
      <c r="A77" s="48"/>
      <c r="B77" s="224"/>
      <c r="C77" s="220"/>
      <c r="D77" s="221"/>
      <c r="E77" s="222"/>
      <c r="F77" s="223"/>
      <c r="G77" s="143"/>
      <c r="H77" s="143"/>
      <c r="I77" s="143"/>
      <c r="J77" s="143"/>
      <c r="K77" s="182"/>
      <c r="L77" s="143"/>
      <c r="M77" s="182"/>
      <c r="N77" s="149"/>
      <c r="O77" s="189"/>
      <c r="P77" s="149"/>
      <c r="Q77" s="149"/>
      <c r="R77" s="189"/>
      <c r="S77" s="149"/>
      <c r="T77" s="189"/>
      <c r="U77" s="194"/>
      <c r="V77" s="194"/>
      <c r="W77" s="194"/>
      <c r="X77" s="194"/>
      <c r="Y77" s="194"/>
      <c r="Z77" s="194"/>
      <c r="AA77" s="194"/>
    </row>
    <row r="78" ht="19.5" customHeight="1">
      <c r="A78" s="48"/>
      <c r="B78" s="224"/>
      <c r="C78" s="220"/>
      <c r="D78" s="221"/>
      <c r="E78" s="222"/>
      <c r="F78" s="223"/>
      <c r="G78" s="143"/>
      <c r="H78" s="143"/>
      <c r="I78" s="143"/>
      <c r="J78" s="143"/>
      <c r="K78" s="182"/>
      <c r="L78" s="143"/>
      <c r="M78" s="182"/>
      <c r="N78" s="149"/>
      <c r="O78" s="189"/>
      <c r="P78" s="149"/>
      <c r="Q78" s="149"/>
      <c r="R78" s="189"/>
      <c r="S78" s="149"/>
      <c r="T78" s="189"/>
      <c r="U78" s="194"/>
      <c r="V78" s="194"/>
      <c r="W78" s="194"/>
      <c r="X78" s="194"/>
      <c r="Y78" s="194"/>
      <c r="Z78" s="194"/>
      <c r="AA78" s="194"/>
    </row>
    <row r="79" ht="19.5" customHeight="1">
      <c r="A79" s="48"/>
      <c r="B79" s="224"/>
      <c r="C79" s="220"/>
      <c r="D79" s="221"/>
      <c r="E79" s="222"/>
      <c r="F79" s="223"/>
      <c r="G79" s="143"/>
      <c r="H79" s="143"/>
      <c r="I79" s="143"/>
      <c r="J79" s="143"/>
      <c r="K79" s="182"/>
      <c r="L79" s="143"/>
      <c r="M79" s="182"/>
      <c r="N79" s="149"/>
      <c r="O79" s="189"/>
      <c r="P79" s="149"/>
      <c r="Q79" s="149"/>
      <c r="R79" s="189"/>
      <c r="S79" s="149"/>
      <c r="T79" s="189"/>
      <c r="U79" s="194"/>
      <c r="V79" s="194"/>
      <c r="W79" s="194"/>
      <c r="X79" s="194"/>
      <c r="Y79" s="194"/>
      <c r="Z79" s="194"/>
      <c r="AA79" s="194"/>
    </row>
    <row r="80" ht="19.5" customHeight="1">
      <c r="A80" s="48"/>
      <c r="B80" s="224"/>
      <c r="C80" s="220"/>
      <c r="D80" s="221"/>
      <c r="E80" s="222"/>
      <c r="F80" s="223"/>
      <c r="G80" s="143"/>
      <c r="H80" s="143"/>
      <c r="I80" s="143"/>
      <c r="J80" s="143"/>
      <c r="K80" s="182"/>
      <c r="L80" s="143"/>
      <c r="M80" s="182"/>
      <c r="N80" s="149"/>
      <c r="O80" s="189"/>
      <c r="P80" s="149"/>
      <c r="Q80" s="149"/>
      <c r="R80" s="189"/>
      <c r="S80" s="149"/>
      <c r="T80" s="189"/>
      <c r="U80" s="194"/>
      <c r="V80" s="194"/>
      <c r="W80" s="194"/>
      <c r="X80" s="194"/>
      <c r="Y80" s="194"/>
      <c r="Z80" s="194"/>
      <c r="AA80" s="194"/>
    </row>
    <row r="81" ht="19.5" customHeight="1">
      <c r="A81" s="48"/>
      <c r="B81" s="224"/>
      <c r="C81" s="220"/>
      <c r="D81" s="221"/>
      <c r="E81" s="222"/>
      <c r="F81" s="223"/>
      <c r="G81" s="143"/>
      <c r="H81" s="143"/>
      <c r="I81" s="143"/>
      <c r="J81" s="143"/>
      <c r="K81" s="182"/>
      <c r="L81" s="143"/>
      <c r="M81" s="182"/>
      <c r="N81" s="149"/>
      <c r="O81" s="189"/>
      <c r="P81" s="149"/>
      <c r="Q81" s="149"/>
      <c r="R81" s="189"/>
      <c r="S81" s="149"/>
      <c r="T81" s="189"/>
      <c r="U81" s="194"/>
      <c r="V81" s="194"/>
      <c r="W81" s="194"/>
      <c r="X81" s="194"/>
      <c r="Y81" s="194"/>
      <c r="Z81" s="194"/>
      <c r="AA81" s="194"/>
    </row>
    <row r="82" ht="19.5" customHeight="1">
      <c r="A82" s="48"/>
      <c r="B82" s="224"/>
      <c r="C82" s="220"/>
      <c r="D82" s="221"/>
      <c r="E82" s="222"/>
      <c r="F82" s="223"/>
      <c r="G82" s="143"/>
      <c r="H82" s="143"/>
      <c r="I82" s="143"/>
      <c r="J82" s="143"/>
      <c r="K82" s="182"/>
      <c r="L82" s="143"/>
      <c r="M82" s="182"/>
      <c r="N82" s="149"/>
      <c r="O82" s="189"/>
      <c r="P82" s="149"/>
      <c r="Q82" s="149"/>
      <c r="R82" s="189"/>
      <c r="S82" s="149"/>
      <c r="T82" s="189"/>
      <c r="U82" s="194"/>
      <c r="V82" s="194"/>
      <c r="W82" s="194"/>
      <c r="X82" s="194"/>
      <c r="Y82" s="194"/>
      <c r="Z82" s="194"/>
      <c r="AA82" s="194"/>
    </row>
    <row r="83" ht="19.5" customHeight="1">
      <c r="A83" s="48"/>
      <c r="B83" s="224"/>
      <c r="C83" s="220"/>
      <c r="D83" s="221"/>
      <c r="E83" s="222"/>
      <c r="F83" s="223"/>
      <c r="G83" s="143"/>
      <c r="H83" s="143"/>
      <c r="I83" s="143"/>
      <c r="J83" s="143"/>
      <c r="K83" s="182"/>
      <c r="L83" s="143"/>
      <c r="M83" s="182"/>
      <c r="N83" s="149"/>
      <c r="O83" s="189"/>
      <c r="P83" s="149"/>
      <c r="Q83" s="149"/>
      <c r="R83" s="189"/>
      <c r="S83" s="149"/>
      <c r="T83" s="189"/>
      <c r="U83" s="194"/>
      <c r="V83" s="194"/>
      <c r="W83" s="194"/>
      <c r="X83" s="194"/>
      <c r="Y83" s="194"/>
      <c r="Z83" s="194"/>
      <c r="AA83" s="194"/>
    </row>
    <row r="84" ht="19.5" customHeight="1">
      <c r="A84" s="48"/>
      <c r="B84" s="224"/>
      <c r="C84" s="220"/>
      <c r="D84" s="221"/>
      <c r="E84" s="222"/>
      <c r="F84" s="223"/>
      <c r="G84" s="143"/>
      <c r="H84" s="143"/>
      <c r="I84" s="143"/>
      <c r="J84" s="143"/>
      <c r="K84" s="182"/>
      <c r="L84" s="143"/>
      <c r="M84" s="182"/>
      <c r="N84" s="149"/>
      <c r="O84" s="189"/>
      <c r="P84" s="149"/>
      <c r="Q84" s="149"/>
      <c r="R84" s="189"/>
      <c r="S84" s="149"/>
      <c r="T84" s="189"/>
      <c r="U84" s="194"/>
      <c r="V84" s="194"/>
      <c r="W84" s="194"/>
      <c r="X84" s="194"/>
      <c r="Y84" s="194"/>
      <c r="Z84" s="194"/>
      <c r="AA84" s="194"/>
    </row>
    <row r="85" ht="19.5" customHeight="1">
      <c r="A85" s="48"/>
      <c r="B85" s="224"/>
      <c r="C85" s="220"/>
      <c r="D85" s="221"/>
      <c r="E85" s="222"/>
      <c r="F85" s="223"/>
      <c r="G85" s="143"/>
      <c r="H85" s="143"/>
      <c r="I85" s="143"/>
      <c r="J85" s="143"/>
      <c r="K85" s="182"/>
      <c r="L85" s="143"/>
      <c r="M85" s="182"/>
      <c r="N85" s="149"/>
      <c r="O85" s="189"/>
      <c r="P85" s="149"/>
      <c r="Q85" s="149"/>
      <c r="R85" s="189"/>
      <c r="S85" s="149"/>
      <c r="T85" s="189"/>
      <c r="U85" s="194"/>
      <c r="V85" s="194"/>
      <c r="W85" s="194"/>
      <c r="X85" s="194"/>
      <c r="Y85" s="194"/>
      <c r="Z85" s="194"/>
      <c r="AA85" s="194"/>
    </row>
    <row r="86" ht="19.5" customHeight="1">
      <c r="A86" s="48"/>
      <c r="B86" s="224"/>
      <c r="C86" s="220"/>
      <c r="D86" s="221"/>
      <c r="E86" s="222"/>
      <c r="F86" s="223"/>
      <c r="G86" s="143"/>
      <c r="H86" s="143"/>
      <c r="I86" s="143"/>
      <c r="J86" s="143"/>
      <c r="K86" s="182"/>
      <c r="L86" s="143"/>
      <c r="M86" s="182"/>
      <c r="N86" s="149"/>
      <c r="O86" s="189"/>
      <c r="P86" s="149"/>
      <c r="Q86" s="149"/>
      <c r="R86" s="189"/>
      <c r="S86" s="149"/>
      <c r="T86" s="189"/>
      <c r="U86" s="194"/>
      <c r="V86" s="194"/>
      <c r="W86" s="194"/>
      <c r="X86" s="194"/>
      <c r="Y86" s="194"/>
      <c r="Z86" s="194"/>
      <c r="AA86" s="194"/>
    </row>
    <row r="87" ht="19.5" customHeight="1">
      <c r="A87" s="48"/>
      <c r="B87" s="224"/>
      <c r="C87" s="220"/>
      <c r="D87" s="221"/>
      <c r="E87" s="222"/>
      <c r="F87" s="223"/>
      <c r="G87" s="143"/>
      <c r="H87" s="143"/>
      <c r="I87" s="143"/>
      <c r="J87" s="143"/>
      <c r="K87" s="182"/>
      <c r="L87" s="143"/>
      <c r="M87" s="182"/>
      <c r="N87" s="149"/>
      <c r="O87" s="189"/>
      <c r="P87" s="149"/>
      <c r="Q87" s="149"/>
      <c r="R87" s="189"/>
      <c r="S87" s="149"/>
      <c r="T87" s="189"/>
      <c r="U87" s="194"/>
      <c r="V87" s="194"/>
      <c r="W87" s="194"/>
      <c r="X87" s="194"/>
      <c r="Y87" s="194"/>
      <c r="Z87" s="194"/>
      <c r="AA87" s="194"/>
    </row>
    <row r="88" ht="19.5" customHeight="1">
      <c r="A88" s="48"/>
      <c r="B88" s="224"/>
      <c r="C88" s="220"/>
      <c r="D88" s="221"/>
      <c r="E88" s="222"/>
      <c r="F88" s="223"/>
      <c r="G88" s="143"/>
      <c r="H88" s="143"/>
      <c r="I88" s="143"/>
      <c r="J88" s="143"/>
      <c r="K88" s="182"/>
      <c r="L88" s="143"/>
      <c r="M88" s="182"/>
      <c r="N88" s="149"/>
      <c r="O88" s="189"/>
      <c r="P88" s="149"/>
      <c r="Q88" s="149"/>
      <c r="R88" s="189"/>
      <c r="S88" s="149"/>
      <c r="T88" s="189"/>
      <c r="U88" s="194"/>
      <c r="V88" s="194"/>
      <c r="W88" s="194"/>
      <c r="X88" s="194"/>
      <c r="Y88" s="194"/>
      <c r="Z88" s="194"/>
      <c r="AA88" s="194"/>
    </row>
    <row r="89" ht="19.5" customHeight="1">
      <c r="A89" s="48"/>
      <c r="B89" s="224"/>
      <c r="C89" s="220"/>
      <c r="D89" s="221"/>
      <c r="E89" s="222"/>
      <c r="F89" s="223"/>
      <c r="G89" s="143"/>
      <c r="H89" s="143"/>
      <c r="I89" s="143"/>
      <c r="J89" s="143"/>
      <c r="K89" s="182"/>
      <c r="L89" s="143"/>
      <c r="M89" s="182"/>
      <c r="N89" s="149"/>
      <c r="O89" s="189"/>
      <c r="P89" s="149"/>
      <c r="Q89" s="149"/>
      <c r="R89" s="189"/>
      <c r="S89" s="149"/>
      <c r="T89" s="189"/>
      <c r="U89" s="194"/>
      <c r="V89" s="194"/>
      <c r="W89" s="194"/>
      <c r="X89" s="194"/>
      <c r="Y89" s="194"/>
      <c r="Z89" s="194"/>
      <c r="AA89" s="194"/>
    </row>
    <row r="90" ht="19.5" customHeight="1">
      <c r="A90" s="48"/>
      <c r="B90" s="224"/>
      <c r="C90" s="220"/>
      <c r="D90" s="221"/>
      <c r="E90" s="222"/>
      <c r="F90" s="223"/>
      <c r="G90" s="143"/>
      <c r="H90" s="143"/>
      <c r="I90" s="143"/>
      <c r="J90" s="143"/>
      <c r="K90" s="182"/>
      <c r="L90" s="143"/>
      <c r="M90" s="182"/>
      <c r="N90" s="149"/>
      <c r="O90" s="189"/>
      <c r="P90" s="149"/>
      <c r="Q90" s="149"/>
      <c r="R90" s="189"/>
      <c r="S90" s="149"/>
      <c r="T90" s="189"/>
      <c r="U90" s="194"/>
      <c r="V90" s="194"/>
      <c r="W90" s="194"/>
      <c r="X90" s="194"/>
      <c r="Y90" s="194"/>
      <c r="Z90" s="194"/>
      <c r="AA90" s="194"/>
    </row>
    <row r="91" ht="19.5" customHeight="1">
      <c r="A91" s="48"/>
      <c r="B91" s="224"/>
      <c r="C91" s="220"/>
      <c r="D91" s="221"/>
      <c r="E91" s="222"/>
      <c r="F91" s="223"/>
      <c r="G91" s="143"/>
      <c r="H91" s="143"/>
      <c r="I91" s="143"/>
      <c r="J91" s="143"/>
      <c r="K91" s="182"/>
      <c r="L91" s="143"/>
      <c r="M91" s="182"/>
      <c r="N91" s="149"/>
      <c r="O91" s="189"/>
      <c r="P91" s="149"/>
      <c r="Q91" s="149"/>
      <c r="R91" s="189"/>
      <c r="S91" s="149"/>
      <c r="T91" s="189"/>
      <c r="U91" s="194"/>
      <c r="V91" s="194"/>
      <c r="W91" s="194"/>
      <c r="X91" s="194"/>
      <c r="Y91" s="194"/>
      <c r="Z91" s="194"/>
      <c r="AA91" s="194"/>
    </row>
    <row r="92" ht="19.5" customHeight="1">
      <c r="A92" s="48"/>
      <c r="B92" s="224"/>
      <c r="C92" s="220"/>
      <c r="D92" s="221"/>
      <c r="E92" s="222"/>
      <c r="F92" s="223"/>
      <c r="G92" s="143"/>
      <c r="H92" s="143"/>
      <c r="I92" s="143"/>
      <c r="J92" s="143"/>
      <c r="K92" s="182"/>
      <c r="L92" s="143"/>
      <c r="M92" s="182"/>
      <c r="N92" s="149"/>
      <c r="O92" s="189"/>
      <c r="P92" s="149"/>
      <c r="Q92" s="149"/>
      <c r="R92" s="189"/>
      <c r="S92" s="149"/>
      <c r="T92" s="189"/>
      <c r="U92" s="194"/>
      <c r="V92" s="194"/>
      <c r="W92" s="194"/>
      <c r="X92" s="194"/>
      <c r="Y92" s="194"/>
      <c r="Z92" s="194"/>
      <c r="AA92" s="194"/>
    </row>
    <row r="93" ht="19.5" customHeight="1">
      <c r="A93" s="48"/>
      <c r="B93" s="224"/>
      <c r="C93" s="220"/>
      <c r="D93" s="221"/>
      <c r="E93" s="222"/>
      <c r="F93" s="223"/>
      <c r="G93" s="143"/>
      <c r="H93" s="143"/>
      <c r="I93" s="143"/>
      <c r="J93" s="143"/>
      <c r="K93" s="182"/>
      <c r="L93" s="143"/>
      <c r="M93" s="182"/>
      <c r="N93" s="149"/>
      <c r="O93" s="189"/>
      <c r="P93" s="149"/>
      <c r="Q93" s="149"/>
      <c r="R93" s="189"/>
      <c r="S93" s="149"/>
      <c r="T93" s="189"/>
      <c r="U93" s="194"/>
      <c r="V93" s="194"/>
      <c r="W93" s="194"/>
      <c r="X93" s="194"/>
      <c r="Y93" s="194"/>
      <c r="Z93" s="194"/>
      <c r="AA93" s="194"/>
    </row>
    <row r="94" ht="19.5" customHeight="1">
      <c r="A94" s="48"/>
      <c r="B94" s="224"/>
      <c r="C94" s="220"/>
      <c r="D94" s="221"/>
      <c r="E94" s="222"/>
      <c r="F94" s="223"/>
      <c r="G94" s="143"/>
      <c r="H94" s="143"/>
      <c r="I94" s="143"/>
      <c r="J94" s="143"/>
      <c r="K94" s="182"/>
      <c r="L94" s="143"/>
      <c r="M94" s="182"/>
      <c r="N94" s="149"/>
      <c r="O94" s="189"/>
      <c r="P94" s="149"/>
      <c r="Q94" s="149"/>
      <c r="R94" s="189"/>
      <c r="S94" s="149"/>
      <c r="T94" s="189"/>
      <c r="U94" s="194"/>
      <c r="V94" s="194"/>
      <c r="W94" s="194"/>
      <c r="X94" s="194"/>
      <c r="Y94" s="194"/>
      <c r="Z94" s="194"/>
      <c r="AA94" s="194"/>
    </row>
    <row r="95" ht="19.5" customHeight="1">
      <c r="A95" s="48"/>
      <c r="B95" s="224"/>
      <c r="C95" s="220"/>
      <c r="D95" s="221"/>
      <c r="E95" s="222"/>
      <c r="F95" s="223"/>
      <c r="G95" s="143"/>
      <c r="H95" s="143"/>
      <c r="I95" s="143"/>
      <c r="J95" s="143"/>
      <c r="K95" s="182"/>
      <c r="L95" s="143"/>
      <c r="M95" s="182"/>
      <c r="N95" s="149"/>
      <c r="O95" s="189"/>
      <c r="P95" s="149"/>
      <c r="Q95" s="149"/>
      <c r="R95" s="189"/>
      <c r="S95" s="149"/>
      <c r="T95" s="189"/>
      <c r="U95" s="194"/>
      <c r="V95" s="194"/>
      <c r="W95" s="194"/>
      <c r="X95" s="194"/>
      <c r="Y95" s="194"/>
      <c r="Z95" s="194"/>
      <c r="AA95" s="194"/>
    </row>
    <row r="96" ht="19.5" customHeight="1">
      <c r="A96" s="48"/>
      <c r="B96" s="224"/>
      <c r="C96" s="220"/>
      <c r="D96" s="221"/>
      <c r="E96" s="222"/>
      <c r="F96" s="223"/>
      <c r="G96" s="143"/>
      <c r="H96" s="143"/>
      <c r="I96" s="143"/>
      <c r="J96" s="143"/>
      <c r="K96" s="182"/>
      <c r="L96" s="143"/>
      <c r="M96" s="182"/>
      <c r="N96" s="149"/>
      <c r="O96" s="189"/>
      <c r="P96" s="149"/>
      <c r="Q96" s="149"/>
      <c r="R96" s="189"/>
      <c r="S96" s="149"/>
      <c r="T96" s="189"/>
      <c r="U96" s="194"/>
      <c r="V96" s="194"/>
      <c r="W96" s="194"/>
      <c r="X96" s="194"/>
      <c r="Y96" s="194"/>
      <c r="Z96" s="194"/>
      <c r="AA96" s="194"/>
    </row>
    <row r="97" ht="19.5" customHeight="1">
      <c r="A97" s="48"/>
      <c r="B97" s="224"/>
      <c r="C97" s="220"/>
      <c r="D97" s="221"/>
      <c r="E97" s="222"/>
      <c r="F97" s="223"/>
      <c r="G97" s="143"/>
      <c r="H97" s="143"/>
      <c r="I97" s="143"/>
      <c r="J97" s="143"/>
      <c r="K97" s="182"/>
      <c r="L97" s="143"/>
      <c r="M97" s="182"/>
      <c r="N97" s="149"/>
      <c r="O97" s="189"/>
      <c r="P97" s="149"/>
      <c r="Q97" s="149"/>
      <c r="R97" s="189"/>
      <c r="S97" s="149"/>
      <c r="T97" s="189"/>
      <c r="U97" s="194"/>
      <c r="V97" s="194"/>
      <c r="W97" s="194"/>
      <c r="X97" s="194"/>
      <c r="Y97" s="194"/>
      <c r="Z97" s="194"/>
      <c r="AA97" s="194"/>
    </row>
    <row r="98" ht="19.5" customHeight="1">
      <c r="A98" s="48"/>
      <c r="B98" s="224"/>
      <c r="C98" s="220"/>
      <c r="D98" s="221"/>
      <c r="E98" s="222"/>
      <c r="F98" s="223"/>
      <c r="G98" s="143"/>
      <c r="H98" s="143"/>
      <c r="I98" s="143"/>
      <c r="J98" s="143"/>
      <c r="K98" s="182"/>
      <c r="L98" s="143"/>
      <c r="M98" s="182"/>
      <c r="N98" s="149"/>
      <c r="O98" s="189"/>
      <c r="P98" s="149"/>
      <c r="Q98" s="149"/>
      <c r="R98" s="189"/>
      <c r="S98" s="149"/>
      <c r="T98" s="189"/>
      <c r="U98" s="194"/>
      <c r="V98" s="194"/>
      <c r="W98" s="194"/>
      <c r="X98" s="194"/>
      <c r="Y98" s="194"/>
      <c r="Z98" s="194"/>
      <c r="AA98" s="194"/>
    </row>
    <row r="99" ht="19.5" customHeight="1">
      <c r="A99" s="48"/>
      <c r="B99" s="224"/>
      <c r="C99" s="220"/>
      <c r="D99" s="221"/>
      <c r="E99" s="222"/>
      <c r="F99" s="223"/>
      <c r="G99" s="143"/>
      <c r="H99" s="143"/>
      <c r="I99" s="143"/>
      <c r="J99" s="143"/>
      <c r="K99" s="182"/>
      <c r="L99" s="143"/>
      <c r="M99" s="182"/>
      <c r="N99" s="149"/>
      <c r="O99" s="189"/>
      <c r="P99" s="149"/>
      <c r="Q99" s="149"/>
      <c r="R99" s="189"/>
      <c r="S99" s="149"/>
      <c r="T99" s="189"/>
      <c r="U99" s="194"/>
      <c r="V99" s="194"/>
      <c r="W99" s="194"/>
      <c r="X99" s="194"/>
      <c r="Y99" s="194"/>
      <c r="Z99" s="194"/>
      <c r="AA99" s="194"/>
    </row>
    <row r="100" ht="19.5" customHeight="1">
      <c r="A100" s="48"/>
      <c r="B100" s="224"/>
      <c r="C100" s="220"/>
      <c r="D100" s="221"/>
      <c r="E100" s="222"/>
      <c r="F100" s="223"/>
      <c r="G100" s="143"/>
      <c r="H100" s="143"/>
      <c r="I100" s="143"/>
      <c r="J100" s="143"/>
      <c r="K100" s="182"/>
      <c r="L100" s="143"/>
      <c r="M100" s="182"/>
      <c r="N100" s="149"/>
      <c r="O100" s="189"/>
      <c r="P100" s="149"/>
      <c r="Q100" s="149"/>
      <c r="R100" s="189"/>
      <c r="S100" s="149"/>
      <c r="T100" s="189"/>
      <c r="U100" s="194"/>
      <c r="V100" s="194"/>
      <c r="W100" s="194"/>
      <c r="X100" s="194"/>
      <c r="Y100" s="194"/>
      <c r="Z100" s="194"/>
      <c r="AA100" s="194"/>
    </row>
    <row r="101" ht="19.5" customHeight="1">
      <c r="A101" s="48"/>
      <c r="B101" s="224"/>
      <c r="C101" s="220"/>
      <c r="D101" s="221"/>
      <c r="E101" s="222"/>
      <c r="F101" s="223"/>
      <c r="G101" s="143"/>
      <c r="H101" s="143"/>
      <c r="I101" s="143"/>
      <c r="J101" s="143"/>
      <c r="K101" s="182"/>
      <c r="L101" s="143"/>
      <c r="M101" s="182"/>
      <c r="N101" s="149"/>
      <c r="O101" s="189"/>
      <c r="P101" s="149"/>
      <c r="Q101" s="149"/>
      <c r="R101" s="189"/>
      <c r="S101" s="149"/>
      <c r="T101" s="189"/>
      <c r="U101" s="194"/>
      <c r="V101" s="194"/>
      <c r="W101" s="194"/>
      <c r="X101" s="194"/>
      <c r="Y101" s="194"/>
      <c r="Z101" s="194"/>
      <c r="AA101" s="194"/>
    </row>
    <row r="102" ht="19.5" customHeight="1">
      <c r="A102" s="48"/>
      <c r="B102" s="224"/>
      <c r="C102" s="220"/>
      <c r="D102" s="221"/>
      <c r="E102" s="222"/>
      <c r="F102" s="223"/>
      <c r="G102" s="143"/>
      <c r="H102" s="143"/>
      <c r="I102" s="143"/>
      <c r="J102" s="143"/>
      <c r="K102" s="182"/>
      <c r="L102" s="143"/>
      <c r="M102" s="182"/>
      <c r="N102" s="149"/>
      <c r="O102" s="189"/>
      <c r="P102" s="149"/>
      <c r="Q102" s="149"/>
      <c r="R102" s="189"/>
      <c r="S102" s="149"/>
      <c r="T102" s="189"/>
      <c r="U102" s="194"/>
      <c r="V102" s="194"/>
      <c r="W102" s="194"/>
      <c r="X102" s="194"/>
      <c r="Y102" s="194"/>
      <c r="Z102" s="194"/>
      <c r="AA102" s="194"/>
    </row>
    <row r="103" ht="19.5" customHeight="1">
      <c r="A103" s="48"/>
      <c r="B103" s="224"/>
      <c r="C103" s="220"/>
      <c r="D103" s="221"/>
      <c r="E103" s="222"/>
      <c r="F103" s="223"/>
      <c r="G103" s="143"/>
      <c r="H103" s="143"/>
      <c r="I103" s="143"/>
      <c r="J103" s="143"/>
      <c r="K103" s="182"/>
      <c r="L103" s="143"/>
      <c r="M103" s="182"/>
      <c r="N103" s="149"/>
      <c r="O103" s="189"/>
      <c r="P103" s="149"/>
      <c r="Q103" s="149"/>
      <c r="R103" s="189"/>
      <c r="S103" s="149"/>
      <c r="T103" s="189"/>
      <c r="U103" s="194"/>
      <c r="V103" s="194"/>
      <c r="W103" s="194"/>
      <c r="X103" s="194"/>
      <c r="Y103" s="194"/>
      <c r="Z103" s="194"/>
      <c r="AA103" s="194"/>
    </row>
    <row r="104" ht="19.5" customHeight="1">
      <c r="A104" s="48"/>
      <c r="B104" s="224"/>
      <c r="C104" s="220"/>
      <c r="D104" s="221"/>
      <c r="E104" s="222"/>
      <c r="F104" s="223"/>
      <c r="G104" s="143"/>
      <c r="H104" s="143"/>
      <c r="I104" s="143"/>
      <c r="J104" s="143"/>
      <c r="K104" s="182"/>
      <c r="L104" s="143"/>
      <c r="M104" s="182"/>
      <c r="N104" s="149"/>
      <c r="O104" s="189"/>
      <c r="P104" s="149"/>
      <c r="Q104" s="149"/>
      <c r="R104" s="189"/>
      <c r="S104" s="149"/>
      <c r="T104" s="189"/>
      <c r="U104" s="194"/>
      <c r="V104" s="194"/>
      <c r="W104" s="194"/>
      <c r="X104" s="194"/>
      <c r="Y104" s="194"/>
      <c r="Z104" s="194"/>
      <c r="AA104" s="194"/>
    </row>
    <row r="105" ht="19.5" customHeight="1">
      <c r="A105" s="48"/>
      <c r="B105" s="224"/>
      <c r="C105" s="220"/>
      <c r="D105" s="221"/>
      <c r="E105" s="222"/>
      <c r="F105" s="223"/>
      <c r="G105" s="143"/>
      <c r="H105" s="143"/>
      <c r="I105" s="143"/>
      <c r="J105" s="143"/>
      <c r="K105" s="182"/>
      <c r="L105" s="143"/>
      <c r="M105" s="182"/>
      <c r="N105" s="149"/>
      <c r="O105" s="189"/>
      <c r="P105" s="149"/>
      <c r="Q105" s="149"/>
      <c r="R105" s="189"/>
      <c r="S105" s="149"/>
      <c r="T105" s="189"/>
      <c r="U105" s="194"/>
      <c r="V105" s="194"/>
      <c r="W105" s="194"/>
      <c r="X105" s="194"/>
      <c r="Y105" s="194"/>
      <c r="Z105" s="194"/>
      <c r="AA105" s="194"/>
    </row>
    <row r="106" ht="19.5" customHeight="1">
      <c r="A106" s="48"/>
      <c r="B106" s="224"/>
      <c r="C106" s="220"/>
      <c r="D106" s="221"/>
      <c r="E106" s="222"/>
      <c r="F106" s="223"/>
      <c r="G106" s="143"/>
      <c r="H106" s="143"/>
      <c r="I106" s="143"/>
      <c r="J106" s="143"/>
      <c r="K106" s="182"/>
      <c r="L106" s="143"/>
      <c r="M106" s="182"/>
      <c r="N106" s="149"/>
      <c r="O106" s="189"/>
      <c r="P106" s="149"/>
      <c r="Q106" s="149"/>
      <c r="R106" s="189"/>
      <c r="S106" s="149"/>
      <c r="T106" s="189"/>
      <c r="U106" s="194"/>
      <c r="V106" s="194"/>
      <c r="W106" s="194"/>
      <c r="X106" s="194"/>
      <c r="Y106" s="194"/>
      <c r="Z106" s="194"/>
      <c r="AA106" s="194"/>
    </row>
    <row r="107" ht="19.5" customHeight="1">
      <c r="A107" s="48"/>
      <c r="B107" s="224"/>
      <c r="C107" s="220"/>
      <c r="D107" s="221"/>
      <c r="E107" s="222"/>
      <c r="F107" s="223"/>
      <c r="G107" s="143"/>
      <c r="H107" s="143"/>
      <c r="I107" s="143"/>
      <c r="J107" s="143"/>
      <c r="K107" s="182"/>
      <c r="L107" s="143"/>
      <c r="M107" s="182"/>
      <c r="N107" s="149"/>
      <c r="O107" s="189"/>
      <c r="P107" s="149"/>
      <c r="Q107" s="149"/>
      <c r="R107" s="189"/>
      <c r="S107" s="149"/>
      <c r="T107" s="189"/>
      <c r="U107" s="194"/>
      <c r="V107" s="194"/>
      <c r="W107" s="194"/>
      <c r="X107" s="194"/>
      <c r="Y107" s="194"/>
      <c r="Z107" s="194"/>
      <c r="AA107" s="194"/>
    </row>
    <row r="108" ht="19.5" customHeight="1">
      <c r="A108" s="48"/>
      <c r="B108" s="224"/>
      <c r="C108" s="220"/>
      <c r="D108" s="221"/>
      <c r="E108" s="222"/>
      <c r="F108" s="223"/>
      <c r="G108" s="143"/>
      <c r="H108" s="143"/>
      <c r="I108" s="143"/>
      <c r="J108" s="143"/>
      <c r="K108" s="182"/>
      <c r="L108" s="143"/>
      <c r="M108" s="182"/>
      <c r="N108" s="149"/>
      <c r="O108" s="189"/>
      <c r="P108" s="149"/>
      <c r="Q108" s="149"/>
      <c r="R108" s="189"/>
      <c r="S108" s="149"/>
      <c r="T108" s="189"/>
      <c r="U108" s="194"/>
      <c r="V108" s="194"/>
      <c r="W108" s="194"/>
      <c r="X108" s="194"/>
      <c r="Y108" s="194"/>
      <c r="Z108" s="194"/>
      <c r="AA108" s="194"/>
    </row>
    <row r="109" ht="19.5" customHeight="1">
      <c r="A109" s="48"/>
      <c r="B109" s="224"/>
      <c r="C109" s="220"/>
      <c r="D109" s="221"/>
      <c r="E109" s="222"/>
      <c r="F109" s="223"/>
      <c r="G109" s="143"/>
      <c r="H109" s="143"/>
      <c r="I109" s="143"/>
      <c r="J109" s="143"/>
      <c r="K109" s="182"/>
      <c r="L109" s="143"/>
      <c r="M109" s="182"/>
      <c r="N109" s="149"/>
      <c r="O109" s="189"/>
      <c r="P109" s="149"/>
      <c r="Q109" s="149"/>
      <c r="R109" s="189"/>
      <c r="S109" s="149"/>
      <c r="T109" s="189"/>
      <c r="U109" s="194"/>
      <c r="V109" s="194"/>
      <c r="W109" s="194"/>
      <c r="X109" s="194"/>
      <c r="Y109" s="194"/>
      <c r="Z109" s="194"/>
      <c r="AA109" s="194"/>
    </row>
    <row r="110" ht="19.5" customHeight="1">
      <c r="A110" s="48"/>
      <c r="B110" s="224"/>
      <c r="C110" s="220"/>
      <c r="D110" s="221"/>
      <c r="E110" s="222"/>
      <c r="F110" s="223"/>
      <c r="G110" s="143"/>
      <c r="H110" s="143"/>
      <c r="I110" s="143"/>
      <c r="J110" s="143"/>
      <c r="K110" s="182"/>
      <c r="L110" s="143"/>
      <c r="M110" s="182"/>
      <c r="N110" s="149"/>
      <c r="O110" s="189"/>
      <c r="P110" s="149"/>
      <c r="Q110" s="149"/>
      <c r="R110" s="189"/>
      <c r="S110" s="149"/>
      <c r="T110" s="189"/>
      <c r="U110" s="194"/>
      <c r="V110" s="194"/>
      <c r="W110" s="194"/>
      <c r="X110" s="194"/>
      <c r="Y110" s="194"/>
      <c r="Z110" s="194"/>
      <c r="AA110" s="194"/>
    </row>
    <row r="111" ht="19.5" customHeight="1">
      <c r="A111" s="48"/>
      <c r="B111" s="224"/>
      <c r="C111" s="220"/>
      <c r="D111" s="221"/>
      <c r="E111" s="222"/>
      <c r="F111" s="223"/>
      <c r="G111" s="143"/>
      <c r="H111" s="143"/>
      <c r="I111" s="143"/>
      <c r="J111" s="143"/>
      <c r="K111" s="182"/>
      <c r="L111" s="143"/>
      <c r="M111" s="182"/>
      <c r="N111" s="149"/>
      <c r="O111" s="189"/>
      <c r="P111" s="149"/>
      <c r="Q111" s="149"/>
      <c r="R111" s="189"/>
      <c r="S111" s="149"/>
      <c r="T111" s="189"/>
      <c r="U111" s="194"/>
      <c r="V111" s="194"/>
      <c r="W111" s="194"/>
      <c r="X111" s="194"/>
      <c r="Y111" s="194"/>
      <c r="Z111" s="194"/>
      <c r="AA111" s="194"/>
    </row>
    <row r="112" ht="19.5" customHeight="1">
      <c r="A112" s="48"/>
      <c r="B112" s="224"/>
      <c r="C112" s="220"/>
      <c r="D112" s="221"/>
      <c r="E112" s="222"/>
      <c r="F112" s="223"/>
      <c r="G112" s="143"/>
      <c r="H112" s="143"/>
      <c r="I112" s="143"/>
      <c r="J112" s="143"/>
      <c r="K112" s="182"/>
      <c r="L112" s="143"/>
      <c r="M112" s="182"/>
      <c r="N112" s="149"/>
      <c r="O112" s="189"/>
      <c r="P112" s="149"/>
      <c r="Q112" s="149"/>
      <c r="R112" s="189"/>
      <c r="S112" s="149"/>
      <c r="T112" s="189"/>
      <c r="U112" s="194"/>
      <c r="V112" s="194"/>
      <c r="W112" s="194"/>
      <c r="X112" s="194"/>
      <c r="Y112" s="194"/>
      <c r="Z112" s="194"/>
      <c r="AA112" s="194"/>
    </row>
    <row r="113" ht="19.5" customHeight="1">
      <c r="A113" s="48"/>
      <c r="B113" s="224"/>
      <c r="C113" s="220"/>
      <c r="D113" s="221"/>
      <c r="E113" s="222"/>
      <c r="F113" s="223"/>
      <c r="G113" s="143"/>
      <c r="H113" s="143"/>
      <c r="I113" s="143"/>
      <c r="J113" s="143"/>
      <c r="K113" s="182"/>
      <c r="L113" s="143"/>
      <c r="M113" s="182"/>
      <c r="N113" s="149"/>
      <c r="O113" s="189"/>
      <c r="P113" s="149"/>
      <c r="Q113" s="149"/>
      <c r="R113" s="189"/>
      <c r="S113" s="149"/>
      <c r="T113" s="189"/>
      <c r="U113" s="194"/>
      <c r="V113" s="194"/>
      <c r="W113" s="194"/>
      <c r="X113" s="194"/>
      <c r="Y113" s="194"/>
      <c r="Z113" s="194"/>
      <c r="AA113" s="194"/>
    </row>
    <row r="114" ht="19.5" customHeight="1">
      <c r="A114" s="48"/>
      <c r="B114" s="224"/>
      <c r="C114" s="220"/>
      <c r="D114" s="221"/>
      <c r="E114" s="222"/>
      <c r="F114" s="223"/>
      <c r="G114" s="143"/>
      <c r="H114" s="143"/>
      <c r="I114" s="143"/>
      <c r="J114" s="143"/>
      <c r="K114" s="182"/>
      <c r="L114" s="143"/>
      <c r="M114" s="182"/>
      <c r="N114" s="149"/>
      <c r="O114" s="189"/>
      <c r="P114" s="149"/>
      <c r="Q114" s="149"/>
      <c r="R114" s="189"/>
      <c r="S114" s="149"/>
      <c r="T114" s="189"/>
      <c r="U114" s="194"/>
      <c r="V114" s="194"/>
      <c r="W114" s="194"/>
      <c r="X114" s="194"/>
      <c r="Y114" s="194"/>
      <c r="Z114" s="194"/>
      <c r="AA114" s="194"/>
    </row>
    <row r="115" ht="19.5" customHeight="1">
      <c r="A115" s="48"/>
      <c r="B115" s="224"/>
      <c r="C115" s="220"/>
      <c r="D115" s="221"/>
      <c r="E115" s="222"/>
      <c r="F115" s="223"/>
      <c r="G115" s="143"/>
      <c r="H115" s="143"/>
      <c r="I115" s="143"/>
      <c r="J115" s="143"/>
      <c r="K115" s="182"/>
      <c r="L115" s="143"/>
      <c r="M115" s="182"/>
      <c r="N115" s="149"/>
      <c r="O115" s="189"/>
      <c r="P115" s="149"/>
      <c r="Q115" s="149"/>
      <c r="R115" s="189"/>
      <c r="S115" s="149"/>
      <c r="T115" s="189"/>
      <c r="U115" s="194"/>
      <c r="V115" s="194"/>
      <c r="W115" s="194"/>
      <c r="X115" s="194"/>
      <c r="Y115" s="194"/>
      <c r="Z115" s="194"/>
      <c r="AA115" s="194"/>
    </row>
    <row r="116" ht="19.5" customHeight="1">
      <c r="A116" s="48"/>
      <c r="B116" s="224"/>
      <c r="C116" s="220"/>
      <c r="D116" s="221"/>
      <c r="E116" s="222"/>
      <c r="F116" s="223"/>
      <c r="G116" s="143"/>
      <c r="H116" s="143"/>
      <c r="I116" s="143"/>
      <c r="J116" s="143"/>
      <c r="K116" s="182"/>
      <c r="L116" s="143"/>
      <c r="M116" s="182"/>
      <c r="N116" s="149"/>
      <c r="O116" s="189"/>
      <c r="P116" s="149"/>
      <c r="Q116" s="149"/>
      <c r="R116" s="189"/>
      <c r="S116" s="149"/>
      <c r="T116" s="189"/>
      <c r="U116" s="194"/>
      <c r="V116" s="194"/>
      <c r="W116" s="194"/>
      <c r="X116" s="194"/>
      <c r="Y116" s="194"/>
      <c r="Z116" s="194"/>
      <c r="AA116" s="194"/>
    </row>
    <row r="117" ht="19.5" customHeight="1">
      <c r="A117" s="48"/>
      <c r="B117" s="224"/>
      <c r="C117" s="220"/>
      <c r="D117" s="221"/>
      <c r="E117" s="222"/>
      <c r="F117" s="223"/>
      <c r="G117" s="143"/>
      <c r="H117" s="143"/>
      <c r="I117" s="143"/>
      <c r="J117" s="143"/>
      <c r="K117" s="182"/>
      <c r="L117" s="143"/>
      <c r="M117" s="182"/>
      <c r="N117" s="149"/>
      <c r="O117" s="189"/>
      <c r="P117" s="149"/>
      <c r="Q117" s="149"/>
      <c r="R117" s="189"/>
      <c r="S117" s="149"/>
      <c r="T117" s="189"/>
      <c r="U117" s="194"/>
      <c r="V117" s="194"/>
      <c r="W117" s="194"/>
      <c r="X117" s="194"/>
      <c r="Y117" s="194"/>
      <c r="Z117" s="194"/>
      <c r="AA117" s="194"/>
    </row>
    <row r="118" ht="19.5" customHeight="1">
      <c r="A118" s="48"/>
      <c r="B118" s="224"/>
      <c r="C118" s="220"/>
      <c r="D118" s="221"/>
      <c r="E118" s="222"/>
      <c r="F118" s="223"/>
      <c r="G118" s="143"/>
      <c r="H118" s="143"/>
      <c r="I118" s="143"/>
      <c r="J118" s="143"/>
      <c r="K118" s="182"/>
      <c r="L118" s="143"/>
      <c r="M118" s="182"/>
      <c r="N118" s="149"/>
      <c r="O118" s="189"/>
      <c r="P118" s="149"/>
      <c r="Q118" s="149"/>
      <c r="R118" s="189"/>
      <c r="S118" s="149"/>
      <c r="T118" s="189"/>
      <c r="U118" s="194"/>
      <c r="V118" s="194"/>
      <c r="W118" s="194"/>
      <c r="X118" s="194"/>
      <c r="Y118" s="194"/>
      <c r="Z118" s="194"/>
      <c r="AA118" s="194"/>
    </row>
    <row r="119" ht="19.5" customHeight="1">
      <c r="A119" s="48"/>
      <c r="B119" s="224"/>
      <c r="C119" s="220"/>
      <c r="D119" s="221"/>
      <c r="E119" s="222"/>
      <c r="F119" s="223"/>
      <c r="G119" s="143"/>
      <c r="H119" s="143"/>
      <c r="I119" s="143"/>
      <c r="J119" s="143"/>
      <c r="K119" s="182"/>
      <c r="L119" s="143"/>
      <c r="M119" s="182"/>
      <c r="N119" s="149"/>
      <c r="O119" s="189"/>
      <c r="P119" s="149"/>
      <c r="Q119" s="149"/>
      <c r="R119" s="189"/>
      <c r="S119" s="149"/>
      <c r="T119" s="189"/>
      <c r="U119" s="194"/>
      <c r="V119" s="194"/>
      <c r="W119" s="194"/>
      <c r="X119" s="194"/>
      <c r="Y119" s="194"/>
      <c r="Z119" s="194"/>
      <c r="AA119" s="194"/>
    </row>
    <row r="120" ht="19.5" customHeight="1">
      <c r="A120" s="48"/>
      <c r="B120" s="224"/>
      <c r="C120" s="220"/>
      <c r="D120" s="221"/>
      <c r="E120" s="222"/>
      <c r="F120" s="223"/>
      <c r="G120" s="143"/>
      <c r="H120" s="143"/>
      <c r="I120" s="143"/>
      <c r="J120" s="143"/>
      <c r="K120" s="182"/>
      <c r="L120" s="143"/>
      <c r="M120" s="182"/>
      <c r="N120" s="149"/>
      <c r="O120" s="189"/>
      <c r="P120" s="149"/>
      <c r="Q120" s="149"/>
      <c r="R120" s="189"/>
      <c r="S120" s="149"/>
      <c r="T120" s="189"/>
      <c r="U120" s="194"/>
      <c r="V120" s="194"/>
      <c r="W120" s="194"/>
      <c r="X120" s="194"/>
      <c r="Y120" s="194"/>
      <c r="Z120" s="194"/>
      <c r="AA120" s="194"/>
    </row>
    <row r="121" ht="19.5" customHeight="1">
      <c r="A121" s="48"/>
      <c r="B121" s="224"/>
      <c r="C121" s="220"/>
      <c r="D121" s="221"/>
      <c r="E121" s="222"/>
      <c r="F121" s="223"/>
      <c r="G121" s="143"/>
      <c r="H121" s="143"/>
      <c r="I121" s="143"/>
      <c r="J121" s="143"/>
      <c r="K121" s="182"/>
      <c r="L121" s="143"/>
      <c r="M121" s="182"/>
      <c r="N121" s="149"/>
      <c r="O121" s="189"/>
      <c r="P121" s="149"/>
      <c r="Q121" s="149"/>
      <c r="R121" s="189"/>
      <c r="S121" s="149"/>
      <c r="T121" s="189"/>
      <c r="U121" s="194"/>
      <c r="V121" s="194"/>
      <c r="W121" s="194"/>
      <c r="X121" s="194"/>
      <c r="Y121" s="194"/>
      <c r="Z121" s="194"/>
      <c r="AA121" s="194"/>
    </row>
    <row r="122" ht="19.5" customHeight="1">
      <c r="A122" s="48"/>
      <c r="B122" s="224"/>
      <c r="C122" s="220"/>
      <c r="D122" s="221"/>
      <c r="E122" s="222"/>
      <c r="F122" s="223"/>
      <c r="G122" s="143"/>
      <c r="H122" s="143"/>
      <c r="I122" s="143"/>
      <c r="J122" s="143"/>
      <c r="K122" s="182"/>
      <c r="L122" s="143"/>
      <c r="M122" s="182"/>
      <c r="N122" s="149"/>
      <c r="O122" s="189"/>
      <c r="P122" s="149"/>
      <c r="Q122" s="149"/>
      <c r="R122" s="189"/>
      <c r="S122" s="149"/>
      <c r="T122" s="189"/>
      <c r="U122" s="194"/>
      <c r="V122" s="194"/>
      <c r="W122" s="194"/>
      <c r="X122" s="194"/>
      <c r="Y122" s="194"/>
      <c r="Z122" s="194"/>
      <c r="AA122" s="194"/>
    </row>
    <row r="123" ht="19.5" customHeight="1">
      <c r="A123" s="48"/>
      <c r="B123" s="224"/>
      <c r="C123" s="220"/>
      <c r="D123" s="221"/>
      <c r="E123" s="222"/>
      <c r="F123" s="223"/>
      <c r="G123" s="143"/>
      <c r="H123" s="143"/>
      <c r="I123" s="143"/>
      <c r="J123" s="143"/>
      <c r="K123" s="182"/>
      <c r="L123" s="143"/>
      <c r="M123" s="182"/>
      <c r="N123" s="149"/>
      <c r="O123" s="189"/>
      <c r="P123" s="149"/>
      <c r="Q123" s="149"/>
      <c r="R123" s="189"/>
      <c r="S123" s="149"/>
      <c r="T123" s="189"/>
      <c r="U123" s="194"/>
      <c r="V123" s="194"/>
      <c r="W123" s="194"/>
      <c r="X123" s="194"/>
      <c r="Y123" s="194"/>
      <c r="Z123" s="194"/>
      <c r="AA123" s="194"/>
    </row>
    <row r="124" ht="19.5" customHeight="1">
      <c r="A124" s="48"/>
      <c r="B124" s="224"/>
      <c r="C124" s="220"/>
      <c r="D124" s="221"/>
      <c r="E124" s="222"/>
      <c r="F124" s="223"/>
      <c r="G124" s="143"/>
      <c r="H124" s="143"/>
      <c r="I124" s="143"/>
      <c r="J124" s="143"/>
      <c r="K124" s="182"/>
      <c r="L124" s="143"/>
      <c r="M124" s="182"/>
      <c r="N124" s="149"/>
      <c r="O124" s="189"/>
      <c r="P124" s="149"/>
      <c r="Q124" s="149"/>
      <c r="R124" s="189"/>
      <c r="S124" s="149"/>
      <c r="T124" s="189"/>
      <c r="U124" s="194"/>
      <c r="V124" s="194"/>
      <c r="W124" s="194"/>
      <c r="X124" s="194"/>
      <c r="Y124" s="194"/>
      <c r="Z124" s="194"/>
      <c r="AA124" s="194"/>
    </row>
    <row r="125" ht="19.5" customHeight="1">
      <c r="A125" s="48"/>
      <c r="B125" s="224"/>
      <c r="C125" s="220"/>
      <c r="D125" s="221"/>
      <c r="E125" s="222"/>
      <c r="F125" s="223"/>
      <c r="G125" s="143"/>
      <c r="H125" s="143"/>
      <c r="I125" s="143"/>
      <c r="J125" s="143"/>
      <c r="K125" s="182"/>
      <c r="L125" s="143"/>
      <c r="M125" s="182"/>
      <c r="N125" s="149"/>
      <c r="O125" s="189"/>
      <c r="P125" s="149"/>
      <c r="Q125" s="149"/>
      <c r="R125" s="189"/>
      <c r="S125" s="149"/>
      <c r="T125" s="189"/>
      <c r="U125" s="194"/>
      <c r="V125" s="194"/>
      <c r="W125" s="194"/>
      <c r="X125" s="194"/>
      <c r="Y125" s="194"/>
      <c r="Z125" s="194"/>
      <c r="AA125" s="194"/>
    </row>
    <row r="126" ht="19.5" customHeight="1">
      <c r="A126" s="48"/>
      <c r="B126" s="224"/>
      <c r="C126" s="220"/>
      <c r="D126" s="221"/>
      <c r="E126" s="222"/>
      <c r="F126" s="223"/>
      <c r="G126" s="143"/>
      <c r="H126" s="143"/>
      <c r="I126" s="143"/>
      <c r="J126" s="143"/>
      <c r="K126" s="182"/>
      <c r="L126" s="143"/>
      <c r="M126" s="182"/>
      <c r="N126" s="149"/>
      <c r="O126" s="189"/>
      <c r="P126" s="149"/>
      <c r="Q126" s="149"/>
      <c r="R126" s="189"/>
      <c r="S126" s="149"/>
      <c r="T126" s="189"/>
      <c r="U126" s="194"/>
      <c r="V126" s="194"/>
      <c r="W126" s="194"/>
      <c r="X126" s="194"/>
      <c r="Y126" s="194"/>
      <c r="Z126" s="194"/>
      <c r="AA126" s="194"/>
    </row>
    <row r="127" ht="19.5" customHeight="1">
      <c r="A127" s="48"/>
      <c r="B127" s="224"/>
      <c r="C127" s="220"/>
      <c r="D127" s="221"/>
      <c r="E127" s="222"/>
      <c r="F127" s="223"/>
      <c r="G127" s="143"/>
      <c r="H127" s="143"/>
      <c r="I127" s="143"/>
      <c r="J127" s="143"/>
      <c r="K127" s="182"/>
      <c r="L127" s="143"/>
      <c r="M127" s="182"/>
      <c r="N127" s="149"/>
      <c r="O127" s="189"/>
      <c r="P127" s="149"/>
      <c r="Q127" s="149"/>
      <c r="R127" s="189"/>
      <c r="S127" s="149"/>
      <c r="T127" s="189"/>
      <c r="U127" s="194"/>
      <c r="V127" s="194"/>
      <c r="W127" s="194"/>
      <c r="X127" s="194"/>
      <c r="Y127" s="194"/>
      <c r="Z127" s="194"/>
      <c r="AA127" s="194"/>
    </row>
    <row r="128" ht="19.5" customHeight="1">
      <c r="A128" s="48"/>
      <c r="B128" s="224"/>
      <c r="C128" s="220"/>
      <c r="D128" s="221"/>
      <c r="E128" s="222"/>
      <c r="F128" s="223"/>
      <c r="G128" s="143"/>
      <c r="H128" s="143"/>
      <c r="I128" s="143"/>
      <c r="J128" s="143"/>
      <c r="K128" s="182"/>
      <c r="L128" s="143"/>
      <c r="M128" s="182"/>
      <c r="N128" s="149"/>
      <c r="O128" s="189"/>
      <c r="P128" s="149"/>
      <c r="Q128" s="149"/>
      <c r="R128" s="189"/>
      <c r="S128" s="149"/>
      <c r="T128" s="189"/>
      <c r="U128" s="194"/>
      <c r="V128" s="194"/>
      <c r="W128" s="194"/>
      <c r="X128" s="194"/>
      <c r="Y128" s="194"/>
      <c r="Z128" s="194"/>
      <c r="AA128" s="194"/>
    </row>
    <row r="129" ht="19.5" customHeight="1">
      <c r="A129" s="48"/>
      <c r="B129" s="224"/>
      <c r="C129" s="220"/>
      <c r="D129" s="221"/>
      <c r="E129" s="222"/>
      <c r="F129" s="223"/>
      <c r="G129" s="143"/>
      <c r="H129" s="143"/>
      <c r="I129" s="143"/>
      <c r="J129" s="143"/>
      <c r="K129" s="182"/>
      <c r="L129" s="143"/>
      <c r="M129" s="182"/>
      <c r="N129" s="149"/>
      <c r="O129" s="189"/>
      <c r="P129" s="149"/>
      <c r="Q129" s="149"/>
      <c r="R129" s="189"/>
      <c r="S129" s="149"/>
      <c r="T129" s="189"/>
      <c r="U129" s="194"/>
      <c r="V129" s="194"/>
      <c r="W129" s="194"/>
      <c r="X129" s="194"/>
      <c r="Y129" s="194"/>
      <c r="Z129" s="194"/>
      <c r="AA129" s="194"/>
    </row>
    <row r="130" ht="19.5" customHeight="1">
      <c r="A130" s="48"/>
      <c r="B130" s="224"/>
      <c r="C130" s="220"/>
      <c r="D130" s="221"/>
      <c r="E130" s="222"/>
      <c r="F130" s="223"/>
      <c r="G130" s="143"/>
      <c r="H130" s="143"/>
      <c r="I130" s="143"/>
      <c r="J130" s="143"/>
      <c r="K130" s="182"/>
      <c r="L130" s="143"/>
      <c r="M130" s="182"/>
      <c r="N130" s="149"/>
      <c r="O130" s="189"/>
      <c r="P130" s="149"/>
      <c r="Q130" s="149"/>
      <c r="R130" s="189"/>
      <c r="S130" s="149"/>
      <c r="T130" s="189"/>
      <c r="U130" s="194"/>
      <c r="V130" s="194"/>
      <c r="W130" s="194"/>
      <c r="X130" s="194"/>
      <c r="Y130" s="194"/>
      <c r="Z130" s="194"/>
      <c r="AA130" s="194"/>
    </row>
    <row r="131" ht="19.5" customHeight="1">
      <c r="A131" s="48"/>
      <c r="B131" s="224"/>
      <c r="C131" s="220"/>
      <c r="D131" s="221"/>
      <c r="E131" s="222"/>
      <c r="F131" s="223"/>
      <c r="G131" s="143"/>
      <c r="H131" s="143"/>
      <c r="I131" s="143"/>
      <c r="J131" s="143"/>
      <c r="K131" s="182"/>
      <c r="L131" s="143"/>
      <c r="M131" s="182"/>
      <c r="N131" s="149"/>
      <c r="O131" s="189"/>
      <c r="P131" s="149"/>
      <c r="Q131" s="149"/>
      <c r="R131" s="189"/>
      <c r="S131" s="149"/>
      <c r="T131" s="189"/>
      <c r="U131" s="194"/>
      <c r="V131" s="194"/>
      <c r="W131" s="194"/>
      <c r="X131" s="194"/>
      <c r="Y131" s="194"/>
      <c r="Z131" s="194"/>
      <c r="AA131" s="194"/>
    </row>
    <row r="132" ht="19.5" customHeight="1">
      <c r="A132" s="48"/>
      <c r="B132" s="224"/>
      <c r="C132" s="220"/>
      <c r="D132" s="221"/>
      <c r="E132" s="222"/>
      <c r="F132" s="223"/>
      <c r="G132" s="143"/>
      <c r="H132" s="143"/>
      <c r="I132" s="143"/>
      <c r="J132" s="143"/>
      <c r="K132" s="182"/>
      <c r="L132" s="143"/>
      <c r="M132" s="182"/>
      <c r="N132" s="149"/>
      <c r="O132" s="189"/>
      <c r="P132" s="149"/>
      <c r="Q132" s="149"/>
      <c r="R132" s="189"/>
      <c r="S132" s="149"/>
      <c r="T132" s="189"/>
      <c r="U132" s="194"/>
      <c r="V132" s="194"/>
      <c r="W132" s="194"/>
      <c r="X132" s="194"/>
      <c r="Y132" s="194"/>
      <c r="Z132" s="194"/>
      <c r="AA132" s="194"/>
    </row>
    <row r="133" ht="19.5" customHeight="1">
      <c r="A133" s="48"/>
      <c r="B133" s="224"/>
      <c r="C133" s="220"/>
      <c r="D133" s="221"/>
      <c r="E133" s="222"/>
      <c r="F133" s="223"/>
      <c r="G133" s="143"/>
      <c r="H133" s="143"/>
      <c r="I133" s="143"/>
      <c r="J133" s="143"/>
      <c r="K133" s="182"/>
      <c r="L133" s="143"/>
      <c r="M133" s="182"/>
      <c r="N133" s="149"/>
      <c r="O133" s="189"/>
      <c r="P133" s="149"/>
      <c r="Q133" s="149"/>
      <c r="R133" s="189"/>
      <c r="S133" s="149"/>
      <c r="T133" s="189"/>
      <c r="U133" s="194"/>
      <c r="V133" s="194"/>
      <c r="W133" s="194"/>
      <c r="X133" s="194"/>
      <c r="Y133" s="194"/>
      <c r="Z133" s="194"/>
      <c r="AA133" s="194"/>
    </row>
    <row r="134" ht="19.5" customHeight="1">
      <c r="A134" s="48"/>
      <c r="B134" s="224"/>
      <c r="C134" s="220"/>
      <c r="D134" s="221"/>
      <c r="E134" s="222"/>
      <c r="F134" s="223"/>
      <c r="G134" s="143"/>
      <c r="H134" s="143"/>
      <c r="I134" s="143"/>
      <c r="J134" s="143"/>
      <c r="K134" s="182"/>
      <c r="L134" s="143"/>
      <c r="M134" s="182"/>
      <c r="N134" s="149"/>
      <c r="O134" s="189"/>
      <c r="P134" s="149"/>
      <c r="Q134" s="149"/>
      <c r="R134" s="189"/>
      <c r="S134" s="149"/>
      <c r="T134" s="189"/>
      <c r="U134" s="194"/>
      <c r="V134" s="194"/>
      <c r="W134" s="194"/>
      <c r="X134" s="194"/>
      <c r="Y134" s="194"/>
      <c r="Z134" s="194"/>
      <c r="AA134" s="194"/>
    </row>
    <row r="135" ht="19.5" customHeight="1">
      <c r="A135" s="48"/>
      <c r="B135" s="224"/>
      <c r="C135" s="220"/>
      <c r="D135" s="221"/>
      <c r="E135" s="222"/>
      <c r="F135" s="223"/>
      <c r="G135" s="143"/>
      <c r="H135" s="143"/>
      <c r="I135" s="143"/>
      <c r="J135" s="143"/>
      <c r="K135" s="182"/>
      <c r="L135" s="143"/>
      <c r="M135" s="182"/>
      <c r="N135" s="149"/>
      <c r="O135" s="189"/>
      <c r="P135" s="149"/>
      <c r="Q135" s="149"/>
      <c r="R135" s="189"/>
      <c r="S135" s="149"/>
      <c r="T135" s="189"/>
      <c r="U135" s="194"/>
      <c r="V135" s="194"/>
      <c r="W135" s="194"/>
      <c r="X135" s="194"/>
      <c r="Y135" s="194"/>
      <c r="Z135" s="194"/>
      <c r="AA135" s="194"/>
    </row>
    <row r="136" ht="19.5" customHeight="1">
      <c r="A136" s="48"/>
      <c r="B136" s="224"/>
      <c r="C136" s="220"/>
      <c r="D136" s="221"/>
      <c r="E136" s="222"/>
      <c r="F136" s="223"/>
      <c r="G136" s="143"/>
      <c r="H136" s="143"/>
      <c r="I136" s="143"/>
      <c r="J136" s="143"/>
      <c r="K136" s="182"/>
      <c r="L136" s="143"/>
      <c r="M136" s="182"/>
      <c r="N136" s="149"/>
      <c r="O136" s="189"/>
      <c r="P136" s="149"/>
      <c r="Q136" s="149"/>
      <c r="R136" s="189"/>
      <c r="S136" s="149"/>
      <c r="T136" s="189"/>
      <c r="U136" s="194"/>
      <c r="V136" s="194"/>
      <c r="W136" s="194"/>
      <c r="X136" s="194"/>
      <c r="Y136" s="194"/>
      <c r="Z136" s="194"/>
      <c r="AA136" s="194"/>
    </row>
    <row r="137" ht="19.5" customHeight="1">
      <c r="A137" s="48"/>
      <c r="B137" s="224"/>
      <c r="C137" s="220"/>
      <c r="D137" s="221"/>
      <c r="E137" s="222"/>
      <c r="F137" s="223"/>
      <c r="G137" s="143"/>
      <c r="H137" s="143"/>
      <c r="I137" s="143"/>
      <c r="J137" s="143"/>
      <c r="K137" s="182"/>
      <c r="L137" s="143"/>
      <c r="M137" s="182"/>
      <c r="N137" s="149"/>
      <c r="O137" s="189"/>
      <c r="P137" s="149"/>
      <c r="Q137" s="149"/>
      <c r="R137" s="189"/>
      <c r="S137" s="149"/>
      <c r="T137" s="189"/>
      <c r="U137" s="194"/>
      <c r="V137" s="194"/>
      <c r="W137" s="194"/>
      <c r="X137" s="194"/>
      <c r="Y137" s="194"/>
      <c r="Z137" s="194"/>
      <c r="AA137" s="194"/>
    </row>
    <row r="138" ht="19.5" customHeight="1">
      <c r="A138" s="48"/>
      <c r="B138" s="224"/>
      <c r="C138" s="220"/>
      <c r="D138" s="221"/>
      <c r="E138" s="222"/>
      <c r="F138" s="223"/>
      <c r="G138" s="143"/>
      <c r="H138" s="143"/>
      <c r="I138" s="143"/>
      <c r="J138" s="143"/>
      <c r="K138" s="182"/>
      <c r="L138" s="143"/>
      <c r="M138" s="182"/>
      <c r="N138" s="149"/>
      <c r="O138" s="189"/>
      <c r="P138" s="149"/>
      <c r="Q138" s="149"/>
      <c r="R138" s="189"/>
      <c r="S138" s="149"/>
      <c r="T138" s="189"/>
      <c r="U138" s="194"/>
      <c r="V138" s="194"/>
      <c r="W138" s="194"/>
      <c r="X138" s="194"/>
      <c r="Y138" s="194"/>
      <c r="Z138" s="194"/>
      <c r="AA138" s="194"/>
    </row>
    <row r="139" ht="19.5" customHeight="1">
      <c r="A139" s="48"/>
      <c r="B139" s="224"/>
      <c r="C139" s="220"/>
      <c r="D139" s="221"/>
      <c r="E139" s="222"/>
      <c r="F139" s="223"/>
      <c r="G139" s="143"/>
      <c r="H139" s="143"/>
      <c r="I139" s="143"/>
      <c r="J139" s="143"/>
      <c r="K139" s="182"/>
      <c r="L139" s="143"/>
      <c r="M139" s="182"/>
      <c r="N139" s="149"/>
      <c r="O139" s="189"/>
      <c r="P139" s="149"/>
      <c r="Q139" s="149"/>
      <c r="R139" s="189"/>
      <c r="S139" s="149"/>
      <c r="T139" s="189"/>
      <c r="U139" s="194"/>
      <c r="V139" s="194"/>
      <c r="W139" s="194"/>
      <c r="X139" s="194"/>
      <c r="Y139" s="194"/>
      <c r="Z139" s="194"/>
      <c r="AA139" s="194"/>
    </row>
    <row r="140" ht="19.5" customHeight="1">
      <c r="A140" s="48"/>
      <c r="B140" s="224"/>
      <c r="C140" s="220"/>
      <c r="D140" s="221"/>
      <c r="E140" s="222"/>
      <c r="F140" s="223"/>
      <c r="G140" s="143"/>
      <c r="H140" s="143"/>
      <c r="I140" s="143"/>
      <c r="J140" s="143"/>
      <c r="K140" s="182"/>
      <c r="L140" s="143"/>
      <c r="M140" s="182"/>
      <c r="N140" s="149"/>
      <c r="O140" s="189"/>
      <c r="P140" s="149"/>
      <c r="Q140" s="149"/>
      <c r="R140" s="189"/>
      <c r="S140" s="149"/>
      <c r="T140" s="189"/>
      <c r="U140" s="194"/>
      <c r="V140" s="194"/>
      <c r="W140" s="194"/>
      <c r="X140" s="194"/>
      <c r="Y140" s="194"/>
      <c r="Z140" s="194"/>
      <c r="AA140" s="194"/>
    </row>
    <row r="141" ht="19.5" customHeight="1">
      <c r="A141" s="48"/>
      <c r="B141" s="224"/>
      <c r="C141" s="220"/>
      <c r="D141" s="221"/>
      <c r="E141" s="222"/>
      <c r="F141" s="223"/>
      <c r="G141" s="143"/>
      <c r="H141" s="143"/>
      <c r="I141" s="143"/>
      <c r="J141" s="143"/>
      <c r="K141" s="182"/>
      <c r="L141" s="143"/>
      <c r="M141" s="182"/>
      <c r="N141" s="149"/>
      <c r="O141" s="189"/>
      <c r="P141" s="149"/>
      <c r="Q141" s="149"/>
      <c r="R141" s="189"/>
      <c r="S141" s="149"/>
      <c r="T141" s="189"/>
      <c r="U141" s="194"/>
      <c r="V141" s="194"/>
      <c r="W141" s="194"/>
      <c r="X141" s="194"/>
      <c r="Y141" s="194"/>
      <c r="Z141" s="194"/>
      <c r="AA141" s="194"/>
    </row>
    <row r="142" ht="19.5" customHeight="1">
      <c r="A142" s="48"/>
      <c r="B142" s="224"/>
      <c r="C142" s="220"/>
      <c r="D142" s="221"/>
      <c r="E142" s="222"/>
      <c r="F142" s="223"/>
      <c r="G142" s="143"/>
      <c r="H142" s="143"/>
      <c r="I142" s="143"/>
      <c r="J142" s="143"/>
      <c r="K142" s="182"/>
      <c r="L142" s="143"/>
      <c r="M142" s="182"/>
      <c r="N142" s="149"/>
      <c r="O142" s="189"/>
      <c r="P142" s="149"/>
      <c r="Q142" s="149"/>
      <c r="R142" s="189"/>
      <c r="S142" s="149"/>
      <c r="T142" s="189"/>
      <c r="U142" s="194"/>
      <c r="V142" s="194"/>
      <c r="W142" s="194"/>
      <c r="X142" s="194"/>
      <c r="Y142" s="194"/>
      <c r="Z142" s="194"/>
      <c r="AA142" s="194"/>
    </row>
    <row r="143" ht="19.5" customHeight="1">
      <c r="A143" s="48"/>
      <c r="B143" s="224"/>
      <c r="C143" s="220"/>
      <c r="D143" s="221"/>
      <c r="E143" s="222"/>
      <c r="F143" s="223"/>
      <c r="G143" s="143"/>
      <c r="H143" s="143"/>
      <c r="I143" s="143"/>
      <c r="J143" s="143"/>
      <c r="K143" s="182"/>
      <c r="L143" s="143"/>
      <c r="M143" s="182"/>
      <c r="N143" s="149"/>
      <c r="O143" s="189"/>
      <c r="P143" s="149"/>
      <c r="Q143" s="149"/>
      <c r="R143" s="189"/>
      <c r="S143" s="149"/>
      <c r="T143" s="189"/>
      <c r="U143" s="194"/>
      <c r="V143" s="194"/>
      <c r="W143" s="194"/>
      <c r="X143" s="194"/>
      <c r="Y143" s="194"/>
      <c r="Z143" s="194"/>
      <c r="AA143" s="194"/>
    </row>
    <row r="144" ht="19.5" customHeight="1">
      <c r="A144" s="48"/>
      <c r="B144" s="224"/>
      <c r="C144" s="220"/>
      <c r="D144" s="221"/>
      <c r="E144" s="222"/>
      <c r="F144" s="223"/>
      <c r="G144" s="143"/>
      <c r="H144" s="143"/>
      <c r="I144" s="143"/>
      <c r="J144" s="143"/>
      <c r="K144" s="182"/>
      <c r="L144" s="143"/>
      <c r="M144" s="182"/>
      <c r="N144" s="149"/>
      <c r="O144" s="189"/>
      <c r="P144" s="149"/>
      <c r="Q144" s="149"/>
      <c r="R144" s="189"/>
      <c r="S144" s="149"/>
      <c r="T144" s="189"/>
      <c r="U144" s="194"/>
      <c r="V144" s="194"/>
      <c r="W144" s="194"/>
      <c r="X144" s="194"/>
      <c r="Y144" s="194"/>
      <c r="Z144" s="194"/>
      <c r="AA144" s="194"/>
    </row>
    <row r="145" ht="19.5" customHeight="1">
      <c r="A145" s="48"/>
      <c r="B145" s="224"/>
      <c r="C145" s="220"/>
      <c r="D145" s="221"/>
      <c r="E145" s="222"/>
      <c r="F145" s="223"/>
      <c r="G145" s="143"/>
      <c r="H145" s="143"/>
      <c r="I145" s="143"/>
      <c r="J145" s="143"/>
      <c r="K145" s="182"/>
      <c r="L145" s="143"/>
      <c r="M145" s="182"/>
      <c r="N145" s="149"/>
      <c r="O145" s="189"/>
      <c r="P145" s="149"/>
      <c r="Q145" s="149"/>
      <c r="R145" s="189"/>
      <c r="S145" s="149"/>
      <c r="T145" s="189"/>
      <c r="U145" s="194"/>
      <c r="V145" s="194"/>
      <c r="W145" s="194"/>
      <c r="X145" s="194"/>
      <c r="Y145" s="194"/>
      <c r="Z145" s="194"/>
      <c r="AA145" s="194"/>
    </row>
    <row r="146" ht="19.5" customHeight="1">
      <c r="A146" s="48"/>
      <c r="B146" s="224"/>
      <c r="C146" s="220"/>
      <c r="D146" s="221"/>
      <c r="E146" s="222"/>
      <c r="F146" s="223"/>
      <c r="G146" s="143"/>
      <c r="H146" s="143"/>
      <c r="I146" s="143"/>
      <c r="J146" s="143"/>
      <c r="K146" s="182"/>
      <c r="L146" s="143"/>
      <c r="M146" s="182"/>
      <c r="N146" s="149"/>
      <c r="O146" s="189"/>
      <c r="P146" s="149"/>
      <c r="Q146" s="149"/>
      <c r="R146" s="189"/>
      <c r="S146" s="149"/>
      <c r="T146" s="189"/>
      <c r="U146" s="194"/>
      <c r="V146" s="194"/>
      <c r="W146" s="194"/>
      <c r="X146" s="194"/>
      <c r="Y146" s="194"/>
      <c r="Z146" s="194"/>
      <c r="AA146" s="194"/>
    </row>
    <row r="147" ht="19.5" customHeight="1">
      <c r="A147" s="48"/>
      <c r="B147" s="224"/>
      <c r="C147" s="220"/>
      <c r="D147" s="221"/>
      <c r="E147" s="222"/>
      <c r="F147" s="223"/>
      <c r="G147" s="143"/>
      <c r="H147" s="143"/>
      <c r="I147" s="143"/>
      <c r="J147" s="143"/>
      <c r="K147" s="182"/>
      <c r="L147" s="143"/>
      <c r="M147" s="182"/>
      <c r="N147" s="149"/>
      <c r="O147" s="189"/>
      <c r="P147" s="149"/>
      <c r="Q147" s="149"/>
      <c r="R147" s="189"/>
      <c r="S147" s="149"/>
      <c r="T147" s="189"/>
      <c r="U147" s="194"/>
      <c r="V147" s="194"/>
      <c r="W147" s="194"/>
      <c r="X147" s="194"/>
      <c r="Y147" s="194"/>
      <c r="Z147" s="194"/>
      <c r="AA147" s="194"/>
    </row>
    <row r="148" ht="19.5" customHeight="1">
      <c r="A148" s="48"/>
      <c r="B148" s="224"/>
      <c r="C148" s="220"/>
      <c r="D148" s="221"/>
      <c r="E148" s="222"/>
      <c r="F148" s="223"/>
      <c r="G148" s="143"/>
      <c r="H148" s="143"/>
      <c r="I148" s="143"/>
      <c r="J148" s="143"/>
      <c r="K148" s="182"/>
      <c r="L148" s="143"/>
      <c r="M148" s="182"/>
      <c r="N148" s="149"/>
      <c r="O148" s="189"/>
      <c r="P148" s="149"/>
      <c r="Q148" s="149"/>
      <c r="R148" s="189"/>
      <c r="S148" s="149"/>
      <c r="T148" s="189"/>
      <c r="U148" s="194"/>
      <c r="V148" s="194"/>
      <c r="W148" s="194"/>
      <c r="X148" s="194"/>
      <c r="Y148" s="194"/>
      <c r="Z148" s="194"/>
      <c r="AA148" s="194"/>
    </row>
    <row r="149" ht="19.5" customHeight="1">
      <c r="A149" s="48"/>
      <c r="B149" s="224"/>
      <c r="C149" s="220"/>
      <c r="D149" s="221"/>
      <c r="E149" s="222"/>
      <c r="F149" s="223"/>
      <c r="G149" s="143"/>
      <c r="H149" s="143"/>
      <c r="I149" s="143"/>
      <c r="J149" s="143"/>
      <c r="K149" s="182"/>
      <c r="L149" s="143"/>
      <c r="M149" s="182"/>
      <c r="N149" s="149"/>
      <c r="O149" s="189"/>
      <c r="P149" s="149"/>
      <c r="Q149" s="149"/>
      <c r="R149" s="189"/>
      <c r="S149" s="149"/>
      <c r="T149" s="189"/>
      <c r="U149" s="194"/>
      <c r="V149" s="194"/>
      <c r="W149" s="194"/>
      <c r="X149" s="194"/>
      <c r="Y149" s="194"/>
      <c r="Z149" s="194"/>
      <c r="AA149" s="194"/>
    </row>
    <row r="150" ht="19.5" customHeight="1">
      <c r="A150" s="48"/>
      <c r="B150" s="224"/>
      <c r="C150" s="220"/>
      <c r="D150" s="221"/>
      <c r="E150" s="222"/>
      <c r="F150" s="223"/>
      <c r="G150" s="143"/>
      <c r="H150" s="143"/>
      <c r="I150" s="143"/>
      <c r="J150" s="143"/>
      <c r="K150" s="182"/>
      <c r="L150" s="143"/>
      <c r="M150" s="182"/>
      <c r="N150" s="149"/>
      <c r="O150" s="189"/>
      <c r="P150" s="149"/>
      <c r="Q150" s="149"/>
      <c r="R150" s="189"/>
      <c r="S150" s="149"/>
      <c r="T150" s="189"/>
      <c r="U150" s="194"/>
      <c r="V150" s="194"/>
      <c r="W150" s="194"/>
      <c r="X150" s="194"/>
      <c r="Y150" s="194"/>
      <c r="Z150" s="194"/>
      <c r="AA150" s="194"/>
    </row>
    <row r="151" ht="19.5" customHeight="1">
      <c r="A151" s="48"/>
      <c r="B151" s="224"/>
      <c r="C151" s="220"/>
      <c r="D151" s="221"/>
      <c r="E151" s="222"/>
      <c r="F151" s="223"/>
      <c r="G151" s="143"/>
      <c r="H151" s="143"/>
      <c r="I151" s="143"/>
      <c r="J151" s="143"/>
      <c r="K151" s="182"/>
      <c r="L151" s="143"/>
      <c r="M151" s="182"/>
      <c r="N151" s="149"/>
      <c r="O151" s="189"/>
      <c r="P151" s="149"/>
      <c r="Q151" s="149"/>
      <c r="R151" s="189"/>
      <c r="S151" s="149"/>
      <c r="T151" s="189"/>
      <c r="U151" s="194"/>
      <c r="V151" s="194"/>
      <c r="W151" s="194"/>
      <c r="X151" s="194"/>
      <c r="Y151" s="194"/>
      <c r="Z151" s="194"/>
      <c r="AA151" s="194"/>
    </row>
    <row r="152" ht="19.5" customHeight="1">
      <c r="A152" s="48"/>
      <c r="B152" s="224"/>
      <c r="C152" s="220"/>
      <c r="D152" s="221"/>
      <c r="E152" s="222"/>
      <c r="F152" s="223"/>
      <c r="G152" s="143"/>
      <c r="H152" s="143"/>
      <c r="I152" s="143"/>
      <c r="J152" s="143"/>
      <c r="K152" s="182"/>
      <c r="L152" s="143"/>
      <c r="M152" s="182"/>
      <c r="N152" s="149"/>
      <c r="O152" s="189"/>
      <c r="P152" s="149"/>
      <c r="Q152" s="149"/>
      <c r="R152" s="189"/>
      <c r="S152" s="149"/>
      <c r="T152" s="189"/>
      <c r="U152" s="194"/>
      <c r="V152" s="194"/>
      <c r="W152" s="194"/>
      <c r="X152" s="194"/>
      <c r="Y152" s="194"/>
      <c r="Z152" s="194"/>
      <c r="AA152" s="194"/>
    </row>
    <row r="153" ht="19.5" customHeight="1">
      <c r="A153" s="48"/>
      <c r="B153" s="224"/>
      <c r="C153" s="220"/>
      <c r="D153" s="221"/>
      <c r="E153" s="222"/>
      <c r="F153" s="223"/>
      <c r="G153" s="143"/>
      <c r="H153" s="143"/>
      <c r="I153" s="143"/>
      <c r="J153" s="143"/>
      <c r="K153" s="182"/>
      <c r="L153" s="143"/>
      <c r="M153" s="182"/>
      <c r="N153" s="149"/>
      <c r="O153" s="189"/>
      <c r="P153" s="149"/>
      <c r="Q153" s="149"/>
      <c r="R153" s="189"/>
      <c r="S153" s="149"/>
      <c r="T153" s="189"/>
      <c r="U153" s="194"/>
      <c r="V153" s="194"/>
      <c r="W153" s="194"/>
      <c r="X153" s="194"/>
      <c r="Y153" s="194"/>
      <c r="Z153" s="194"/>
      <c r="AA153" s="194"/>
    </row>
    <row r="154" ht="19.5" customHeight="1">
      <c r="A154" s="48"/>
      <c r="B154" s="224"/>
      <c r="C154" s="220"/>
      <c r="D154" s="221"/>
      <c r="E154" s="222"/>
      <c r="F154" s="223"/>
      <c r="G154" s="143"/>
      <c r="H154" s="143"/>
      <c r="I154" s="143"/>
      <c r="J154" s="143"/>
      <c r="K154" s="182"/>
      <c r="L154" s="143"/>
      <c r="M154" s="182"/>
      <c r="N154" s="149"/>
      <c r="O154" s="189"/>
      <c r="P154" s="149"/>
      <c r="Q154" s="149"/>
      <c r="R154" s="189"/>
      <c r="S154" s="149"/>
      <c r="T154" s="189"/>
      <c r="U154" s="194"/>
      <c r="V154" s="194"/>
      <c r="W154" s="194"/>
      <c r="X154" s="194"/>
      <c r="Y154" s="194"/>
      <c r="Z154" s="194"/>
      <c r="AA154" s="194"/>
    </row>
    <row r="155" ht="19.5" customHeight="1">
      <c r="A155" s="48"/>
      <c r="B155" s="224"/>
      <c r="C155" s="220"/>
      <c r="D155" s="221"/>
      <c r="E155" s="222"/>
      <c r="F155" s="223"/>
      <c r="G155" s="143"/>
      <c r="H155" s="143"/>
      <c r="I155" s="143"/>
      <c r="J155" s="143"/>
      <c r="K155" s="182"/>
      <c r="L155" s="143"/>
      <c r="M155" s="182"/>
      <c r="N155" s="149"/>
      <c r="O155" s="189"/>
      <c r="P155" s="149"/>
      <c r="Q155" s="149"/>
      <c r="R155" s="189"/>
      <c r="S155" s="149"/>
      <c r="T155" s="189"/>
      <c r="U155" s="194"/>
      <c r="V155" s="194"/>
      <c r="W155" s="194"/>
      <c r="X155" s="194"/>
      <c r="Y155" s="194"/>
      <c r="Z155" s="194"/>
      <c r="AA155" s="194"/>
    </row>
    <row r="156" ht="19.5" customHeight="1">
      <c r="A156" s="48"/>
      <c r="B156" s="224"/>
      <c r="C156" s="220"/>
      <c r="D156" s="221"/>
      <c r="E156" s="222"/>
      <c r="F156" s="223"/>
      <c r="G156" s="143"/>
      <c r="H156" s="143"/>
      <c r="I156" s="143"/>
      <c r="J156" s="143"/>
      <c r="K156" s="182"/>
      <c r="L156" s="143"/>
      <c r="M156" s="182"/>
      <c r="N156" s="149"/>
      <c r="O156" s="189"/>
      <c r="P156" s="149"/>
      <c r="Q156" s="149"/>
      <c r="R156" s="189"/>
      <c r="S156" s="149"/>
      <c r="T156" s="189"/>
      <c r="U156" s="194"/>
      <c r="V156" s="194"/>
      <c r="W156" s="194"/>
      <c r="X156" s="194"/>
      <c r="Y156" s="194"/>
      <c r="Z156" s="194"/>
      <c r="AA156" s="194"/>
    </row>
    <row r="157" ht="19.5" customHeight="1">
      <c r="A157" s="48"/>
      <c r="B157" s="224"/>
      <c r="C157" s="220"/>
      <c r="D157" s="221"/>
      <c r="E157" s="222"/>
      <c r="F157" s="223"/>
      <c r="G157" s="143"/>
      <c r="H157" s="143"/>
      <c r="I157" s="143"/>
      <c r="J157" s="143"/>
      <c r="K157" s="182"/>
      <c r="L157" s="143"/>
      <c r="M157" s="182"/>
      <c r="N157" s="149"/>
      <c r="O157" s="189"/>
      <c r="P157" s="149"/>
      <c r="Q157" s="149"/>
      <c r="R157" s="189"/>
      <c r="S157" s="149"/>
      <c r="T157" s="189"/>
      <c r="U157" s="194"/>
      <c r="V157" s="194"/>
      <c r="W157" s="194"/>
      <c r="X157" s="194"/>
      <c r="Y157" s="194"/>
      <c r="Z157" s="194"/>
      <c r="AA157" s="194"/>
    </row>
    <row r="158" ht="19.5" customHeight="1">
      <c r="A158" s="48"/>
      <c r="B158" s="224"/>
      <c r="C158" s="220"/>
      <c r="D158" s="221"/>
      <c r="E158" s="222"/>
      <c r="F158" s="223"/>
      <c r="G158" s="143"/>
      <c r="H158" s="143"/>
      <c r="I158" s="143"/>
      <c r="J158" s="143"/>
      <c r="K158" s="182"/>
      <c r="L158" s="143"/>
      <c r="M158" s="182"/>
      <c r="N158" s="149"/>
      <c r="O158" s="189"/>
      <c r="P158" s="149"/>
      <c r="Q158" s="149"/>
      <c r="R158" s="189"/>
      <c r="S158" s="149"/>
      <c r="T158" s="189"/>
      <c r="U158" s="194"/>
      <c r="V158" s="194"/>
      <c r="W158" s="194"/>
      <c r="X158" s="194"/>
      <c r="Y158" s="194"/>
      <c r="Z158" s="194"/>
      <c r="AA158" s="194"/>
    </row>
    <row r="159" ht="19.5" customHeight="1">
      <c r="A159" s="48"/>
      <c r="B159" s="224"/>
      <c r="C159" s="220"/>
      <c r="D159" s="221"/>
      <c r="E159" s="222"/>
      <c r="F159" s="223"/>
      <c r="G159" s="143"/>
      <c r="H159" s="143"/>
      <c r="I159" s="143"/>
      <c r="J159" s="143"/>
      <c r="K159" s="182"/>
      <c r="L159" s="143"/>
      <c r="M159" s="182"/>
      <c r="N159" s="149"/>
      <c r="O159" s="189"/>
      <c r="P159" s="149"/>
      <c r="Q159" s="149"/>
      <c r="R159" s="189"/>
      <c r="S159" s="149"/>
      <c r="T159" s="189"/>
      <c r="U159" s="194"/>
      <c r="V159" s="194"/>
      <c r="W159" s="194"/>
      <c r="X159" s="194"/>
      <c r="Y159" s="194"/>
      <c r="Z159" s="194"/>
      <c r="AA159" s="194"/>
    </row>
    <row r="160" ht="19.5" customHeight="1">
      <c r="A160" s="48"/>
      <c r="B160" s="224"/>
      <c r="C160" s="220"/>
      <c r="D160" s="221"/>
      <c r="E160" s="222"/>
      <c r="F160" s="223"/>
      <c r="G160" s="143"/>
      <c r="H160" s="143"/>
      <c r="I160" s="143"/>
      <c r="J160" s="143"/>
      <c r="K160" s="182"/>
      <c r="L160" s="143"/>
      <c r="M160" s="182"/>
      <c r="N160" s="149"/>
      <c r="O160" s="189"/>
      <c r="P160" s="149"/>
      <c r="Q160" s="149"/>
      <c r="R160" s="189"/>
      <c r="S160" s="149"/>
      <c r="T160" s="189"/>
      <c r="U160" s="194"/>
      <c r="V160" s="194"/>
      <c r="W160" s="194"/>
      <c r="X160" s="194"/>
      <c r="Y160" s="194"/>
      <c r="Z160" s="194"/>
      <c r="AA160" s="194"/>
    </row>
    <row r="161" ht="19.5" customHeight="1">
      <c r="A161" s="48"/>
      <c r="B161" s="224"/>
      <c r="C161" s="220"/>
      <c r="D161" s="221"/>
      <c r="E161" s="222"/>
      <c r="F161" s="223"/>
      <c r="G161" s="143"/>
      <c r="H161" s="143"/>
      <c r="I161" s="143"/>
      <c r="J161" s="143"/>
      <c r="K161" s="182"/>
      <c r="L161" s="143"/>
      <c r="M161" s="182"/>
      <c r="N161" s="149"/>
      <c r="O161" s="189"/>
      <c r="P161" s="149"/>
      <c r="Q161" s="149"/>
      <c r="R161" s="189"/>
      <c r="S161" s="149"/>
      <c r="T161" s="189"/>
      <c r="U161" s="194"/>
      <c r="V161" s="194"/>
      <c r="W161" s="194"/>
      <c r="X161" s="194"/>
      <c r="Y161" s="194"/>
      <c r="Z161" s="194"/>
      <c r="AA161" s="194"/>
    </row>
    <row r="162" ht="19.5" customHeight="1">
      <c r="A162" s="48"/>
      <c r="B162" s="224"/>
      <c r="C162" s="220"/>
      <c r="D162" s="221"/>
      <c r="E162" s="222"/>
      <c r="F162" s="223"/>
      <c r="G162" s="143"/>
      <c r="H162" s="143"/>
      <c r="I162" s="143"/>
      <c r="J162" s="143"/>
      <c r="K162" s="182"/>
      <c r="L162" s="143"/>
      <c r="M162" s="182"/>
      <c r="N162" s="149"/>
      <c r="O162" s="189"/>
      <c r="P162" s="149"/>
      <c r="Q162" s="149"/>
      <c r="R162" s="189"/>
      <c r="S162" s="149"/>
      <c r="T162" s="189"/>
      <c r="U162" s="194"/>
      <c r="V162" s="194"/>
      <c r="W162" s="194"/>
      <c r="X162" s="194"/>
      <c r="Y162" s="194"/>
      <c r="Z162" s="194"/>
      <c r="AA162" s="194"/>
    </row>
    <row r="163" ht="19.5" customHeight="1">
      <c r="A163" s="48"/>
      <c r="B163" s="224"/>
      <c r="C163" s="220"/>
      <c r="D163" s="221"/>
      <c r="E163" s="222"/>
      <c r="F163" s="223"/>
      <c r="G163" s="143"/>
      <c r="H163" s="143"/>
      <c r="I163" s="143"/>
      <c r="J163" s="143"/>
      <c r="K163" s="182"/>
      <c r="L163" s="143"/>
      <c r="M163" s="182"/>
      <c r="N163" s="149"/>
      <c r="O163" s="189"/>
      <c r="P163" s="149"/>
      <c r="Q163" s="149"/>
      <c r="R163" s="189"/>
      <c r="S163" s="149"/>
      <c r="T163" s="189"/>
      <c r="U163" s="194"/>
      <c r="V163" s="194"/>
      <c r="W163" s="194"/>
      <c r="X163" s="194"/>
      <c r="Y163" s="194"/>
      <c r="Z163" s="194"/>
      <c r="AA163" s="194"/>
    </row>
    <row r="164" ht="19.5" customHeight="1">
      <c r="A164" s="48"/>
      <c r="B164" s="224"/>
      <c r="C164" s="220"/>
      <c r="D164" s="221"/>
      <c r="E164" s="222"/>
      <c r="F164" s="223"/>
      <c r="G164" s="143"/>
      <c r="H164" s="143"/>
      <c r="I164" s="143"/>
      <c r="J164" s="143"/>
      <c r="K164" s="182"/>
      <c r="L164" s="143"/>
      <c r="M164" s="182"/>
      <c r="N164" s="149"/>
      <c r="O164" s="189"/>
      <c r="P164" s="149"/>
      <c r="Q164" s="149"/>
      <c r="R164" s="189"/>
      <c r="S164" s="149"/>
      <c r="T164" s="189"/>
      <c r="U164" s="194"/>
      <c r="V164" s="194"/>
      <c r="W164" s="194"/>
      <c r="X164" s="194"/>
      <c r="Y164" s="194"/>
      <c r="Z164" s="194"/>
      <c r="AA164" s="194"/>
    </row>
    <row r="165" ht="19.5" customHeight="1">
      <c r="A165" s="48"/>
      <c r="B165" s="224"/>
      <c r="C165" s="220"/>
      <c r="D165" s="221"/>
      <c r="E165" s="222"/>
      <c r="F165" s="223"/>
      <c r="G165" s="143"/>
      <c r="H165" s="143"/>
      <c r="I165" s="143"/>
      <c r="J165" s="143"/>
      <c r="K165" s="182"/>
      <c r="L165" s="143"/>
      <c r="M165" s="182"/>
      <c r="N165" s="149"/>
      <c r="O165" s="189"/>
      <c r="P165" s="149"/>
      <c r="Q165" s="149"/>
      <c r="R165" s="189"/>
      <c r="S165" s="149"/>
      <c r="T165" s="189"/>
      <c r="U165" s="194"/>
      <c r="V165" s="194"/>
      <c r="W165" s="194"/>
      <c r="X165" s="194"/>
      <c r="Y165" s="194"/>
      <c r="Z165" s="194"/>
      <c r="AA165" s="194"/>
    </row>
    <row r="166" ht="19.5" customHeight="1">
      <c r="A166" s="48"/>
      <c r="B166" s="224"/>
      <c r="C166" s="220"/>
      <c r="D166" s="221"/>
      <c r="E166" s="222"/>
      <c r="F166" s="223"/>
      <c r="G166" s="143"/>
      <c r="H166" s="143"/>
      <c r="I166" s="143"/>
      <c r="J166" s="143"/>
      <c r="K166" s="182"/>
      <c r="L166" s="143"/>
      <c r="M166" s="182"/>
      <c r="N166" s="149"/>
      <c r="O166" s="189"/>
      <c r="P166" s="149"/>
      <c r="Q166" s="149"/>
      <c r="R166" s="189"/>
      <c r="S166" s="149"/>
      <c r="T166" s="189"/>
      <c r="U166" s="194"/>
      <c r="V166" s="194"/>
      <c r="W166" s="194"/>
      <c r="X166" s="194"/>
      <c r="Y166" s="194"/>
      <c r="Z166" s="194"/>
      <c r="AA166" s="194"/>
    </row>
    <row r="167" ht="19.5" customHeight="1">
      <c r="A167" s="48"/>
      <c r="B167" s="224"/>
      <c r="C167" s="220"/>
      <c r="D167" s="221"/>
      <c r="E167" s="222"/>
      <c r="F167" s="223"/>
      <c r="G167" s="143"/>
      <c r="H167" s="143"/>
      <c r="I167" s="143"/>
      <c r="J167" s="143"/>
      <c r="K167" s="182"/>
      <c r="L167" s="143"/>
      <c r="M167" s="182"/>
      <c r="N167" s="149"/>
      <c r="O167" s="189"/>
      <c r="P167" s="149"/>
      <c r="Q167" s="149"/>
      <c r="R167" s="189"/>
      <c r="S167" s="149"/>
      <c r="T167" s="189"/>
      <c r="U167" s="194"/>
      <c r="V167" s="194"/>
      <c r="W167" s="194"/>
      <c r="X167" s="194"/>
      <c r="Y167" s="194"/>
      <c r="Z167" s="194"/>
      <c r="AA167" s="194"/>
    </row>
    <row r="168" ht="19.5" customHeight="1">
      <c r="A168" s="48"/>
      <c r="B168" s="224"/>
      <c r="C168" s="220"/>
      <c r="D168" s="221"/>
      <c r="E168" s="222"/>
      <c r="F168" s="223"/>
      <c r="G168" s="143"/>
      <c r="H168" s="143"/>
      <c r="I168" s="143"/>
      <c r="J168" s="143"/>
      <c r="K168" s="182"/>
      <c r="L168" s="143"/>
      <c r="M168" s="182"/>
      <c r="N168" s="149"/>
      <c r="O168" s="189"/>
      <c r="P168" s="149"/>
      <c r="Q168" s="149"/>
      <c r="R168" s="189"/>
      <c r="S168" s="149"/>
      <c r="T168" s="189"/>
      <c r="U168" s="194"/>
      <c r="V168" s="194"/>
      <c r="W168" s="194"/>
      <c r="X168" s="194"/>
      <c r="Y168" s="194"/>
      <c r="Z168" s="194"/>
      <c r="AA168" s="194"/>
    </row>
    <row r="169" ht="19.5" customHeight="1">
      <c r="A169" s="48"/>
      <c r="B169" s="224"/>
      <c r="C169" s="220"/>
      <c r="D169" s="221"/>
      <c r="E169" s="222"/>
      <c r="F169" s="223"/>
      <c r="G169" s="143"/>
      <c r="H169" s="143"/>
      <c r="I169" s="143"/>
      <c r="J169" s="143"/>
      <c r="K169" s="182"/>
      <c r="L169" s="143"/>
      <c r="M169" s="182"/>
      <c r="N169" s="149"/>
      <c r="O169" s="189"/>
      <c r="P169" s="149"/>
      <c r="Q169" s="149"/>
      <c r="R169" s="189"/>
      <c r="S169" s="149"/>
      <c r="T169" s="189"/>
      <c r="U169" s="194"/>
      <c r="V169" s="194"/>
      <c r="W169" s="194"/>
      <c r="X169" s="194"/>
      <c r="Y169" s="194"/>
      <c r="Z169" s="194"/>
      <c r="AA169" s="194"/>
    </row>
    <row r="170" ht="19.5" customHeight="1">
      <c r="A170" s="48"/>
      <c r="B170" s="224"/>
      <c r="C170" s="220"/>
      <c r="D170" s="221"/>
      <c r="E170" s="222"/>
      <c r="F170" s="223"/>
      <c r="G170" s="143"/>
      <c r="H170" s="143"/>
      <c r="I170" s="143"/>
      <c r="J170" s="143"/>
      <c r="K170" s="182"/>
      <c r="L170" s="143"/>
      <c r="M170" s="182"/>
      <c r="N170" s="149"/>
      <c r="O170" s="189"/>
      <c r="P170" s="149"/>
      <c r="Q170" s="149"/>
      <c r="R170" s="189"/>
      <c r="S170" s="149"/>
      <c r="T170" s="189"/>
      <c r="U170" s="194"/>
      <c r="V170" s="194"/>
      <c r="W170" s="194"/>
      <c r="X170" s="194"/>
      <c r="Y170" s="194"/>
      <c r="Z170" s="194"/>
      <c r="AA170" s="194"/>
    </row>
    <row r="171" ht="19.5" customHeight="1">
      <c r="A171" s="48"/>
      <c r="B171" s="224"/>
      <c r="C171" s="220"/>
      <c r="D171" s="221"/>
      <c r="E171" s="222"/>
      <c r="F171" s="223"/>
      <c r="G171" s="143"/>
      <c r="H171" s="143"/>
      <c r="I171" s="143"/>
      <c r="J171" s="143"/>
      <c r="K171" s="182"/>
      <c r="L171" s="143"/>
      <c r="M171" s="182"/>
      <c r="N171" s="149"/>
      <c r="O171" s="189"/>
      <c r="P171" s="149"/>
      <c r="Q171" s="149"/>
      <c r="R171" s="189"/>
      <c r="S171" s="149"/>
      <c r="T171" s="189"/>
      <c r="U171" s="194"/>
      <c r="V171" s="194"/>
      <c r="W171" s="194"/>
      <c r="X171" s="194"/>
      <c r="Y171" s="194"/>
      <c r="Z171" s="194"/>
      <c r="AA171" s="194"/>
    </row>
    <row r="172" ht="19.5" customHeight="1">
      <c r="A172" s="48"/>
      <c r="B172" s="224"/>
      <c r="C172" s="220"/>
      <c r="D172" s="221"/>
      <c r="E172" s="222"/>
      <c r="F172" s="223"/>
      <c r="G172" s="143"/>
      <c r="H172" s="143"/>
      <c r="I172" s="143"/>
      <c r="J172" s="143"/>
      <c r="K172" s="182"/>
      <c r="L172" s="143"/>
      <c r="M172" s="182"/>
      <c r="N172" s="149"/>
      <c r="O172" s="189"/>
      <c r="P172" s="149"/>
      <c r="Q172" s="149"/>
      <c r="R172" s="189"/>
      <c r="S172" s="149"/>
      <c r="T172" s="189"/>
      <c r="U172" s="194"/>
      <c r="V172" s="194"/>
      <c r="W172" s="194"/>
      <c r="X172" s="194"/>
      <c r="Y172" s="194"/>
      <c r="Z172" s="194"/>
      <c r="AA172" s="194"/>
    </row>
    <row r="173" ht="19.5" customHeight="1">
      <c r="A173" s="48"/>
      <c r="B173" s="224"/>
      <c r="C173" s="220"/>
      <c r="D173" s="221"/>
      <c r="E173" s="222"/>
      <c r="F173" s="223"/>
      <c r="G173" s="143"/>
      <c r="H173" s="143"/>
      <c r="I173" s="143"/>
      <c r="J173" s="143"/>
      <c r="K173" s="182"/>
      <c r="L173" s="143"/>
      <c r="M173" s="182"/>
      <c r="N173" s="149"/>
      <c r="O173" s="189"/>
      <c r="P173" s="149"/>
      <c r="Q173" s="149"/>
      <c r="R173" s="189"/>
      <c r="S173" s="149"/>
      <c r="T173" s="189"/>
      <c r="U173" s="194"/>
      <c r="V173" s="194"/>
      <c r="W173" s="194"/>
      <c r="X173" s="194"/>
      <c r="Y173" s="194"/>
      <c r="Z173" s="194"/>
      <c r="AA173" s="194"/>
    </row>
    <row r="174" ht="19.5" customHeight="1">
      <c r="A174" s="48"/>
      <c r="B174" s="224"/>
      <c r="C174" s="220"/>
      <c r="D174" s="221"/>
      <c r="E174" s="222"/>
      <c r="F174" s="223"/>
      <c r="G174" s="143"/>
      <c r="H174" s="143"/>
      <c r="I174" s="143"/>
      <c r="J174" s="143"/>
      <c r="K174" s="182"/>
      <c r="L174" s="143"/>
      <c r="M174" s="182"/>
      <c r="N174" s="149"/>
      <c r="O174" s="189"/>
      <c r="P174" s="149"/>
      <c r="Q174" s="149"/>
      <c r="R174" s="189"/>
      <c r="S174" s="149"/>
      <c r="T174" s="189"/>
      <c r="U174" s="194"/>
      <c r="V174" s="194"/>
      <c r="W174" s="194"/>
      <c r="X174" s="194"/>
      <c r="Y174" s="194"/>
      <c r="Z174" s="194"/>
      <c r="AA174" s="194"/>
    </row>
    <row r="175" ht="19.5" customHeight="1">
      <c r="A175" s="48"/>
      <c r="B175" s="224"/>
      <c r="C175" s="220"/>
      <c r="D175" s="221"/>
      <c r="E175" s="222"/>
      <c r="F175" s="223"/>
      <c r="G175" s="143"/>
      <c r="H175" s="143"/>
      <c r="I175" s="143"/>
      <c r="J175" s="143"/>
      <c r="K175" s="182"/>
      <c r="L175" s="143"/>
      <c r="M175" s="182"/>
      <c r="N175" s="149"/>
      <c r="O175" s="189"/>
      <c r="P175" s="149"/>
      <c r="Q175" s="149"/>
      <c r="R175" s="189"/>
      <c r="S175" s="149"/>
      <c r="T175" s="189"/>
      <c r="U175" s="194"/>
      <c r="V175" s="194"/>
      <c r="W175" s="194"/>
      <c r="X175" s="194"/>
      <c r="Y175" s="194"/>
      <c r="Z175" s="194"/>
      <c r="AA175" s="194"/>
    </row>
    <row r="176" ht="19.5" customHeight="1">
      <c r="A176" s="48"/>
      <c r="B176" s="224"/>
      <c r="C176" s="220"/>
      <c r="D176" s="221"/>
      <c r="E176" s="222"/>
      <c r="F176" s="223"/>
      <c r="G176" s="143"/>
      <c r="H176" s="143"/>
      <c r="I176" s="143"/>
      <c r="J176" s="143"/>
      <c r="K176" s="182"/>
      <c r="L176" s="143"/>
      <c r="M176" s="182"/>
      <c r="N176" s="149"/>
      <c r="O176" s="189"/>
      <c r="P176" s="149"/>
      <c r="Q176" s="149"/>
      <c r="R176" s="189"/>
      <c r="S176" s="149"/>
      <c r="T176" s="189"/>
      <c r="U176" s="194"/>
      <c r="V176" s="194"/>
      <c r="W176" s="194"/>
      <c r="X176" s="194"/>
      <c r="Y176" s="194"/>
      <c r="Z176" s="194"/>
      <c r="AA176" s="194"/>
    </row>
    <row r="177" ht="19.5" customHeight="1">
      <c r="A177" s="48"/>
      <c r="B177" s="224"/>
      <c r="C177" s="220"/>
      <c r="D177" s="221"/>
      <c r="E177" s="222"/>
      <c r="F177" s="223"/>
      <c r="G177" s="143"/>
      <c r="H177" s="143"/>
      <c r="I177" s="143"/>
      <c r="J177" s="143"/>
      <c r="K177" s="182"/>
      <c r="L177" s="143"/>
      <c r="M177" s="182"/>
      <c r="N177" s="149"/>
      <c r="O177" s="189"/>
      <c r="P177" s="149"/>
      <c r="Q177" s="149"/>
      <c r="R177" s="189"/>
      <c r="S177" s="149"/>
      <c r="T177" s="189"/>
      <c r="U177" s="194"/>
      <c r="V177" s="194"/>
      <c r="W177" s="194"/>
      <c r="X177" s="194"/>
      <c r="Y177" s="194"/>
      <c r="Z177" s="194"/>
      <c r="AA177" s="194"/>
    </row>
    <row r="178" ht="19.5" customHeight="1">
      <c r="A178" s="48"/>
      <c r="B178" s="224"/>
      <c r="C178" s="220"/>
      <c r="D178" s="221"/>
      <c r="E178" s="222"/>
      <c r="F178" s="223"/>
      <c r="G178" s="143"/>
      <c r="H178" s="143"/>
      <c r="I178" s="143"/>
      <c r="J178" s="143"/>
      <c r="K178" s="182"/>
      <c r="L178" s="143"/>
      <c r="M178" s="182"/>
      <c r="N178" s="149"/>
      <c r="O178" s="189"/>
      <c r="P178" s="149"/>
      <c r="Q178" s="149"/>
      <c r="R178" s="189"/>
      <c r="S178" s="149"/>
      <c r="T178" s="189"/>
      <c r="U178" s="194"/>
      <c r="V178" s="194"/>
      <c r="W178" s="194"/>
      <c r="X178" s="194"/>
      <c r="Y178" s="194"/>
      <c r="Z178" s="194"/>
      <c r="AA178" s="194"/>
    </row>
    <row r="179" ht="19.5" customHeight="1">
      <c r="A179" s="48"/>
      <c r="B179" s="224"/>
      <c r="C179" s="220"/>
      <c r="D179" s="221"/>
      <c r="E179" s="222"/>
      <c r="F179" s="223"/>
      <c r="G179" s="143"/>
      <c r="H179" s="143"/>
      <c r="I179" s="143"/>
      <c r="J179" s="143"/>
      <c r="K179" s="182"/>
      <c r="L179" s="143"/>
      <c r="M179" s="182"/>
      <c r="N179" s="149"/>
      <c r="O179" s="189"/>
      <c r="P179" s="149"/>
      <c r="Q179" s="149"/>
      <c r="R179" s="189"/>
      <c r="S179" s="149"/>
      <c r="T179" s="189"/>
      <c r="U179" s="194"/>
      <c r="V179" s="194"/>
      <c r="W179" s="194"/>
      <c r="X179" s="194"/>
      <c r="Y179" s="194"/>
      <c r="Z179" s="194"/>
      <c r="AA179" s="194"/>
    </row>
    <row r="180" ht="19.5" customHeight="1">
      <c r="A180" s="48"/>
      <c r="B180" s="224"/>
      <c r="C180" s="220"/>
      <c r="D180" s="221"/>
      <c r="E180" s="222"/>
      <c r="F180" s="223"/>
      <c r="G180" s="143"/>
      <c r="H180" s="143"/>
      <c r="I180" s="143"/>
      <c r="J180" s="143"/>
      <c r="K180" s="182"/>
      <c r="L180" s="143"/>
      <c r="M180" s="182"/>
      <c r="N180" s="149"/>
      <c r="O180" s="189"/>
      <c r="P180" s="149"/>
      <c r="Q180" s="149"/>
      <c r="R180" s="189"/>
      <c r="S180" s="149"/>
      <c r="T180" s="189"/>
      <c r="U180" s="194"/>
      <c r="V180" s="194"/>
      <c r="W180" s="194"/>
      <c r="X180" s="194"/>
      <c r="Y180" s="194"/>
      <c r="Z180" s="194"/>
      <c r="AA180" s="194"/>
    </row>
    <row r="181" ht="19.5" customHeight="1">
      <c r="A181" s="48"/>
      <c r="B181" s="224"/>
      <c r="C181" s="220"/>
      <c r="D181" s="221"/>
      <c r="E181" s="222"/>
      <c r="F181" s="223"/>
      <c r="G181" s="143"/>
      <c r="H181" s="143"/>
      <c r="I181" s="143"/>
      <c r="J181" s="143"/>
      <c r="K181" s="182"/>
      <c r="L181" s="143"/>
      <c r="M181" s="182"/>
      <c r="N181" s="149"/>
      <c r="O181" s="189"/>
      <c r="P181" s="149"/>
      <c r="Q181" s="149"/>
      <c r="R181" s="189"/>
      <c r="S181" s="149"/>
      <c r="T181" s="189"/>
      <c r="U181" s="194"/>
      <c r="V181" s="194"/>
      <c r="W181" s="194"/>
      <c r="X181" s="194"/>
      <c r="Y181" s="194"/>
      <c r="Z181" s="194"/>
      <c r="AA181" s="194"/>
    </row>
    <row r="182" ht="19.5" customHeight="1">
      <c r="A182" s="48"/>
      <c r="B182" s="224"/>
      <c r="C182" s="220"/>
      <c r="D182" s="221"/>
      <c r="E182" s="222"/>
      <c r="F182" s="223"/>
      <c r="G182" s="143"/>
      <c r="H182" s="143"/>
      <c r="I182" s="143"/>
      <c r="J182" s="143"/>
      <c r="K182" s="182"/>
      <c r="L182" s="143"/>
      <c r="M182" s="182"/>
      <c r="N182" s="149"/>
      <c r="O182" s="189"/>
      <c r="P182" s="149"/>
      <c r="Q182" s="149"/>
      <c r="R182" s="189"/>
      <c r="S182" s="149"/>
      <c r="T182" s="189"/>
      <c r="U182" s="194"/>
      <c r="V182" s="194"/>
      <c r="W182" s="194"/>
      <c r="X182" s="194"/>
      <c r="Y182" s="194"/>
      <c r="Z182" s="194"/>
      <c r="AA182" s="194"/>
    </row>
    <row r="183" ht="19.5" customHeight="1">
      <c r="A183" s="48"/>
      <c r="B183" s="224"/>
      <c r="C183" s="220"/>
      <c r="D183" s="221"/>
      <c r="E183" s="222"/>
      <c r="F183" s="223"/>
      <c r="G183" s="143"/>
      <c r="H183" s="143"/>
      <c r="I183" s="143"/>
      <c r="J183" s="143"/>
      <c r="K183" s="182"/>
      <c r="L183" s="143"/>
      <c r="M183" s="182"/>
      <c r="N183" s="149"/>
      <c r="O183" s="189"/>
      <c r="P183" s="149"/>
      <c r="Q183" s="149"/>
      <c r="R183" s="189"/>
      <c r="S183" s="149"/>
      <c r="T183" s="189"/>
      <c r="U183" s="194"/>
      <c r="V183" s="194"/>
      <c r="W183" s="194"/>
      <c r="X183" s="194"/>
      <c r="Y183" s="194"/>
      <c r="Z183" s="194"/>
      <c r="AA183" s="194"/>
    </row>
    <row r="184" ht="19.5" customHeight="1">
      <c r="A184" s="48"/>
      <c r="B184" s="224"/>
      <c r="C184" s="220"/>
      <c r="D184" s="221"/>
      <c r="E184" s="222"/>
      <c r="F184" s="223"/>
      <c r="G184" s="143"/>
      <c r="H184" s="143"/>
      <c r="I184" s="143"/>
      <c r="J184" s="143"/>
      <c r="K184" s="182"/>
      <c r="L184" s="143"/>
      <c r="M184" s="182"/>
      <c r="N184" s="149"/>
      <c r="O184" s="189"/>
      <c r="P184" s="149"/>
      <c r="Q184" s="149"/>
      <c r="R184" s="189"/>
      <c r="S184" s="149"/>
      <c r="T184" s="189"/>
      <c r="U184" s="194"/>
      <c r="V184" s="194"/>
      <c r="W184" s="194"/>
      <c r="X184" s="194"/>
      <c r="Y184" s="194"/>
      <c r="Z184" s="194"/>
      <c r="AA184" s="194"/>
    </row>
    <row r="185" ht="19.5" customHeight="1">
      <c r="A185" s="48"/>
      <c r="B185" s="224"/>
      <c r="C185" s="220"/>
      <c r="D185" s="221"/>
      <c r="E185" s="222"/>
      <c r="F185" s="223"/>
      <c r="G185" s="143"/>
      <c r="H185" s="143"/>
      <c r="I185" s="143"/>
      <c r="J185" s="143"/>
      <c r="K185" s="182"/>
      <c r="L185" s="143"/>
      <c r="M185" s="182"/>
      <c r="N185" s="149"/>
      <c r="O185" s="189"/>
      <c r="P185" s="149"/>
      <c r="Q185" s="149"/>
      <c r="R185" s="189"/>
      <c r="S185" s="149"/>
      <c r="T185" s="189"/>
      <c r="U185" s="194"/>
      <c r="V185" s="194"/>
      <c r="W185" s="194"/>
      <c r="X185" s="194"/>
      <c r="Y185" s="194"/>
      <c r="Z185" s="194"/>
      <c r="AA185" s="194"/>
    </row>
    <row r="186" ht="19.5" customHeight="1">
      <c r="A186" s="48"/>
      <c r="B186" s="224"/>
      <c r="C186" s="220"/>
      <c r="D186" s="221"/>
      <c r="E186" s="222"/>
      <c r="F186" s="223"/>
      <c r="G186" s="143"/>
      <c r="H186" s="143"/>
      <c r="I186" s="143"/>
      <c r="J186" s="143"/>
      <c r="K186" s="182"/>
      <c r="L186" s="143"/>
      <c r="M186" s="182"/>
      <c r="N186" s="149"/>
      <c r="O186" s="189"/>
      <c r="P186" s="149"/>
      <c r="Q186" s="149"/>
      <c r="R186" s="189"/>
      <c r="S186" s="149"/>
      <c r="T186" s="189"/>
      <c r="U186" s="194"/>
      <c r="V186" s="194"/>
      <c r="W186" s="194"/>
      <c r="X186" s="194"/>
      <c r="Y186" s="194"/>
      <c r="Z186" s="194"/>
      <c r="AA186" s="194"/>
    </row>
    <row r="187" ht="19.5" customHeight="1">
      <c r="A187" s="48"/>
      <c r="B187" s="224"/>
      <c r="C187" s="220"/>
      <c r="D187" s="221"/>
      <c r="E187" s="222"/>
      <c r="F187" s="223"/>
      <c r="G187" s="143"/>
      <c r="H187" s="143"/>
      <c r="I187" s="143"/>
      <c r="J187" s="143"/>
      <c r="K187" s="182"/>
      <c r="L187" s="143"/>
      <c r="M187" s="182"/>
      <c r="N187" s="149"/>
      <c r="O187" s="189"/>
      <c r="P187" s="149"/>
      <c r="Q187" s="149"/>
      <c r="R187" s="189"/>
      <c r="S187" s="149"/>
      <c r="T187" s="189"/>
      <c r="U187" s="194"/>
      <c r="V187" s="194"/>
      <c r="W187" s="194"/>
      <c r="X187" s="194"/>
      <c r="Y187" s="194"/>
      <c r="Z187" s="194"/>
      <c r="AA187" s="194"/>
    </row>
    <row r="188" ht="19.5" customHeight="1">
      <c r="A188" s="48"/>
      <c r="B188" s="224"/>
      <c r="C188" s="220"/>
      <c r="D188" s="221"/>
      <c r="E188" s="222"/>
      <c r="F188" s="223"/>
      <c r="G188" s="143"/>
      <c r="H188" s="143"/>
      <c r="I188" s="143"/>
      <c r="J188" s="143"/>
      <c r="K188" s="182"/>
      <c r="L188" s="143"/>
      <c r="M188" s="182"/>
      <c r="N188" s="149"/>
      <c r="O188" s="189"/>
      <c r="P188" s="149"/>
      <c r="Q188" s="149"/>
      <c r="R188" s="189"/>
      <c r="S188" s="149"/>
      <c r="T188" s="189"/>
      <c r="U188" s="194"/>
      <c r="V188" s="194"/>
      <c r="W188" s="194"/>
      <c r="X188" s="194"/>
      <c r="Y188" s="194"/>
      <c r="Z188" s="194"/>
      <c r="AA188" s="194"/>
    </row>
    <row r="189" ht="19.5" customHeight="1">
      <c r="A189" s="48"/>
      <c r="B189" s="224"/>
      <c r="C189" s="220"/>
      <c r="D189" s="221"/>
      <c r="E189" s="222"/>
      <c r="F189" s="223"/>
      <c r="G189" s="143"/>
      <c r="H189" s="143"/>
      <c r="I189" s="143"/>
      <c r="J189" s="143"/>
      <c r="K189" s="182"/>
      <c r="L189" s="143"/>
      <c r="M189" s="182"/>
      <c r="N189" s="149"/>
      <c r="O189" s="189"/>
      <c r="P189" s="149"/>
      <c r="Q189" s="149"/>
      <c r="R189" s="189"/>
      <c r="S189" s="149"/>
      <c r="T189" s="189"/>
      <c r="U189" s="194"/>
      <c r="V189" s="194"/>
      <c r="W189" s="194"/>
      <c r="X189" s="194"/>
      <c r="Y189" s="194"/>
      <c r="Z189" s="194"/>
      <c r="AA189" s="194"/>
    </row>
    <row r="190" ht="19.5" customHeight="1">
      <c r="A190" s="48"/>
      <c r="B190" s="224"/>
      <c r="C190" s="220"/>
      <c r="D190" s="221"/>
      <c r="E190" s="222"/>
      <c r="F190" s="223"/>
      <c r="G190" s="143"/>
      <c r="H190" s="143"/>
      <c r="I190" s="143"/>
      <c r="J190" s="143"/>
      <c r="K190" s="182"/>
      <c r="L190" s="143"/>
      <c r="M190" s="182"/>
      <c r="N190" s="149"/>
      <c r="O190" s="189"/>
      <c r="P190" s="149"/>
      <c r="Q190" s="149"/>
      <c r="R190" s="189"/>
      <c r="S190" s="149"/>
      <c r="T190" s="189"/>
      <c r="U190" s="194"/>
      <c r="V190" s="194"/>
      <c r="W190" s="194"/>
      <c r="X190" s="194"/>
      <c r="Y190" s="194"/>
      <c r="Z190" s="194"/>
      <c r="AA190" s="194"/>
    </row>
    <row r="191" ht="19.5" customHeight="1">
      <c r="A191" s="48"/>
      <c r="B191" s="224"/>
      <c r="C191" s="220"/>
      <c r="D191" s="221"/>
      <c r="E191" s="222"/>
      <c r="F191" s="223"/>
      <c r="G191" s="143"/>
      <c r="H191" s="143"/>
      <c r="I191" s="143"/>
      <c r="J191" s="143"/>
      <c r="K191" s="182"/>
      <c r="L191" s="143"/>
      <c r="M191" s="182"/>
      <c r="N191" s="149"/>
      <c r="O191" s="189"/>
      <c r="P191" s="149"/>
      <c r="Q191" s="149"/>
      <c r="R191" s="189"/>
      <c r="S191" s="149"/>
      <c r="T191" s="189"/>
      <c r="U191" s="194"/>
      <c r="V191" s="194"/>
      <c r="W191" s="194"/>
      <c r="X191" s="194"/>
      <c r="Y191" s="194"/>
      <c r="Z191" s="194"/>
      <c r="AA191" s="194"/>
    </row>
    <row r="192" ht="19.5" customHeight="1">
      <c r="A192" s="48"/>
      <c r="B192" s="224"/>
      <c r="C192" s="220"/>
      <c r="D192" s="221"/>
      <c r="E192" s="222"/>
      <c r="F192" s="223"/>
      <c r="G192" s="143"/>
      <c r="H192" s="143"/>
      <c r="I192" s="143"/>
      <c r="J192" s="143"/>
      <c r="K192" s="182"/>
      <c r="L192" s="143"/>
      <c r="M192" s="182"/>
      <c r="N192" s="149"/>
      <c r="O192" s="189"/>
      <c r="P192" s="149"/>
      <c r="Q192" s="149"/>
      <c r="R192" s="189"/>
      <c r="S192" s="149"/>
      <c r="T192" s="189"/>
      <c r="U192" s="194"/>
      <c r="V192" s="194"/>
      <c r="W192" s="194"/>
      <c r="X192" s="194"/>
      <c r="Y192" s="194"/>
      <c r="Z192" s="194"/>
      <c r="AA192" s="194"/>
    </row>
    <row r="193" ht="19.5" customHeight="1">
      <c r="A193" s="48"/>
      <c r="B193" s="224"/>
      <c r="C193" s="220"/>
      <c r="D193" s="221"/>
      <c r="E193" s="222"/>
      <c r="F193" s="223"/>
      <c r="G193" s="143"/>
      <c r="H193" s="143"/>
      <c r="I193" s="143"/>
      <c r="J193" s="143"/>
      <c r="K193" s="182"/>
      <c r="L193" s="143"/>
      <c r="M193" s="182"/>
      <c r="N193" s="149"/>
      <c r="O193" s="189"/>
      <c r="P193" s="149"/>
      <c r="Q193" s="149"/>
      <c r="R193" s="189"/>
      <c r="S193" s="149"/>
      <c r="T193" s="189"/>
      <c r="U193" s="194"/>
      <c r="V193" s="194"/>
      <c r="W193" s="194"/>
      <c r="X193" s="194"/>
      <c r="Y193" s="194"/>
      <c r="Z193" s="194"/>
      <c r="AA193" s="194"/>
    </row>
    <row r="194" ht="19.5" customHeight="1">
      <c r="A194" s="48"/>
      <c r="B194" s="224"/>
      <c r="C194" s="220"/>
      <c r="D194" s="221"/>
      <c r="E194" s="222"/>
      <c r="F194" s="223"/>
      <c r="G194" s="143"/>
      <c r="H194" s="143"/>
      <c r="I194" s="143"/>
      <c r="J194" s="143"/>
      <c r="K194" s="182"/>
      <c r="L194" s="143"/>
      <c r="M194" s="182"/>
      <c r="N194" s="149"/>
      <c r="O194" s="189"/>
      <c r="P194" s="149"/>
      <c r="Q194" s="149"/>
      <c r="R194" s="189"/>
      <c r="S194" s="149"/>
      <c r="T194" s="189"/>
      <c r="U194" s="194"/>
      <c r="V194" s="194"/>
      <c r="W194" s="194"/>
      <c r="X194" s="194"/>
      <c r="Y194" s="194"/>
      <c r="Z194" s="194"/>
      <c r="AA194" s="194"/>
    </row>
    <row r="195" ht="19.5" customHeight="1">
      <c r="A195" s="48"/>
      <c r="B195" s="224"/>
      <c r="C195" s="220"/>
      <c r="D195" s="221"/>
      <c r="E195" s="222"/>
      <c r="F195" s="223"/>
      <c r="G195" s="143"/>
      <c r="H195" s="143"/>
      <c r="I195" s="143"/>
      <c r="J195" s="143"/>
      <c r="K195" s="182"/>
      <c r="L195" s="143"/>
      <c r="M195" s="182"/>
      <c r="N195" s="149"/>
      <c r="O195" s="189"/>
      <c r="P195" s="149"/>
      <c r="Q195" s="149"/>
      <c r="R195" s="189"/>
      <c r="S195" s="149"/>
      <c r="T195" s="189"/>
      <c r="U195" s="194"/>
      <c r="V195" s="194"/>
      <c r="W195" s="194"/>
      <c r="X195" s="194"/>
      <c r="Y195" s="194"/>
      <c r="Z195" s="194"/>
      <c r="AA195" s="194"/>
    </row>
    <row r="196" ht="19.5" customHeight="1">
      <c r="A196" s="48"/>
      <c r="B196" s="224"/>
      <c r="C196" s="220"/>
      <c r="D196" s="221"/>
      <c r="E196" s="222"/>
      <c r="F196" s="223"/>
      <c r="G196" s="143"/>
      <c r="H196" s="143"/>
      <c r="I196" s="143"/>
      <c r="J196" s="143"/>
      <c r="K196" s="182"/>
      <c r="L196" s="143"/>
      <c r="M196" s="182"/>
      <c r="N196" s="149"/>
      <c r="O196" s="189"/>
      <c r="P196" s="149"/>
      <c r="Q196" s="149"/>
      <c r="R196" s="189"/>
      <c r="S196" s="149"/>
      <c r="T196" s="189"/>
      <c r="U196" s="194"/>
      <c r="V196" s="194"/>
      <c r="W196" s="194"/>
      <c r="X196" s="194"/>
      <c r="Y196" s="194"/>
      <c r="Z196" s="194"/>
      <c r="AA196" s="194"/>
    </row>
    <row r="197" ht="19.5" customHeight="1">
      <c r="A197" s="48"/>
      <c r="B197" s="224"/>
      <c r="C197" s="220"/>
      <c r="D197" s="221"/>
      <c r="E197" s="222"/>
      <c r="F197" s="223"/>
      <c r="G197" s="143"/>
      <c r="H197" s="143"/>
      <c r="I197" s="143"/>
      <c r="J197" s="143"/>
      <c r="K197" s="182"/>
      <c r="L197" s="143"/>
      <c r="M197" s="182"/>
      <c r="N197" s="149"/>
      <c r="O197" s="189"/>
      <c r="P197" s="149"/>
      <c r="Q197" s="149"/>
      <c r="R197" s="189"/>
      <c r="S197" s="149"/>
      <c r="T197" s="189"/>
      <c r="U197" s="194"/>
      <c r="V197" s="194"/>
      <c r="W197" s="194"/>
      <c r="X197" s="194"/>
      <c r="Y197" s="194"/>
      <c r="Z197" s="194"/>
      <c r="AA197" s="194"/>
    </row>
    <row r="198" ht="19.5" customHeight="1">
      <c r="A198" s="48"/>
      <c r="B198" s="224"/>
      <c r="C198" s="220"/>
      <c r="D198" s="221"/>
      <c r="E198" s="222"/>
      <c r="F198" s="223"/>
      <c r="G198" s="143"/>
      <c r="H198" s="143"/>
      <c r="I198" s="143"/>
      <c r="J198" s="143"/>
      <c r="K198" s="182"/>
      <c r="L198" s="143"/>
      <c r="M198" s="182"/>
      <c r="N198" s="149"/>
      <c r="O198" s="189"/>
      <c r="P198" s="149"/>
      <c r="Q198" s="149"/>
      <c r="R198" s="189"/>
      <c r="S198" s="149"/>
      <c r="T198" s="189"/>
      <c r="U198" s="194"/>
      <c r="V198" s="194"/>
      <c r="W198" s="194"/>
      <c r="X198" s="194"/>
      <c r="Y198" s="194"/>
      <c r="Z198" s="194"/>
      <c r="AA198" s="194"/>
    </row>
    <row r="199" ht="19.5" customHeight="1">
      <c r="A199" s="48"/>
      <c r="B199" s="224"/>
      <c r="C199" s="220"/>
      <c r="D199" s="221"/>
      <c r="E199" s="222"/>
      <c r="F199" s="223"/>
      <c r="G199" s="143"/>
      <c r="H199" s="143"/>
      <c r="I199" s="143"/>
      <c r="J199" s="143"/>
      <c r="K199" s="182"/>
      <c r="L199" s="143"/>
      <c r="M199" s="182"/>
      <c r="N199" s="149"/>
      <c r="O199" s="189"/>
      <c r="P199" s="149"/>
      <c r="Q199" s="149"/>
      <c r="R199" s="189"/>
      <c r="S199" s="149"/>
      <c r="T199" s="189"/>
      <c r="U199" s="194"/>
      <c r="V199" s="194"/>
      <c r="W199" s="194"/>
      <c r="X199" s="194"/>
      <c r="Y199" s="194"/>
      <c r="Z199" s="194"/>
      <c r="AA199" s="194"/>
    </row>
    <row r="200" ht="19.5" customHeight="1">
      <c r="A200" s="48"/>
      <c r="B200" s="224"/>
      <c r="C200" s="220"/>
      <c r="D200" s="221"/>
      <c r="E200" s="222"/>
      <c r="F200" s="223"/>
      <c r="G200" s="143"/>
      <c r="H200" s="143"/>
      <c r="I200" s="143"/>
      <c r="J200" s="143"/>
      <c r="K200" s="182"/>
      <c r="L200" s="143"/>
      <c r="M200" s="182"/>
      <c r="N200" s="149"/>
      <c r="O200" s="189"/>
      <c r="P200" s="149"/>
      <c r="Q200" s="149"/>
      <c r="R200" s="189"/>
      <c r="S200" s="149"/>
      <c r="T200" s="189"/>
      <c r="U200" s="194"/>
      <c r="V200" s="194"/>
      <c r="W200" s="194"/>
      <c r="X200" s="194"/>
      <c r="Y200" s="194"/>
      <c r="Z200" s="194"/>
      <c r="AA200" s="194"/>
    </row>
    <row r="201" ht="19.5" customHeight="1">
      <c r="A201" s="48"/>
      <c r="B201" s="224"/>
      <c r="C201" s="220"/>
      <c r="D201" s="221"/>
      <c r="E201" s="222"/>
      <c r="F201" s="223"/>
      <c r="G201" s="143"/>
      <c r="H201" s="143"/>
      <c r="I201" s="143"/>
      <c r="J201" s="143"/>
      <c r="K201" s="182"/>
      <c r="L201" s="143"/>
      <c r="M201" s="182"/>
      <c r="N201" s="149"/>
      <c r="O201" s="189"/>
      <c r="P201" s="149"/>
      <c r="Q201" s="149"/>
      <c r="R201" s="189"/>
      <c r="S201" s="149"/>
      <c r="T201" s="189"/>
      <c r="U201" s="194"/>
      <c r="V201" s="194"/>
      <c r="W201" s="194"/>
      <c r="X201" s="194"/>
      <c r="Y201" s="194"/>
      <c r="Z201" s="194"/>
      <c r="AA201" s="194"/>
    </row>
    <row r="202" ht="19.5" customHeight="1">
      <c r="A202" s="48"/>
      <c r="B202" s="224"/>
      <c r="C202" s="220"/>
      <c r="D202" s="221"/>
      <c r="E202" s="222"/>
      <c r="F202" s="223"/>
      <c r="G202" s="143"/>
      <c r="H202" s="143"/>
      <c r="I202" s="143"/>
      <c r="J202" s="143"/>
      <c r="K202" s="182"/>
      <c r="L202" s="143"/>
      <c r="M202" s="182"/>
      <c r="N202" s="149"/>
      <c r="O202" s="189"/>
      <c r="P202" s="149"/>
      <c r="Q202" s="149"/>
      <c r="R202" s="189"/>
      <c r="S202" s="149"/>
      <c r="T202" s="189"/>
      <c r="U202" s="194"/>
      <c r="V202" s="194"/>
      <c r="W202" s="194"/>
      <c r="X202" s="194"/>
      <c r="Y202" s="194"/>
      <c r="Z202" s="194"/>
      <c r="AA202" s="194"/>
    </row>
    <row r="203" ht="19.5" customHeight="1">
      <c r="A203" s="48"/>
      <c r="B203" s="224"/>
      <c r="C203" s="220"/>
      <c r="D203" s="221"/>
      <c r="E203" s="222"/>
      <c r="F203" s="223"/>
      <c r="G203" s="143"/>
      <c r="H203" s="143"/>
      <c r="I203" s="143"/>
      <c r="J203" s="143"/>
      <c r="K203" s="182"/>
      <c r="L203" s="143"/>
      <c r="M203" s="182"/>
      <c r="N203" s="149"/>
      <c r="O203" s="189"/>
      <c r="P203" s="149"/>
      <c r="Q203" s="149"/>
      <c r="R203" s="189"/>
      <c r="S203" s="149"/>
      <c r="T203" s="189"/>
      <c r="U203" s="194"/>
      <c r="V203" s="194"/>
      <c r="W203" s="194"/>
      <c r="X203" s="194"/>
      <c r="Y203" s="194"/>
      <c r="Z203" s="194"/>
      <c r="AA203" s="194"/>
    </row>
    <row r="204" ht="19.5" customHeight="1">
      <c r="A204" s="48"/>
      <c r="B204" s="224"/>
      <c r="C204" s="220"/>
      <c r="D204" s="221"/>
      <c r="E204" s="222"/>
      <c r="F204" s="223"/>
      <c r="G204" s="143"/>
      <c r="H204" s="143"/>
      <c r="I204" s="143"/>
      <c r="J204" s="143"/>
      <c r="K204" s="182"/>
      <c r="L204" s="143"/>
      <c r="M204" s="182"/>
      <c r="N204" s="149"/>
      <c r="O204" s="189"/>
      <c r="P204" s="149"/>
      <c r="Q204" s="149"/>
      <c r="R204" s="189"/>
      <c r="S204" s="149"/>
      <c r="T204" s="189"/>
      <c r="U204" s="194"/>
      <c r="V204" s="194"/>
      <c r="W204" s="194"/>
      <c r="X204" s="194"/>
      <c r="Y204" s="194"/>
      <c r="Z204" s="194"/>
      <c r="AA204" s="194"/>
    </row>
    <row r="205" ht="19.5" customHeight="1">
      <c r="A205" s="48"/>
      <c r="B205" s="224"/>
      <c r="C205" s="220"/>
      <c r="D205" s="221"/>
      <c r="E205" s="222"/>
      <c r="F205" s="223"/>
      <c r="G205" s="143"/>
      <c r="H205" s="143"/>
      <c r="I205" s="143"/>
      <c r="J205" s="143"/>
      <c r="K205" s="182"/>
      <c r="L205" s="143"/>
      <c r="M205" s="182"/>
      <c r="N205" s="149"/>
      <c r="O205" s="189"/>
      <c r="P205" s="149"/>
      <c r="Q205" s="149"/>
      <c r="R205" s="189"/>
      <c r="S205" s="149"/>
      <c r="T205" s="189"/>
      <c r="U205" s="194"/>
      <c r="V205" s="194"/>
      <c r="W205" s="194"/>
      <c r="X205" s="194"/>
      <c r="Y205" s="194"/>
      <c r="Z205" s="194"/>
      <c r="AA205" s="194"/>
    </row>
    <row r="206" ht="19.5" customHeight="1">
      <c r="A206" s="48"/>
      <c r="B206" s="224"/>
      <c r="C206" s="220"/>
      <c r="D206" s="221"/>
      <c r="E206" s="222"/>
      <c r="F206" s="223"/>
      <c r="G206" s="143"/>
      <c r="H206" s="143"/>
      <c r="I206" s="143"/>
      <c r="J206" s="143"/>
      <c r="K206" s="182"/>
      <c r="L206" s="143"/>
      <c r="M206" s="182"/>
      <c r="N206" s="149"/>
      <c r="O206" s="189"/>
      <c r="P206" s="149"/>
      <c r="Q206" s="149"/>
      <c r="R206" s="189"/>
      <c r="S206" s="149"/>
      <c r="T206" s="189"/>
      <c r="U206" s="194"/>
      <c r="V206" s="194"/>
      <c r="W206" s="194"/>
      <c r="X206" s="194"/>
      <c r="Y206" s="194"/>
      <c r="Z206" s="194"/>
      <c r="AA206" s="194"/>
    </row>
    <row r="207" ht="19.5" customHeight="1">
      <c r="A207" s="48"/>
      <c r="B207" s="224"/>
      <c r="C207" s="220"/>
      <c r="D207" s="221"/>
      <c r="E207" s="222"/>
      <c r="F207" s="223"/>
      <c r="G207" s="143"/>
      <c r="H207" s="143"/>
      <c r="I207" s="143"/>
      <c r="J207" s="143"/>
      <c r="K207" s="182"/>
      <c r="L207" s="143"/>
      <c r="M207" s="182"/>
      <c r="N207" s="149"/>
      <c r="O207" s="189"/>
      <c r="P207" s="149"/>
      <c r="Q207" s="149"/>
      <c r="R207" s="189"/>
      <c r="S207" s="149"/>
      <c r="T207" s="189"/>
      <c r="U207" s="194"/>
      <c r="V207" s="194"/>
      <c r="W207" s="194"/>
      <c r="X207" s="194"/>
      <c r="Y207" s="194"/>
      <c r="Z207" s="194"/>
      <c r="AA207" s="194"/>
    </row>
    <row r="208" ht="19.5" customHeight="1">
      <c r="A208" s="48"/>
      <c r="B208" s="224"/>
      <c r="C208" s="220"/>
      <c r="D208" s="221"/>
      <c r="E208" s="222"/>
      <c r="F208" s="223"/>
      <c r="G208" s="143"/>
      <c r="H208" s="143"/>
      <c r="I208" s="143"/>
      <c r="J208" s="143"/>
      <c r="K208" s="182"/>
      <c r="L208" s="143"/>
      <c r="M208" s="182"/>
      <c r="N208" s="149"/>
      <c r="O208" s="189"/>
      <c r="P208" s="149"/>
      <c r="Q208" s="149"/>
      <c r="R208" s="189"/>
      <c r="S208" s="149"/>
      <c r="T208" s="189"/>
      <c r="U208" s="194"/>
      <c r="V208" s="194"/>
      <c r="W208" s="194"/>
      <c r="X208" s="194"/>
      <c r="Y208" s="194"/>
      <c r="Z208" s="194"/>
      <c r="AA208" s="194"/>
    </row>
    <row r="209" ht="19.5" customHeight="1">
      <c r="A209" s="48"/>
      <c r="B209" s="224"/>
      <c r="C209" s="220"/>
      <c r="D209" s="221"/>
      <c r="E209" s="222"/>
      <c r="F209" s="223"/>
      <c r="G209" s="143"/>
      <c r="H209" s="143"/>
      <c r="I209" s="143"/>
      <c r="J209" s="143"/>
      <c r="K209" s="182"/>
      <c r="L209" s="143"/>
      <c r="M209" s="182"/>
      <c r="N209" s="149"/>
      <c r="O209" s="189"/>
      <c r="P209" s="149"/>
      <c r="Q209" s="149"/>
      <c r="R209" s="189"/>
      <c r="S209" s="149"/>
      <c r="T209" s="189"/>
      <c r="U209" s="194"/>
      <c r="V209" s="194"/>
      <c r="W209" s="194"/>
      <c r="X209" s="194"/>
      <c r="Y209" s="194"/>
      <c r="Z209" s="194"/>
      <c r="AA209" s="194"/>
    </row>
    <row r="210" ht="19.5" customHeight="1">
      <c r="A210" s="48"/>
      <c r="B210" s="224"/>
      <c r="C210" s="220"/>
      <c r="D210" s="221"/>
      <c r="E210" s="222"/>
      <c r="F210" s="223"/>
      <c r="G210" s="143"/>
      <c r="H210" s="143"/>
      <c r="I210" s="143"/>
      <c r="J210" s="143"/>
      <c r="K210" s="182"/>
      <c r="L210" s="143"/>
      <c r="M210" s="182"/>
      <c r="N210" s="149"/>
      <c r="O210" s="189"/>
      <c r="P210" s="149"/>
      <c r="Q210" s="149"/>
      <c r="R210" s="189"/>
      <c r="S210" s="149"/>
      <c r="T210" s="189"/>
      <c r="U210" s="194"/>
      <c r="V210" s="194"/>
      <c r="W210" s="194"/>
      <c r="X210" s="194"/>
      <c r="Y210" s="194"/>
      <c r="Z210" s="194"/>
      <c r="AA210" s="194"/>
    </row>
    <row r="211" ht="19.5" customHeight="1">
      <c r="A211" s="48"/>
      <c r="B211" s="224"/>
      <c r="C211" s="220"/>
      <c r="D211" s="221"/>
      <c r="E211" s="222"/>
      <c r="F211" s="223"/>
      <c r="G211" s="143"/>
      <c r="H211" s="143"/>
      <c r="I211" s="143"/>
      <c r="J211" s="143"/>
      <c r="K211" s="182"/>
      <c r="L211" s="143"/>
      <c r="M211" s="182"/>
      <c r="N211" s="149"/>
      <c r="O211" s="189"/>
      <c r="P211" s="149"/>
      <c r="Q211" s="149"/>
      <c r="R211" s="189"/>
      <c r="S211" s="149"/>
      <c r="T211" s="189"/>
      <c r="U211" s="194"/>
      <c r="V211" s="194"/>
      <c r="W211" s="194"/>
      <c r="X211" s="194"/>
      <c r="Y211" s="194"/>
      <c r="Z211" s="194"/>
      <c r="AA211" s="194"/>
    </row>
    <row r="212" ht="19.5" customHeight="1">
      <c r="A212" s="48"/>
      <c r="B212" s="224"/>
      <c r="C212" s="220"/>
      <c r="D212" s="221"/>
      <c r="E212" s="222"/>
      <c r="F212" s="223"/>
      <c r="G212" s="143"/>
      <c r="H212" s="143"/>
      <c r="I212" s="143"/>
      <c r="J212" s="143"/>
      <c r="K212" s="182"/>
      <c r="L212" s="143"/>
      <c r="M212" s="182"/>
      <c r="N212" s="149"/>
      <c r="O212" s="189"/>
      <c r="P212" s="149"/>
      <c r="Q212" s="149"/>
      <c r="R212" s="189"/>
      <c r="S212" s="149"/>
      <c r="T212" s="189"/>
      <c r="U212" s="194"/>
      <c r="V212" s="194"/>
      <c r="W212" s="194"/>
      <c r="X212" s="194"/>
      <c r="Y212" s="194"/>
      <c r="Z212" s="194"/>
      <c r="AA212" s="194"/>
    </row>
    <row r="213" ht="19.5" customHeight="1">
      <c r="A213" s="48"/>
      <c r="B213" s="224"/>
      <c r="C213" s="220"/>
      <c r="D213" s="221"/>
      <c r="E213" s="222"/>
      <c r="F213" s="223"/>
      <c r="G213" s="143"/>
      <c r="H213" s="143"/>
      <c r="I213" s="143"/>
      <c r="J213" s="143"/>
      <c r="K213" s="182"/>
      <c r="L213" s="143"/>
      <c r="M213" s="182"/>
      <c r="N213" s="149"/>
      <c r="O213" s="189"/>
      <c r="P213" s="149"/>
      <c r="Q213" s="149"/>
      <c r="R213" s="189"/>
      <c r="S213" s="149"/>
      <c r="T213" s="189"/>
      <c r="U213" s="194"/>
      <c r="V213" s="194"/>
      <c r="W213" s="194"/>
      <c r="X213" s="194"/>
      <c r="Y213" s="194"/>
      <c r="Z213" s="194"/>
      <c r="AA213" s="194"/>
    </row>
    <row r="214" ht="19.5" customHeight="1">
      <c r="A214" s="48"/>
      <c r="B214" s="224"/>
      <c r="C214" s="220"/>
      <c r="D214" s="221"/>
      <c r="E214" s="222"/>
      <c r="F214" s="223"/>
      <c r="G214" s="143"/>
      <c r="H214" s="143"/>
      <c r="I214" s="143"/>
      <c r="J214" s="143"/>
      <c r="K214" s="182"/>
      <c r="L214" s="143"/>
      <c r="M214" s="182"/>
      <c r="N214" s="149"/>
      <c r="O214" s="189"/>
      <c r="P214" s="149"/>
      <c r="Q214" s="149"/>
      <c r="R214" s="189"/>
      <c r="S214" s="149"/>
      <c r="T214" s="189"/>
      <c r="U214" s="194"/>
      <c r="V214" s="194"/>
      <c r="W214" s="194"/>
      <c r="X214" s="194"/>
      <c r="Y214" s="194"/>
      <c r="Z214" s="194"/>
      <c r="AA214" s="194"/>
    </row>
    <row r="215" ht="19.5" customHeight="1">
      <c r="A215" s="48"/>
      <c r="B215" s="224"/>
      <c r="C215" s="220"/>
      <c r="D215" s="221"/>
      <c r="E215" s="222"/>
      <c r="F215" s="223"/>
      <c r="G215" s="143"/>
      <c r="H215" s="143"/>
      <c r="I215" s="143"/>
      <c r="J215" s="143"/>
      <c r="K215" s="182"/>
      <c r="L215" s="143"/>
      <c r="M215" s="182"/>
      <c r="N215" s="149"/>
      <c r="O215" s="189"/>
      <c r="P215" s="149"/>
      <c r="Q215" s="149"/>
      <c r="R215" s="189"/>
      <c r="S215" s="149"/>
      <c r="T215" s="189"/>
      <c r="U215" s="194"/>
      <c r="V215" s="194"/>
      <c r="W215" s="194"/>
      <c r="X215" s="194"/>
      <c r="Y215" s="194"/>
      <c r="Z215" s="194"/>
      <c r="AA215" s="194"/>
    </row>
    <row r="216" ht="19.5" customHeight="1">
      <c r="A216" s="48"/>
      <c r="B216" s="224"/>
      <c r="C216" s="220"/>
      <c r="D216" s="221"/>
      <c r="E216" s="222"/>
      <c r="F216" s="223"/>
      <c r="G216" s="143"/>
      <c r="H216" s="143"/>
      <c r="I216" s="143"/>
      <c r="J216" s="143"/>
      <c r="K216" s="182"/>
      <c r="L216" s="143"/>
      <c r="M216" s="182"/>
      <c r="N216" s="149"/>
      <c r="O216" s="189"/>
      <c r="P216" s="149"/>
      <c r="Q216" s="149"/>
      <c r="R216" s="189"/>
      <c r="S216" s="149"/>
      <c r="T216" s="189"/>
      <c r="U216" s="194"/>
      <c r="V216" s="194"/>
      <c r="W216" s="194"/>
      <c r="X216" s="194"/>
      <c r="Y216" s="194"/>
      <c r="Z216" s="194"/>
      <c r="AA216" s="194"/>
    </row>
    <row r="217" ht="19.5" customHeight="1">
      <c r="A217" s="48"/>
      <c r="B217" s="224"/>
      <c r="C217" s="220"/>
      <c r="D217" s="221"/>
      <c r="E217" s="222"/>
      <c r="F217" s="223"/>
      <c r="G217" s="143"/>
      <c r="H217" s="143"/>
      <c r="I217" s="143"/>
      <c r="J217" s="143"/>
      <c r="K217" s="182"/>
      <c r="L217" s="143"/>
      <c r="M217" s="182"/>
      <c r="N217" s="149"/>
      <c r="O217" s="189"/>
      <c r="P217" s="149"/>
      <c r="Q217" s="149"/>
      <c r="R217" s="189"/>
      <c r="S217" s="149"/>
      <c r="T217" s="189"/>
      <c r="U217" s="194"/>
      <c r="V217" s="194"/>
      <c r="W217" s="194"/>
      <c r="X217" s="194"/>
      <c r="Y217" s="194"/>
      <c r="Z217" s="194"/>
      <c r="AA217" s="194"/>
    </row>
    <row r="218" ht="19.5" customHeight="1">
      <c r="A218" s="48"/>
      <c r="B218" s="224"/>
      <c r="C218" s="220"/>
      <c r="D218" s="221"/>
      <c r="E218" s="222"/>
      <c r="F218" s="223"/>
      <c r="G218" s="143"/>
      <c r="H218" s="143"/>
      <c r="I218" s="143"/>
      <c r="J218" s="143"/>
      <c r="K218" s="182"/>
      <c r="L218" s="143"/>
      <c r="M218" s="182"/>
      <c r="N218" s="149"/>
      <c r="O218" s="189"/>
      <c r="P218" s="149"/>
      <c r="Q218" s="149"/>
      <c r="R218" s="189"/>
      <c r="S218" s="149"/>
      <c r="T218" s="189"/>
      <c r="U218" s="194"/>
      <c r="V218" s="194"/>
      <c r="W218" s="194"/>
      <c r="X218" s="194"/>
      <c r="Y218" s="194"/>
      <c r="Z218" s="194"/>
      <c r="AA218" s="194"/>
    </row>
    <row r="219" ht="19.5" customHeight="1">
      <c r="A219" s="48"/>
      <c r="B219" s="224"/>
      <c r="C219" s="220"/>
      <c r="D219" s="221"/>
      <c r="E219" s="222"/>
      <c r="F219" s="223"/>
      <c r="G219" s="143"/>
      <c r="H219" s="143"/>
      <c r="I219" s="143"/>
      <c r="J219" s="143"/>
      <c r="K219" s="182"/>
      <c r="L219" s="143"/>
      <c r="M219" s="182"/>
      <c r="N219" s="149"/>
      <c r="O219" s="189"/>
      <c r="P219" s="149"/>
      <c r="Q219" s="149"/>
      <c r="R219" s="189"/>
      <c r="S219" s="149"/>
      <c r="T219" s="189"/>
      <c r="U219" s="194"/>
      <c r="V219" s="194"/>
      <c r="W219" s="194"/>
      <c r="X219" s="194"/>
      <c r="Y219" s="194"/>
      <c r="Z219" s="194"/>
      <c r="AA219" s="194"/>
    </row>
    <row r="220" ht="19.5" customHeight="1">
      <c r="A220" s="48"/>
      <c r="B220" s="224"/>
      <c r="C220" s="220"/>
      <c r="D220" s="221"/>
      <c r="E220" s="222"/>
      <c r="F220" s="223"/>
      <c r="G220" s="143"/>
      <c r="H220" s="143"/>
      <c r="I220" s="143"/>
      <c r="J220" s="143"/>
      <c r="K220" s="182"/>
      <c r="L220" s="143"/>
      <c r="M220" s="182"/>
      <c r="N220" s="149"/>
      <c r="O220" s="189"/>
      <c r="P220" s="149"/>
      <c r="Q220" s="149"/>
      <c r="R220" s="189"/>
      <c r="S220" s="149"/>
      <c r="T220" s="189"/>
      <c r="U220" s="194"/>
      <c r="V220" s="194"/>
      <c r="W220" s="194"/>
      <c r="X220" s="194"/>
      <c r="Y220" s="194"/>
      <c r="Z220" s="194"/>
      <c r="AA220" s="194"/>
    </row>
    <row r="221" ht="15.75" customHeight="1">
      <c r="A221" s="241"/>
      <c r="B221" s="224"/>
      <c r="C221" s="220"/>
      <c r="D221" s="221"/>
      <c r="E221" s="222"/>
      <c r="F221" s="223"/>
      <c r="G221" s="143"/>
      <c r="H221" s="143"/>
      <c r="I221" s="143"/>
      <c r="J221" s="143"/>
      <c r="K221" s="182"/>
      <c r="L221" s="143"/>
      <c r="M221" s="182"/>
      <c r="N221" s="149"/>
      <c r="O221" s="189"/>
      <c r="P221" s="149"/>
      <c r="Q221" s="149"/>
      <c r="R221" s="189"/>
      <c r="S221" s="149"/>
      <c r="T221" s="189"/>
      <c r="U221" s="194"/>
      <c r="V221" s="194"/>
      <c r="W221" s="194"/>
      <c r="X221" s="194"/>
      <c r="Y221" s="194"/>
      <c r="Z221" s="194"/>
      <c r="AA221" s="194"/>
    </row>
    <row r="222" ht="15.75" customHeight="1">
      <c r="A222" s="241"/>
      <c r="B222" s="224"/>
      <c r="C222" s="220"/>
      <c r="D222" s="221"/>
      <c r="E222" s="222"/>
      <c r="F222" s="223"/>
      <c r="G222" s="143"/>
      <c r="H222" s="143"/>
      <c r="I222" s="143"/>
      <c r="J222" s="143"/>
      <c r="K222" s="182"/>
      <c r="L222" s="143"/>
      <c r="M222" s="182"/>
      <c r="N222" s="149"/>
      <c r="O222" s="189"/>
      <c r="P222" s="149"/>
      <c r="Q222" s="149"/>
      <c r="R222" s="189"/>
      <c r="S222" s="149"/>
      <c r="T222" s="189"/>
      <c r="U222" s="194"/>
      <c r="V222" s="194"/>
      <c r="W222" s="194"/>
      <c r="X222" s="194"/>
      <c r="Y222" s="194"/>
      <c r="Z222" s="194"/>
      <c r="AA222" s="194"/>
    </row>
    <row r="223" ht="15.75" customHeight="1">
      <c r="A223" s="241"/>
      <c r="B223" s="224"/>
      <c r="C223" s="220"/>
      <c r="D223" s="221"/>
      <c r="E223" s="222"/>
      <c r="F223" s="223"/>
      <c r="G223" s="143"/>
      <c r="H223" s="143"/>
      <c r="I223" s="143"/>
      <c r="J223" s="143"/>
      <c r="K223" s="182"/>
      <c r="L223" s="143"/>
      <c r="M223" s="182"/>
      <c r="N223" s="149"/>
      <c r="O223" s="189"/>
      <c r="P223" s="149"/>
      <c r="Q223" s="149"/>
      <c r="R223" s="189"/>
      <c r="S223" s="149"/>
      <c r="T223" s="189"/>
      <c r="U223" s="194"/>
      <c r="V223" s="194"/>
      <c r="W223" s="194"/>
      <c r="X223" s="194"/>
      <c r="Y223" s="194"/>
      <c r="Z223" s="194"/>
      <c r="AA223" s="194"/>
    </row>
    <row r="224" ht="15.75" customHeight="1">
      <c r="A224" s="241"/>
      <c r="B224" s="224"/>
      <c r="C224" s="220"/>
      <c r="D224" s="221"/>
      <c r="E224" s="222"/>
      <c r="F224" s="223"/>
      <c r="G224" s="143"/>
      <c r="H224" s="143"/>
      <c r="I224" s="143"/>
      <c r="J224" s="143"/>
      <c r="K224" s="182"/>
      <c r="L224" s="143"/>
      <c r="M224" s="182"/>
      <c r="N224" s="149"/>
      <c r="O224" s="189"/>
      <c r="P224" s="149"/>
      <c r="Q224" s="149"/>
      <c r="R224" s="189"/>
      <c r="S224" s="149"/>
      <c r="T224" s="189"/>
      <c r="U224" s="194"/>
      <c r="V224" s="194"/>
      <c r="W224" s="194"/>
      <c r="X224" s="194"/>
      <c r="Y224" s="194"/>
      <c r="Z224" s="194"/>
      <c r="AA224" s="194"/>
    </row>
    <row r="225" ht="15.75" customHeight="1">
      <c r="A225" s="241"/>
      <c r="B225" s="224"/>
      <c r="C225" s="220"/>
      <c r="D225" s="221"/>
      <c r="E225" s="222"/>
      <c r="F225" s="223"/>
      <c r="G225" s="143"/>
      <c r="H225" s="143"/>
      <c r="I225" s="143"/>
      <c r="J225" s="143"/>
      <c r="K225" s="182"/>
      <c r="L225" s="143"/>
      <c r="M225" s="182"/>
      <c r="N225" s="149"/>
      <c r="O225" s="189"/>
      <c r="P225" s="149"/>
      <c r="Q225" s="149"/>
      <c r="R225" s="189"/>
      <c r="S225" s="149"/>
      <c r="T225" s="189"/>
      <c r="U225" s="194"/>
      <c r="V225" s="194"/>
      <c r="W225" s="194"/>
      <c r="X225" s="194"/>
      <c r="Y225" s="194"/>
      <c r="Z225" s="194"/>
      <c r="AA225" s="194"/>
    </row>
    <row r="226" ht="15.75" customHeight="1">
      <c r="A226" s="241"/>
      <c r="B226" s="224"/>
      <c r="C226" s="220"/>
      <c r="D226" s="221"/>
      <c r="E226" s="222"/>
      <c r="F226" s="223"/>
      <c r="G226" s="143"/>
      <c r="H226" s="143"/>
      <c r="I226" s="143"/>
      <c r="J226" s="143"/>
      <c r="K226" s="182"/>
      <c r="L226" s="143"/>
      <c r="M226" s="182"/>
      <c r="N226" s="149"/>
      <c r="O226" s="189"/>
      <c r="P226" s="149"/>
      <c r="Q226" s="149"/>
      <c r="R226" s="189"/>
      <c r="S226" s="149"/>
      <c r="T226" s="189"/>
      <c r="U226" s="194"/>
      <c r="V226" s="194"/>
      <c r="W226" s="194"/>
      <c r="X226" s="194"/>
      <c r="Y226" s="194"/>
      <c r="Z226" s="194"/>
      <c r="AA226" s="194"/>
    </row>
    <row r="227" ht="15.75" customHeight="1">
      <c r="A227" s="241"/>
      <c r="B227" s="224"/>
      <c r="C227" s="220"/>
      <c r="D227" s="221"/>
      <c r="E227" s="222"/>
      <c r="F227" s="223"/>
      <c r="G227" s="143"/>
      <c r="H227" s="143"/>
      <c r="I227" s="143"/>
      <c r="J227" s="143"/>
      <c r="K227" s="182"/>
      <c r="L227" s="143"/>
      <c r="M227" s="182"/>
      <c r="N227" s="149"/>
      <c r="O227" s="189"/>
      <c r="P227" s="149"/>
      <c r="Q227" s="149"/>
      <c r="R227" s="189"/>
      <c r="S227" s="149"/>
      <c r="T227" s="189"/>
      <c r="U227" s="194"/>
      <c r="V227" s="194"/>
      <c r="W227" s="194"/>
      <c r="X227" s="194"/>
      <c r="Y227" s="194"/>
      <c r="Z227" s="194"/>
      <c r="AA227" s="194"/>
    </row>
    <row r="228" ht="15.75" customHeight="1">
      <c r="A228" s="241"/>
      <c r="B228" s="224"/>
      <c r="C228" s="220"/>
      <c r="D228" s="221"/>
      <c r="E228" s="222"/>
      <c r="F228" s="223"/>
      <c r="G228" s="143"/>
      <c r="H228" s="143"/>
      <c r="I228" s="143"/>
      <c r="J228" s="143"/>
      <c r="K228" s="182"/>
      <c r="L228" s="143"/>
      <c r="M228" s="182"/>
      <c r="N228" s="149"/>
      <c r="O228" s="189"/>
      <c r="P228" s="149"/>
      <c r="Q228" s="149"/>
      <c r="R228" s="189"/>
      <c r="S228" s="149"/>
      <c r="T228" s="189"/>
      <c r="U228" s="194"/>
      <c r="V228" s="194"/>
      <c r="W228" s="194"/>
      <c r="X228" s="194"/>
      <c r="Y228" s="194"/>
      <c r="Z228" s="194"/>
      <c r="AA228" s="194"/>
    </row>
    <row r="229" ht="15.75" customHeight="1">
      <c r="A229" s="241"/>
      <c r="B229" s="224"/>
      <c r="C229" s="220"/>
      <c r="D229" s="221"/>
      <c r="E229" s="222"/>
      <c r="F229" s="223"/>
      <c r="G229" s="143"/>
      <c r="H229" s="143"/>
      <c r="I229" s="143"/>
      <c r="J229" s="143"/>
      <c r="K229" s="182"/>
      <c r="L229" s="143"/>
      <c r="M229" s="182"/>
      <c r="N229" s="149"/>
      <c r="O229" s="189"/>
      <c r="P229" s="149"/>
      <c r="Q229" s="149"/>
      <c r="R229" s="189"/>
      <c r="S229" s="149"/>
      <c r="T229" s="189"/>
      <c r="U229" s="194"/>
      <c r="V229" s="194"/>
      <c r="W229" s="194"/>
      <c r="X229" s="194"/>
      <c r="Y229" s="194"/>
      <c r="Z229" s="194"/>
      <c r="AA229" s="194"/>
    </row>
    <row r="230" ht="15.75" customHeight="1">
      <c r="A230" s="241"/>
      <c r="B230" s="224"/>
      <c r="C230" s="220"/>
      <c r="D230" s="221"/>
      <c r="E230" s="222"/>
      <c r="F230" s="223"/>
      <c r="G230" s="143"/>
      <c r="H230" s="143"/>
      <c r="I230" s="143"/>
      <c r="J230" s="143"/>
      <c r="K230" s="182"/>
      <c r="L230" s="143"/>
      <c r="M230" s="182"/>
      <c r="N230" s="149"/>
      <c r="O230" s="189"/>
      <c r="P230" s="149"/>
      <c r="Q230" s="149"/>
      <c r="R230" s="189"/>
      <c r="S230" s="149"/>
      <c r="T230" s="189"/>
      <c r="U230" s="194"/>
      <c r="V230" s="194"/>
      <c r="W230" s="194"/>
      <c r="X230" s="194"/>
      <c r="Y230" s="194"/>
      <c r="Z230" s="194"/>
      <c r="AA230" s="194"/>
    </row>
    <row r="231" ht="15.75" customHeight="1">
      <c r="A231" s="241"/>
      <c r="B231" s="224"/>
      <c r="C231" s="220"/>
      <c r="D231" s="221"/>
      <c r="E231" s="222"/>
      <c r="F231" s="223"/>
      <c r="G231" s="143"/>
      <c r="H231" s="143"/>
      <c r="I231" s="143"/>
      <c r="J231" s="143"/>
      <c r="K231" s="182"/>
      <c r="L231" s="143"/>
      <c r="M231" s="182"/>
      <c r="N231" s="149"/>
      <c r="O231" s="189"/>
      <c r="P231" s="149"/>
      <c r="Q231" s="149"/>
      <c r="R231" s="189"/>
      <c r="S231" s="149"/>
      <c r="T231" s="189"/>
      <c r="U231" s="194"/>
      <c r="V231" s="194"/>
      <c r="W231" s="194"/>
      <c r="X231" s="194"/>
      <c r="Y231" s="194"/>
      <c r="Z231" s="194"/>
      <c r="AA231" s="194"/>
    </row>
    <row r="232" ht="15.75" customHeight="1">
      <c r="A232" s="241"/>
      <c r="B232" s="224"/>
      <c r="C232" s="220"/>
      <c r="D232" s="221"/>
      <c r="E232" s="222"/>
      <c r="F232" s="223"/>
      <c r="G232" s="143"/>
      <c r="H232" s="143"/>
      <c r="I232" s="143"/>
      <c r="J232" s="143"/>
      <c r="K232" s="182"/>
      <c r="L232" s="143"/>
      <c r="M232" s="182"/>
      <c r="N232" s="149"/>
      <c r="O232" s="189"/>
      <c r="P232" s="149"/>
      <c r="Q232" s="149"/>
      <c r="R232" s="189"/>
      <c r="S232" s="149"/>
      <c r="T232" s="189"/>
      <c r="U232" s="194"/>
      <c r="V232" s="194"/>
      <c r="W232" s="194"/>
      <c r="X232" s="194"/>
      <c r="Y232" s="194"/>
      <c r="Z232" s="194"/>
      <c r="AA232" s="194"/>
    </row>
    <row r="233" ht="15.75" customHeight="1">
      <c r="A233" s="241"/>
      <c r="B233" s="224"/>
      <c r="C233" s="220"/>
      <c r="D233" s="221"/>
      <c r="E233" s="222"/>
      <c r="F233" s="223"/>
      <c r="G233" s="143"/>
      <c r="H233" s="143"/>
      <c r="I233" s="143"/>
      <c r="J233" s="143"/>
      <c r="K233" s="182"/>
      <c r="L233" s="143"/>
      <c r="M233" s="182"/>
      <c r="N233" s="149"/>
      <c r="O233" s="189"/>
      <c r="P233" s="149"/>
      <c r="Q233" s="149"/>
      <c r="R233" s="189"/>
      <c r="S233" s="149"/>
      <c r="T233" s="189"/>
      <c r="U233" s="194"/>
      <c r="V233" s="194"/>
      <c r="W233" s="194"/>
      <c r="X233" s="194"/>
      <c r="Y233" s="194"/>
      <c r="Z233" s="194"/>
      <c r="AA233" s="194"/>
    </row>
    <row r="234" ht="15.75" customHeight="1">
      <c r="A234" s="241"/>
      <c r="B234" s="224"/>
      <c r="C234" s="220"/>
      <c r="D234" s="221"/>
      <c r="E234" s="222"/>
      <c r="F234" s="223"/>
      <c r="G234" s="143"/>
      <c r="H234" s="143"/>
      <c r="I234" s="143"/>
      <c r="J234" s="143"/>
      <c r="K234" s="182"/>
      <c r="L234" s="143"/>
      <c r="M234" s="182"/>
      <c r="N234" s="149"/>
      <c r="O234" s="189"/>
      <c r="P234" s="149"/>
      <c r="Q234" s="149"/>
      <c r="R234" s="189"/>
      <c r="S234" s="149"/>
      <c r="T234" s="189"/>
      <c r="U234" s="194"/>
      <c r="V234" s="194"/>
      <c r="W234" s="194"/>
      <c r="X234" s="194"/>
      <c r="Y234" s="194"/>
      <c r="Z234" s="194"/>
      <c r="AA234" s="194"/>
    </row>
    <row r="235" ht="15.75" customHeight="1">
      <c r="A235" s="241"/>
      <c r="B235" s="224"/>
      <c r="C235" s="220"/>
      <c r="D235" s="221"/>
      <c r="E235" s="222"/>
      <c r="F235" s="223"/>
      <c r="G235" s="143"/>
      <c r="H235" s="143"/>
      <c r="I235" s="143"/>
      <c r="J235" s="143"/>
      <c r="K235" s="182"/>
      <c r="L235" s="143"/>
      <c r="M235" s="182"/>
      <c r="N235" s="149"/>
      <c r="O235" s="189"/>
      <c r="P235" s="149"/>
      <c r="Q235" s="149"/>
      <c r="R235" s="189"/>
      <c r="S235" s="149"/>
      <c r="T235" s="189"/>
      <c r="U235" s="194"/>
      <c r="V235" s="194"/>
      <c r="W235" s="194"/>
      <c r="X235" s="194"/>
      <c r="Y235" s="194"/>
      <c r="Z235" s="194"/>
      <c r="AA235" s="194"/>
    </row>
    <row r="236" ht="15.75" customHeight="1">
      <c r="A236" s="241"/>
      <c r="B236" s="224"/>
      <c r="C236" s="220"/>
      <c r="D236" s="221"/>
      <c r="E236" s="222"/>
      <c r="F236" s="223"/>
      <c r="G236" s="143"/>
      <c r="H236" s="143"/>
      <c r="I236" s="143"/>
      <c r="J236" s="143"/>
      <c r="K236" s="182"/>
      <c r="L236" s="143"/>
      <c r="M236" s="182"/>
      <c r="N236" s="149"/>
      <c r="O236" s="189"/>
      <c r="P236" s="149"/>
      <c r="Q236" s="149"/>
      <c r="R236" s="189"/>
      <c r="S236" s="149"/>
      <c r="T236" s="189"/>
      <c r="U236" s="194"/>
      <c r="V236" s="194"/>
      <c r="W236" s="194"/>
      <c r="X236" s="194"/>
      <c r="Y236" s="194"/>
      <c r="Z236" s="194"/>
      <c r="AA236" s="194"/>
    </row>
    <row r="237" ht="15.75" customHeight="1">
      <c r="A237" s="241"/>
      <c r="B237" s="224"/>
      <c r="C237" s="220"/>
      <c r="D237" s="221"/>
      <c r="E237" s="222"/>
      <c r="F237" s="223"/>
      <c r="G237" s="143"/>
      <c r="H237" s="143"/>
      <c r="I237" s="143"/>
      <c r="J237" s="143"/>
      <c r="K237" s="182"/>
      <c r="L237" s="143"/>
      <c r="M237" s="182"/>
      <c r="N237" s="149"/>
      <c r="O237" s="189"/>
      <c r="P237" s="149"/>
      <c r="Q237" s="149"/>
      <c r="R237" s="189"/>
      <c r="S237" s="149"/>
      <c r="T237" s="189"/>
      <c r="U237" s="194"/>
      <c r="V237" s="194"/>
      <c r="W237" s="194"/>
      <c r="X237" s="194"/>
      <c r="Y237" s="194"/>
      <c r="Z237" s="194"/>
      <c r="AA237" s="194"/>
    </row>
    <row r="238" ht="15.75" customHeight="1">
      <c r="A238" s="241"/>
      <c r="B238" s="224"/>
      <c r="C238" s="220"/>
      <c r="D238" s="221"/>
      <c r="E238" s="222"/>
      <c r="F238" s="223"/>
      <c r="G238" s="143"/>
      <c r="H238" s="143"/>
      <c r="I238" s="143"/>
      <c r="J238" s="143"/>
      <c r="K238" s="182"/>
      <c r="L238" s="143"/>
      <c r="M238" s="182"/>
      <c r="N238" s="149"/>
      <c r="O238" s="189"/>
      <c r="P238" s="149"/>
      <c r="Q238" s="149"/>
      <c r="R238" s="189"/>
      <c r="S238" s="149"/>
      <c r="T238" s="189"/>
      <c r="U238" s="194"/>
      <c r="V238" s="194"/>
      <c r="W238" s="194"/>
      <c r="X238" s="194"/>
      <c r="Y238" s="194"/>
      <c r="Z238" s="194"/>
      <c r="AA238" s="194"/>
    </row>
    <row r="239" ht="15.75" customHeight="1">
      <c r="A239" s="241"/>
      <c r="B239" s="224"/>
      <c r="C239" s="220"/>
      <c r="D239" s="221"/>
      <c r="E239" s="222"/>
      <c r="F239" s="223"/>
      <c r="G239" s="143"/>
      <c r="H239" s="143"/>
      <c r="I239" s="143"/>
      <c r="J239" s="143"/>
      <c r="K239" s="182"/>
      <c r="L239" s="143"/>
      <c r="M239" s="182"/>
      <c r="N239" s="149"/>
      <c r="O239" s="189"/>
      <c r="P239" s="149"/>
      <c r="Q239" s="149"/>
      <c r="R239" s="189"/>
      <c r="S239" s="149"/>
      <c r="T239" s="189"/>
      <c r="U239" s="194"/>
      <c r="V239" s="194"/>
      <c r="W239" s="194"/>
      <c r="X239" s="194"/>
      <c r="Y239" s="194"/>
      <c r="Z239" s="194"/>
      <c r="AA239" s="194"/>
    </row>
    <row r="240" ht="15.75" customHeight="1">
      <c r="A240" s="241"/>
      <c r="B240" s="224"/>
      <c r="C240" s="220"/>
      <c r="D240" s="221"/>
      <c r="E240" s="222"/>
      <c r="F240" s="223"/>
      <c r="G240" s="143"/>
      <c r="H240" s="143"/>
      <c r="I240" s="143"/>
      <c r="J240" s="143"/>
      <c r="K240" s="182"/>
      <c r="L240" s="143"/>
      <c r="M240" s="182"/>
      <c r="N240" s="149"/>
      <c r="O240" s="189"/>
      <c r="P240" s="149"/>
      <c r="Q240" s="149"/>
      <c r="R240" s="189"/>
      <c r="S240" s="149"/>
      <c r="T240" s="189"/>
      <c r="U240" s="194"/>
      <c r="V240" s="194"/>
      <c r="W240" s="194"/>
      <c r="X240" s="194"/>
      <c r="Y240" s="194"/>
      <c r="Z240" s="194"/>
      <c r="AA240" s="194"/>
    </row>
    <row r="241" ht="15.75" customHeight="1">
      <c r="A241" s="241"/>
      <c r="B241" s="224"/>
      <c r="C241" s="220"/>
      <c r="D241" s="221"/>
      <c r="E241" s="222"/>
      <c r="F241" s="223"/>
      <c r="G241" s="143"/>
      <c r="H241" s="143"/>
      <c r="I241" s="143"/>
      <c r="J241" s="143"/>
      <c r="K241" s="182"/>
      <c r="L241" s="143"/>
      <c r="M241" s="182"/>
      <c r="N241" s="149"/>
      <c r="O241" s="189"/>
      <c r="P241" s="149"/>
      <c r="Q241" s="149"/>
      <c r="R241" s="189"/>
      <c r="S241" s="149"/>
      <c r="T241" s="189"/>
      <c r="U241" s="194"/>
      <c r="V241" s="194"/>
      <c r="W241" s="194"/>
      <c r="X241" s="194"/>
      <c r="Y241" s="194"/>
      <c r="Z241" s="194"/>
      <c r="AA241" s="194"/>
    </row>
    <row r="242" ht="15.75" customHeight="1">
      <c r="A242" s="241"/>
      <c r="B242" s="224"/>
      <c r="C242" s="220"/>
      <c r="D242" s="221"/>
      <c r="E242" s="222"/>
      <c r="F242" s="223"/>
      <c r="G242" s="143"/>
      <c r="H242" s="143"/>
      <c r="I242" s="143"/>
      <c r="J242" s="143"/>
      <c r="K242" s="182"/>
      <c r="L242" s="143"/>
      <c r="M242" s="182"/>
      <c r="N242" s="149"/>
      <c r="O242" s="189"/>
      <c r="P242" s="149"/>
      <c r="Q242" s="149"/>
      <c r="R242" s="189"/>
      <c r="S242" s="149"/>
      <c r="T242" s="189"/>
      <c r="U242" s="194"/>
      <c r="V242" s="194"/>
      <c r="W242" s="194"/>
      <c r="X242" s="194"/>
      <c r="Y242" s="194"/>
      <c r="Z242" s="194"/>
      <c r="AA242" s="194"/>
    </row>
    <row r="243" ht="15.75" customHeight="1">
      <c r="A243" s="241"/>
      <c r="B243" s="224"/>
      <c r="C243" s="220"/>
      <c r="D243" s="221"/>
      <c r="E243" s="222"/>
      <c r="F243" s="223"/>
      <c r="G243" s="143"/>
      <c r="H243" s="143"/>
      <c r="I243" s="143"/>
      <c r="J243" s="143"/>
      <c r="K243" s="182"/>
      <c r="L243" s="143"/>
      <c r="M243" s="182"/>
      <c r="N243" s="149"/>
      <c r="O243" s="189"/>
      <c r="P243" s="149"/>
      <c r="Q243" s="149"/>
      <c r="R243" s="189"/>
      <c r="S243" s="149"/>
      <c r="T243" s="189"/>
      <c r="U243" s="194"/>
      <c r="V243" s="194"/>
      <c r="W243" s="194"/>
      <c r="X243" s="194"/>
      <c r="Y243" s="194"/>
      <c r="Z243" s="194"/>
      <c r="AA243" s="194"/>
    </row>
    <row r="244" ht="15.75" customHeight="1">
      <c r="A244" s="241"/>
      <c r="B244" s="224"/>
      <c r="C244" s="220"/>
      <c r="D244" s="221"/>
      <c r="E244" s="222"/>
      <c r="F244" s="223"/>
      <c r="G244" s="143"/>
      <c r="H244" s="143"/>
      <c r="I244" s="143"/>
      <c r="J244" s="143"/>
      <c r="K244" s="182"/>
      <c r="L244" s="143"/>
      <c r="M244" s="182"/>
      <c r="N244" s="149"/>
      <c r="O244" s="189"/>
      <c r="P244" s="149"/>
      <c r="Q244" s="149"/>
      <c r="R244" s="189"/>
      <c r="S244" s="149"/>
      <c r="T244" s="189"/>
      <c r="U244" s="194"/>
      <c r="V244" s="194"/>
      <c r="W244" s="194"/>
      <c r="X244" s="194"/>
      <c r="Y244" s="194"/>
      <c r="Z244" s="194"/>
      <c r="AA244" s="194"/>
    </row>
    <row r="245" ht="15.75" customHeight="1">
      <c r="A245" s="241"/>
      <c r="B245" s="224"/>
      <c r="C245" s="220"/>
      <c r="D245" s="221"/>
      <c r="E245" s="222"/>
      <c r="F245" s="223"/>
      <c r="G245" s="143"/>
      <c r="H245" s="143"/>
      <c r="I245" s="143"/>
      <c r="J245" s="143"/>
      <c r="K245" s="182"/>
      <c r="L245" s="143"/>
      <c r="M245" s="182"/>
      <c r="N245" s="149"/>
      <c r="O245" s="189"/>
      <c r="P245" s="149"/>
      <c r="Q245" s="149"/>
      <c r="R245" s="189"/>
      <c r="S245" s="149"/>
      <c r="T245" s="189"/>
      <c r="U245" s="194"/>
      <c r="V245" s="194"/>
      <c r="W245" s="194"/>
      <c r="X245" s="194"/>
      <c r="Y245" s="194"/>
      <c r="Z245" s="194"/>
      <c r="AA245" s="194"/>
    </row>
    <row r="246" ht="15.75" customHeight="1">
      <c r="A246" s="241"/>
      <c r="B246" s="224"/>
      <c r="C246" s="220"/>
      <c r="D246" s="221"/>
      <c r="E246" s="222"/>
      <c r="F246" s="223"/>
      <c r="G246" s="143"/>
      <c r="H246" s="143"/>
      <c r="I246" s="143"/>
      <c r="J246" s="143"/>
      <c r="K246" s="182"/>
      <c r="L246" s="143"/>
      <c r="M246" s="182"/>
      <c r="N246" s="149"/>
      <c r="O246" s="189"/>
      <c r="P246" s="149"/>
      <c r="Q246" s="149"/>
      <c r="R246" s="189"/>
      <c r="S246" s="149"/>
      <c r="T246" s="189"/>
      <c r="U246" s="194"/>
      <c r="V246" s="194"/>
      <c r="W246" s="194"/>
      <c r="X246" s="194"/>
      <c r="Y246" s="194"/>
      <c r="Z246" s="194"/>
      <c r="AA246" s="194"/>
    </row>
    <row r="247" ht="15.75" customHeight="1">
      <c r="A247" s="241"/>
      <c r="B247" s="224"/>
      <c r="C247" s="220"/>
      <c r="D247" s="221"/>
      <c r="E247" s="222"/>
      <c r="F247" s="223"/>
      <c r="G247" s="143"/>
      <c r="H247" s="143"/>
      <c r="I247" s="143"/>
      <c r="J247" s="143"/>
      <c r="K247" s="182"/>
      <c r="L247" s="143"/>
      <c r="M247" s="182"/>
      <c r="N247" s="149"/>
      <c r="O247" s="189"/>
      <c r="P247" s="149"/>
      <c r="Q247" s="149"/>
      <c r="R247" s="189"/>
      <c r="S247" s="149"/>
      <c r="T247" s="189"/>
      <c r="U247" s="194"/>
      <c r="V247" s="194"/>
      <c r="W247" s="194"/>
      <c r="X247" s="194"/>
      <c r="Y247" s="194"/>
      <c r="Z247" s="194"/>
      <c r="AA247" s="194"/>
    </row>
    <row r="248" ht="15.75" customHeight="1">
      <c r="A248" s="241"/>
      <c r="B248" s="224"/>
      <c r="C248" s="220"/>
      <c r="D248" s="221"/>
      <c r="E248" s="222"/>
      <c r="F248" s="223"/>
      <c r="G248" s="143"/>
      <c r="H248" s="143"/>
      <c r="I248" s="143"/>
      <c r="J248" s="143"/>
      <c r="K248" s="182"/>
      <c r="L248" s="143"/>
      <c r="M248" s="182"/>
      <c r="N248" s="149"/>
      <c r="O248" s="189"/>
      <c r="P248" s="149"/>
      <c r="Q248" s="149"/>
      <c r="R248" s="189"/>
      <c r="S248" s="149"/>
      <c r="T248" s="189"/>
      <c r="U248" s="194"/>
      <c r="V248" s="194"/>
      <c r="W248" s="194"/>
      <c r="X248" s="194"/>
      <c r="Y248" s="194"/>
      <c r="Z248" s="194"/>
      <c r="AA248" s="194"/>
    </row>
    <row r="249" ht="15.75" customHeight="1">
      <c r="A249" s="241"/>
      <c r="B249" s="224"/>
      <c r="C249" s="220"/>
      <c r="D249" s="221"/>
      <c r="E249" s="222"/>
      <c r="F249" s="223"/>
      <c r="G249" s="143"/>
      <c r="H249" s="143"/>
      <c r="I249" s="143"/>
      <c r="J249" s="143"/>
      <c r="K249" s="182"/>
      <c r="L249" s="143"/>
      <c r="M249" s="182"/>
      <c r="N249" s="149"/>
      <c r="O249" s="189"/>
      <c r="P249" s="149"/>
      <c r="Q249" s="149"/>
      <c r="R249" s="189"/>
      <c r="S249" s="149"/>
      <c r="T249" s="189"/>
      <c r="U249" s="194"/>
      <c r="V249" s="194"/>
      <c r="W249" s="194"/>
      <c r="X249" s="194"/>
      <c r="Y249" s="194"/>
      <c r="Z249" s="194"/>
      <c r="AA249" s="194"/>
    </row>
    <row r="250" ht="15.75" customHeight="1">
      <c r="A250" s="241"/>
      <c r="B250" s="224"/>
      <c r="C250" s="220"/>
      <c r="D250" s="221"/>
      <c r="E250" s="222"/>
      <c r="F250" s="223"/>
      <c r="G250" s="143"/>
      <c r="H250" s="143"/>
      <c r="I250" s="143"/>
      <c r="J250" s="143"/>
      <c r="K250" s="182"/>
      <c r="L250" s="143"/>
      <c r="M250" s="182"/>
      <c r="N250" s="149"/>
      <c r="O250" s="189"/>
      <c r="P250" s="149"/>
      <c r="Q250" s="149"/>
      <c r="R250" s="189"/>
      <c r="S250" s="149"/>
      <c r="T250" s="189"/>
      <c r="U250" s="194"/>
      <c r="V250" s="194"/>
      <c r="W250" s="194"/>
      <c r="X250" s="194"/>
      <c r="Y250" s="194"/>
      <c r="Z250" s="194"/>
      <c r="AA250" s="194"/>
    </row>
    <row r="251" ht="15.75" customHeight="1">
      <c r="A251" s="241"/>
      <c r="B251" s="224"/>
      <c r="C251" s="220"/>
      <c r="D251" s="221"/>
      <c r="E251" s="222"/>
      <c r="F251" s="223"/>
      <c r="G251" s="143"/>
      <c r="H251" s="143"/>
      <c r="I251" s="143"/>
      <c r="J251" s="143"/>
      <c r="K251" s="182"/>
      <c r="L251" s="143"/>
      <c r="M251" s="182"/>
      <c r="N251" s="149"/>
      <c r="O251" s="189"/>
      <c r="P251" s="149"/>
      <c r="Q251" s="149"/>
      <c r="R251" s="189"/>
      <c r="S251" s="149"/>
      <c r="T251" s="189"/>
      <c r="U251" s="194"/>
      <c r="V251" s="194"/>
      <c r="W251" s="194"/>
      <c r="X251" s="194"/>
      <c r="Y251" s="194"/>
      <c r="Z251" s="194"/>
      <c r="AA251" s="194"/>
    </row>
    <row r="252" ht="15.75" customHeight="1">
      <c r="A252" s="241"/>
      <c r="B252" s="224"/>
      <c r="C252" s="220"/>
      <c r="D252" s="221"/>
      <c r="E252" s="222"/>
      <c r="F252" s="223"/>
      <c r="G252" s="143"/>
      <c r="H252" s="143"/>
      <c r="I252" s="143"/>
      <c r="J252" s="143"/>
      <c r="K252" s="182"/>
      <c r="L252" s="143"/>
      <c r="M252" s="182"/>
      <c r="N252" s="149"/>
      <c r="O252" s="189"/>
      <c r="P252" s="149"/>
      <c r="Q252" s="149"/>
      <c r="R252" s="189"/>
      <c r="S252" s="149"/>
      <c r="T252" s="189"/>
      <c r="U252" s="194"/>
      <c r="V252" s="194"/>
      <c r="W252" s="194"/>
      <c r="X252" s="194"/>
      <c r="Y252" s="194"/>
      <c r="Z252" s="194"/>
      <c r="AA252" s="194"/>
    </row>
    <row r="253" ht="15.75" customHeight="1">
      <c r="A253" s="241"/>
      <c r="B253" s="224"/>
      <c r="C253" s="220"/>
      <c r="D253" s="221"/>
      <c r="E253" s="222"/>
      <c r="F253" s="223"/>
      <c r="G253" s="143"/>
      <c r="H253" s="143"/>
      <c r="I253" s="143"/>
      <c r="J253" s="143"/>
      <c r="K253" s="182"/>
      <c r="L253" s="143"/>
      <c r="M253" s="182"/>
      <c r="N253" s="149"/>
      <c r="O253" s="189"/>
      <c r="P253" s="149"/>
      <c r="Q253" s="149"/>
      <c r="R253" s="189"/>
      <c r="S253" s="149"/>
      <c r="T253" s="189"/>
      <c r="U253" s="194"/>
      <c r="V253" s="194"/>
      <c r="W253" s="194"/>
      <c r="X253" s="194"/>
      <c r="Y253" s="194"/>
      <c r="Z253" s="194"/>
      <c r="AA253" s="194"/>
    </row>
    <row r="254" ht="15.75" customHeight="1">
      <c r="A254" s="241"/>
      <c r="B254" s="224"/>
      <c r="C254" s="220"/>
      <c r="D254" s="221"/>
      <c r="E254" s="222"/>
      <c r="F254" s="223"/>
      <c r="G254" s="143"/>
      <c r="H254" s="143"/>
      <c r="I254" s="143"/>
      <c r="J254" s="143"/>
      <c r="K254" s="182"/>
      <c r="L254" s="143"/>
      <c r="M254" s="182"/>
      <c r="N254" s="149"/>
      <c r="O254" s="189"/>
      <c r="P254" s="149"/>
      <c r="Q254" s="149"/>
      <c r="R254" s="189"/>
      <c r="S254" s="149"/>
      <c r="T254" s="189"/>
      <c r="U254" s="194"/>
      <c r="V254" s="194"/>
      <c r="W254" s="194"/>
      <c r="X254" s="194"/>
      <c r="Y254" s="194"/>
      <c r="Z254" s="194"/>
      <c r="AA254" s="194"/>
    </row>
    <row r="255" ht="15.75" customHeight="1">
      <c r="A255" s="241"/>
      <c r="B255" s="224"/>
      <c r="C255" s="220"/>
      <c r="D255" s="221"/>
      <c r="E255" s="222"/>
      <c r="F255" s="223"/>
      <c r="G255" s="143"/>
      <c r="H255" s="143"/>
      <c r="I255" s="143"/>
      <c r="J255" s="143"/>
      <c r="K255" s="182"/>
      <c r="L255" s="143"/>
      <c r="M255" s="182"/>
      <c r="N255" s="149"/>
      <c r="O255" s="189"/>
      <c r="P255" s="149"/>
      <c r="Q255" s="149"/>
      <c r="R255" s="189"/>
      <c r="S255" s="149"/>
      <c r="T255" s="189"/>
      <c r="U255" s="194"/>
      <c r="V255" s="194"/>
      <c r="W255" s="194"/>
      <c r="X255" s="194"/>
      <c r="Y255" s="194"/>
      <c r="Z255" s="194"/>
      <c r="AA255" s="194"/>
    </row>
    <row r="256" ht="15.75" customHeight="1">
      <c r="A256" s="241"/>
      <c r="B256" s="224"/>
      <c r="C256" s="220"/>
      <c r="D256" s="221"/>
      <c r="E256" s="222"/>
      <c r="F256" s="223"/>
      <c r="G256" s="143"/>
      <c r="H256" s="143"/>
      <c r="I256" s="143"/>
      <c r="J256" s="143"/>
      <c r="K256" s="182"/>
      <c r="L256" s="143"/>
      <c r="M256" s="182"/>
      <c r="N256" s="149"/>
      <c r="O256" s="189"/>
      <c r="P256" s="149"/>
      <c r="Q256" s="149"/>
      <c r="R256" s="189"/>
      <c r="S256" s="149"/>
      <c r="T256" s="189"/>
      <c r="U256" s="194"/>
      <c r="V256" s="194"/>
      <c r="W256" s="194"/>
      <c r="X256" s="194"/>
      <c r="Y256" s="194"/>
      <c r="Z256" s="194"/>
      <c r="AA256" s="194"/>
    </row>
    <row r="257" ht="15.75" customHeight="1">
      <c r="A257" s="241"/>
      <c r="B257" s="224"/>
      <c r="C257" s="220"/>
      <c r="D257" s="221"/>
      <c r="E257" s="222"/>
      <c r="F257" s="223"/>
      <c r="G257" s="143"/>
      <c r="H257" s="143"/>
      <c r="I257" s="143"/>
      <c r="J257" s="143"/>
      <c r="K257" s="182"/>
      <c r="L257" s="143"/>
      <c r="M257" s="182"/>
      <c r="N257" s="149"/>
      <c r="O257" s="189"/>
      <c r="P257" s="149"/>
      <c r="Q257" s="149"/>
      <c r="R257" s="189"/>
      <c r="S257" s="149"/>
      <c r="T257" s="189"/>
      <c r="U257" s="194"/>
      <c r="V257" s="194"/>
      <c r="W257" s="194"/>
      <c r="X257" s="194"/>
      <c r="Y257" s="194"/>
      <c r="Z257" s="194"/>
      <c r="AA257" s="194"/>
    </row>
    <row r="258" ht="15.75" customHeight="1">
      <c r="A258" s="241"/>
      <c r="B258" s="224"/>
      <c r="C258" s="220"/>
      <c r="D258" s="221"/>
      <c r="E258" s="222"/>
      <c r="F258" s="223"/>
      <c r="G258" s="143"/>
      <c r="H258" s="143"/>
      <c r="I258" s="143"/>
      <c r="J258" s="143"/>
      <c r="K258" s="182"/>
      <c r="L258" s="143"/>
      <c r="M258" s="182"/>
      <c r="N258" s="149"/>
      <c r="O258" s="189"/>
      <c r="P258" s="149"/>
      <c r="Q258" s="149"/>
      <c r="R258" s="189"/>
      <c r="S258" s="149"/>
      <c r="T258" s="189"/>
      <c r="U258" s="194"/>
      <c r="V258" s="194"/>
      <c r="W258" s="194"/>
      <c r="X258" s="194"/>
      <c r="Y258" s="194"/>
      <c r="Z258" s="194"/>
      <c r="AA258" s="194"/>
    </row>
    <row r="259" ht="15.75" customHeight="1">
      <c r="A259" s="241"/>
      <c r="B259" s="224"/>
      <c r="C259" s="220"/>
      <c r="D259" s="221"/>
      <c r="E259" s="222"/>
      <c r="F259" s="223"/>
      <c r="G259" s="143"/>
      <c r="H259" s="143"/>
      <c r="I259" s="143"/>
      <c r="J259" s="143"/>
      <c r="K259" s="182"/>
      <c r="L259" s="143"/>
      <c r="M259" s="182"/>
      <c r="N259" s="149"/>
      <c r="O259" s="189"/>
      <c r="P259" s="149"/>
      <c r="Q259" s="149"/>
      <c r="R259" s="189"/>
      <c r="S259" s="149"/>
      <c r="T259" s="189"/>
      <c r="U259" s="194"/>
      <c r="V259" s="194"/>
      <c r="W259" s="194"/>
      <c r="X259" s="194"/>
      <c r="Y259" s="194"/>
      <c r="Z259" s="194"/>
      <c r="AA259" s="194"/>
    </row>
    <row r="260" ht="15.75" customHeight="1">
      <c r="A260" s="241"/>
      <c r="B260" s="224"/>
      <c r="C260" s="220"/>
      <c r="D260" s="221"/>
      <c r="E260" s="222"/>
      <c r="F260" s="223"/>
      <c r="G260" s="143"/>
      <c r="H260" s="143"/>
      <c r="I260" s="143"/>
      <c r="J260" s="143"/>
      <c r="K260" s="182"/>
      <c r="L260" s="143"/>
      <c r="M260" s="182"/>
      <c r="N260" s="149"/>
      <c r="O260" s="189"/>
      <c r="P260" s="149"/>
      <c r="Q260" s="149"/>
      <c r="R260" s="189"/>
      <c r="S260" s="149"/>
      <c r="T260" s="189"/>
      <c r="U260" s="194"/>
      <c r="V260" s="194"/>
      <c r="W260" s="194"/>
      <c r="X260" s="194"/>
      <c r="Y260" s="194"/>
      <c r="Z260" s="194"/>
      <c r="AA260" s="194"/>
    </row>
    <row r="261" ht="15.75" customHeight="1">
      <c r="A261" s="241"/>
      <c r="B261" s="224"/>
      <c r="C261" s="220"/>
      <c r="D261" s="221"/>
      <c r="E261" s="222"/>
      <c r="F261" s="223"/>
      <c r="G261" s="143"/>
      <c r="H261" s="143"/>
      <c r="I261" s="143"/>
      <c r="J261" s="143"/>
      <c r="K261" s="182"/>
      <c r="L261" s="143"/>
      <c r="M261" s="182"/>
      <c r="N261" s="149"/>
      <c r="O261" s="189"/>
      <c r="P261" s="149"/>
      <c r="Q261" s="149"/>
      <c r="R261" s="189"/>
      <c r="S261" s="149"/>
      <c r="T261" s="189"/>
      <c r="U261" s="194"/>
      <c r="V261" s="194"/>
      <c r="W261" s="194"/>
      <c r="X261" s="194"/>
      <c r="Y261" s="194"/>
      <c r="Z261" s="194"/>
      <c r="AA261" s="194"/>
    </row>
    <row r="262" ht="15.75" customHeight="1">
      <c r="A262" s="241"/>
      <c r="B262" s="224"/>
      <c r="C262" s="220"/>
      <c r="D262" s="221"/>
      <c r="E262" s="222"/>
      <c r="F262" s="223"/>
      <c r="G262" s="143"/>
      <c r="H262" s="143"/>
      <c r="I262" s="143"/>
      <c r="J262" s="143"/>
      <c r="K262" s="182"/>
      <c r="L262" s="143"/>
      <c r="M262" s="182"/>
      <c r="N262" s="149"/>
      <c r="O262" s="189"/>
      <c r="P262" s="149"/>
      <c r="Q262" s="149"/>
      <c r="R262" s="189"/>
      <c r="S262" s="149"/>
      <c r="T262" s="189"/>
      <c r="U262" s="194"/>
      <c r="V262" s="194"/>
      <c r="W262" s="194"/>
      <c r="X262" s="194"/>
      <c r="Y262" s="194"/>
      <c r="Z262" s="194"/>
      <c r="AA262" s="194"/>
    </row>
    <row r="263" ht="15.75" customHeight="1">
      <c r="A263" s="241"/>
      <c r="B263" s="224"/>
      <c r="C263" s="220"/>
      <c r="D263" s="221"/>
      <c r="E263" s="222"/>
      <c r="F263" s="223"/>
      <c r="G263" s="143"/>
      <c r="H263" s="143"/>
      <c r="I263" s="143"/>
      <c r="J263" s="143"/>
      <c r="K263" s="182"/>
      <c r="L263" s="143"/>
      <c r="M263" s="182"/>
      <c r="N263" s="149"/>
      <c r="O263" s="189"/>
      <c r="P263" s="149"/>
      <c r="Q263" s="149"/>
      <c r="R263" s="189"/>
      <c r="S263" s="149"/>
      <c r="T263" s="189"/>
      <c r="U263" s="194"/>
      <c r="V263" s="194"/>
      <c r="W263" s="194"/>
      <c r="X263" s="194"/>
      <c r="Y263" s="194"/>
      <c r="Z263" s="194"/>
      <c r="AA263" s="194"/>
    </row>
    <row r="264" ht="15.75" customHeight="1">
      <c r="A264" s="241"/>
      <c r="B264" s="224"/>
      <c r="C264" s="220"/>
      <c r="D264" s="221"/>
      <c r="E264" s="222"/>
      <c r="F264" s="223"/>
      <c r="G264" s="143"/>
      <c r="H264" s="143"/>
      <c r="I264" s="143"/>
      <c r="J264" s="143"/>
      <c r="K264" s="182"/>
      <c r="L264" s="143"/>
      <c r="M264" s="182"/>
      <c r="N264" s="149"/>
      <c r="O264" s="189"/>
      <c r="P264" s="149"/>
      <c r="Q264" s="149"/>
      <c r="R264" s="189"/>
      <c r="S264" s="149"/>
      <c r="T264" s="189"/>
      <c r="U264" s="194"/>
      <c r="V264" s="194"/>
      <c r="W264" s="194"/>
      <c r="X264" s="194"/>
      <c r="Y264" s="194"/>
      <c r="Z264" s="194"/>
      <c r="AA264" s="194"/>
    </row>
    <row r="265" ht="15.75" customHeight="1">
      <c r="A265" s="241"/>
      <c r="B265" s="224"/>
      <c r="C265" s="220"/>
      <c r="D265" s="221"/>
      <c r="E265" s="222"/>
      <c r="F265" s="223"/>
      <c r="G265" s="143"/>
      <c r="H265" s="143"/>
      <c r="I265" s="143"/>
      <c r="J265" s="143"/>
      <c r="K265" s="182"/>
      <c r="L265" s="143"/>
      <c r="M265" s="182"/>
      <c r="N265" s="149"/>
      <c r="O265" s="189"/>
      <c r="P265" s="149"/>
      <c r="Q265" s="149"/>
      <c r="R265" s="189"/>
      <c r="S265" s="149"/>
      <c r="T265" s="189"/>
      <c r="U265" s="194"/>
      <c r="V265" s="194"/>
      <c r="W265" s="194"/>
      <c r="X265" s="194"/>
      <c r="Y265" s="194"/>
      <c r="Z265" s="194"/>
      <c r="AA265" s="194"/>
    </row>
    <row r="266" ht="15.75" customHeight="1">
      <c r="A266" s="241"/>
      <c r="B266" s="224"/>
      <c r="C266" s="220"/>
      <c r="D266" s="221"/>
      <c r="E266" s="222"/>
      <c r="F266" s="223"/>
      <c r="G266" s="143"/>
      <c r="H266" s="143"/>
      <c r="I266" s="143"/>
      <c r="J266" s="143"/>
      <c r="K266" s="182"/>
      <c r="L266" s="143"/>
      <c r="M266" s="182"/>
      <c r="N266" s="149"/>
      <c r="O266" s="189"/>
      <c r="P266" s="149"/>
      <c r="Q266" s="149"/>
      <c r="R266" s="189"/>
      <c r="S266" s="149"/>
      <c r="T266" s="189"/>
      <c r="U266" s="194"/>
      <c r="V266" s="194"/>
      <c r="W266" s="194"/>
      <c r="X266" s="194"/>
      <c r="Y266" s="194"/>
      <c r="Z266" s="194"/>
      <c r="AA266" s="194"/>
    </row>
    <row r="267" ht="15.75" customHeight="1">
      <c r="A267" s="241"/>
      <c r="B267" s="224"/>
      <c r="C267" s="220"/>
      <c r="D267" s="221"/>
      <c r="E267" s="222"/>
      <c r="F267" s="223"/>
      <c r="G267" s="143"/>
      <c r="H267" s="143"/>
      <c r="I267" s="143"/>
      <c r="J267" s="143"/>
      <c r="K267" s="182"/>
      <c r="L267" s="143"/>
      <c r="M267" s="182"/>
      <c r="N267" s="149"/>
      <c r="O267" s="189"/>
      <c r="P267" s="149"/>
      <c r="Q267" s="149"/>
      <c r="R267" s="189"/>
      <c r="S267" s="149"/>
      <c r="T267" s="189"/>
      <c r="U267" s="194"/>
      <c r="V267" s="194"/>
      <c r="W267" s="194"/>
      <c r="X267" s="194"/>
      <c r="Y267" s="194"/>
      <c r="Z267" s="194"/>
      <c r="AA267" s="194"/>
    </row>
    <row r="268" ht="15.75" customHeight="1">
      <c r="A268" s="241"/>
      <c r="B268" s="224"/>
      <c r="C268" s="220"/>
      <c r="D268" s="221"/>
      <c r="E268" s="222"/>
      <c r="F268" s="223"/>
      <c r="G268" s="143"/>
      <c r="H268" s="143"/>
      <c r="I268" s="143"/>
      <c r="J268" s="143"/>
      <c r="K268" s="182"/>
      <c r="L268" s="143"/>
      <c r="M268" s="182"/>
      <c r="N268" s="149"/>
      <c r="O268" s="189"/>
      <c r="P268" s="149"/>
      <c r="Q268" s="149"/>
      <c r="R268" s="189"/>
      <c r="S268" s="149"/>
      <c r="T268" s="189"/>
      <c r="U268" s="194"/>
      <c r="V268" s="194"/>
      <c r="W268" s="194"/>
      <c r="X268" s="194"/>
      <c r="Y268" s="194"/>
      <c r="Z268" s="194"/>
      <c r="AA268" s="194"/>
    </row>
    <row r="269" ht="15.75" customHeight="1">
      <c r="A269" s="241"/>
      <c r="B269" s="224"/>
      <c r="C269" s="220"/>
      <c r="D269" s="221"/>
      <c r="E269" s="222"/>
      <c r="F269" s="223"/>
      <c r="G269" s="143"/>
      <c r="H269" s="143"/>
      <c r="I269" s="143"/>
      <c r="J269" s="143"/>
      <c r="K269" s="182"/>
      <c r="L269" s="143"/>
      <c r="M269" s="182"/>
      <c r="N269" s="149"/>
      <c r="O269" s="189"/>
      <c r="P269" s="149"/>
      <c r="Q269" s="149"/>
      <c r="R269" s="189"/>
      <c r="S269" s="149"/>
      <c r="T269" s="189"/>
      <c r="U269" s="194"/>
      <c r="V269" s="194"/>
      <c r="W269" s="194"/>
      <c r="X269" s="194"/>
      <c r="Y269" s="194"/>
      <c r="Z269" s="194"/>
      <c r="AA269" s="194"/>
    </row>
    <row r="270" ht="15.75" customHeight="1">
      <c r="A270" s="241"/>
      <c r="B270" s="224"/>
      <c r="C270" s="220"/>
      <c r="D270" s="221"/>
      <c r="E270" s="222"/>
      <c r="F270" s="223"/>
      <c r="G270" s="143"/>
      <c r="H270" s="143"/>
      <c r="I270" s="143"/>
      <c r="J270" s="143"/>
      <c r="K270" s="182"/>
      <c r="L270" s="143"/>
      <c r="M270" s="182"/>
      <c r="N270" s="149"/>
      <c r="O270" s="189"/>
      <c r="P270" s="149"/>
      <c r="Q270" s="149"/>
      <c r="R270" s="189"/>
      <c r="S270" s="149"/>
      <c r="T270" s="189"/>
      <c r="U270" s="194"/>
      <c r="V270" s="194"/>
      <c r="W270" s="194"/>
      <c r="X270" s="194"/>
      <c r="Y270" s="194"/>
      <c r="Z270" s="194"/>
      <c r="AA270" s="194"/>
    </row>
    <row r="271" ht="15.75" customHeight="1">
      <c r="A271" s="241"/>
      <c r="B271" s="224"/>
      <c r="C271" s="220"/>
      <c r="D271" s="221"/>
      <c r="E271" s="222"/>
      <c r="F271" s="223"/>
      <c r="G271" s="143"/>
      <c r="H271" s="143"/>
      <c r="I271" s="143"/>
      <c r="J271" s="143"/>
      <c r="K271" s="182"/>
      <c r="L271" s="143"/>
      <c r="M271" s="182"/>
      <c r="N271" s="149"/>
      <c r="O271" s="189"/>
      <c r="P271" s="149"/>
      <c r="Q271" s="149"/>
      <c r="R271" s="189"/>
      <c r="S271" s="149"/>
      <c r="T271" s="189"/>
      <c r="U271" s="194"/>
      <c r="V271" s="194"/>
      <c r="W271" s="194"/>
      <c r="X271" s="194"/>
      <c r="Y271" s="194"/>
      <c r="Z271" s="194"/>
      <c r="AA271" s="194"/>
    </row>
    <row r="272" ht="15.75" customHeight="1">
      <c r="A272" s="241"/>
      <c r="B272" s="224"/>
      <c r="C272" s="220"/>
      <c r="D272" s="221"/>
      <c r="E272" s="222"/>
      <c r="F272" s="223"/>
      <c r="G272" s="143"/>
      <c r="H272" s="143"/>
      <c r="I272" s="143"/>
      <c r="J272" s="143"/>
      <c r="K272" s="182"/>
      <c r="L272" s="143"/>
      <c r="M272" s="182"/>
      <c r="N272" s="149"/>
      <c r="O272" s="189"/>
      <c r="P272" s="149"/>
      <c r="Q272" s="149"/>
      <c r="R272" s="189"/>
      <c r="S272" s="149"/>
      <c r="T272" s="189"/>
      <c r="U272" s="194"/>
      <c r="V272" s="194"/>
      <c r="W272" s="194"/>
      <c r="X272" s="194"/>
      <c r="Y272" s="194"/>
      <c r="Z272" s="194"/>
      <c r="AA272" s="194"/>
    </row>
    <row r="273" ht="15.75" customHeight="1">
      <c r="A273" s="241"/>
      <c r="B273" s="224"/>
      <c r="C273" s="220"/>
      <c r="D273" s="221"/>
      <c r="E273" s="222"/>
      <c r="F273" s="223"/>
      <c r="G273" s="143"/>
      <c r="H273" s="143"/>
      <c r="I273" s="143"/>
      <c r="J273" s="143"/>
      <c r="K273" s="182"/>
      <c r="L273" s="143"/>
      <c r="M273" s="182"/>
      <c r="N273" s="149"/>
      <c r="O273" s="189"/>
      <c r="P273" s="149"/>
      <c r="Q273" s="149"/>
      <c r="R273" s="189"/>
      <c r="S273" s="149"/>
      <c r="T273" s="189"/>
      <c r="U273" s="194"/>
      <c r="V273" s="194"/>
      <c r="W273" s="194"/>
      <c r="X273" s="194"/>
      <c r="Y273" s="194"/>
      <c r="Z273" s="194"/>
      <c r="AA273" s="194"/>
    </row>
    <row r="274" ht="15.75" customHeight="1">
      <c r="A274" s="241"/>
      <c r="B274" s="224"/>
      <c r="C274" s="220"/>
      <c r="D274" s="221"/>
      <c r="E274" s="222"/>
      <c r="F274" s="223"/>
      <c r="G274" s="143"/>
      <c r="H274" s="143"/>
      <c r="I274" s="143"/>
      <c r="J274" s="143"/>
      <c r="K274" s="182"/>
      <c r="L274" s="143"/>
      <c r="M274" s="182"/>
      <c r="N274" s="149"/>
      <c r="O274" s="189"/>
      <c r="P274" s="149"/>
      <c r="Q274" s="149"/>
      <c r="R274" s="189"/>
      <c r="S274" s="149"/>
      <c r="T274" s="189"/>
      <c r="U274" s="194"/>
      <c r="V274" s="194"/>
      <c r="W274" s="194"/>
      <c r="X274" s="194"/>
      <c r="Y274" s="194"/>
      <c r="Z274" s="194"/>
      <c r="AA274" s="194"/>
    </row>
    <row r="275" ht="15.75" customHeight="1">
      <c r="A275" s="241"/>
      <c r="B275" s="224"/>
      <c r="C275" s="220"/>
      <c r="D275" s="221"/>
      <c r="E275" s="222"/>
      <c r="F275" s="223"/>
      <c r="G275" s="143"/>
      <c r="H275" s="143"/>
      <c r="I275" s="143"/>
      <c r="J275" s="143"/>
      <c r="K275" s="182"/>
      <c r="L275" s="143"/>
      <c r="M275" s="182"/>
      <c r="N275" s="149"/>
      <c r="O275" s="189"/>
      <c r="P275" s="149"/>
      <c r="Q275" s="149"/>
      <c r="R275" s="189"/>
      <c r="S275" s="149"/>
      <c r="T275" s="189"/>
      <c r="U275" s="194"/>
      <c r="V275" s="194"/>
      <c r="W275" s="194"/>
      <c r="X275" s="194"/>
      <c r="Y275" s="194"/>
      <c r="Z275" s="194"/>
      <c r="AA275" s="194"/>
    </row>
    <row r="276" ht="15.75" customHeight="1">
      <c r="A276" s="241"/>
      <c r="B276" s="224"/>
      <c r="C276" s="220"/>
      <c r="D276" s="221"/>
      <c r="E276" s="222"/>
      <c r="F276" s="223"/>
      <c r="G276" s="143"/>
      <c r="H276" s="143"/>
      <c r="I276" s="143"/>
      <c r="J276" s="143"/>
      <c r="K276" s="182"/>
      <c r="L276" s="143"/>
      <c r="M276" s="182"/>
      <c r="N276" s="149"/>
      <c r="O276" s="189"/>
      <c r="P276" s="149"/>
      <c r="Q276" s="149"/>
      <c r="R276" s="189"/>
      <c r="S276" s="149"/>
      <c r="T276" s="189"/>
      <c r="U276" s="194"/>
      <c r="V276" s="194"/>
      <c r="W276" s="194"/>
      <c r="X276" s="194"/>
      <c r="Y276" s="194"/>
      <c r="Z276" s="194"/>
      <c r="AA276" s="194"/>
    </row>
    <row r="277" ht="15.75" customHeight="1">
      <c r="A277" s="241"/>
      <c r="B277" s="224"/>
      <c r="C277" s="220"/>
      <c r="D277" s="221"/>
      <c r="E277" s="222"/>
      <c r="F277" s="223"/>
      <c r="G277" s="143"/>
      <c r="H277" s="143"/>
      <c r="I277" s="143"/>
      <c r="J277" s="143"/>
      <c r="K277" s="182"/>
      <c r="L277" s="143"/>
      <c r="M277" s="182"/>
      <c r="N277" s="149"/>
      <c r="O277" s="189"/>
      <c r="P277" s="149"/>
      <c r="Q277" s="149"/>
      <c r="R277" s="189"/>
      <c r="S277" s="149"/>
      <c r="T277" s="189"/>
      <c r="U277" s="194"/>
      <c r="V277" s="194"/>
      <c r="W277" s="194"/>
      <c r="X277" s="194"/>
      <c r="Y277" s="194"/>
      <c r="Z277" s="194"/>
      <c r="AA277" s="194"/>
    </row>
    <row r="278" ht="15.75" customHeight="1">
      <c r="A278" s="241"/>
      <c r="B278" s="224"/>
      <c r="C278" s="220"/>
      <c r="D278" s="221"/>
      <c r="E278" s="222"/>
      <c r="F278" s="223"/>
      <c r="G278" s="143"/>
      <c r="H278" s="143"/>
      <c r="I278" s="143"/>
      <c r="J278" s="143"/>
      <c r="K278" s="182"/>
      <c r="L278" s="143"/>
      <c r="M278" s="182"/>
      <c r="N278" s="149"/>
      <c r="O278" s="189"/>
      <c r="P278" s="149"/>
      <c r="Q278" s="149"/>
      <c r="R278" s="189"/>
      <c r="S278" s="149"/>
      <c r="T278" s="189"/>
      <c r="U278" s="194"/>
      <c r="V278" s="194"/>
      <c r="W278" s="194"/>
      <c r="X278" s="194"/>
      <c r="Y278" s="194"/>
      <c r="Z278" s="194"/>
      <c r="AA278" s="194"/>
    </row>
    <row r="279" ht="15.75" customHeight="1">
      <c r="A279" s="241"/>
      <c r="B279" s="224"/>
      <c r="C279" s="220"/>
      <c r="D279" s="221"/>
      <c r="E279" s="222"/>
      <c r="F279" s="223"/>
      <c r="G279" s="143"/>
      <c r="H279" s="143"/>
      <c r="I279" s="143"/>
      <c r="J279" s="143"/>
      <c r="K279" s="182"/>
      <c r="L279" s="143"/>
      <c r="M279" s="182"/>
      <c r="N279" s="149"/>
      <c r="O279" s="189"/>
      <c r="P279" s="149"/>
      <c r="Q279" s="149"/>
      <c r="R279" s="189"/>
      <c r="S279" s="149"/>
      <c r="T279" s="189"/>
      <c r="U279" s="194"/>
      <c r="V279" s="194"/>
      <c r="W279" s="194"/>
      <c r="X279" s="194"/>
      <c r="Y279" s="194"/>
      <c r="Z279" s="194"/>
      <c r="AA279" s="194"/>
    </row>
    <row r="280" ht="15.75" customHeight="1">
      <c r="A280" s="241"/>
      <c r="B280" s="224"/>
      <c r="C280" s="220"/>
      <c r="D280" s="221"/>
      <c r="E280" s="222"/>
      <c r="F280" s="223"/>
      <c r="G280" s="143"/>
      <c r="H280" s="143"/>
      <c r="I280" s="143"/>
      <c r="J280" s="143"/>
      <c r="K280" s="182"/>
      <c r="L280" s="143"/>
      <c r="M280" s="182"/>
      <c r="N280" s="149"/>
      <c r="O280" s="189"/>
      <c r="P280" s="149"/>
      <c r="Q280" s="149"/>
      <c r="R280" s="189"/>
      <c r="S280" s="149"/>
      <c r="T280" s="189"/>
      <c r="U280" s="194"/>
      <c r="V280" s="194"/>
      <c r="W280" s="194"/>
      <c r="X280" s="194"/>
      <c r="Y280" s="194"/>
      <c r="Z280" s="194"/>
      <c r="AA280" s="194"/>
    </row>
    <row r="281" ht="15.75" customHeight="1">
      <c r="A281" s="241"/>
      <c r="B281" s="224"/>
      <c r="C281" s="220"/>
      <c r="D281" s="221"/>
      <c r="E281" s="222"/>
      <c r="F281" s="223"/>
      <c r="G281" s="143"/>
      <c r="H281" s="143"/>
      <c r="I281" s="143"/>
      <c r="J281" s="143"/>
      <c r="K281" s="182"/>
      <c r="L281" s="143"/>
      <c r="M281" s="182"/>
      <c r="N281" s="149"/>
      <c r="O281" s="189"/>
      <c r="P281" s="149"/>
      <c r="Q281" s="149"/>
      <c r="R281" s="189"/>
      <c r="S281" s="149"/>
      <c r="T281" s="189"/>
      <c r="U281" s="194"/>
      <c r="V281" s="194"/>
      <c r="W281" s="194"/>
      <c r="X281" s="194"/>
      <c r="Y281" s="194"/>
      <c r="Z281" s="194"/>
      <c r="AA281" s="194"/>
    </row>
    <row r="282" ht="15.75" customHeight="1">
      <c r="A282" s="241"/>
      <c r="B282" s="224"/>
      <c r="C282" s="220"/>
      <c r="D282" s="221"/>
      <c r="E282" s="222"/>
      <c r="F282" s="223"/>
      <c r="G282" s="143"/>
      <c r="H282" s="143"/>
      <c r="I282" s="143"/>
      <c r="J282" s="143"/>
      <c r="K282" s="182"/>
      <c r="L282" s="143"/>
      <c r="M282" s="182"/>
      <c r="N282" s="149"/>
      <c r="O282" s="189"/>
      <c r="P282" s="149"/>
      <c r="Q282" s="149"/>
      <c r="R282" s="189"/>
      <c r="S282" s="149"/>
      <c r="T282" s="189"/>
      <c r="U282" s="194"/>
      <c r="V282" s="194"/>
      <c r="W282" s="194"/>
      <c r="X282" s="194"/>
      <c r="Y282" s="194"/>
      <c r="Z282" s="194"/>
      <c r="AA282" s="194"/>
    </row>
    <row r="283" ht="15.75" customHeight="1">
      <c r="A283" s="241"/>
      <c r="B283" s="224"/>
      <c r="C283" s="220"/>
      <c r="D283" s="221"/>
      <c r="E283" s="222"/>
      <c r="F283" s="223"/>
      <c r="G283" s="143"/>
      <c r="H283" s="143"/>
      <c r="I283" s="143"/>
      <c r="J283" s="143"/>
      <c r="K283" s="182"/>
      <c r="L283" s="143"/>
      <c r="M283" s="182"/>
      <c r="N283" s="149"/>
      <c r="O283" s="189"/>
      <c r="P283" s="149"/>
      <c r="Q283" s="149"/>
      <c r="R283" s="189"/>
      <c r="S283" s="149"/>
      <c r="T283" s="189"/>
      <c r="U283" s="194"/>
      <c r="V283" s="194"/>
      <c r="W283" s="194"/>
      <c r="X283" s="194"/>
      <c r="Y283" s="194"/>
      <c r="Z283" s="194"/>
      <c r="AA283" s="194"/>
    </row>
    <row r="284" ht="15.75" customHeight="1">
      <c r="A284" s="241"/>
      <c r="B284" s="224"/>
      <c r="C284" s="220"/>
      <c r="D284" s="221"/>
      <c r="E284" s="222"/>
      <c r="F284" s="223"/>
      <c r="G284" s="143"/>
      <c r="H284" s="143"/>
      <c r="I284" s="143"/>
      <c r="J284" s="143"/>
      <c r="K284" s="182"/>
      <c r="L284" s="143"/>
      <c r="M284" s="182"/>
      <c r="N284" s="149"/>
      <c r="O284" s="189"/>
      <c r="P284" s="149"/>
      <c r="Q284" s="149"/>
      <c r="R284" s="189"/>
      <c r="S284" s="149"/>
      <c r="T284" s="189"/>
      <c r="U284" s="194"/>
      <c r="V284" s="194"/>
      <c r="W284" s="194"/>
      <c r="X284" s="194"/>
      <c r="Y284" s="194"/>
      <c r="Z284" s="194"/>
      <c r="AA284" s="194"/>
    </row>
    <row r="285" ht="15.75" customHeight="1">
      <c r="A285" s="241"/>
      <c r="B285" s="224"/>
      <c r="C285" s="220"/>
      <c r="D285" s="221"/>
      <c r="E285" s="222"/>
      <c r="F285" s="223"/>
      <c r="G285" s="143"/>
      <c r="H285" s="143"/>
      <c r="I285" s="143"/>
      <c r="J285" s="143"/>
      <c r="K285" s="182"/>
      <c r="L285" s="143"/>
      <c r="M285" s="182"/>
      <c r="N285" s="149"/>
      <c r="O285" s="189"/>
      <c r="P285" s="149"/>
      <c r="Q285" s="149"/>
      <c r="R285" s="189"/>
      <c r="S285" s="149"/>
      <c r="T285" s="189"/>
      <c r="U285" s="194"/>
      <c r="V285" s="194"/>
      <c r="W285" s="194"/>
      <c r="X285" s="194"/>
      <c r="Y285" s="194"/>
      <c r="Z285" s="194"/>
      <c r="AA285" s="194"/>
    </row>
    <row r="286" ht="15.75" customHeight="1">
      <c r="A286" s="241"/>
      <c r="B286" s="224"/>
      <c r="C286" s="220"/>
      <c r="D286" s="221"/>
      <c r="E286" s="222"/>
      <c r="F286" s="223"/>
      <c r="G286" s="143"/>
      <c r="H286" s="143"/>
      <c r="I286" s="143"/>
      <c r="J286" s="143"/>
      <c r="K286" s="182"/>
      <c r="L286" s="143"/>
      <c r="M286" s="182"/>
      <c r="N286" s="149"/>
      <c r="O286" s="189"/>
      <c r="P286" s="149"/>
      <c r="Q286" s="149"/>
      <c r="R286" s="189"/>
      <c r="S286" s="149"/>
      <c r="T286" s="189"/>
      <c r="U286" s="194"/>
      <c r="V286" s="194"/>
      <c r="W286" s="194"/>
      <c r="X286" s="194"/>
      <c r="Y286" s="194"/>
      <c r="Z286" s="194"/>
      <c r="AA286" s="194"/>
    </row>
    <row r="287" ht="15.75" customHeight="1">
      <c r="A287" s="241"/>
      <c r="B287" s="224"/>
      <c r="C287" s="220"/>
      <c r="D287" s="221"/>
      <c r="E287" s="222"/>
      <c r="F287" s="223"/>
      <c r="G287" s="143"/>
      <c r="H287" s="143"/>
      <c r="I287" s="143"/>
      <c r="J287" s="143"/>
      <c r="K287" s="182"/>
      <c r="L287" s="143"/>
      <c r="M287" s="182"/>
      <c r="N287" s="149"/>
      <c r="O287" s="189"/>
      <c r="P287" s="149"/>
      <c r="Q287" s="149"/>
      <c r="R287" s="189"/>
      <c r="S287" s="149"/>
      <c r="T287" s="189"/>
      <c r="U287" s="194"/>
      <c r="V287" s="194"/>
      <c r="W287" s="194"/>
      <c r="X287" s="194"/>
      <c r="Y287" s="194"/>
      <c r="Z287" s="194"/>
      <c r="AA287" s="194"/>
    </row>
    <row r="288" ht="15.75" customHeight="1">
      <c r="A288" s="241"/>
      <c r="B288" s="224"/>
      <c r="C288" s="220"/>
      <c r="D288" s="221"/>
      <c r="E288" s="222"/>
      <c r="F288" s="223"/>
      <c r="G288" s="143"/>
      <c r="H288" s="143"/>
      <c r="I288" s="143"/>
      <c r="J288" s="143"/>
      <c r="K288" s="182"/>
      <c r="L288" s="143"/>
      <c r="M288" s="182"/>
      <c r="N288" s="149"/>
      <c r="O288" s="189"/>
      <c r="P288" s="149"/>
      <c r="Q288" s="149"/>
      <c r="R288" s="189"/>
      <c r="S288" s="149"/>
      <c r="T288" s="189"/>
      <c r="U288" s="194"/>
      <c r="V288" s="194"/>
      <c r="W288" s="194"/>
      <c r="X288" s="194"/>
      <c r="Y288" s="194"/>
      <c r="Z288" s="194"/>
      <c r="AA288" s="194"/>
    </row>
    <row r="289" ht="15.75" customHeight="1">
      <c r="A289" s="241"/>
      <c r="B289" s="224"/>
      <c r="C289" s="220"/>
      <c r="D289" s="221"/>
      <c r="E289" s="222"/>
      <c r="F289" s="223"/>
      <c r="G289" s="143"/>
      <c r="H289" s="143"/>
      <c r="I289" s="143"/>
      <c r="J289" s="143"/>
      <c r="K289" s="182"/>
      <c r="L289" s="143"/>
      <c r="M289" s="182"/>
      <c r="N289" s="149"/>
      <c r="O289" s="189"/>
      <c r="P289" s="149"/>
      <c r="Q289" s="149"/>
      <c r="R289" s="189"/>
      <c r="S289" s="149"/>
      <c r="T289" s="189"/>
      <c r="U289" s="194"/>
      <c r="V289" s="194"/>
      <c r="W289" s="194"/>
      <c r="X289" s="194"/>
      <c r="Y289" s="194"/>
      <c r="Z289" s="194"/>
      <c r="AA289" s="194"/>
    </row>
    <row r="290" ht="15.75" customHeight="1">
      <c r="A290" s="241"/>
      <c r="B290" s="224"/>
      <c r="C290" s="220"/>
      <c r="D290" s="221"/>
      <c r="E290" s="222"/>
      <c r="F290" s="223"/>
      <c r="G290" s="143"/>
      <c r="H290" s="143"/>
      <c r="I290" s="143"/>
      <c r="J290" s="143"/>
      <c r="K290" s="182"/>
      <c r="L290" s="143"/>
      <c r="M290" s="182"/>
      <c r="N290" s="149"/>
      <c r="O290" s="189"/>
      <c r="P290" s="149"/>
      <c r="Q290" s="149"/>
      <c r="R290" s="189"/>
      <c r="S290" s="149"/>
      <c r="T290" s="189"/>
      <c r="U290" s="194"/>
      <c r="V290" s="194"/>
      <c r="W290" s="194"/>
      <c r="X290" s="194"/>
      <c r="Y290" s="194"/>
      <c r="Z290" s="194"/>
      <c r="AA290" s="194"/>
    </row>
    <row r="291" ht="15.75" customHeight="1">
      <c r="A291" s="241"/>
      <c r="B291" s="224"/>
      <c r="C291" s="220"/>
      <c r="D291" s="221"/>
      <c r="E291" s="222"/>
      <c r="F291" s="223"/>
      <c r="G291" s="143"/>
      <c r="H291" s="143"/>
      <c r="I291" s="143"/>
      <c r="J291" s="143"/>
      <c r="K291" s="182"/>
      <c r="L291" s="143"/>
      <c r="M291" s="182"/>
      <c r="N291" s="149"/>
      <c r="O291" s="189"/>
      <c r="P291" s="149"/>
      <c r="Q291" s="149"/>
      <c r="R291" s="189"/>
      <c r="S291" s="149"/>
      <c r="T291" s="189"/>
      <c r="U291" s="194"/>
      <c r="V291" s="194"/>
      <c r="W291" s="194"/>
      <c r="X291" s="194"/>
      <c r="Y291" s="194"/>
      <c r="Z291" s="194"/>
      <c r="AA291" s="194"/>
    </row>
    <row r="292" ht="15.75" customHeight="1">
      <c r="A292" s="241"/>
      <c r="B292" s="224"/>
      <c r="C292" s="220"/>
      <c r="D292" s="221"/>
      <c r="E292" s="222"/>
      <c r="F292" s="223"/>
      <c r="G292" s="143"/>
      <c r="H292" s="143"/>
      <c r="I292" s="143"/>
      <c r="J292" s="143"/>
      <c r="K292" s="182"/>
      <c r="L292" s="143"/>
      <c r="M292" s="182"/>
      <c r="N292" s="149"/>
      <c r="O292" s="189"/>
      <c r="P292" s="149"/>
      <c r="Q292" s="149"/>
      <c r="R292" s="189"/>
      <c r="S292" s="149"/>
      <c r="T292" s="189"/>
      <c r="U292" s="194"/>
      <c r="V292" s="194"/>
      <c r="W292" s="194"/>
      <c r="X292" s="194"/>
      <c r="Y292" s="194"/>
      <c r="Z292" s="194"/>
      <c r="AA292" s="194"/>
    </row>
    <row r="293" ht="15.75" customHeight="1">
      <c r="A293" s="241"/>
      <c r="B293" s="224"/>
      <c r="C293" s="220"/>
      <c r="D293" s="221"/>
      <c r="E293" s="222"/>
      <c r="F293" s="223"/>
      <c r="G293" s="143"/>
      <c r="H293" s="143"/>
      <c r="I293" s="143"/>
      <c r="J293" s="143"/>
      <c r="K293" s="182"/>
      <c r="L293" s="143"/>
      <c r="M293" s="182"/>
      <c r="N293" s="149"/>
      <c r="O293" s="189"/>
      <c r="P293" s="149"/>
      <c r="Q293" s="149"/>
      <c r="R293" s="189"/>
      <c r="S293" s="149"/>
      <c r="T293" s="189"/>
      <c r="U293" s="194"/>
      <c r="V293" s="194"/>
      <c r="W293" s="194"/>
      <c r="X293" s="194"/>
      <c r="Y293" s="194"/>
      <c r="Z293" s="194"/>
      <c r="AA293" s="194"/>
    </row>
    <row r="294" ht="15.75" customHeight="1">
      <c r="A294" s="241"/>
      <c r="B294" s="224"/>
      <c r="C294" s="220"/>
      <c r="D294" s="221"/>
      <c r="E294" s="222"/>
      <c r="F294" s="223"/>
      <c r="G294" s="143"/>
      <c r="H294" s="143"/>
      <c r="I294" s="143"/>
      <c r="J294" s="143"/>
      <c r="K294" s="182"/>
      <c r="L294" s="143"/>
      <c r="M294" s="182"/>
      <c r="N294" s="149"/>
      <c r="O294" s="189"/>
      <c r="P294" s="149"/>
      <c r="Q294" s="149"/>
      <c r="R294" s="189"/>
      <c r="S294" s="149"/>
      <c r="T294" s="189"/>
      <c r="U294" s="194"/>
      <c r="V294" s="194"/>
      <c r="W294" s="194"/>
      <c r="X294" s="194"/>
      <c r="Y294" s="194"/>
      <c r="Z294" s="194"/>
      <c r="AA294" s="194"/>
    </row>
    <row r="295" ht="15.75" customHeight="1">
      <c r="A295" s="241"/>
      <c r="B295" s="224"/>
      <c r="C295" s="220"/>
      <c r="D295" s="221"/>
      <c r="E295" s="222"/>
      <c r="F295" s="223"/>
      <c r="G295" s="143"/>
      <c r="H295" s="143"/>
      <c r="I295" s="143"/>
      <c r="J295" s="143"/>
      <c r="K295" s="182"/>
      <c r="L295" s="143"/>
      <c r="M295" s="182"/>
      <c r="N295" s="149"/>
      <c r="O295" s="189"/>
      <c r="P295" s="149"/>
      <c r="Q295" s="149"/>
      <c r="R295" s="189"/>
      <c r="S295" s="149"/>
      <c r="T295" s="189"/>
      <c r="U295" s="194"/>
      <c r="V295" s="194"/>
      <c r="W295" s="194"/>
      <c r="X295" s="194"/>
      <c r="Y295" s="194"/>
      <c r="Z295" s="194"/>
      <c r="AA295" s="194"/>
    </row>
    <row r="296" ht="15.75" customHeight="1">
      <c r="A296" s="241"/>
      <c r="B296" s="224"/>
      <c r="C296" s="220"/>
      <c r="D296" s="221"/>
      <c r="E296" s="222"/>
      <c r="F296" s="223"/>
      <c r="G296" s="143"/>
      <c r="H296" s="143"/>
      <c r="I296" s="143"/>
      <c r="J296" s="143"/>
      <c r="K296" s="182"/>
      <c r="L296" s="143"/>
      <c r="M296" s="182"/>
      <c r="N296" s="149"/>
      <c r="O296" s="189"/>
      <c r="P296" s="149"/>
      <c r="Q296" s="149"/>
      <c r="R296" s="189"/>
      <c r="S296" s="149"/>
      <c r="T296" s="189"/>
      <c r="U296" s="194"/>
      <c r="V296" s="194"/>
      <c r="W296" s="194"/>
      <c r="X296" s="194"/>
      <c r="Y296" s="194"/>
      <c r="Z296" s="194"/>
      <c r="AA296" s="194"/>
    </row>
    <row r="297" ht="15.75" customHeight="1">
      <c r="A297" s="241"/>
      <c r="B297" s="224"/>
      <c r="C297" s="220"/>
      <c r="D297" s="221"/>
      <c r="E297" s="222"/>
      <c r="F297" s="223"/>
      <c r="G297" s="143"/>
      <c r="H297" s="143"/>
      <c r="I297" s="143"/>
      <c r="J297" s="143"/>
      <c r="K297" s="182"/>
      <c r="L297" s="143"/>
      <c r="M297" s="182"/>
      <c r="N297" s="149"/>
      <c r="O297" s="189"/>
      <c r="P297" s="149"/>
      <c r="Q297" s="149"/>
      <c r="R297" s="189"/>
      <c r="S297" s="149"/>
      <c r="T297" s="189"/>
      <c r="U297" s="194"/>
      <c r="V297" s="194"/>
      <c r="W297" s="194"/>
      <c r="X297" s="194"/>
      <c r="Y297" s="194"/>
      <c r="Z297" s="194"/>
      <c r="AA297" s="194"/>
    </row>
    <row r="298" ht="15.75" customHeight="1">
      <c r="A298" s="241"/>
      <c r="B298" s="224"/>
      <c r="C298" s="220"/>
      <c r="D298" s="221"/>
      <c r="E298" s="222"/>
      <c r="F298" s="223"/>
      <c r="G298" s="143"/>
      <c r="H298" s="143"/>
      <c r="I298" s="143"/>
      <c r="J298" s="143"/>
      <c r="K298" s="182"/>
      <c r="L298" s="143"/>
      <c r="M298" s="182"/>
      <c r="N298" s="149"/>
      <c r="O298" s="189"/>
      <c r="P298" s="149"/>
      <c r="Q298" s="149"/>
      <c r="R298" s="189"/>
      <c r="S298" s="149"/>
      <c r="T298" s="189"/>
      <c r="U298" s="194"/>
      <c r="V298" s="194"/>
      <c r="W298" s="194"/>
      <c r="X298" s="194"/>
      <c r="Y298" s="194"/>
      <c r="Z298" s="194"/>
      <c r="AA298" s="194"/>
    </row>
    <row r="299" ht="15.75" customHeight="1">
      <c r="A299" s="241"/>
      <c r="B299" s="224"/>
      <c r="C299" s="220"/>
      <c r="D299" s="221"/>
      <c r="E299" s="222"/>
      <c r="F299" s="223"/>
      <c r="G299" s="143"/>
      <c r="H299" s="143"/>
      <c r="I299" s="143"/>
      <c r="J299" s="143"/>
      <c r="K299" s="182"/>
      <c r="L299" s="143"/>
      <c r="M299" s="182"/>
      <c r="N299" s="149"/>
      <c r="O299" s="189"/>
      <c r="P299" s="149"/>
      <c r="Q299" s="149"/>
      <c r="R299" s="189"/>
      <c r="S299" s="149"/>
      <c r="T299" s="189"/>
      <c r="U299" s="194"/>
      <c r="V299" s="194"/>
      <c r="W299" s="194"/>
      <c r="X299" s="194"/>
      <c r="Y299" s="194"/>
      <c r="Z299" s="194"/>
      <c r="AA299" s="194"/>
    </row>
    <row r="300" ht="15.75" customHeight="1">
      <c r="A300" s="241"/>
      <c r="B300" s="224"/>
      <c r="C300" s="220"/>
      <c r="D300" s="221"/>
      <c r="E300" s="222"/>
      <c r="F300" s="223"/>
      <c r="G300" s="143"/>
      <c r="H300" s="143"/>
      <c r="I300" s="143"/>
      <c r="J300" s="143"/>
      <c r="K300" s="182"/>
      <c r="L300" s="143"/>
      <c r="M300" s="182"/>
      <c r="N300" s="149"/>
      <c r="O300" s="189"/>
      <c r="P300" s="149"/>
      <c r="Q300" s="149"/>
      <c r="R300" s="189"/>
      <c r="S300" s="149"/>
      <c r="T300" s="189"/>
      <c r="U300" s="194"/>
      <c r="V300" s="194"/>
      <c r="W300" s="194"/>
      <c r="X300" s="194"/>
      <c r="Y300" s="194"/>
      <c r="Z300" s="194"/>
      <c r="AA300" s="194"/>
    </row>
    <row r="301" ht="15.75" customHeight="1">
      <c r="A301" s="241"/>
      <c r="B301" s="224"/>
      <c r="C301" s="220"/>
      <c r="D301" s="221"/>
      <c r="E301" s="222"/>
      <c r="F301" s="223"/>
      <c r="G301" s="143"/>
      <c r="H301" s="143"/>
      <c r="I301" s="143"/>
      <c r="J301" s="143"/>
      <c r="K301" s="182"/>
      <c r="L301" s="143"/>
      <c r="M301" s="182"/>
      <c r="N301" s="149"/>
      <c r="O301" s="189"/>
      <c r="P301" s="149"/>
      <c r="Q301" s="149"/>
      <c r="R301" s="189"/>
      <c r="S301" s="149"/>
      <c r="T301" s="189"/>
      <c r="U301" s="194"/>
      <c r="V301" s="194"/>
      <c r="W301" s="194"/>
      <c r="X301" s="194"/>
      <c r="Y301" s="194"/>
      <c r="Z301" s="194"/>
      <c r="AA301" s="194"/>
    </row>
    <row r="302" ht="15.75" customHeight="1">
      <c r="A302" s="241"/>
      <c r="B302" s="224"/>
      <c r="C302" s="220"/>
      <c r="D302" s="221"/>
      <c r="E302" s="222"/>
      <c r="F302" s="223"/>
      <c r="G302" s="143"/>
      <c r="H302" s="143"/>
      <c r="I302" s="143"/>
      <c r="J302" s="143"/>
      <c r="K302" s="182"/>
      <c r="L302" s="143"/>
      <c r="M302" s="182"/>
      <c r="N302" s="149"/>
      <c r="O302" s="189"/>
      <c r="P302" s="149"/>
      <c r="Q302" s="149"/>
      <c r="R302" s="189"/>
      <c r="S302" s="149"/>
      <c r="T302" s="189"/>
      <c r="U302" s="194"/>
      <c r="V302" s="194"/>
      <c r="W302" s="194"/>
      <c r="X302" s="194"/>
      <c r="Y302" s="194"/>
      <c r="Z302" s="194"/>
      <c r="AA302" s="194"/>
    </row>
    <row r="303" ht="15.75" customHeight="1">
      <c r="A303" s="241"/>
      <c r="B303" s="224"/>
      <c r="C303" s="220"/>
      <c r="D303" s="221"/>
      <c r="E303" s="222"/>
      <c r="F303" s="223"/>
      <c r="G303" s="143"/>
      <c r="H303" s="143"/>
      <c r="I303" s="143"/>
      <c r="J303" s="143"/>
      <c r="K303" s="182"/>
      <c r="L303" s="143"/>
      <c r="M303" s="182"/>
      <c r="N303" s="149"/>
      <c r="O303" s="189"/>
      <c r="P303" s="149"/>
      <c r="Q303" s="149"/>
      <c r="R303" s="189"/>
      <c r="S303" s="149"/>
      <c r="T303" s="189"/>
      <c r="U303" s="194"/>
      <c r="V303" s="194"/>
      <c r="W303" s="194"/>
      <c r="X303" s="194"/>
      <c r="Y303" s="194"/>
      <c r="Z303" s="194"/>
      <c r="AA303" s="194"/>
    </row>
    <row r="304" ht="15.75" customHeight="1">
      <c r="A304" s="241"/>
      <c r="B304" s="224"/>
      <c r="C304" s="220"/>
      <c r="D304" s="221"/>
      <c r="E304" s="222"/>
      <c r="F304" s="223"/>
      <c r="G304" s="143"/>
      <c r="H304" s="143"/>
      <c r="I304" s="143"/>
      <c r="J304" s="143"/>
      <c r="K304" s="182"/>
      <c r="L304" s="143"/>
      <c r="M304" s="182"/>
      <c r="N304" s="149"/>
      <c r="O304" s="189"/>
      <c r="P304" s="149"/>
      <c r="Q304" s="149"/>
      <c r="R304" s="189"/>
      <c r="S304" s="149"/>
      <c r="T304" s="189"/>
      <c r="U304" s="194"/>
      <c r="V304" s="194"/>
      <c r="W304" s="194"/>
      <c r="X304" s="194"/>
      <c r="Y304" s="194"/>
      <c r="Z304" s="194"/>
      <c r="AA304" s="194"/>
    </row>
    <row r="305" ht="15.75" customHeight="1">
      <c r="A305" s="241"/>
      <c r="B305" s="224"/>
      <c r="C305" s="220"/>
      <c r="D305" s="221"/>
      <c r="E305" s="222"/>
      <c r="F305" s="223"/>
      <c r="G305" s="143"/>
      <c r="H305" s="143"/>
      <c r="I305" s="143"/>
      <c r="J305" s="143"/>
      <c r="K305" s="182"/>
      <c r="L305" s="143"/>
      <c r="M305" s="182"/>
      <c r="N305" s="149"/>
      <c r="O305" s="189"/>
      <c r="P305" s="149"/>
      <c r="Q305" s="149"/>
      <c r="R305" s="189"/>
      <c r="S305" s="149"/>
      <c r="T305" s="189"/>
      <c r="U305" s="194"/>
      <c r="V305" s="194"/>
      <c r="W305" s="194"/>
      <c r="X305" s="194"/>
      <c r="Y305" s="194"/>
      <c r="Z305" s="194"/>
      <c r="AA305" s="194"/>
    </row>
    <row r="306" ht="15.75" customHeight="1">
      <c r="A306" s="241"/>
      <c r="B306" s="224"/>
      <c r="C306" s="220"/>
      <c r="D306" s="221"/>
      <c r="E306" s="222"/>
      <c r="F306" s="223"/>
      <c r="G306" s="143"/>
      <c r="H306" s="143"/>
      <c r="I306" s="143"/>
      <c r="J306" s="143"/>
      <c r="K306" s="182"/>
      <c r="L306" s="143"/>
      <c r="M306" s="182"/>
      <c r="N306" s="149"/>
      <c r="O306" s="189"/>
      <c r="P306" s="149"/>
      <c r="Q306" s="149"/>
      <c r="R306" s="189"/>
      <c r="S306" s="149"/>
      <c r="T306" s="189"/>
      <c r="U306" s="194"/>
      <c r="V306" s="194"/>
      <c r="W306" s="194"/>
      <c r="X306" s="194"/>
      <c r="Y306" s="194"/>
      <c r="Z306" s="194"/>
      <c r="AA306" s="194"/>
    </row>
    <row r="307" ht="15.75" customHeight="1">
      <c r="A307" s="241"/>
      <c r="B307" s="224"/>
      <c r="C307" s="220"/>
      <c r="D307" s="221"/>
      <c r="E307" s="222"/>
      <c r="F307" s="223"/>
      <c r="G307" s="143"/>
      <c r="H307" s="143"/>
      <c r="I307" s="143"/>
      <c r="J307" s="143"/>
      <c r="K307" s="182"/>
      <c r="L307" s="143"/>
      <c r="M307" s="182"/>
      <c r="N307" s="149"/>
      <c r="O307" s="189"/>
      <c r="P307" s="149"/>
      <c r="Q307" s="149"/>
      <c r="R307" s="189"/>
      <c r="S307" s="149"/>
      <c r="T307" s="189"/>
      <c r="U307" s="194"/>
      <c r="V307" s="194"/>
      <c r="W307" s="194"/>
      <c r="X307" s="194"/>
      <c r="Y307" s="194"/>
      <c r="Z307" s="194"/>
      <c r="AA307" s="194"/>
    </row>
    <row r="308" ht="15.75" customHeight="1">
      <c r="A308" s="241"/>
      <c r="B308" s="224"/>
      <c r="C308" s="220"/>
      <c r="D308" s="221"/>
      <c r="E308" s="222"/>
      <c r="F308" s="223"/>
      <c r="G308" s="143"/>
      <c r="H308" s="143"/>
      <c r="I308" s="143"/>
      <c r="J308" s="143"/>
      <c r="K308" s="182"/>
      <c r="L308" s="143"/>
      <c r="M308" s="182"/>
      <c r="N308" s="149"/>
      <c r="O308" s="189"/>
      <c r="P308" s="149"/>
      <c r="Q308" s="149"/>
      <c r="R308" s="189"/>
      <c r="S308" s="149"/>
      <c r="T308" s="189"/>
      <c r="U308" s="194"/>
      <c r="V308" s="194"/>
      <c r="W308" s="194"/>
      <c r="X308" s="194"/>
      <c r="Y308" s="194"/>
      <c r="Z308" s="194"/>
      <c r="AA308" s="194"/>
    </row>
    <row r="309" ht="15.75" customHeight="1">
      <c r="A309" s="241"/>
      <c r="B309" s="224"/>
      <c r="C309" s="220"/>
      <c r="D309" s="221"/>
      <c r="E309" s="222"/>
      <c r="F309" s="223"/>
      <c r="G309" s="143"/>
      <c r="H309" s="143"/>
      <c r="I309" s="143"/>
      <c r="J309" s="143"/>
      <c r="K309" s="182"/>
      <c r="L309" s="143"/>
      <c r="M309" s="182"/>
      <c r="N309" s="149"/>
      <c r="O309" s="189"/>
      <c r="P309" s="149"/>
      <c r="Q309" s="149"/>
      <c r="R309" s="189"/>
      <c r="S309" s="149"/>
      <c r="T309" s="189"/>
      <c r="U309" s="194"/>
      <c r="V309" s="194"/>
      <c r="W309" s="194"/>
      <c r="X309" s="194"/>
      <c r="Y309" s="194"/>
      <c r="Z309" s="194"/>
      <c r="AA309" s="194"/>
    </row>
    <row r="310" ht="15.75" customHeight="1">
      <c r="A310" s="241"/>
      <c r="B310" s="224"/>
      <c r="C310" s="220"/>
      <c r="D310" s="221"/>
      <c r="E310" s="222"/>
      <c r="F310" s="223"/>
      <c r="G310" s="143"/>
      <c r="H310" s="143"/>
      <c r="I310" s="143"/>
      <c r="J310" s="143"/>
      <c r="K310" s="182"/>
      <c r="L310" s="143"/>
      <c r="M310" s="182"/>
      <c r="N310" s="149"/>
      <c r="O310" s="189"/>
      <c r="P310" s="149"/>
      <c r="Q310" s="149"/>
      <c r="R310" s="189"/>
      <c r="S310" s="149"/>
      <c r="T310" s="189"/>
      <c r="U310" s="194"/>
      <c r="V310" s="194"/>
      <c r="W310" s="194"/>
      <c r="X310" s="194"/>
      <c r="Y310" s="194"/>
      <c r="Z310" s="194"/>
      <c r="AA310" s="194"/>
    </row>
    <row r="311" ht="15.75" customHeight="1">
      <c r="A311" s="241"/>
      <c r="B311" s="224"/>
      <c r="C311" s="220"/>
      <c r="D311" s="221"/>
      <c r="E311" s="222"/>
      <c r="F311" s="223"/>
      <c r="G311" s="143"/>
      <c r="H311" s="143"/>
      <c r="I311" s="143"/>
      <c r="J311" s="143"/>
      <c r="K311" s="182"/>
      <c r="L311" s="143"/>
      <c r="M311" s="182"/>
      <c r="N311" s="149"/>
      <c r="O311" s="189"/>
      <c r="P311" s="149"/>
      <c r="Q311" s="149"/>
      <c r="R311" s="189"/>
      <c r="S311" s="149"/>
      <c r="T311" s="189"/>
      <c r="U311" s="194"/>
      <c r="V311" s="194"/>
      <c r="W311" s="194"/>
      <c r="X311" s="194"/>
      <c r="Y311" s="194"/>
      <c r="Z311" s="194"/>
      <c r="AA311" s="194"/>
    </row>
    <row r="312" ht="15.75" customHeight="1">
      <c r="A312" s="241"/>
      <c r="B312" s="224"/>
      <c r="C312" s="220"/>
      <c r="D312" s="221"/>
      <c r="E312" s="222"/>
      <c r="F312" s="223"/>
      <c r="G312" s="143"/>
      <c r="H312" s="143"/>
      <c r="I312" s="143"/>
      <c r="J312" s="143"/>
      <c r="K312" s="182"/>
      <c r="L312" s="143"/>
      <c r="M312" s="182"/>
      <c r="N312" s="149"/>
      <c r="O312" s="189"/>
      <c r="P312" s="149"/>
      <c r="Q312" s="149"/>
      <c r="R312" s="189"/>
      <c r="S312" s="149"/>
      <c r="T312" s="189"/>
      <c r="U312" s="194"/>
      <c r="V312" s="194"/>
      <c r="W312" s="194"/>
      <c r="X312" s="194"/>
      <c r="Y312" s="194"/>
      <c r="Z312" s="194"/>
      <c r="AA312" s="194"/>
    </row>
    <row r="313" ht="15.75" customHeight="1">
      <c r="A313" s="241"/>
      <c r="B313" s="224"/>
      <c r="C313" s="220"/>
      <c r="D313" s="221"/>
      <c r="E313" s="222"/>
      <c r="F313" s="223"/>
      <c r="G313" s="143"/>
      <c r="H313" s="143"/>
      <c r="I313" s="143"/>
      <c r="J313" s="143"/>
      <c r="K313" s="182"/>
      <c r="L313" s="143"/>
      <c r="M313" s="182"/>
      <c r="N313" s="149"/>
      <c r="O313" s="189"/>
      <c r="P313" s="149"/>
      <c r="Q313" s="149"/>
      <c r="R313" s="189"/>
      <c r="S313" s="149"/>
      <c r="T313" s="189"/>
      <c r="U313" s="194"/>
      <c r="V313" s="194"/>
      <c r="W313" s="194"/>
      <c r="X313" s="194"/>
      <c r="Y313" s="194"/>
      <c r="Z313" s="194"/>
      <c r="AA313" s="194"/>
    </row>
    <row r="314" ht="15.75" customHeight="1">
      <c r="A314" s="241"/>
      <c r="B314" s="224"/>
      <c r="C314" s="220"/>
      <c r="D314" s="221"/>
      <c r="E314" s="222"/>
      <c r="F314" s="223"/>
      <c r="G314" s="143"/>
      <c r="H314" s="143"/>
      <c r="I314" s="143"/>
      <c r="J314" s="143"/>
      <c r="K314" s="182"/>
      <c r="L314" s="143"/>
      <c r="M314" s="182"/>
      <c r="N314" s="149"/>
      <c r="O314" s="189"/>
      <c r="P314" s="149"/>
      <c r="Q314" s="149"/>
      <c r="R314" s="189"/>
      <c r="S314" s="149"/>
      <c r="T314" s="189"/>
      <c r="U314" s="194"/>
      <c r="V314" s="194"/>
      <c r="W314" s="194"/>
      <c r="X314" s="194"/>
      <c r="Y314" s="194"/>
      <c r="Z314" s="194"/>
      <c r="AA314" s="194"/>
    </row>
    <row r="315" ht="15.75" customHeight="1">
      <c r="A315" s="241"/>
      <c r="B315" s="224"/>
      <c r="C315" s="220"/>
      <c r="D315" s="221"/>
      <c r="E315" s="222"/>
      <c r="F315" s="223"/>
      <c r="G315" s="143"/>
      <c r="H315" s="143"/>
      <c r="I315" s="143"/>
      <c r="J315" s="143"/>
      <c r="K315" s="182"/>
      <c r="L315" s="143"/>
      <c r="M315" s="182"/>
      <c r="N315" s="149"/>
      <c r="O315" s="189"/>
      <c r="P315" s="149"/>
      <c r="Q315" s="149"/>
      <c r="R315" s="189"/>
      <c r="S315" s="149"/>
      <c r="T315" s="189"/>
      <c r="U315" s="194"/>
      <c r="V315" s="194"/>
      <c r="W315" s="194"/>
      <c r="X315" s="194"/>
      <c r="Y315" s="194"/>
      <c r="Z315" s="194"/>
      <c r="AA315" s="194"/>
    </row>
    <row r="316" ht="15.75" customHeight="1">
      <c r="A316" s="241"/>
      <c r="B316" s="224"/>
      <c r="C316" s="220"/>
      <c r="D316" s="221"/>
      <c r="E316" s="222"/>
      <c r="F316" s="223"/>
      <c r="G316" s="143"/>
      <c r="H316" s="143"/>
      <c r="I316" s="143"/>
      <c r="J316" s="143"/>
      <c r="K316" s="182"/>
      <c r="L316" s="143"/>
      <c r="M316" s="182"/>
      <c r="N316" s="149"/>
      <c r="O316" s="189"/>
      <c r="P316" s="149"/>
      <c r="Q316" s="149"/>
      <c r="R316" s="189"/>
      <c r="S316" s="149"/>
      <c r="T316" s="189"/>
      <c r="U316" s="194"/>
      <c r="V316" s="194"/>
      <c r="W316" s="194"/>
      <c r="X316" s="194"/>
      <c r="Y316" s="194"/>
      <c r="Z316" s="194"/>
      <c r="AA316" s="194"/>
    </row>
    <row r="317" ht="15.75" customHeight="1">
      <c r="A317" s="241"/>
      <c r="B317" s="224"/>
      <c r="C317" s="220"/>
      <c r="D317" s="221"/>
      <c r="E317" s="222"/>
      <c r="F317" s="223"/>
      <c r="G317" s="143"/>
      <c r="H317" s="143"/>
      <c r="I317" s="143"/>
      <c r="J317" s="143"/>
      <c r="K317" s="182"/>
      <c r="L317" s="143"/>
      <c r="M317" s="182"/>
      <c r="N317" s="149"/>
      <c r="O317" s="189"/>
      <c r="P317" s="149"/>
      <c r="Q317" s="149"/>
      <c r="R317" s="189"/>
      <c r="S317" s="149"/>
      <c r="T317" s="189"/>
      <c r="U317" s="194"/>
      <c r="V317" s="194"/>
      <c r="W317" s="194"/>
      <c r="X317" s="194"/>
      <c r="Y317" s="194"/>
      <c r="Z317" s="194"/>
      <c r="AA317" s="194"/>
    </row>
    <row r="318" ht="15.75" customHeight="1">
      <c r="A318" s="241"/>
      <c r="B318" s="224"/>
      <c r="C318" s="220"/>
      <c r="D318" s="221"/>
      <c r="E318" s="222"/>
      <c r="F318" s="223"/>
      <c r="G318" s="143"/>
      <c r="H318" s="143"/>
      <c r="I318" s="143"/>
      <c r="J318" s="143"/>
      <c r="K318" s="182"/>
      <c r="L318" s="143"/>
      <c r="M318" s="182"/>
      <c r="N318" s="149"/>
      <c r="O318" s="189"/>
      <c r="P318" s="149"/>
      <c r="Q318" s="149"/>
      <c r="R318" s="189"/>
      <c r="S318" s="149"/>
      <c r="T318" s="189"/>
      <c r="U318" s="194"/>
      <c r="V318" s="194"/>
      <c r="W318" s="194"/>
      <c r="X318" s="194"/>
      <c r="Y318" s="194"/>
      <c r="Z318" s="194"/>
      <c r="AA318" s="194"/>
    </row>
    <row r="319" ht="15.75" customHeight="1">
      <c r="A319" s="241"/>
      <c r="B319" s="224"/>
      <c r="C319" s="220"/>
      <c r="D319" s="221"/>
      <c r="E319" s="222"/>
      <c r="F319" s="223"/>
      <c r="G319" s="143"/>
      <c r="H319" s="143"/>
      <c r="I319" s="143"/>
      <c r="J319" s="143"/>
      <c r="K319" s="182"/>
      <c r="L319" s="143"/>
      <c r="M319" s="182"/>
      <c r="N319" s="149"/>
      <c r="O319" s="189"/>
      <c r="P319" s="149"/>
      <c r="Q319" s="149"/>
      <c r="R319" s="189"/>
      <c r="S319" s="149"/>
      <c r="T319" s="189"/>
      <c r="U319" s="194"/>
      <c r="V319" s="194"/>
      <c r="W319" s="194"/>
      <c r="X319" s="194"/>
      <c r="Y319" s="194"/>
      <c r="Z319" s="194"/>
      <c r="AA319" s="194"/>
    </row>
    <row r="320" ht="15.75" customHeight="1">
      <c r="A320" s="241"/>
      <c r="B320" s="224"/>
      <c r="C320" s="220"/>
      <c r="D320" s="221"/>
      <c r="E320" s="222"/>
      <c r="F320" s="223"/>
      <c r="G320" s="143"/>
      <c r="H320" s="143"/>
      <c r="I320" s="143"/>
      <c r="J320" s="143"/>
      <c r="K320" s="182"/>
      <c r="L320" s="143"/>
      <c r="M320" s="182"/>
      <c r="N320" s="149"/>
      <c r="O320" s="189"/>
      <c r="P320" s="149"/>
      <c r="Q320" s="149"/>
      <c r="R320" s="189"/>
      <c r="S320" s="149"/>
      <c r="T320" s="189"/>
      <c r="U320" s="194"/>
      <c r="V320" s="194"/>
      <c r="W320" s="194"/>
      <c r="X320" s="194"/>
      <c r="Y320" s="194"/>
      <c r="Z320" s="194"/>
      <c r="AA320" s="194"/>
    </row>
    <row r="321" ht="15.75" customHeight="1">
      <c r="A321" s="241"/>
      <c r="B321" s="224"/>
      <c r="C321" s="220"/>
      <c r="D321" s="221"/>
      <c r="E321" s="222"/>
      <c r="F321" s="223"/>
      <c r="G321" s="143"/>
      <c r="H321" s="143"/>
      <c r="I321" s="143"/>
      <c r="J321" s="143"/>
      <c r="K321" s="182"/>
      <c r="L321" s="143"/>
      <c r="M321" s="182"/>
      <c r="N321" s="149"/>
      <c r="O321" s="189"/>
      <c r="P321" s="149"/>
      <c r="Q321" s="149"/>
      <c r="R321" s="189"/>
      <c r="S321" s="149"/>
      <c r="T321" s="189"/>
      <c r="U321" s="194"/>
      <c r="V321" s="194"/>
      <c r="W321" s="194"/>
      <c r="X321" s="194"/>
      <c r="Y321" s="194"/>
      <c r="Z321" s="194"/>
      <c r="AA321" s="194"/>
    </row>
    <row r="322" ht="15.75" customHeight="1">
      <c r="A322" s="241"/>
      <c r="B322" s="224"/>
      <c r="C322" s="220"/>
      <c r="D322" s="221"/>
      <c r="E322" s="222"/>
      <c r="F322" s="223"/>
      <c r="G322" s="143"/>
      <c r="H322" s="143"/>
      <c r="I322" s="143"/>
      <c r="J322" s="143"/>
      <c r="K322" s="182"/>
      <c r="L322" s="143"/>
      <c r="M322" s="182"/>
      <c r="N322" s="149"/>
      <c r="O322" s="189"/>
      <c r="P322" s="149"/>
      <c r="Q322" s="149"/>
      <c r="R322" s="189"/>
      <c r="S322" s="149"/>
      <c r="T322" s="189"/>
      <c r="U322" s="194"/>
      <c r="V322" s="194"/>
      <c r="W322" s="194"/>
      <c r="X322" s="194"/>
      <c r="Y322" s="194"/>
      <c r="Z322" s="194"/>
      <c r="AA322" s="194"/>
    </row>
    <row r="323" ht="15.75" customHeight="1">
      <c r="A323" s="241"/>
      <c r="B323" s="224"/>
      <c r="C323" s="220"/>
      <c r="D323" s="221"/>
      <c r="E323" s="222"/>
      <c r="F323" s="223"/>
      <c r="G323" s="143"/>
      <c r="H323" s="143"/>
      <c r="I323" s="143"/>
      <c r="J323" s="143"/>
      <c r="K323" s="182"/>
      <c r="L323" s="143"/>
      <c r="M323" s="182"/>
      <c r="N323" s="149"/>
      <c r="O323" s="189"/>
      <c r="P323" s="149"/>
      <c r="Q323" s="149"/>
      <c r="R323" s="189"/>
      <c r="S323" s="149"/>
      <c r="T323" s="189"/>
      <c r="U323" s="194"/>
      <c r="V323" s="194"/>
      <c r="W323" s="194"/>
      <c r="X323" s="194"/>
      <c r="Y323" s="194"/>
      <c r="Z323" s="194"/>
      <c r="AA323" s="194"/>
    </row>
    <row r="324" ht="15.75" customHeight="1">
      <c r="A324" s="241"/>
      <c r="B324" s="224"/>
      <c r="C324" s="220"/>
      <c r="D324" s="221"/>
      <c r="E324" s="222"/>
      <c r="F324" s="223"/>
      <c r="G324" s="143"/>
      <c r="H324" s="143"/>
      <c r="I324" s="143"/>
      <c r="J324" s="143"/>
      <c r="K324" s="182"/>
      <c r="L324" s="143"/>
      <c r="M324" s="182"/>
      <c r="N324" s="149"/>
      <c r="O324" s="189"/>
      <c r="P324" s="149"/>
      <c r="Q324" s="149"/>
      <c r="R324" s="189"/>
      <c r="S324" s="149"/>
      <c r="T324" s="189"/>
      <c r="U324" s="194"/>
      <c r="V324" s="194"/>
      <c r="W324" s="194"/>
      <c r="X324" s="194"/>
      <c r="Y324" s="194"/>
      <c r="Z324" s="194"/>
      <c r="AA324" s="194"/>
    </row>
    <row r="325" ht="15.75" customHeight="1">
      <c r="A325" s="241"/>
      <c r="B325" s="224"/>
      <c r="C325" s="220"/>
      <c r="D325" s="221"/>
      <c r="E325" s="222"/>
      <c r="F325" s="223"/>
      <c r="G325" s="143"/>
      <c r="H325" s="143"/>
      <c r="I325" s="143"/>
      <c r="J325" s="143"/>
      <c r="K325" s="182"/>
      <c r="L325" s="143"/>
      <c r="M325" s="182"/>
      <c r="N325" s="149"/>
      <c r="O325" s="189"/>
      <c r="P325" s="149"/>
      <c r="Q325" s="149"/>
      <c r="R325" s="189"/>
      <c r="S325" s="149"/>
      <c r="T325" s="189"/>
      <c r="U325" s="194"/>
      <c r="V325" s="194"/>
      <c r="W325" s="194"/>
      <c r="X325" s="194"/>
      <c r="Y325" s="194"/>
      <c r="Z325" s="194"/>
      <c r="AA325" s="194"/>
    </row>
    <row r="326" ht="15.75" customHeight="1">
      <c r="A326" s="241"/>
      <c r="B326" s="224"/>
      <c r="C326" s="220"/>
      <c r="D326" s="221"/>
      <c r="E326" s="222"/>
      <c r="F326" s="223"/>
      <c r="G326" s="143"/>
      <c r="H326" s="143"/>
      <c r="I326" s="143"/>
      <c r="J326" s="143"/>
      <c r="K326" s="182"/>
      <c r="L326" s="143"/>
      <c r="M326" s="182"/>
      <c r="N326" s="149"/>
      <c r="O326" s="189"/>
      <c r="P326" s="149"/>
      <c r="Q326" s="149"/>
      <c r="R326" s="189"/>
      <c r="S326" s="149"/>
      <c r="T326" s="189"/>
      <c r="U326" s="194"/>
      <c r="V326" s="194"/>
      <c r="W326" s="194"/>
      <c r="X326" s="194"/>
      <c r="Y326" s="194"/>
      <c r="Z326" s="194"/>
      <c r="AA326" s="194"/>
    </row>
    <row r="327" ht="15.75" customHeight="1">
      <c r="A327" s="241"/>
      <c r="B327" s="224"/>
      <c r="C327" s="220"/>
      <c r="D327" s="221"/>
      <c r="E327" s="222"/>
      <c r="F327" s="223"/>
      <c r="G327" s="143"/>
      <c r="H327" s="143"/>
      <c r="I327" s="143"/>
      <c r="J327" s="143"/>
      <c r="K327" s="182"/>
      <c r="L327" s="143"/>
      <c r="M327" s="182"/>
      <c r="N327" s="149"/>
      <c r="O327" s="189"/>
      <c r="P327" s="149"/>
      <c r="Q327" s="149"/>
      <c r="R327" s="189"/>
      <c r="S327" s="149"/>
      <c r="T327" s="189"/>
      <c r="U327" s="194"/>
      <c r="V327" s="194"/>
      <c r="W327" s="194"/>
      <c r="X327" s="194"/>
      <c r="Y327" s="194"/>
      <c r="Z327" s="194"/>
      <c r="AA327" s="194"/>
    </row>
    <row r="328" ht="15.75" customHeight="1">
      <c r="A328" s="241"/>
      <c r="B328" s="224"/>
      <c r="C328" s="220"/>
      <c r="D328" s="221"/>
      <c r="E328" s="222"/>
      <c r="F328" s="223"/>
      <c r="G328" s="143"/>
      <c r="H328" s="143"/>
      <c r="I328" s="143"/>
      <c r="J328" s="143"/>
      <c r="K328" s="182"/>
      <c r="L328" s="143"/>
      <c r="M328" s="182"/>
      <c r="N328" s="149"/>
      <c r="O328" s="189"/>
      <c r="P328" s="149"/>
      <c r="Q328" s="149"/>
      <c r="R328" s="189"/>
      <c r="S328" s="149"/>
      <c r="T328" s="189"/>
      <c r="U328" s="194"/>
      <c r="V328" s="194"/>
      <c r="W328" s="194"/>
      <c r="X328" s="194"/>
      <c r="Y328" s="194"/>
      <c r="Z328" s="194"/>
      <c r="AA328" s="194"/>
    </row>
    <row r="329" ht="15.75" customHeight="1">
      <c r="A329" s="241"/>
      <c r="B329" s="224"/>
      <c r="C329" s="220"/>
      <c r="D329" s="221"/>
      <c r="E329" s="222"/>
      <c r="F329" s="223"/>
      <c r="G329" s="143"/>
      <c r="H329" s="143"/>
      <c r="I329" s="143"/>
      <c r="J329" s="143"/>
      <c r="K329" s="182"/>
      <c r="L329" s="143"/>
      <c r="M329" s="182"/>
      <c r="N329" s="149"/>
      <c r="O329" s="189"/>
      <c r="P329" s="149"/>
      <c r="Q329" s="149"/>
      <c r="R329" s="189"/>
      <c r="S329" s="149"/>
      <c r="T329" s="189"/>
      <c r="U329" s="194"/>
      <c r="V329" s="194"/>
      <c r="W329" s="194"/>
      <c r="X329" s="194"/>
      <c r="Y329" s="194"/>
      <c r="Z329" s="194"/>
      <c r="AA329" s="194"/>
    </row>
    <row r="330" ht="15.75" customHeight="1">
      <c r="A330" s="241"/>
      <c r="B330" s="224"/>
      <c r="C330" s="220"/>
      <c r="D330" s="221"/>
      <c r="E330" s="222"/>
      <c r="F330" s="223"/>
      <c r="G330" s="143"/>
      <c r="H330" s="143"/>
      <c r="I330" s="143"/>
      <c r="J330" s="143"/>
      <c r="K330" s="182"/>
      <c r="L330" s="143"/>
      <c r="M330" s="182"/>
      <c r="N330" s="149"/>
      <c r="O330" s="189"/>
      <c r="P330" s="149"/>
      <c r="Q330" s="149"/>
      <c r="R330" s="189"/>
      <c r="S330" s="149"/>
      <c r="T330" s="189"/>
      <c r="U330" s="194"/>
      <c r="V330" s="194"/>
      <c r="W330" s="194"/>
      <c r="X330" s="194"/>
      <c r="Y330" s="194"/>
      <c r="Z330" s="194"/>
      <c r="AA330" s="194"/>
    </row>
    <row r="331" ht="15.75" customHeight="1">
      <c r="A331" s="241"/>
      <c r="B331" s="224"/>
      <c r="C331" s="220"/>
      <c r="D331" s="221"/>
      <c r="E331" s="222"/>
      <c r="F331" s="223"/>
      <c r="G331" s="143"/>
      <c r="H331" s="143"/>
      <c r="I331" s="143"/>
      <c r="J331" s="143"/>
      <c r="K331" s="182"/>
      <c r="L331" s="143"/>
      <c r="M331" s="182"/>
      <c r="N331" s="149"/>
      <c r="O331" s="189"/>
      <c r="P331" s="149"/>
      <c r="Q331" s="149"/>
      <c r="R331" s="189"/>
      <c r="S331" s="149"/>
      <c r="T331" s="189"/>
      <c r="U331" s="194"/>
      <c r="V331" s="194"/>
      <c r="W331" s="194"/>
      <c r="X331" s="194"/>
      <c r="Y331" s="194"/>
      <c r="Z331" s="194"/>
      <c r="AA331" s="194"/>
    </row>
    <row r="332" ht="15.75" customHeight="1">
      <c r="A332" s="241"/>
      <c r="B332" s="224"/>
      <c r="C332" s="220"/>
      <c r="D332" s="221"/>
      <c r="E332" s="222"/>
      <c r="F332" s="223"/>
      <c r="G332" s="143"/>
      <c r="H332" s="143"/>
      <c r="I332" s="143"/>
      <c r="J332" s="143"/>
      <c r="K332" s="182"/>
      <c r="L332" s="143"/>
      <c r="M332" s="182"/>
      <c r="N332" s="149"/>
      <c r="O332" s="189"/>
      <c r="P332" s="149"/>
      <c r="Q332" s="149"/>
      <c r="R332" s="189"/>
      <c r="S332" s="149"/>
      <c r="T332" s="189"/>
      <c r="U332" s="194"/>
      <c r="V332" s="194"/>
      <c r="W332" s="194"/>
      <c r="X332" s="194"/>
      <c r="Y332" s="194"/>
      <c r="Z332" s="194"/>
      <c r="AA332" s="194"/>
    </row>
    <row r="333" ht="15.75" customHeight="1">
      <c r="A333" s="241"/>
      <c r="B333" s="224"/>
      <c r="C333" s="220"/>
      <c r="D333" s="221"/>
      <c r="E333" s="222"/>
      <c r="F333" s="223"/>
      <c r="G333" s="143"/>
      <c r="H333" s="143"/>
      <c r="I333" s="143"/>
      <c r="J333" s="143"/>
      <c r="K333" s="182"/>
      <c r="L333" s="143"/>
      <c r="M333" s="182"/>
      <c r="N333" s="149"/>
      <c r="O333" s="189"/>
      <c r="P333" s="149"/>
      <c r="Q333" s="149"/>
      <c r="R333" s="189"/>
      <c r="S333" s="149"/>
      <c r="T333" s="189"/>
      <c r="U333" s="194"/>
      <c r="V333" s="194"/>
      <c r="W333" s="194"/>
      <c r="X333" s="194"/>
      <c r="Y333" s="194"/>
      <c r="Z333" s="194"/>
      <c r="AA333" s="194"/>
    </row>
    <row r="334" ht="15.75" customHeight="1">
      <c r="A334" s="241"/>
      <c r="B334" s="224"/>
      <c r="C334" s="220"/>
      <c r="D334" s="221"/>
      <c r="E334" s="222"/>
      <c r="F334" s="223"/>
      <c r="G334" s="143"/>
      <c r="H334" s="143"/>
      <c r="I334" s="143"/>
      <c r="J334" s="143"/>
      <c r="K334" s="182"/>
      <c r="L334" s="143"/>
      <c r="M334" s="182"/>
      <c r="N334" s="149"/>
      <c r="O334" s="189"/>
      <c r="P334" s="149"/>
      <c r="Q334" s="149"/>
      <c r="R334" s="189"/>
      <c r="S334" s="149"/>
      <c r="T334" s="189"/>
      <c r="U334" s="194"/>
      <c r="V334" s="194"/>
      <c r="W334" s="194"/>
      <c r="X334" s="194"/>
      <c r="Y334" s="194"/>
      <c r="Z334" s="194"/>
      <c r="AA334" s="194"/>
    </row>
    <row r="335" ht="15.75" customHeight="1">
      <c r="A335" s="241"/>
      <c r="B335" s="224"/>
      <c r="C335" s="220"/>
      <c r="D335" s="221"/>
      <c r="E335" s="222"/>
      <c r="F335" s="223"/>
      <c r="G335" s="143"/>
      <c r="H335" s="143"/>
      <c r="I335" s="143"/>
      <c r="J335" s="143"/>
      <c r="K335" s="182"/>
      <c r="L335" s="143"/>
      <c r="M335" s="182"/>
      <c r="N335" s="149"/>
      <c r="O335" s="189"/>
      <c r="P335" s="149"/>
      <c r="Q335" s="149"/>
      <c r="R335" s="189"/>
      <c r="S335" s="149"/>
      <c r="T335" s="189"/>
      <c r="U335" s="194"/>
      <c r="V335" s="194"/>
      <c r="W335" s="194"/>
      <c r="X335" s="194"/>
      <c r="Y335" s="194"/>
      <c r="Z335" s="194"/>
      <c r="AA335" s="194"/>
    </row>
    <row r="336" ht="15.75" customHeight="1">
      <c r="A336" s="241"/>
      <c r="B336" s="224"/>
      <c r="C336" s="220"/>
      <c r="D336" s="221"/>
      <c r="E336" s="222"/>
      <c r="F336" s="223"/>
      <c r="G336" s="143"/>
      <c r="H336" s="143"/>
      <c r="I336" s="143"/>
      <c r="J336" s="143"/>
      <c r="K336" s="182"/>
      <c r="L336" s="143"/>
      <c r="M336" s="182"/>
      <c r="N336" s="149"/>
      <c r="O336" s="189"/>
      <c r="P336" s="149"/>
      <c r="Q336" s="149"/>
      <c r="R336" s="189"/>
      <c r="S336" s="149"/>
      <c r="T336" s="189"/>
      <c r="U336" s="194"/>
      <c r="V336" s="194"/>
      <c r="W336" s="194"/>
      <c r="X336" s="194"/>
      <c r="Y336" s="194"/>
      <c r="Z336" s="194"/>
      <c r="AA336" s="194"/>
    </row>
    <row r="337" ht="15.75" customHeight="1">
      <c r="A337" s="241"/>
      <c r="B337" s="224"/>
      <c r="C337" s="220"/>
      <c r="D337" s="221"/>
      <c r="E337" s="222"/>
      <c r="F337" s="223"/>
      <c r="G337" s="143"/>
      <c r="H337" s="143"/>
      <c r="I337" s="143"/>
      <c r="J337" s="143"/>
      <c r="K337" s="182"/>
      <c r="L337" s="143"/>
      <c r="M337" s="182"/>
      <c r="N337" s="149"/>
      <c r="O337" s="189"/>
      <c r="P337" s="149"/>
      <c r="Q337" s="149"/>
      <c r="R337" s="189"/>
      <c r="S337" s="149"/>
      <c r="T337" s="189"/>
      <c r="U337" s="194"/>
      <c r="V337" s="194"/>
      <c r="W337" s="194"/>
      <c r="X337" s="194"/>
      <c r="Y337" s="194"/>
      <c r="Z337" s="194"/>
      <c r="AA337" s="194"/>
    </row>
    <row r="338" ht="15.75" customHeight="1">
      <c r="A338" s="241"/>
      <c r="B338" s="224"/>
      <c r="C338" s="220"/>
      <c r="D338" s="221"/>
      <c r="E338" s="222"/>
      <c r="F338" s="223"/>
      <c r="G338" s="143"/>
      <c r="H338" s="143"/>
      <c r="I338" s="143"/>
      <c r="J338" s="143"/>
      <c r="K338" s="182"/>
      <c r="L338" s="143"/>
      <c r="M338" s="182"/>
      <c r="N338" s="149"/>
      <c r="O338" s="189"/>
      <c r="P338" s="149"/>
      <c r="Q338" s="149"/>
      <c r="R338" s="189"/>
      <c r="S338" s="149"/>
      <c r="T338" s="189"/>
      <c r="U338" s="194"/>
      <c r="V338" s="194"/>
      <c r="W338" s="194"/>
      <c r="X338" s="194"/>
      <c r="Y338" s="194"/>
      <c r="Z338" s="194"/>
      <c r="AA338" s="194"/>
    </row>
    <row r="339" ht="15.75" customHeight="1">
      <c r="A339" s="241"/>
      <c r="B339" s="224"/>
      <c r="C339" s="220"/>
      <c r="D339" s="221"/>
      <c r="E339" s="222"/>
      <c r="F339" s="223"/>
      <c r="G339" s="143"/>
      <c r="H339" s="143"/>
      <c r="I339" s="143"/>
      <c r="J339" s="143"/>
      <c r="K339" s="182"/>
      <c r="L339" s="143"/>
      <c r="M339" s="182"/>
      <c r="N339" s="149"/>
      <c r="O339" s="189"/>
      <c r="P339" s="149"/>
      <c r="Q339" s="149"/>
      <c r="R339" s="189"/>
      <c r="S339" s="149"/>
      <c r="T339" s="189"/>
      <c r="U339" s="194"/>
      <c r="V339" s="194"/>
      <c r="W339" s="194"/>
      <c r="X339" s="194"/>
      <c r="Y339" s="194"/>
      <c r="Z339" s="194"/>
      <c r="AA339" s="194"/>
    </row>
    <row r="340" ht="15.75" customHeight="1">
      <c r="A340" s="241"/>
      <c r="B340" s="224"/>
      <c r="C340" s="220"/>
      <c r="D340" s="221"/>
      <c r="E340" s="222"/>
      <c r="F340" s="223"/>
      <c r="G340" s="143"/>
      <c r="H340" s="143"/>
      <c r="I340" s="143"/>
      <c r="J340" s="143"/>
      <c r="K340" s="182"/>
      <c r="L340" s="143"/>
      <c r="M340" s="182"/>
      <c r="N340" s="149"/>
      <c r="O340" s="189"/>
      <c r="P340" s="149"/>
      <c r="Q340" s="149"/>
      <c r="R340" s="189"/>
      <c r="S340" s="149"/>
      <c r="T340" s="189"/>
      <c r="U340" s="194"/>
      <c r="V340" s="194"/>
      <c r="W340" s="194"/>
      <c r="X340" s="194"/>
      <c r="Y340" s="194"/>
      <c r="Z340" s="194"/>
      <c r="AA340" s="194"/>
    </row>
    <row r="341" ht="15.75" customHeight="1">
      <c r="A341" s="241"/>
      <c r="B341" s="224"/>
      <c r="C341" s="220"/>
      <c r="D341" s="221"/>
      <c r="E341" s="222"/>
      <c r="F341" s="223"/>
      <c r="G341" s="143"/>
      <c r="H341" s="143"/>
      <c r="I341" s="143"/>
      <c r="J341" s="143"/>
      <c r="K341" s="182"/>
      <c r="L341" s="143"/>
      <c r="M341" s="182"/>
      <c r="N341" s="149"/>
      <c r="O341" s="189"/>
      <c r="P341" s="149"/>
      <c r="Q341" s="149"/>
      <c r="R341" s="189"/>
      <c r="S341" s="149"/>
      <c r="T341" s="189"/>
      <c r="U341" s="194"/>
      <c r="V341" s="194"/>
      <c r="W341" s="194"/>
      <c r="X341" s="194"/>
      <c r="Y341" s="194"/>
      <c r="Z341" s="194"/>
      <c r="AA341" s="194"/>
    </row>
    <row r="342" ht="15.75" customHeight="1">
      <c r="A342" s="241"/>
      <c r="B342" s="224"/>
      <c r="C342" s="220"/>
      <c r="D342" s="221"/>
      <c r="E342" s="222"/>
      <c r="F342" s="223"/>
      <c r="G342" s="143"/>
      <c r="H342" s="143"/>
      <c r="I342" s="143"/>
      <c r="J342" s="143"/>
      <c r="K342" s="182"/>
      <c r="L342" s="143"/>
      <c r="M342" s="182"/>
      <c r="N342" s="149"/>
      <c r="O342" s="189"/>
      <c r="P342" s="149"/>
      <c r="Q342" s="149"/>
      <c r="R342" s="189"/>
      <c r="S342" s="149"/>
      <c r="T342" s="189"/>
      <c r="U342" s="194"/>
      <c r="V342" s="194"/>
      <c r="W342" s="194"/>
      <c r="X342" s="194"/>
      <c r="Y342" s="194"/>
      <c r="Z342" s="194"/>
      <c r="AA342" s="194"/>
    </row>
    <row r="343" ht="15.75" customHeight="1">
      <c r="A343" s="241"/>
      <c r="B343" s="224"/>
      <c r="C343" s="220"/>
      <c r="D343" s="221"/>
      <c r="E343" s="222"/>
      <c r="F343" s="223"/>
      <c r="G343" s="143"/>
      <c r="H343" s="143"/>
      <c r="I343" s="143"/>
      <c r="J343" s="143"/>
      <c r="K343" s="182"/>
      <c r="L343" s="143"/>
      <c r="M343" s="182"/>
      <c r="N343" s="149"/>
      <c r="O343" s="189"/>
      <c r="P343" s="149"/>
      <c r="Q343" s="149"/>
      <c r="R343" s="189"/>
      <c r="S343" s="149"/>
      <c r="T343" s="189"/>
      <c r="U343" s="194"/>
      <c r="V343" s="194"/>
      <c r="W343" s="194"/>
      <c r="X343" s="194"/>
      <c r="Y343" s="194"/>
      <c r="Z343" s="194"/>
      <c r="AA343" s="194"/>
    </row>
    <row r="344" ht="15.75" customHeight="1">
      <c r="A344" s="241"/>
      <c r="B344" s="224"/>
      <c r="C344" s="220"/>
      <c r="D344" s="221"/>
      <c r="E344" s="222"/>
      <c r="F344" s="223"/>
      <c r="G344" s="143"/>
      <c r="H344" s="143"/>
      <c r="I344" s="143"/>
      <c r="J344" s="143"/>
      <c r="K344" s="182"/>
      <c r="L344" s="143"/>
      <c r="M344" s="182"/>
      <c r="N344" s="149"/>
      <c r="O344" s="189"/>
      <c r="P344" s="149"/>
      <c r="Q344" s="149"/>
      <c r="R344" s="189"/>
      <c r="S344" s="149"/>
      <c r="T344" s="189"/>
      <c r="U344" s="194"/>
      <c r="V344" s="194"/>
      <c r="W344" s="194"/>
      <c r="X344" s="194"/>
      <c r="Y344" s="194"/>
      <c r="Z344" s="194"/>
      <c r="AA344" s="194"/>
    </row>
    <row r="345" ht="15.75" customHeight="1">
      <c r="A345" s="241"/>
      <c r="B345" s="224"/>
      <c r="C345" s="220"/>
      <c r="D345" s="221"/>
      <c r="E345" s="222"/>
      <c r="F345" s="223"/>
      <c r="G345" s="143"/>
      <c r="H345" s="143"/>
      <c r="I345" s="143"/>
      <c r="J345" s="143"/>
      <c r="K345" s="182"/>
      <c r="L345" s="143"/>
      <c r="M345" s="182"/>
      <c r="N345" s="149"/>
      <c r="O345" s="189"/>
      <c r="P345" s="149"/>
      <c r="Q345" s="149"/>
      <c r="R345" s="189"/>
      <c r="S345" s="149"/>
      <c r="T345" s="189"/>
      <c r="U345" s="194"/>
      <c r="V345" s="194"/>
      <c r="W345" s="194"/>
      <c r="X345" s="194"/>
      <c r="Y345" s="194"/>
      <c r="Z345" s="194"/>
      <c r="AA345" s="194"/>
    </row>
    <row r="346" ht="15.75" customHeight="1">
      <c r="A346" s="241"/>
      <c r="B346" s="224"/>
      <c r="C346" s="220"/>
      <c r="D346" s="221"/>
      <c r="E346" s="222"/>
      <c r="F346" s="223"/>
      <c r="G346" s="143"/>
      <c r="H346" s="143"/>
      <c r="I346" s="143"/>
      <c r="J346" s="143"/>
      <c r="K346" s="182"/>
      <c r="L346" s="143"/>
      <c r="M346" s="182"/>
      <c r="N346" s="149"/>
      <c r="O346" s="189"/>
      <c r="P346" s="149"/>
      <c r="Q346" s="149"/>
      <c r="R346" s="189"/>
      <c r="S346" s="149"/>
      <c r="T346" s="189"/>
      <c r="U346" s="194"/>
      <c r="V346" s="194"/>
      <c r="W346" s="194"/>
      <c r="X346" s="194"/>
      <c r="Y346" s="194"/>
      <c r="Z346" s="194"/>
      <c r="AA346" s="194"/>
    </row>
    <row r="347" ht="15.75" customHeight="1">
      <c r="A347" s="241"/>
      <c r="B347" s="224"/>
      <c r="C347" s="220"/>
      <c r="D347" s="221"/>
      <c r="E347" s="222"/>
      <c r="F347" s="223"/>
      <c r="G347" s="143"/>
      <c r="H347" s="143"/>
      <c r="I347" s="143"/>
      <c r="J347" s="143"/>
      <c r="K347" s="182"/>
      <c r="L347" s="143"/>
      <c r="M347" s="182"/>
      <c r="N347" s="149"/>
      <c r="O347" s="189"/>
      <c r="P347" s="149"/>
      <c r="Q347" s="149"/>
      <c r="R347" s="189"/>
      <c r="S347" s="149"/>
      <c r="T347" s="189"/>
      <c r="U347" s="194"/>
      <c r="V347" s="194"/>
      <c r="W347" s="194"/>
      <c r="X347" s="194"/>
      <c r="Y347" s="194"/>
      <c r="Z347" s="194"/>
      <c r="AA347" s="194"/>
    </row>
    <row r="348" ht="15.75" customHeight="1">
      <c r="A348" s="241"/>
      <c r="B348" s="224"/>
      <c r="C348" s="220"/>
      <c r="D348" s="221"/>
      <c r="E348" s="222"/>
      <c r="F348" s="223"/>
      <c r="G348" s="143"/>
      <c r="H348" s="143"/>
      <c r="I348" s="143"/>
      <c r="J348" s="143"/>
      <c r="K348" s="182"/>
      <c r="L348" s="143"/>
      <c r="M348" s="182"/>
      <c r="N348" s="149"/>
      <c r="O348" s="189"/>
      <c r="P348" s="149"/>
      <c r="Q348" s="149"/>
      <c r="R348" s="189"/>
      <c r="S348" s="149"/>
      <c r="T348" s="189"/>
      <c r="U348" s="194"/>
      <c r="V348" s="194"/>
      <c r="W348" s="194"/>
      <c r="X348" s="194"/>
      <c r="Y348" s="194"/>
      <c r="Z348" s="194"/>
      <c r="AA348" s="194"/>
    </row>
    <row r="349" ht="15.75" customHeight="1">
      <c r="A349" s="241"/>
      <c r="B349" s="224"/>
      <c r="C349" s="220"/>
      <c r="D349" s="221"/>
      <c r="E349" s="222"/>
      <c r="F349" s="223"/>
      <c r="G349" s="143"/>
      <c r="H349" s="143"/>
      <c r="I349" s="143"/>
      <c r="J349" s="143"/>
      <c r="K349" s="182"/>
      <c r="L349" s="143"/>
      <c r="M349" s="182"/>
      <c r="N349" s="149"/>
      <c r="O349" s="189"/>
      <c r="P349" s="149"/>
      <c r="Q349" s="149"/>
      <c r="R349" s="189"/>
      <c r="S349" s="149"/>
      <c r="T349" s="189"/>
      <c r="U349" s="194"/>
      <c r="V349" s="194"/>
      <c r="W349" s="194"/>
      <c r="X349" s="194"/>
      <c r="Y349" s="194"/>
      <c r="Z349" s="194"/>
      <c r="AA349" s="194"/>
    </row>
    <row r="350" ht="15.75" customHeight="1">
      <c r="A350" s="241"/>
      <c r="B350" s="224"/>
      <c r="C350" s="220"/>
      <c r="D350" s="221"/>
      <c r="E350" s="222"/>
      <c r="F350" s="223"/>
      <c r="G350" s="143"/>
      <c r="H350" s="143"/>
      <c r="I350" s="143"/>
      <c r="J350" s="143"/>
      <c r="K350" s="182"/>
      <c r="L350" s="143"/>
      <c r="M350" s="182"/>
      <c r="N350" s="149"/>
      <c r="O350" s="189"/>
      <c r="P350" s="149"/>
      <c r="Q350" s="149"/>
      <c r="R350" s="189"/>
      <c r="S350" s="149"/>
      <c r="T350" s="189"/>
      <c r="U350" s="194"/>
      <c r="V350" s="194"/>
      <c r="W350" s="194"/>
      <c r="X350" s="194"/>
      <c r="Y350" s="194"/>
      <c r="Z350" s="194"/>
      <c r="AA350" s="194"/>
    </row>
    <row r="351" ht="15.75" customHeight="1">
      <c r="A351" s="241"/>
      <c r="B351" s="224"/>
      <c r="C351" s="220"/>
      <c r="D351" s="221"/>
      <c r="E351" s="222"/>
      <c r="F351" s="223"/>
      <c r="G351" s="143"/>
      <c r="H351" s="143"/>
      <c r="I351" s="143"/>
      <c r="J351" s="143"/>
      <c r="K351" s="182"/>
      <c r="L351" s="143"/>
      <c r="M351" s="182"/>
      <c r="N351" s="149"/>
      <c r="O351" s="189"/>
      <c r="P351" s="149"/>
      <c r="Q351" s="149"/>
      <c r="R351" s="189"/>
      <c r="S351" s="149"/>
      <c r="T351" s="189"/>
      <c r="U351" s="194"/>
      <c r="V351" s="194"/>
      <c r="W351" s="194"/>
      <c r="X351" s="194"/>
      <c r="Y351" s="194"/>
      <c r="Z351" s="194"/>
      <c r="AA351" s="194"/>
    </row>
    <row r="352" ht="15.75" customHeight="1">
      <c r="A352" s="241"/>
      <c r="B352" s="224"/>
      <c r="C352" s="220"/>
      <c r="D352" s="221"/>
      <c r="E352" s="222"/>
      <c r="F352" s="223"/>
      <c r="G352" s="143"/>
      <c r="H352" s="143"/>
      <c r="I352" s="143"/>
      <c r="J352" s="143"/>
      <c r="K352" s="182"/>
      <c r="L352" s="143"/>
      <c r="M352" s="182"/>
      <c r="N352" s="149"/>
      <c r="O352" s="189"/>
      <c r="P352" s="149"/>
      <c r="Q352" s="149"/>
      <c r="R352" s="189"/>
      <c r="S352" s="149"/>
      <c r="T352" s="189"/>
      <c r="U352" s="194"/>
      <c r="V352" s="194"/>
      <c r="W352" s="194"/>
      <c r="X352" s="194"/>
      <c r="Y352" s="194"/>
      <c r="Z352" s="194"/>
      <c r="AA352" s="194"/>
    </row>
    <row r="353" ht="15.75" customHeight="1">
      <c r="A353" s="241"/>
      <c r="B353" s="224"/>
      <c r="C353" s="220"/>
      <c r="D353" s="221"/>
      <c r="E353" s="222"/>
      <c r="F353" s="223"/>
      <c r="G353" s="143"/>
      <c r="H353" s="143"/>
      <c r="I353" s="143"/>
      <c r="J353" s="143"/>
      <c r="K353" s="182"/>
      <c r="L353" s="143"/>
      <c r="M353" s="182"/>
      <c r="N353" s="149"/>
      <c r="O353" s="189"/>
      <c r="P353" s="149"/>
      <c r="Q353" s="149"/>
      <c r="R353" s="189"/>
      <c r="S353" s="149"/>
      <c r="T353" s="189"/>
      <c r="U353" s="194"/>
      <c r="V353" s="194"/>
      <c r="W353" s="194"/>
      <c r="X353" s="194"/>
      <c r="Y353" s="194"/>
      <c r="Z353" s="194"/>
      <c r="AA353" s="194"/>
    </row>
    <row r="354" ht="15.75" customHeight="1">
      <c r="A354" s="241"/>
      <c r="B354" s="224"/>
      <c r="C354" s="220"/>
      <c r="D354" s="221"/>
      <c r="E354" s="222"/>
      <c r="F354" s="223"/>
      <c r="G354" s="143"/>
      <c r="H354" s="143"/>
      <c r="I354" s="143"/>
      <c r="J354" s="143"/>
      <c r="K354" s="182"/>
      <c r="L354" s="143"/>
      <c r="M354" s="182"/>
      <c r="N354" s="149"/>
      <c r="O354" s="189"/>
      <c r="P354" s="149"/>
      <c r="Q354" s="149"/>
      <c r="R354" s="189"/>
      <c r="S354" s="149"/>
      <c r="T354" s="189"/>
      <c r="U354" s="194"/>
      <c r="V354" s="194"/>
      <c r="W354" s="194"/>
      <c r="X354" s="194"/>
      <c r="Y354" s="194"/>
      <c r="Z354" s="194"/>
      <c r="AA354" s="194"/>
    </row>
    <row r="355" ht="15.75" customHeight="1">
      <c r="A355" s="241"/>
      <c r="B355" s="224"/>
      <c r="C355" s="220"/>
      <c r="D355" s="221"/>
      <c r="E355" s="222"/>
      <c r="F355" s="223"/>
      <c r="G355" s="143"/>
      <c r="H355" s="143"/>
      <c r="I355" s="143"/>
      <c r="J355" s="143"/>
      <c r="K355" s="182"/>
      <c r="L355" s="143"/>
      <c r="M355" s="182"/>
      <c r="N355" s="149"/>
      <c r="O355" s="189"/>
      <c r="P355" s="149"/>
      <c r="Q355" s="149"/>
      <c r="R355" s="189"/>
      <c r="S355" s="149"/>
      <c r="T355" s="189"/>
      <c r="U355" s="194"/>
      <c r="V355" s="194"/>
      <c r="W355" s="194"/>
      <c r="X355" s="194"/>
      <c r="Y355" s="194"/>
      <c r="Z355" s="194"/>
      <c r="AA355" s="194"/>
    </row>
    <row r="356" ht="15.75" customHeight="1">
      <c r="A356" s="241"/>
      <c r="B356" s="224"/>
      <c r="C356" s="220"/>
      <c r="D356" s="221"/>
      <c r="E356" s="222"/>
      <c r="F356" s="223"/>
      <c r="G356" s="143"/>
      <c r="H356" s="143"/>
      <c r="I356" s="143"/>
      <c r="J356" s="143"/>
      <c r="K356" s="182"/>
      <c r="L356" s="143"/>
      <c r="M356" s="182"/>
      <c r="N356" s="149"/>
      <c r="O356" s="189"/>
      <c r="P356" s="149"/>
      <c r="Q356" s="149"/>
      <c r="R356" s="189"/>
      <c r="S356" s="149"/>
      <c r="T356" s="189"/>
      <c r="U356" s="194"/>
      <c r="V356" s="194"/>
      <c r="W356" s="194"/>
      <c r="X356" s="194"/>
      <c r="Y356" s="194"/>
      <c r="Z356" s="194"/>
      <c r="AA356" s="194"/>
    </row>
    <row r="357" ht="15.75" customHeight="1">
      <c r="A357" s="241"/>
      <c r="B357" s="224"/>
      <c r="C357" s="220"/>
      <c r="D357" s="221"/>
      <c r="E357" s="222"/>
      <c r="F357" s="223"/>
      <c r="G357" s="143"/>
      <c r="H357" s="143"/>
      <c r="I357" s="143"/>
      <c r="J357" s="143"/>
      <c r="K357" s="182"/>
      <c r="L357" s="143"/>
      <c r="M357" s="182"/>
      <c r="N357" s="149"/>
      <c r="O357" s="189"/>
      <c r="P357" s="149"/>
      <c r="Q357" s="149"/>
      <c r="R357" s="189"/>
      <c r="S357" s="149"/>
      <c r="T357" s="189"/>
      <c r="U357" s="194"/>
      <c r="V357" s="194"/>
      <c r="W357" s="194"/>
      <c r="X357" s="194"/>
      <c r="Y357" s="194"/>
      <c r="Z357" s="194"/>
      <c r="AA357" s="194"/>
    </row>
    <row r="358" ht="15.75" customHeight="1">
      <c r="A358" s="241"/>
      <c r="B358" s="224"/>
      <c r="C358" s="220"/>
      <c r="D358" s="221"/>
      <c r="E358" s="222"/>
      <c r="F358" s="223"/>
      <c r="G358" s="143"/>
      <c r="H358" s="143"/>
      <c r="I358" s="143"/>
      <c r="J358" s="143"/>
      <c r="K358" s="182"/>
      <c r="L358" s="143"/>
      <c r="M358" s="182"/>
      <c r="N358" s="149"/>
      <c r="O358" s="189"/>
      <c r="P358" s="149"/>
      <c r="Q358" s="149"/>
      <c r="R358" s="189"/>
      <c r="S358" s="149"/>
      <c r="T358" s="189"/>
      <c r="U358" s="194"/>
      <c r="V358" s="194"/>
      <c r="W358" s="194"/>
      <c r="X358" s="194"/>
      <c r="Y358" s="194"/>
      <c r="Z358" s="194"/>
      <c r="AA358" s="194"/>
    </row>
    <row r="359" ht="15.75" customHeight="1">
      <c r="A359" s="241"/>
      <c r="B359" s="224"/>
      <c r="C359" s="220"/>
      <c r="D359" s="221"/>
      <c r="E359" s="222"/>
      <c r="F359" s="223"/>
      <c r="G359" s="143"/>
      <c r="H359" s="143"/>
      <c r="I359" s="143"/>
      <c r="J359" s="143"/>
      <c r="K359" s="182"/>
      <c r="L359" s="143"/>
      <c r="M359" s="182"/>
      <c r="N359" s="149"/>
      <c r="O359" s="189"/>
      <c r="P359" s="149"/>
      <c r="Q359" s="149"/>
      <c r="R359" s="189"/>
      <c r="S359" s="149"/>
      <c r="T359" s="189"/>
      <c r="U359" s="194"/>
      <c r="V359" s="194"/>
      <c r="W359" s="194"/>
      <c r="X359" s="194"/>
      <c r="Y359" s="194"/>
      <c r="Z359" s="194"/>
      <c r="AA359" s="194"/>
    </row>
    <row r="360" ht="15.75" customHeight="1">
      <c r="A360" s="241"/>
      <c r="B360" s="224"/>
      <c r="C360" s="220"/>
      <c r="D360" s="221"/>
      <c r="E360" s="222"/>
      <c r="F360" s="223"/>
      <c r="G360" s="143"/>
      <c r="H360" s="143"/>
      <c r="I360" s="143"/>
      <c r="J360" s="143"/>
      <c r="K360" s="182"/>
      <c r="L360" s="143"/>
      <c r="M360" s="182"/>
      <c r="N360" s="149"/>
      <c r="O360" s="189"/>
      <c r="P360" s="149"/>
      <c r="Q360" s="149"/>
      <c r="R360" s="189"/>
      <c r="S360" s="149"/>
      <c r="T360" s="189"/>
      <c r="U360" s="194"/>
      <c r="V360" s="194"/>
      <c r="W360" s="194"/>
      <c r="X360" s="194"/>
      <c r="Y360" s="194"/>
      <c r="Z360" s="194"/>
      <c r="AA360" s="194"/>
    </row>
    <row r="361" ht="15.75" customHeight="1">
      <c r="A361" s="241"/>
      <c r="B361" s="224"/>
      <c r="C361" s="220"/>
      <c r="D361" s="221"/>
      <c r="E361" s="222"/>
      <c r="F361" s="223"/>
      <c r="G361" s="143"/>
      <c r="H361" s="143"/>
      <c r="I361" s="143"/>
      <c r="J361" s="143"/>
      <c r="K361" s="182"/>
      <c r="L361" s="143"/>
      <c r="M361" s="182"/>
      <c r="N361" s="149"/>
      <c r="O361" s="189"/>
      <c r="P361" s="149"/>
      <c r="Q361" s="149"/>
      <c r="R361" s="189"/>
      <c r="S361" s="149"/>
      <c r="T361" s="189"/>
      <c r="U361" s="194"/>
      <c r="V361" s="194"/>
      <c r="W361" s="194"/>
      <c r="X361" s="194"/>
      <c r="Y361" s="194"/>
      <c r="Z361" s="194"/>
      <c r="AA361" s="194"/>
    </row>
    <row r="362" ht="15.75" customHeight="1">
      <c r="A362" s="241"/>
      <c r="B362" s="224"/>
      <c r="C362" s="220"/>
      <c r="D362" s="221"/>
      <c r="E362" s="222"/>
      <c r="F362" s="223"/>
      <c r="G362" s="143"/>
      <c r="H362" s="143"/>
      <c r="I362" s="143"/>
      <c r="J362" s="143"/>
      <c r="K362" s="182"/>
      <c r="L362" s="143"/>
      <c r="M362" s="182"/>
      <c r="N362" s="149"/>
      <c r="O362" s="189"/>
      <c r="P362" s="149"/>
      <c r="Q362" s="149"/>
      <c r="R362" s="189"/>
      <c r="S362" s="149"/>
      <c r="T362" s="189"/>
      <c r="U362" s="194"/>
      <c r="V362" s="194"/>
      <c r="W362" s="194"/>
      <c r="X362" s="194"/>
      <c r="Y362" s="194"/>
      <c r="Z362" s="194"/>
      <c r="AA362" s="194"/>
    </row>
    <row r="363" ht="15.75" customHeight="1">
      <c r="A363" s="241"/>
      <c r="B363" s="224"/>
      <c r="C363" s="220"/>
      <c r="D363" s="221"/>
      <c r="E363" s="222"/>
      <c r="F363" s="223"/>
      <c r="G363" s="143"/>
      <c r="H363" s="143"/>
      <c r="I363" s="143"/>
      <c r="J363" s="143"/>
      <c r="K363" s="182"/>
      <c r="L363" s="143"/>
      <c r="M363" s="182"/>
      <c r="N363" s="149"/>
      <c r="O363" s="189"/>
      <c r="P363" s="149"/>
      <c r="Q363" s="149"/>
      <c r="R363" s="189"/>
      <c r="S363" s="149"/>
      <c r="T363" s="189"/>
      <c r="U363" s="194"/>
      <c r="V363" s="194"/>
      <c r="W363" s="194"/>
      <c r="X363" s="194"/>
      <c r="Y363" s="194"/>
      <c r="Z363" s="194"/>
      <c r="AA363" s="194"/>
    </row>
    <row r="364" ht="15.75" customHeight="1">
      <c r="A364" s="241"/>
      <c r="B364" s="224"/>
      <c r="C364" s="220"/>
      <c r="D364" s="221"/>
      <c r="E364" s="222"/>
      <c r="F364" s="223"/>
      <c r="G364" s="143"/>
      <c r="H364" s="143"/>
      <c r="I364" s="143"/>
      <c r="J364" s="143"/>
      <c r="K364" s="182"/>
      <c r="L364" s="143"/>
      <c r="M364" s="182"/>
      <c r="N364" s="149"/>
      <c r="O364" s="189"/>
      <c r="P364" s="149"/>
      <c r="Q364" s="149"/>
      <c r="R364" s="189"/>
      <c r="S364" s="149"/>
      <c r="T364" s="189"/>
      <c r="U364" s="194"/>
      <c r="V364" s="194"/>
      <c r="W364" s="194"/>
      <c r="X364" s="194"/>
      <c r="Y364" s="194"/>
      <c r="Z364" s="194"/>
      <c r="AA364" s="194"/>
    </row>
    <row r="365" ht="15.75" customHeight="1">
      <c r="A365" s="241"/>
      <c r="B365" s="224"/>
      <c r="C365" s="220"/>
      <c r="D365" s="221"/>
      <c r="E365" s="222"/>
      <c r="F365" s="223"/>
      <c r="G365" s="143"/>
      <c r="H365" s="143"/>
      <c r="I365" s="143"/>
      <c r="J365" s="143"/>
      <c r="K365" s="182"/>
      <c r="L365" s="143"/>
      <c r="M365" s="182"/>
      <c r="N365" s="149"/>
      <c r="O365" s="189"/>
      <c r="P365" s="149"/>
      <c r="Q365" s="149"/>
      <c r="R365" s="189"/>
      <c r="S365" s="149"/>
      <c r="T365" s="189"/>
      <c r="U365" s="194"/>
      <c r="V365" s="194"/>
      <c r="W365" s="194"/>
      <c r="X365" s="194"/>
      <c r="Y365" s="194"/>
      <c r="Z365" s="194"/>
      <c r="AA365" s="194"/>
    </row>
    <row r="366" ht="15.75" customHeight="1">
      <c r="A366" s="241"/>
      <c r="B366" s="224"/>
      <c r="C366" s="220"/>
      <c r="D366" s="221"/>
      <c r="E366" s="222"/>
      <c r="F366" s="223"/>
      <c r="G366" s="143"/>
      <c r="H366" s="143"/>
      <c r="I366" s="143"/>
      <c r="J366" s="143"/>
      <c r="K366" s="182"/>
      <c r="L366" s="143"/>
      <c r="M366" s="182"/>
      <c r="N366" s="149"/>
      <c r="O366" s="189"/>
      <c r="P366" s="149"/>
      <c r="Q366" s="149"/>
      <c r="R366" s="189"/>
      <c r="S366" s="149"/>
      <c r="T366" s="189"/>
      <c r="U366" s="194"/>
      <c r="V366" s="194"/>
      <c r="W366" s="194"/>
      <c r="X366" s="194"/>
      <c r="Y366" s="194"/>
      <c r="Z366" s="194"/>
      <c r="AA366" s="194"/>
    </row>
    <row r="367" ht="15.75" customHeight="1">
      <c r="A367" s="241"/>
      <c r="B367" s="224"/>
      <c r="C367" s="220"/>
      <c r="D367" s="221"/>
      <c r="E367" s="222"/>
      <c r="F367" s="223"/>
      <c r="G367" s="143"/>
      <c r="H367" s="143"/>
      <c r="I367" s="143"/>
      <c r="J367" s="143"/>
      <c r="K367" s="182"/>
      <c r="L367" s="143"/>
      <c r="M367" s="182"/>
      <c r="N367" s="149"/>
      <c r="O367" s="189"/>
      <c r="P367" s="149"/>
      <c r="Q367" s="149"/>
      <c r="R367" s="189"/>
      <c r="S367" s="149"/>
      <c r="T367" s="189"/>
      <c r="U367" s="194"/>
      <c r="V367" s="194"/>
      <c r="W367" s="194"/>
      <c r="X367" s="194"/>
      <c r="Y367" s="194"/>
      <c r="Z367" s="194"/>
      <c r="AA367" s="194"/>
    </row>
    <row r="368" ht="15.75" customHeight="1">
      <c r="A368" s="241"/>
      <c r="B368" s="224"/>
      <c r="C368" s="220"/>
      <c r="D368" s="221"/>
      <c r="E368" s="222"/>
      <c r="F368" s="223"/>
      <c r="G368" s="143"/>
      <c r="H368" s="143"/>
      <c r="I368" s="143"/>
      <c r="J368" s="143"/>
      <c r="K368" s="182"/>
      <c r="L368" s="143"/>
      <c r="M368" s="182"/>
      <c r="N368" s="149"/>
      <c r="O368" s="189"/>
      <c r="P368" s="149"/>
      <c r="Q368" s="149"/>
      <c r="R368" s="189"/>
      <c r="S368" s="149"/>
      <c r="T368" s="189"/>
      <c r="U368" s="194"/>
      <c r="V368" s="194"/>
      <c r="W368" s="194"/>
      <c r="X368" s="194"/>
      <c r="Y368" s="194"/>
      <c r="Z368" s="194"/>
      <c r="AA368" s="194"/>
    </row>
    <row r="369" ht="15.75" customHeight="1">
      <c r="A369" s="241"/>
      <c r="B369" s="224"/>
      <c r="C369" s="220"/>
      <c r="D369" s="221"/>
      <c r="E369" s="222"/>
      <c r="F369" s="223"/>
      <c r="G369" s="143"/>
      <c r="H369" s="143"/>
      <c r="I369" s="143"/>
      <c r="J369" s="143"/>
      <c r="K369" s="182"/>
      <c r="L369" s="143"/>
      <c r="M369" s="182"/>
      <c r="N369" s="149"/>
      <c r="O369" s="189"/>
      <c r="P369" s="149"/>
      <c r="Q369" s="149"/>
      <c r="R369" s="189"/>
      <c r="S369" s="149"/>
      <c r="T369" s="189"/>
      <c r="U369" s="194"/>
      <c r="V369" s="194"/>
      <c r="W369" s="194"/>
      <c r="X369" s="194"/>
      <c r="Y369" s="194"/>
      <c r="Z369" s="194"/>
      <c r="AA369" s="194"/>
    </row>
    <row r="370" ht="15.75" customHeight="1">
      <c r="A370" s="241"/>
      <c r="B370" s="224"/>
      <c r="C370" s="220"/>
      <c r="D370" s="221"/>
      <c r="E370" s="222"/>
      <c r="F370" s="223"/>
      <c r="G370" s="143"/>
      <c r="H370" s="143"/>
      <c r="I370" s="143"/>
      <c r="J370" s="143"/>
      <c r="K370" s="182"/>
      <c r="L370" s="143"/>
      <c r="M370" s="182"/>
      <c r="N370" s="149"/>
      <c r="O370" s="189"/>
      <c r="P370" s="149"/>
      <c r="Q370" s="149"/>
      <c r="R370" s="189"/>
      <c r="S370" s="149"/>
      <c r="T370" s="189"/>
      <c r="U370" s="194"/>
      <c r="V370" s="194"/>
      <c r="W370" s="194"/>
      <c r="X370" s="194"/>
      <c r="Y370" s="194"/>
      <c r="Z370" s="194"/>
      <c r="AA370" s="194"/>
    </row>
    <row r="371" ht="15.75" customHeight="1">
      <c r="A371" s="241"/>
      <c r="B371" s="224"/>
      <c r="C371" s="220"/>
      <c r="D371" s="221"/>
      <c r="E371" s="222"/>
      <c r="F371" s="223"/>
      <c r="G371" s="143"/>
      <c r="H371" s="143"/>
      <c r="I371" s="143"/>
      <c r="J371" s="143"/>
      <c r="K371" s="182"/>
      <c r="L371" s="143"/>
      <c r="M371" s="182"/>
      <c r="N371" s="149"/>
      <c r="O371" s="189"/>
      <c r="P371" s="149"/>
      <c r="Q371" s="149"/>
      <c r="R371" s="189"/>
      <c r="S371" s="149"/>
      <c r="T371" s="189"/>
      <c r="U371" s="194"/>
      <c r="V371" s="194"/>
      <c r="W371" s="194"/>
      <c r="X371" s="194"/>
      <c r="Y371" s="194"/>
      <c r="Z371" s="194"/>
      <c r="AA371" s="194"/>
    </row>
    <row r="372" ht="15.75" customHeight="1">
      <c r="A372" s="241"/>
      <c r="B372" s="224"/>
      <c r="C372" s="220"/>
      <c r="D372" s="221"/>
      <c r="E372" s="222"/>
      <c r="F372" s="223"/>
      <c r="G372" s="143"/>
      <c r="H372" s="143"/>
      <c r="I372" s="143"/>
      <c r="J372" s="143"/>
      <c r="K372" s="182"/>
      <c r="L372" s="143"/>
      <c r="M372" s="182"/>
      <c r="N372" s="149"/>
      <c r="O372" s="189"/>
      <c r="P372" s="149"/>
      <c r="Q372" s="149"/>
      <c r="R372" s="189"/>
      <c r="S372" s="149"/>
      <c r="T372" s="189"/>
      <c r="U372" s="194"/>
      <c r="V372" s="194"/>
      <c r="W372" s="194"/>
      <c r="X372" s="194"/>
      <c r="Y372" s="194"/>
      <c r="Z372" s="194"/>
      <c r="AA372" s="194"/>
    </row>
    <row r="373" ht="15.75" customHeight="1">
      <c r="A373" s="241"/>
      <c r="B373" s="224"/>
      <c r="C373" s="220"/>
      <c r="D373" s="221"/>
      <c r="E373" s="222"/>
      <c r="F373" s="223"/>
      <c r="G373" s="143"/>
      <c r="H373" s="143"/>
      <c r="I373" s="143"/>
      <c r="J373" s="143"/>
      <c r="K373" s="182"/>
      <c r="L373" s="143"/>
      <c r="M373" s="182"/>
      <c r="N373" s="149"/>
      <c r="O373" s="189"/>
      <c r="P373" s="149"/>
      <c r="Q373" s="149"/>
      <c r="R373" s="189"/>
      <c r="S373" s="149"/>
      <c r="T373" s="189"/>
      <c r="U373" s="194"/>
      <c r="V373" s="194"/>
      <c r="W373" s="194"/>
      <c r="X373" s="194"/>
      <c r="Y373" s="194"/>
      <c r="Z373" s="194"/>
      <c r="AA373" s="194"/>
    </row>
    <row r="374" ht="15.75" customHeight="1">
      <c r="A374" s="241"/>
      <c r="B374" s="224"/>
      <c r="C374" s="220"/>
      <c r="D374" s="221"/>
      <c r="E374" s="222"/>
      <c r="F374" s="223"/>
      <c r="G374" s="143"/>
      <c r="H374" s="143"/>
      <c r="I374" s="143"/>
      <c r="J374" s="143"/>
      <c r="K374" s="182"/>
      <c r="L374" s="143"/>
      <c r="M374" s="182"/>
      <c r="N374" s="149"/>
      <c r="O374" s="189"/>
      <c r="P374" s="149"/>
      <c r="Q374" s="149"/>
      <c r="R374" s="189"/>
      <c r="S374" s="149"/>
      <c r="T374" s="189"/>
      <c r="U374" s="194"/>
      <c r="V374" s="194"/>
      <c r="W374" s="194"/>
      <c r="X374" s="194"/>
      <c r="Y374" s="194"/>
      <c r="Z374" s="194"/>
      <c r="AA374" s="194"/>
    </row>
    <row r="375" ht="15.75" customHeight="1">
      <c r="A375" s="241"/>
      <c r="B375" s="224"/>
      <c r="C375" s="220"/>
      <c r="D375" s="221"/>
      <c r="E375" s="222"/>
      <c r="F375" s="223"/>
      <c r="G375" s="143"/>
      <c r="H375" s="143"/>
      <c r="I375" s="143"/>
      <c r="J375" s="143"/>
      <c r="K375" s="182"/>
      <c r="L375" s="143"/>
      <c r="M375" s="182"/>
      <c r="N375" s="149"/>
      <c r="O375" s="189"/>
      <c r="P375" s="149"/>
      <c r="Q375" s="149"/>
      <c r="R375" s="189"/>
      <c r="S375" s="149"/>
      <c r="T375" s="189"/>
      <c r="U375" s="194"/>
      <c r="V375" s="194"/>
      <c r="W375" s="194"/>
      <c r="X375" s="194"/>
      <c r="Y375" s="194"/>
      <c r="Z375" s="194"/>
      <c r="AA375" s="194"/>
    </row>
    <row r="376" ht="15.75" customHeight="1">
      <c r="A376" s="241"/>
      <c r="B376" s="224"/>
      <c r="C376" s="220"/>
      <c r="D376" s="221"/>
      <c r="E376" s="222"/>
      <c r="F376" s="223"/>
      <c r="G376" s="143"/>
      <c r="H376" s="143"/>
      <c r="I376" s="143"/>
      <c r="J376" s="143"/>
      <c r="K376" s="182"/>
      <c r="L376" s="143"/>
      <c r="M376" s="182"/>
      <c r="N376" s="149"/>
      <c r="O376" s="189"/>
      <c r="P376" s="149"/>
      <c r="Q376" s="149"/>
      <c r="R376" s="189"/>
      <c r="S376" s="149"/>
      <c r="T376" s="189"/>
      <c r="U376" s="194"/>
      <c r="V376" s="194"/>
      <c r="W376" s="194"/>
      <c r="X376" s="194"/>
      <c r="Y376" s="194"/>
      <c r="Z376" s="194"/>
      <c r="AA376" s="194"/>
    </row>
    <row r="377" ht="15.75" customHeight="1">
      <c r="A377" s="241"/>
      <c r="B377" s="224"/>
      <c r="C377" s="220"/>
      <c r="D377" s="221"/>
      <c r="E377" s="222"/>
      <c r="F377" s="223"/>
      <c r="G377" s="143"/>
      <c r="H377" s="143"/>
      <c r="I377" s="143"/>
      <c r="J377" s="143"/>
      <c r="K377" s="182"/>
      <c r="L377" s="143"/>
      <c r="M377" s="182"/>
      <c r="N377" s="149"/>
      <c r="O377" s="189"/>
      <c r="P377" s="149"/>
      <c r="Q377" s="149"/>
      <c r="R377" s="189"/>
      <c r="S377" s="149"/>
      <c r="T377" s="189"/>
      <c r="U377" s="194"/>
      <c r="V377" s="194"/>
      <c r="W377" s="194"/>
      <c r="X377" s="194"/>
      <c r="Y377" s="194"/>
      <c r="Z377" s="194"/>
      <c r="AA377" s="194"/>
    </row>
    <row r="378" ht="15.75" customHeight="1">
      <c r="A378" s="241"/>
      <c r="B378" s="224"/>
      <c r="C378" s="220"/>
      <c r="D378" s="221"/>
      <c r="E378" s="222"/>
      <c r="F378" s="223"/>
      <c r="G378" s="143"/>
      <c r="H378" s="143"/>
      <c r="I378" s="143"/>
      <c r="J378" s="143"/>
      <c r="K378" s="182"/>
      <c r="L378" s="143"/>
      <c r="M378" s="182"/>
      <c r="N378" s="149"/>
      <c r="O378" s="189"/>
      <c r="P378" s="149"/>
      <c r="Q378" s="149"/>
      <c r="R378" s="189"/>
      <c r="S378" s="149"/>
      <c r="T378" s="189"/>
      <c r="U378" s="194"/>
      <c r="V378" s="194"/>
      <c r="W378" s="194"/>
      <c r="X378" s="194"/>
      <c r="Y378" s="194"/>
      <c r="Z378" s="194"/>
      <c r="AA378" s="194"/>
    </row>
    <row r="379" ht="15.75" customHeight="1">
      <c r="A379" s="241"/>
      <c r="B379" s="224"/>
      <c r="C379" s="220"/>
      <c r="D379" s="221"/>
      <c r="E379" s="222"/>
      <c r="F379" s="223"/>
      <c r="G379" s="143"/>
      <c r="H379" s="143"/>
      <c r="I379" s="143"/>
      <c r="J379" s="143"/>
      <c r="K379" s="182"/>
      <c r="L379" s="143"/>
      <c r="M379" s="182"/>
      <c r="N379" s="149"/>
      <c r="O379" s="189"/>
      <c r="P379" s="149"/>
      <c r="Q379" s="149"/>
      <c r="R379" s="189"/>
      <c r="S379" s="149"/>
      <c r="T379" s="189"/>
      <c r="U379" s="194"/>
      <c r="V379" s="194"/>
      <c r="W379" s="194"/>
      <c r="X379" s="194"/>
      <c r="Y379" s="194"/>
      <c r="Z379" s="194"/>
      <c r="AA379" s="194"/>
    </row>
    <row r="380" ht="15.75" customHeight="1">
      <c r="A380" s="241"/>
      <c r="B380" s="224"/>
      <c r="C380" s="220"/>
      <c r="D380" s="221"/>
      <c r="E380" s="222"/>
      <c r="F380" s="223"/>
      <c r="G380" s="143"/>
      <c r="H380" s="143"/>
      <c r="I380" s="143"/>
      <c r="J380" s="143"/>
      <c r="K380" s="182"/>
      <c r="L380" s="143"/>
      <c r="M380" s="182"/>
      <c r="N380" s="149"/>
      <c r="O380" s="189"/>
      <c r="P380" s="149"/>
      <c r="Q380" s="149"/>
      <c r="R380" s="189"/>
      <c r="S380" s="149"/>
      <c r="T380" s="189"/>
      <c r="U380" s="194"/>
      <c r="V380" s="194"/>
      <c r="W380" s="194"/>
      <c r="X380" s="194"/>
      <c r="Y380" s="194"/>
      <c r="Z380" s="194"/>
      <c r="AA380" s="194"/>
    </row>
    <row r="381" ht="15.75" customHeight="1">
      <c r="A381" s="241"/>
      <c r="B381" s="224"/>
      <c r="C381" s="220"/>
      <c r="D381" s="221"/>
      <c r="E381" s="222"/>
      <c r="F381" s="223"/>
      <c r="G381" s="143"/>
      <c r="H381" s="143"/>
      <c r="I381" s="143"/>
      <c r="J381" s="143"/>
      <c r="K381" s="182"/>
      <c r="L381" s="143"/>
      <c r="M381" s="182"/>
      <c r="N381" s="149"/>
      <c r="O381" s="189"/>
      <c r="P381" s="149"/>
      <c r="Q381" s="149"/>
      <c r="R381" s="189"/>
      <c r="S381" s="149"/>
      <c r="T381" s="189"/>
      <c r="U381" s="194"/>
      <c r="V381" s="194"/>
      <c r="W381" s="194"/>
      <c r="X381" s="194"/>
      <c r="Y381" s="194"/>
      <c r="Z381" s="194"/>
      <c r="AA381" s="194"/>
    </row>
    <row r="382" ht="15.75" customHeight="1">
      <c r="A382" s="241"/>
      <c r="B382" s="224"/>
      <c r="C382" s="220"/>
      <c r="D382" s="221"/>
      <c r="E382" s="222"/>
      <c r="F382" s="223"/>
      <c r="G382" s="143"/>
      <c r="H382" s="143"/>
      <c r="I382" s="143"/>
      <c r="J382" s="143"/>
      <c r="K382" s="182"/>
      <c r="L382" s="143"/>
      <c r="M382" s="182"/>
      <c r="N382" s="149"/>
      <c r="O382" s="189"/>
      <c r="P382" s="149"/>
      <c r="Q382" s="149"/>
      <c r="R382" s="189"/>
      <c r="S382" s="149"/>
      <c r="T382" s="189"/>
      <c r="U382" s="194"/>
      <c r="V382" s="194"/>
      <c r="W382" s="194"/>
      <c r="X382" s="194"/>
      <c r="Y382" s="194"/>
      <c r="Z382" s="194"/>
      <c r="AA382" s="194"/>
    </row>
    <row r="383" ht="15.75" customHeight="1">
      <c r="A383" s="241"/>
      <c r="B383" s="224"/>
      <c r="C383" s="220"/>
      <c r="D383" s="221"/>
      <c r="E383" s="222"/>
      <c r="F383" s="223"/>
      <c r="G383" s="143"/>
      <c r="H383" s="143"/>
      <c r="I383" s="143"/>
      <c r="J383" s="143"/>
      <c r="K383" s="182"/>
      <c r="L383" s="143"/>
      <c r="M383" s="182"/>
      <c r="N383" s="149"/>
      <c r="O383" s="189"/>
      <c r="P383" s="149"/>
      <c r="Q383" s="149"/>
      <c r="R383" s="189"/>
      <c r="S383" s="149"/>
      <c r="T383" s="189"/>
      <c r="U383" s="194"/>
      <c r="V383" s="194"/>
      <c r="W383" s="194"/>
      <c r="X383" s="194"/>
      <c r="Y383" s="194"/>
      <c r="Z383" s="194"/>
      <c r="AA383" s="194"/>
    </row>
    <row r="384" ht="15.75" customHeight="1">
      <c r="A384" s="241"/>
      <c r="B384" s="224"/>
      <c r="C384" s="220"/>
      <c r="D384" s="221"/>
      <c r="E384" s="222"/>
      <c r="F384" s="223"/>
      <c r="G384" s="143"/>
      <c r="H384" s="143"/>
      <c r="I384" s="143"/>
      <c r="J384" s="143"/>
      <c r="K384" s="182"/>
      <c r="L384" s="143"/>
      <c r="M384" s="182"/>
      <c r="N384" s="149"/>
      <c r="O384" s="189"/>
      <c r="P384" s="149"/>
      <c r="Q384" s="149"/>
      <c r="R384" s="189"/>
      <c r="S384" s="149"/>
      <c r="T384" s="189"/>
      <c r="U384" s="194"/>
      <c r="V384" s="194"/>
      <c r="W384" s="194"/>
      <c r="X384" s="194"/>
      <c r="Y384" s="194"/>
      <c r="Z384" s="194"/>
      <c r="AA384" s="194"/>
    </row>
    <row r="385" ht="15.75" customHeight="1">
      <c r="A385" s="241"/>
      <c r="B385" s="224"/>
      <c r="C385" s="220"/>
      <c r="D385" s="221"/>
      <c r="E385" s="222"/>
      <c r="F385" s="223"/>
      <c r="G385" s="143"/>
      <c r="H385" s="143"/>
      <c r="I385" s="143"/>
      <c r="J385" s="143"/>
      <c r="K385" s="182"/>
      <c r="L385" s="143"/>
      <c r="M385" s="182"/>
      <c r="N385" s="149"/>
      <c r="O385" s="189"/>
      <c r="P385" s="149"/>
      <c r="Q385" s="149"/>
      <c r="R385" s="189"/>
      <c r="S385" s="149"/>
      <c r="T385" s="189"/>
      <c r="U385" s="194"/>
      <c r="V385" s="194"/>
      <c r="W385" s="194"/>
      <c r="X385" s="194"/>
      <c r="Y385" s="194"/>
      <c r="Z385" s="194"/>
      <c r="AA385" s="194"/>
    </row>
    <row r="386" ht="15.75" customHeight="1">
      <c r="A386" s="241"/>
      <c r="B386" s="224"/>
      <c r="C386" s="220"/>
      <c r="D386" s="221"/>
      <c r="E386" s="222"/>
      <c r="F386" s="223"/>
      <c r="G386" s="143"/>
      <c r="H386" s="143"/>
      <c r="I386" s="143"/>
      <c r="J386" s="143"/>
      <c r="K386" s="182"/>
      <c r="L386" s="143"/>
      <c r="M386" s="182"/>
      <c r="N386" s="149"/>
      <c r="O386" s="189"/>
      <c r="P386" s="149"/>
      <c r="Q386" s="149"/>
      <c r="R386" s="189"/>
      <c r="S386" s="149"/>
      <c r="T386" s="189"/>
      <c r="U386" s="194"/>
      <c r="V386" s="194"/>
      <c r="W386" s="194"/>
      <c r="X386" s="194"/>
      <c r="Y386" s="194"/>
      <c r="Z386" s="194"/>
      <c r="AA386" s="194"/>
    </row>
    <row r="387" ht="15.75" customHeight="1">
      <c r="A387" s="241"/>
      <c r="B387" s="224"/>
      <c r="C387" s="220"/>
      <c r="D387" s="221"/>
      <c r="E387" s="222"/>
      <c r="F387" s="223"/>
      <c r="G387" s="143"/>
      <c r="H387" s="143"/>
      <c r="I387" s="143"/>
      <c r="J387" s="143"/>
      <c r="K387" s="182"/>
      <c r="L387" s="143"/>
      <c r="M387" s="182"/>
      <c r="N387" s="149"/>
      <c r="O387" s="189"/>
      <c r="P387" s="149"/>
      <c r="Q387" s="149"/>
      <c r="R387" s="189"/>
      <c r="S387" s="149"/>
      <c r="T387" s="189"/>
      <c r="U387" s="194"/>
      <c r="V387" s="194"/>
      <c r="W387" s="194"/>
      <c r="X387" s="194"/>
      <c r="Y387" s="194"/>
      <c r="Z387" s="194"/>
      <c r="AA387" s="194"/>
    </row>
    <row r="388" ht="15.75" customHeight="1">
      <c r="A388" s="241"/>
      <c r="B388" s="224"/>
      <c r="C388" s="220"/>
      <c r="D388" s="221"/>
      <c r="E388" s="222"/>
      <c r="F388" s="223"/>
      <c r="G388" s="143"/>
      <c r="H388" s="143"/>
      <c r="I388" s="143"/>
      <c r="J388" s="143"/>
      <c r="K388" s="182"/>
      <c r="L388" s="143"/>
      <c r="M388" s="182"/>
      <c r="N388" s="149"/>
      <c r="O388" s="189"/>
      <c r="P388" s="149"/>
      <c r="Q388" s="149"/>
      <c r="R388" s="189"/>
      <c r="S388" s="149"/>
      <c r="T388" s="189"/>
      <c r="U388" s="194"/>
      <c r="V388" s="194"/>
      <c r="W388" s="194"/>
      <c r="X388" s="194"/>
      <c r="Y388" s="194"/>
      <c r="Z388" s="194"/>
      <c r="AA388" s="194"/>
    </row>
    <row r="389" ht="15.75" customHeight="1">
      <c r="A389" s="241"/>
      <c r="B389" s="224"/>
      <c r="C389" s="220"/>
      <c r="D389" s="221"/>
      <c r="E389" s="222"/>
      <c r="F389" s="223"/>
      <c r="G389" s="143"/>
      <c r="H389" s="143"/>
      <c r="I389" s="143"/>
      <c r="J389" s="143"/>
      <c r="K389" s="182"/>
      <c r="L389" s="143"/>
      <c r="M389" s="182"/>
      <c r="N389" s="149"/>
      <c r="O389" s="189"/>
      <c r="P389" s="149"/>
      <c r="Q389" s="149"/>
      <c r="R389" s="189"/>
      <c r="S389" s="149"/>
      <c r="T389" s="189"/>
      <c r="U389" s="194"/>
      <c r="V389" s="194"/>
      <c r="W389" s="194"/>
      <c r="X389" s="194"/>
      <c r="Y389" s="194"/>
      <c r="Z389" s="194"/>
      <c r="AA389" s="194"/>
    </row>
    <row r="390" ht="15.75" customHeight="1">
      <c r="A390" s="241"/>
      <c r="B390" s="224"/>
      <c r="C390" s="220"/>
      <c r="D390" s="221"/>
      <c r="E390" s="222"/>
      <c r="F390" s="223"/>
      <c r="G390" s="143"/>
      <c r="H390" s="143"/>
      <c r="I390" s="143"/>
      <c r="J390" s="143"/>
      <c r="K390" s="182"/>
      <c r="L390" s="143"/>
      <c r="M390" s="182"/>
      <c r="N390" s="149"/>
      <c r="O390" s="189"/>
      <c r="P390" s="149"/>
      <c r="Q390" s="149"/>
      <c r="R390" s="189"/>
      <c r="S390" s="149"/>
      <c r="T390" s="189"/>
      <c r="U390" s="194"/>
      <c r="V390" s="194"/>
      <c r="W390" s="194"/>
      <c r="X390" s="194"/>
      <c r="Y390" s="194"/>
      <c r="Z390" s="194"/>
      <c r="AA390" s="194"/>
    </row>
    <row r="391" ht="15.75" customHeight="1">
      <c r="A391" s="241"/>
      <c r="B391" s="224"/>
      <c r="C391" s="220"/>
      <c r="D391" s="221"/>
      <c r="E391" s="222"/>
      <c r="F391" s="223"/>
      <c r="G391" s="143"/>
      <c r="H391" s="143"/>
      <c r="I391" s="143"/>
      <c r="J391" s="143"/>
      <c r="K391" s="182"/>
      <c r="L391" s="143"/>
      <c r="M391" s="182"/>
      <c r="N391" s="149"/>
      <c r="O391" s="189"/>
      <c r="P391" s="149"/>
      <c r="Q391" s="149"/>
      <c r="R391" s="189"/>
      <c r="S391" s="149"/>
      <c r="T391" s="189"/>
      <c r="U391" s="194"/>
      <c r="V391" s="194"/>
      <c r="W391" s="194"/>
      <c r="X391" s="194"/>
      <c r="Y391" s="194"/>
      <c r="Z391" s="194"/>
      <c r="AA391" s="194"/>
    </row>
    <row r="392" ht="15.75" customHeight="1">
      <c r="A392" s="241"/>
      <c r="B392" s="224"/>
      <c r="C392" s="220"/>
      <c r="D392" s="221"/>
      <c r="E392" s="222"/>
      <c r="F392" s="223"/>
      <c r="G392" s="143"/>
      <c r="H392" s="143"/>
      <c r="I392" s="143"/>
      <c r="J392" s="143"/>
      <c r="K392" s="182"/>
      <c r="L392" s="143"/>
      <c r="M392" s="182"/>
      <c r="N392" s="149"/>
      <c r="O392" s="189"/>
      <c r="P392" s="149"/>
      <c r="Q392" s="149"/>
      <c r="R392" s="189"/>
      <c r="S392" s="149"/>
      <c r="T392" s="189"/>
      <c r="U392" s="194"/>
      <c r="V392" s="194"/>
      <c r="W392" s="194"/>
      <c r="X392" s="194"/>
      <c r="Y392" s="194"/>
      <c r="Z392" s="194"/>
      <c r="AA392" s="194"/>
    </row>
    <row r="393" ht="15.75" customHeight="1">
      <c r="A393" s="241"/>
      <c r="B393" s="224"/>
      <c r="C393" s="220"/>
      <c r="D393" s="221"/>
      <c r="E393" s="222"/>
      <c r="F393" s="223"/>
      <c r="G393" s="143"/>
      <c r="H393" s="143"/>
      <c r="I393" s="143"/>
      <c r="J393" s="143"/>
      <c r="K393" s="182"/>
      <c r="L393" s="143"/>
      <c r="M393" s="182"/>
      <c r="N393" s="149"/>
      <c r="O393" s="189"/>
      <c r="P393" s="149"/>
      <c r="Q393" s="149"/>
      <c r="R393" s="189"/>
      <c r="S393" s="149"/>
      <c r="T393" s="189"/>
      <c r="U393" s="194"/>
      <c r="V393" s="194"/>
      <c r="W393" s="194"/>
      <c r="X393" s="194"/>
      <c r="Y393" s="194"/>
      <c r="Z393" s="194"/>
      <c r="AA393" s="194"/>
    </row>
    <row r="394" ht="15.75" customHeight="1">
      <c r="A394" s="241"/>
      <c r="B394" s="224"/>
      <c r="C394" s="220"/>
      <c r="D394" s="221"/>
      <c r="E394" s="222"/>
      <c r="F394" s="223"/>
      <c r="G394" s="143"/>
      <c r="H394" s="143"/>
      <c r="I394" s="143"/>
      <c r="J394" s="143"/>
      <c r="K394" s="182"/>
      <c r="L394" s="143"/>
      <c r="M394" s="182"/>
      <c r="N394" s="149"/>
      <c r="O394" s="189"/>
      <c r="P394" s="149"/>
      <c r="Q394" s="149"/>
      <c r="R394" s="189"/>
      <c r="S394" s="149"/>
      <c r="T394" s="189"/>
      <c r="U394" s="194"/>
      <c r="V394" s="194"/>
      <c r="W394" s="194"/>
      <c r="X394" s="194"/>
      <c r="Y394" s="194"/>
      <c r="Z394" s="194"/>
      <c r="AA394" s="194"/>
    </row>
    <row r="395" ht="15.75" customHeight="1">
      <c r="A395" s="241"/>
      <c r="B395" s="224"/>
      <c r="C395" s="220"/>
      <c r="D395" s="221"/>
      <c r="E395" s="222"/>
      <c r="F395" s="223"/>
      <c r="G395" s="143"/>
      <c r="H395" s="143"/>
      <c r="I395" s="143"/>
      <c r="J395" s="143"/>
      <c r="K395" s="182"/>
      <c r="L395" s="143"/>
      <c r="M395" s="182"/>
      <c r="N395" s="149"/>
      <c r="O395" s="189"/>
      <c r="P395" s="149"/>
      <c r="Q395" s="149"/>
      <c r="R395" s="189"/>
      <c r="S395" s="149"/>
      <c r="T395" s="189"/>
      <c r="U395" s="194"/>
      <c r="V395" s="194"/>
      <c r="W395" s="194"/>
      <c r="X395" s="194"/>
      <c r="Y395" s="194"/>
      <c r="Z395" s="194"/>
      <c r="AA395" s="194"/>
    </row>
    <row r="396" ht="15.75" customHeight="1">
      <c r="A396" s="241"/>
      <c r="B396" s="224"/>
      <c r="C396" s="220"/>
      <c r="D396" s="221"/>
      <c r="E396" s="222"/>
      <c r="F396" s="223"/>
      <c r="G396" s="143"/>
      <c r="H396" s="143"/>
      <c r="I396" s="143"/>
      <c r="J396" s="143"/>
      <c r="K396" s="182"/>
      <c r="L396" s="143"/>
      <c r="M396" s="182"/>
      <c r="N396" s="149"/>
      <c r="O396" s="189"/>
      <c r="P396" s="149"/>
      <c r="Q396" s="149"/>
      <c r="R396" s="189"/>
      <c r="S396" s="149"/>
      <c r="T396" s="189"/>
      <c r="U396" s="194"/>
      <c r="V396" s="194"/>
      <c r="W396" s="194"/>
      <c r="X396" s="194"/>
      <c r="Y396" s="194"/>
      <c r="Z396" s="194"/>
      <c r="AA396" s="194"/>
    </row>
    <row r="397" ht="15.75" customHeight="1">
      <c r="A397" s="241"/>
      <c r="B397" s="224"/>
      <c r="C397" s="220"/>
      <c r="D397" s="221"/>
      <c r="E397" s="222"/>
      <c r="F397" s="223"/>
      <c r="G397" s="143"/>
      <c r="H397" s="143"/>
      <c r="I397" s="143"/>
      <c r="J397" s="143"/>
      <c r="K397" s="182"/>
      <c r="L397" s="143"/>
      <c r="M397" s="182"/>
      <c r="N397" s="149"/>
      <c r="O397" s="189"/>
      <c r="P397" s="149"/>
      <c r="Q397" s="149"/>
      <c r="R397" s="189"/>
      <c r="S397" s="149"/>
      <c r="T397" s="189"/>
      <c r="U397" s="194"/>
      <c r="V397" s="194"/>
      <c r="W397" s="194"/>
      <c r="X397" s="194"/>
      <c r="Y397" s="194"/>
      <c r="Z397" s="194"/>
      <c r="AA397" s="194"/>
    </row>
    <row r="398" ht="15.75" customHeight="1">
      <c r="A398" s="241"/>
      <c r="B398" s="224"/>
      <c r="C398" s="220"/>
      <c r="D398" s="221"/>
      <c r="E398" s="222"/>
      <c r="F398" s="223"/>
      <c r="G398" s="143"/>
      <c r="H398" s="143"/>
      <c r="I398" s="143"/>
      <c r="J398" s="143"/>
      <c r="K398" s="182"/>
      <c r="L398" s="143"/>
      <c r="M398" s="182"/>
      <c r="N398" s="149"/>
      <c r="O398" s="189"/>
      <c r="P398" s="149"/>
      <c r="Q398" s="149"/>
      <c r="R398" s="189"/>
      <c r="S398" s="149"/>
      <c r="T398" s="189"/>
      <c r="U398" s="194"/>
      <c r="V398" s="194"/>
      <c r="W398" s="194"/>
      <c r="X398" s="194"/>
      <c r="Y398" s="194"/>
      <c r="Z398" s="194"/>
      <c r="AA398" s="194"/>
    </row>
    <row r="399" ht="15.75" customHeight="1">
      <c r="A399" s="241"/>
      <c r="B399" s="224"/>
      <c r="C399" s="220"/>
      <c r="D399" s="221"/>
      <c r="E399" s="222"/>
      <c r="F399" s="223"/>
      <c r="G399" s="143"/>
      <c r="H399" s="143"/>
      <c r="I399" s="143"/>
      <c r="J399" s="143"/>
      <c r="K399" s="182"/>
      <c r="L399" s="143"/>
      <c r="M399" s="182"/>
      <c r="N399" s="149"/>
      <c r="O399" s="189"/>
      <c r="P399" s="149"/>
      <c r="Q399" s="149"/>
      <c r="R399" s="189"/>
      <c r="S399" s="149"/>
      <c r="T399" s="189"/>
      <c r="U399" s="194"/>
      <c r="V399" s="194"/>
      <c r="W399" s="194"/>
      <c r="X399" s="194"/>
      <c r="Y399" s="194"/>
      <c r="Z399" s="194"/>
      <c r="AA399" s="194"/>
    </row>
    <row r="400" ht="15.75" customHeight="1">
      <c r="A400" s="241"/>
      <c r="B400" s="224"/>
      <c r="C400" s="220"/>
      <c r="D400" s="221"/>
      <c r="E400" s="222"/>
      <c r="F400" s="223"/>
      <c r="G400" s="143"/>
      <c r="H400" s="143"/>
      <c r="I400" s="143"/>
      <c r="J400" s="143"/>
      <c r="K400" s="182"/>
      <c r="L400" s="143"/>
      <c r="M400" s="182"/>
      <c r="N400" s="149"/>
      <c r="O400" s="189"/>
      <c r="P400" s="149"/>
      <c r="Q400" s="149"/>
      <c r="R400" s="189"/>
      <c r="S400" s="149"/>
      <c r="T400" s="189"/>
      <c r="U400" s="194"/>
      <c r="V400" s="194"/>
      <c r="W400" s="194"/>
      <c r="X400" s="194"/>
      <c r="Y400" s="194"/>
      <c r="Z400" s="194"/>
      <c r="AA400" s="194"/>
    </row>
    <row r="401" ht="15.75" customHeight="1">
      <c r="A401" s="241"/>
      <c r="B401" s="224"/>
      <c r="C401" s="220"/>
      <c r="D401" s="221"/>
      <c r="E401" s="222"/>
      <c r="F401" s="223"/>
      <c r="G401" s="143"/>
      <c r="H401" s="143"/>
      <c r="I401" s="143"/>
      <c r="J401" s="143"/>
      <c r="K401" s="182"/>
      <c r="L401" s="143"/>
      <c r="M401" s="182"/>
      <c r="N401" s="149"/>
      <c r="O401" s="189"/>
      <c r="P401" s="149"/>
      <c r="Q401" s="149"/>
      <c r="R401" s="189"/>
      <c r="S401" s="149"/>
      <c r="T401" s="189"/>
      <c r="U401" s="194"/>
      <c r="V401" s="194"/>
      <c r="W401" s="194"/>
      <c r="X401" s="194"/>
      <c r="Y401" s="194"/>
      <c r="Z401" s="194"/>
      <c r="AA401" s="194"/>
    </row>
    <row r="402" ht="15.75" customHeight="1">
      <c r="A402" s="241"/>
      <c r="B402" s="224"/>
      <c r="C402" s="220"/>
      <c r="D402" s="221"/>
      <c r="E402" s="222"/>
      <c r="F402" s="223"/>
      <c r="G402" s="143"/>
      <c r="H402" s="143"/>
      <c r="I402" s="143"/>
      <c r="J402" s="143"/>
      <c r="K402" s="182"/>
      <c r="L402" s="143"/>
      <c r="M402" s="182"/>
      <c r="N402" s="149"/>
      <c r="O402" s="189"/>
      <c r="P402" s="149"/>
      <c r="Q402" s="149"/>
      <c r="R402" s="189"/>
      <c r="S402" s="149"/>
      <c r="T402" s="189"/>
      <c r="U402" s="194"/>
      <c r="V402" s="194"/>
      <c r="W402" s="194"/>
      <c r="X402" s="194"/>
      <c r="Y402" s="194"/>
      <c r="Z402" s="194"/>
      <c r="AA402" s="194"/>
    </row>
    <row r="403" ht="15.75" customHeight="1">
      <c r="A403" s="241"/>
      <c r="B403" s="224"/>
      <c r="C403" s="220"/>
      <c r="D403" s="221"/>
      <c r="E403" s="222"/>
      <c r="F403" s="223"/>
      <c r="G403" s="143"/>
      <c r="H403" s="143"/>
      <c r="I403" s="143"/>
      <c r="J403" s="143"/>
      <c r="K403" s="182"/>
      <c r="L403" s="143"/>
      <c r="M403" s="182"/>
      <c r="N403" s="149"/>
      <c r="O403" s="189"/>
      <c r="P403" s="149"/>
      <c r="Q403" s="149"/>
      <c r="R403" s="189"/>
      <c r="S403" s="149"/>
      <c r="T403" s="189"/>
      <c r="U403" s="194"/>
      <c r="V403" s="194"/>
      <c r="W403" s="194"/>
      <c r="X403" s="194"/>
      <c r="Y403" s="194"/>
      <c r="Z403" s="194"/>
      <c r="AA403" s="194"/>
    </row>
    <row r="404" ht="15.75" customHeight="1">
      <c r="A404" s="241"/>
      <c r="B404" s="224"/>
      <c r="C404" s="220"/>
      <c r="D404" s="221"/>
      <c r="E404" s="222"/>
      <c r="F404" s="223"/>
      <c r="G404" s="143"/>
      <c r="H404" s="143"/>
      <c r="I404" s="143"/>
      <c r="J404" s="143"/>
      <c r="K404" s="182"/>
      <c r="L404" s="143"/>
      <c r="M404" s="182"/>
      <c r="N404" s="149"/>
      <c r="O404" s="189"/>
      <c r="P404" s="149"/>
      <c r="Q404" s="149"/>
      <c r="R404" s="189"/>
      <c r="S404" s="149"/>
      <c r="T404" s="189"/>
      <c r="U404" s="194"/>
      <c r="V404" s="194"/>
      <c r="W404" s="194"/>
      <c r="X404" s="194"/>
      <c r="Y404" s="194"/>
      <c r="Z404" s="194"/>
      <c r="AA404" s="194"/>
    </row>
    <row r="405" ht="15.75" customHeight="1">
      <c r="A405" s="241"/>
      <c r="B405" s="224"/>
      <c r="C405" s="220"/>
      <c r="D405" s="221"/>
      <c r="E405" s="222"/>
      <c r="F405" s="223"/>
      <c r="G405" s="143"/>
      <c r="H405" s="143"/>
      <c r="I405" s="143"/>
      <c r="J405" s="143"/>
      <c r="K405" s="182"/>
      <c r="L405" s="143"/>
      <c r="M405" s="182"/>
      <c r="N405" s="149"/>
      <c r="O405" s="189"/>
      <c r="P405" s="149"/>
      <c r="Q405" s="149"/>
      <c r="R405" s="189"/>
      <c r="S405" s="149"/>
      <c r="T405" s="189"/>
      <c r="U405" s="194"/>
      <c r="V405" s="194"/>
      <c r="W405" s="194"/>
      <c r="X405" s="194"/>
      <c r="Y405" s="194"/>
      <c r="Z405" s="194"/>
      <c r="AA405" s="194"/>
    </row>
    <row r="406" ht="15.75" customHeight="1">
      <c r="A406" s="241"/>
      <c r="B406" s="224"/>
      <c r="C406" s="220"/>
      <c r="D406" s="221"/>
      <c r="E406" s="222"/>
      <c r="F406" s="223"/>
      <c r="G406" s="143"/>
      <c r="H406" s="143"/>
      <c r="I406" s="143"/>
      <c r="J406" s="143"/>
      <c r="K406" s="182"/>
      <c r="L406" s="143"/>
      <c r="M406" s="182"/>
      <c r="N406" s="149"/>
      <c r="O406" s="189"/>
      <c r="P406" s="149"/>
      <c r="Q406" s="149"/>
      <c r="R406" s="189"/>
      <c r="S406" s="149"/>
      <c r="T406" s="189"/>
      <c r="U406" s="194"/>
      <c r="V406" s="194"/>
      <c r="W406" s="194"/>
      <c r="X406" s="194"/>
      <c r="Y406" s="194"/>
      <c r="Z406" s="194"/>
      <c r="AA406" s="194"/>
    </row>
    <row r="407" ht="15.75" customHeight="1">
      <c r="A407" s="241"/>
      <c r="B407" s="224"/>
      <c r="C407" s="220"/>
      <c r="D407" s="221"/>
      <c r="E407" s="222"/>
      <c r="F407" s="223"/>
      <c r="G407" s="143"/>
      <c r="H407" s="143"/>
      <c r="I407" s="143"/>
      <c r="J407" s="143"/>
      <c r="K407" s="182"/>
      <c r="L407" s="143"/>
      <c r="M407" s="182"/>
      <c r="N407" s="149"/>
      <c r="O407" s="189"/>
      <c r="P407" s="149"/>
      <c r="Q407" s="149"/>
      <c r="R407" s="189"/>
      <c r="S407" s="149"/>
      <c r="T407" s="189"/>
      <c r="U407" s="194"/>
      <c r="V407" s="194"/>
      <c r="W407" s="194"/>
      <c r="X407" s="194"/>
      <c r="Y407" s="194"/>
      <c r="Z407" s="194"/>
      <c r="AA407" s="194"/>
    </row>
    <row r="408" ht="15.75" customHeight="1">
      <c r="A408" s="241"/>
      <c r="B408" s="224"/>
      <c r="C408" s="220"/>
      <c r="D408" s="221"/>
      <c r="E408" s="222"/>
      <c r="F408" s="223"/>
      <c r="G408" s="143"/>
      <c r="H408" s="143"/>
      <c r="I408" s="143"/>
      <c r="J408" s="143"/>
      <c r="K408" s="182"/>
      <c r="L408" s="143"/>
      <c r="M408" s="182"/>
      <c r="N408" s="149"/>
      <c r="O408" s="189"/>
      <c r="P408" s="149"/>
      <c r="Q408" s="149"/>
      <c r="R408" s="189"/>
      <c r="S408" s="149"/>
      <c r="T408" s="189"/>
      <c r="U408" s="194"/>
      <c r="V408" s="194"/>
      <c r="W408" s="194"/>
      <c r="X408" s="194"/>
      <c r="Y408" s="194"/>
      <c r="Z408" s="194"/>
      <c r="AA408" s="194"/>
    </row>
    <row r="409" ht="15.75" customHeight="1">
      <c r="A409" s="241"/>
      <c r="B409" s="224"/>
      <c r="C409" s="220"/>
      <c r="D409" s="221"/>
      <c r="E409" s="222"/>
      <c r="F409" s="223"/>
      <c r="G409" s="143"/>
      <c r="H409" s="143"/>
      <c r="I409" s="143"/>
      <c r="J409" s="143"/>
      <c r="K409" s="182"/>
      <c r="L409" s="143"/>
      <c r="M409" s="182"/>
      <c r="N409" s="149"/>
      <c r="O409" s="189"/>
      <c r="P409" s="149"/>
      <c r="Q409" s="149"/>
      <c r="R409" s="189"/>
      <c r="S409" s="149"/>
      <c r="T409" s="189"/>
      <c r="U409" s="194"/>
      <c r="V409" s="194"/>
      <c r="W409" s="194"/>
      <c r="X409" s="194"/>
      <c r="Y409" s="194"/>
      <c r="Z409" s="194"/>
      <c r="AA409" s="194"/>
    </row>
    <row r="410" ht="15.75" customHeight="1">
      <c r="A410" s="241"/>
      <c r="B410" s="224"/>
      <c r="C410" s="220"/>
      <c r="D410" s="221"/>
      <c r="E410" s="222"/>
      <c r="F410" s="223"/>
      <c r="G410" s="143"/>
      <c r="H410" s="143"/>
      <c r="I410" s="143"/>
      <c r="J410" s="143"/>
      <c r="K410" s="182"/>
      <c r="L410" s="143"/>
      <c r="M410" s="182"/>
      <c r="N410" s="149"/>
      <c r="O410" s="189"/>
      <c r="P410" s="149"/>
      <c r="Q410" s="149"/>
      <c r="R410" s="189"/>
      <c r="S410" s="149"/>
      <c r="T410" s="189"/>
      <c r="U410" s="194"/>
      <c r="V410" s="194"/>
      <c r="W410" s="194"/>
      <c r="X410" s="194"/>
      <c r="Y410" s="194"/>
      <c r="Z410" s="194"/>
      <c r="AA410" s="194"/>
    </row>
    <row r="411" ht="15.75" customHeight="1">
      <c r="A411" s="241"/>
      <c r="B411" s="224"/>
      <c r="C411" s="220"/>
      <c r="D411" s="221"/>
      <c r="E411" s="222"/>
      <c r="F411" s="223"/>
      <c r="G411" s="143"/>
      <c r="H411" s="143"/>
      <c r="I411" s="143"/>
      <c r="J411" s="143"/>
      <c r="K411" s="182"/>
      <c r="L411" s="143"/>
      <c r="M411" s="182"/>
      <c r="N411" s="149"/>
      <c r="O411" s="189"/>
      <c r="P411" s="149"/>
      <c r="Q411" s="149"/>
      <c r="R411" s="189"/>
      <c r="S411" s="149"/>
      <c r="T411" s="189"/>
      <c r="U411" s="194"/>
      <c r="V411" s="194"/>
      <c r="W411" s="194"/>
      <c r="X411" s="194"/>
      <c r="Y411" s="194"/>
      <c r="Z411" s="194"/>
      <c r="AA411" s="194"/>
    </row>
    <row r="412" ht="15.75" customHeight="1">
      <c r="A412" s="241"/>
      <c r="B412" s="224"/>
      <c r="C412" s="220"/>
      <c r="D412" s="221"/>
      <c r="E412" s="222"/>
      <c r="F412" s="223"/>
      <c r="G412" s="143"/>
      <c r="H412" s="143"/>
      <c r="I412" s="143"/>
      <c r="J412" s="143"/>
      <c r="K412" s="182"/>
      <c r="L412" s="143"/>
      <c r="M412" s="182"/>
      <c r="N412" s="149"/>
      <c r="O412" s="189"/>
      <c r="P412" s="149"/>
      <c r="Q412" s="149"/>
      <c r="R412" s="189"/>
      <c r="S412" s="149"/>
      <c r="T412" s="189"/>
      <c r="U412" s="194"/>
      <c r="V412" s="194"/>
      <c r="W412" s="194"/>
      <c r="X412" s="194"/>
      <c r="Y412" s="194"/>
      <c r="Z412" s="194"/>
      <c r="AA412" s="194"/>
    </row>
    <row r="413" ht="15.75" customHeight="1">
      <c r="A413" s="241"/>
      <c r="B413" s="224"/>
      <c r="C413" s="220"/>
      <c r="D413" s="221"/>
      <c r="E413" s="222"/>
      <c r="F413" s="223"/>
      <c r="G413" s="143"/>
      <c r="H413" s="143"/>
      <c r="I413" s="143"/>
      <c r="J413" s="143"/>
      <c r="K413" s="182"/>
      <c r="L413" s="143"/>
      <c r="M413" s="182"/>
      <c r="N413" s="149"/>
      <c r="O413" s="189"/>
      <c r="P413" s="149"/>
      <c r="Q413" s="149"/>
      <c r="R413" s="189"/>
      <c r="S413" s="149"/>
      <c r="T413" s="189"/>
      <c r="U413" s="194"/>
      <c r="V413" s="194"/>
      <c r="W413" s="194"/>
      <c r="X413" s="194"/>
      <c r="Y413" s="194"/>
      <c r="Z413" s="194"/>
      <c r="AA413" s="194"/>
    </row>
    <row r="414" ht="15.75" customHeight="1">
      <c r="A414" s="241"/>
      <c r="B414" s="224"/>
      <c r="C414" s="220"/>
      <c r="D414" s="221"/>
      <c r="E414" s="222"/>
      <c r="F414" s="223"/>
      <c r="G414" s="143"/>
      <c r="H414" s="143"/>
      <c r="I414" s="143"/>
      <c r="J414" s="143"/>
      <c r="K414" s="182"/>
      <c r="L414" s="143"/>
      <c r="M414" s="182"/>
      <c r="N414" s="149"/>
      <c r="O414" s="189"/>
      <c r="P414" s="149"/>
      <c r="Q414" s="149"/>
      <c r="R414" s="189"/>
      <c r="S414" s="149"/>
      <c r="T414" s="189"/>
      <c r="U414" s="194"/>
      <c r="V414" s="194"/>
      <c r="W414" s="194"/>
      <c r="X414" s="194"/>
      <c r="Y414" s="194"/>
      <c r="Z414" s="194"/>
      <c r="AA414" s="194"/>
    </row>
    <row r="415" ht="15.75" customHeight="1">
      <c r="A415" s="241"/>
      <c r="B415" s="224"/>
      <c r="C415" s="220"/>
      <c r="D415" s="221"/>
      <c r="E415" s="222"/>
      <c r="F415" s="223"/>
      <c r="G415" s="143"/>
      <c r="H415" s="143"/>
      <c r="I415" s="143"/>
      <c r="J415" s="143"/>
      <c r="K415" s="182"/>
      <c r="L415" s="143"/>
      <c r="M415" s="182"/>
      <c r="N415" s="149"/>
      <c r="O415" s="189"/>
      <c r="P415" s="149"/>
      <c r="Q415" s="149"/>
      <c r="R415" s="189"/>
      <c r="S415" s="149"/>
      <c r="T415" s="189"/>
      <c r="U415" s="194"/>
      <c r="V415" s="194"/>
      <c r="W415" s="194"/>
      <c r="X415" s="194"/>
      <c r="Y415" s="194"/>
      <c r="Z415" s="194"/>
      <c r="AA415" s="194"/>
    </row>
    <row r="416" ht="15.75" customHeight="1">
      <c r="A416" s="241"/>
      <c r="B416" s="224"/>
      <c r="C416" s="220"/>
      <c r="D416" s="221"/>
      <c r="E416" s="222"/>
      <c r="F416" s="223"/>
      <c r="G416" s="143"/>
      <c r="H416" s="143"/>
      <c r="I416" s="143"/>
      <c r="J416" s="143"/>
      <c r="K416" s="182"/>
      <c r="L416" s="143"/>
      <c r="M416" s="182"/>
      <c r="N416" s="149"/>
      <c r="O416" s="189"/>
      <c r="P416" s="149"/>
      <c r="Q416" s="149"/>
      <c r="R416" s="189"/>
      <c r="S416" s="149"/>
      <c r="T416" s="189"/>
      <c r="U416" s="194"/>
      <c r="V416" s="194"/>
      <c r="W416" s="194"/>
      <c r="X416" s="194"/>
      <c r="Y416" s="194"/>
      <c r="Z416" s="194"/>
      <c r="AA416" s="194"/>
    </row>
    <row r="417" ht="15.75" customHeight="1">
      <c r="A417" s="241"/>
      <c r="B417" s="224"/>
      <c r="C417" s="220"/>
      <c r="D417" s="221"/>
      <c r="E417" s="222"/>
      <c r="F417" s="223"/>
      <c r="G417" s="143"/>
      <c r="H417" s="143"/>
      <c r="I417" s="143"/>
      <c r="J417" s="143"/>
      <c r="K417" s="182"/>
      <c r="L417" s="143"/>
      <c r="M417" s="182"/>
      <c r="N417" s="149"/>
      <c r="O417" s="189"/>
      <c r="P417" s="149"/>
      <c r="Q417" s="149"/>
      <c r="R417" s="189"/>
      <c r="S417" s="149"/>
      <c r="T417" s="189"/>
      <c r="U417" s="194"/>
      <c r="V417" s="194"/>
      <c r="W417" s="194"/>
      <c r="X417" s="194"/>
      <c r="Y417" s="194"/>
      <c r="Z417" s="194"/>
      <c r="AA417" s="194"/>
    </row>
    <row r="418" ht="15.75" customHeight="1">
      <c r="A418" s="241"/>
      <c r="B418" s="224"/>
      <c r="C418" s="220"/>
      <c r="D418" s="221"/>
      <c r="E418" s="222"/>
      <c r="F418" s="223"/>
      <c r="G418" s="143"/>
      <c r="H418" s="143"/>
      <c r="I418" s="143"/>
      <c r="J418" s="143"/>
      <c r="K418" s="182"/>
      <c r="L418" s="143"/>
      <c r="M418" s="182"/>
      <c r="N418" s="149"/>
      <c r="O418" s="189"/>
      <c r="P418" s="149"/>
      <c r="Q418" s="149"/>
      <c r="R418" s="189"/>
      <c r="S418" s="149"/>
      <c r="T418" s="189"/>
      <c r="U418" s="194"/>
      <c r="V418" s="194"/>
      <c r="W418" s="194"/>
      <c r="X418" s="194"/>
      <c r="Y418" s="194"/>
      <c r="Z418" s="194"/>
      <c r="AA418" s="194"/>
    </row>
    <row r="419" ht="15.75" customHeight="1">
      <c r="A419" s="241"/>
      <c r="B419" s="224"/>
      <c r="C419" s="220"/>
      <c r="D419" s="221"/>
      <c r="E419" s="222"/>
      <c r="F419" s="223"/>
      <c r="G419" s="143"/>
      <c r="H419" s="143"/>
      <c r="I419" s="143"/>
      <c r="J419" s="143"/>
      <c r="K419" s="182"/>
      <c r="L419" s="143"/>
      <c r="M419" s="182"/>
      <c r="N419" s="149"/>
      <c r="O419" s="189"/>
      <c r="P419" s="149"/>
      <c r="Q419" s="149"/>
      <c r="R419" s="189"/>
      <c r="S419" s="149"/>
      <c r="T419" s="189"/>
      <c r="U419" s="194"/>
      <c r="V419" s="194"/>
      <c r="W419" s="194"/>
      <c r="X419" s="194"/>
      <c r="Y419" s="194"/>
      <c r="Z419" s="194"/>
      <c r="AA419" s="194"/>
    </row>
    <row r="420" ht="15.75" customHeight="1">
      <c r="A420" s="241"/>
      <c r="B420" s="224"/>
      <c r="C420" s="220"/>
      <c r="D420" s="221"/>
      <c r="E420" s="222"/>
      <c r="F420" s="223"/>
      <c r="G420" s="143"/>
      <c r="H420" s="143"/>
      <c r="I420" s="143"/>
      <c r="J420" s="143"/>
      <c r="K420" s="182"/>
      <c r="L420" s="143"/>
      <c r="M420" s="182"/>
      <c r="N420" s="149"/>
      <c r="O420" s="189"/>
      <c r="P420" s="149"/>
      <c r="Q420" s="149"/>
      <c r="R420" s="189"/>
      <c r="S420" s="149"/>
      <c r="T420" s="189"/>
      <c r="U420" s="194"/>
      <c r="V420" s="194"/>
      <c r="W420" s="194"/>
      <c r="X420" s="194"/>
      <c r="Y420" s="194"/>
      <c r="Z420" s="194"/>
      <c r="AA420" s="194"/>
    </row>
    <row r="421" ht="15.75" customHeight="1">
      <c r="A421" s="241"/>
      <c r="B421" s="224"/>
      <c r="C421" s="220"/>
      <c r="D421" s="221"/>
      <c r="E421" s="222"/>
      <c r="F421" s="223"/>
      <c r="G421" s="143"/>
      <c r="H421" s="143"/>
      <c r="I421" s="143"/>
      <c r="J421" s="143"/>
      <c r="K421" s="182"/>
      <c r="L421" s="143"/>
      <c r="M421" s="182"/>
      <c r="N421" s="149"/>
      <c r="O421" s="189"/>
      <c r="P421" s="149"/>
      <c r="Q421" s="149"/>
      <c r="R421" s="189"/>
      <c r="S421" s="149"/>
      <c r="T421" s="189"/>
      <c r="U421" s="194"/>
      <c r="V421" s="194"/>
      <c r="W421" s="194"/>
      <c r="X421" s="194"/>
      <c r="Y421" s="194"/>
      <c r="Z421" s="194"/>
      <c r="AA421" s="194"/>
    </row>
    <row r="422" ht="15.75" customHeight="1">
      <c r="A422" s="241"/>
      <c r="B422" s="224"/>
      <c r="C422" s="220"/>
      <c r="D422" s="221"/>
      <c r="E422" s="222"/>
      <c r="F422" s="223"/>
      <c r="G422" s="143"/>
      <c r="H422" s="143"/>
      <c r="I422" s="143"/>
      <c r="J422" s="143"/>
      <c r="K422" s="182"/>
      <c r="L422" s="143"/>
      <c r="M422" s="182"/>
      <c r="N422" s="149"/>
      <c r="O422" s="189"/>
      <c r="P422" s="149"/>
      <c r="Q422" s="149"/>
      <c r="R422" s="189"/>
      <c r="S422" s="149"/>
      <c r="T422" s="189"/>
      <c r="U422" s="194"/>
      <c r="V422" s="194"/>
      <c r="W422" s="194"/>
      <c r="X422" s="194"/>
      <c r="Y422" s="194"/>
      <c r="Z422" s="194"/>
      <c r="AA422" s="194"/>
    </row>
    <row r="423" ht="15.75" customHeight="1">
      <c r="A423" s="241"/>
      <c r="B423" s="224"/>
      <c r="C423" s="220"/>
      <c r="D423" s="221"/>
      <c r="E423" s="222"/>
      <c r="F423" s="223"/>
      <c r="G423" s="143"/>
      <c r="H423" s="143"/>
      <c r="I423" s="143"/>
      <c r="J423" s="143"/>
      <c r="K423" s="182"/>
      <c r="L423" s="143"/>
      <c r="M423" s="182"/>
      <c r="N423" s="149"/>
      <c r="O423" s="189"/>
      <c r="P423" s="149"/>
      <c r="Q423" s="149"/>
      <c r="R423" s="189"/>
      <c r="S423" s="149"/>
      <c r="T423" s="189"/>
      <c r="U423" s="194"/>
      <c r="V423" s="194"/>
      <c r="W423" s="194"/>
      <c r="X423" s="194"/>
      <c r="Y423" s="194"/>
      <c r="Z423" s="194"/>
      <c r="AA423" s="194"/>
    </row>
    <row r="424" ht="15.75" customHeight="1">
      <c r="A424" s="241"/>
      <c r="B424" s="224"/>
      <c r="C424" s="220"/>
      <c r="D424" s="221"/>
      <c r="E424" s="222"/>
      <c r="F424" s="223"/>
      <c r="G424" s="143"/>
      <c r="H424" s="143"/>
      <c r="I424" s="143"/>
      <c r="J424" s="143"/>
      <c r="K424" s="182"/>
      <c r="L424" s="143"/>
      <c r="M424" s="182"/>
      <c r="N424" s="149"/>
      <c r="O424" s="189"/>
      <c r="P424" s="149"/>
      <c r="Q424" s="149"/>
      <c r="R424" s="189"/>
      <c r="S424" s="149"/>
      <c r="T424" s="189"/>
      <c r="U424" s="194"/>
      <c r="V424" s="194"/>
      <c r="W424" s="194"/>
      <c r="X424" s="194"/>
      <c r="Y424" s="194"/>
      <c r="Z424" s="194"/>
      <c r="AA424" s="194"/>
    </row>
    <row r="425" ht="15.75" customHeight="1">
      <c r="A425" s="241"/>
      <c r="B425" s="224"/>
      <c r="C425" s="220"/>
      <c r="D425" s="221"/>
      <c r="E425" s="222"/>
      <c r="F425" s="223"/>
      <c r="G425" s="143"/>
      <c r="H425" s="143"/>
      <c r="I425" s="143"/>
      <c r="J425" s="143"/>
      <c r="K425" s="182"/>
      <c r="L425" s="143"/>
      <c r="M425" s="182"/>
      <c r="N425" s="149"/>
      <c r="O425" s="189"/>
      <c r="P425" s="149"/>
      <c r="Q425" s="149"/>
      <c r="R425" s="189"/>
      <c r="S425" s="149"/>
      <c r="T425" s="189"/>
      <c r="U425" s="194"/>
      <c r="V425" s="194"/>
      <c r="W425" s="194"/>
      <c r="X425" s="194"/>
      <c r="Y425" s="194"/>
      <c r="Z425" s="194"/>
      <c r="AA425" s="194"/>
    </row>
    <row r="426" ht="15.75" customHeight="1">
      <c r="A426" s="241"/>
      <c r="B426" s="224"/>
      <c r="C426" s="220"/>
      <c r="D426" s="221"/>
      <c r="E426" s="222"/>
      <c r="F426" s="223"/>
      <c r="G426" s="143"/>
      <c r="H426" s="143"/>
      <c r="I426" s="143"/>
      <c r="J426" s="143"/>
      <c r="K426" s="182"/>
      <c r="L426" s="143"/>
      <c r="M426" s="182"/>
      <c r="N426" s="149"/>
      <c r="O426" s="189"/>
      <c r="P426" s="149"/>
      <c r="Q426" s="149"/>
      <c r="R426" s="189"/>
      <c r="S426" s="149"/>
      <c r="T426" s="189"/>
      <c r="U426" s="194"/>
      <c r="V426" s="194"/>
      <c r="W426" s="194"/>
      <c r="X426" s="194"/>
      <c r="Y426" s="194"/>
      <c r="Z426" s="194"/>
      <c r="AA426" s="194"/>
    </row>
    <row r="427" ht="15.75" customHeight="1">
      <c r="A427" s="241"/>
      <c r="B427" s="224"/>
      <c r="C427" s="220"/>
      <c r="D427" s="221"/>
      <c r="E427" s="222"/>
      <c r="F427" s="223"/>
      <c r="G427" s="143"/>
      <c r="H427" s="143"/>
      <c r="I427" s="143"/>
      <c r="J427" s="143"/>
      <c r="K427" s="182"/>
      <c r="L427" s="143"/>
      <c r="M427" s="182"/>
      <c r="N427" s="149"/>
      <c r="O427" s="189"/>
      <c r="P427" s="149"/>
      <c r="Q427" s="149"/>
      <c r="R427" s="189"/>
      <c r="S427" s="149"/>
      <c r="T427" s="189"/>
      <c r="U427" s="194"/>
      <c r="V427" s="194"/>
      <c r="W427" s="194"/>
      <c r="X427" s="194"/>
      <c r="Y427" s="194"/>
      <c r="Z427" s="194"/>
      <c r="AA427" s="194"/>
    </row>
    <row r="428" ht="15.75" customHeight="1">
      <c r="A428" s="241"/>
      <c r="B428" s="224"/>
      <c r="C428" s="220"/>
      <c r="D428" s="221"/>
      <c r="E428" s="222"/>
      <c r="F428" s="223"/>
      <c r="G428" s="143"/>
      <c r="H428" s="143"/>
      <c r="I428" s="143"/>
      <c r="J428" s="143"/>
      <c r="K428" s="182"/>
      <c r="L428" s="143"/>
      <c r="M428" s="182"/>
      <c r="N428" s="149"/>
      <c r="O428" s="189"/>
      <c r="P428" s="149"/>
      <c r="Q428" s="149"/>
      <c r="R428" s="189"/>
      <c r="S428" s="149"/>
      <c r="T428" s="189"/>
      <c r="U428" s="194"/>
      <c r="V428" s="194"/>
      <c r="W428" s="194"/>
      <c r="X428" s="194"/>
      <c r="Y428" s="194"/>
      <c r="Z428" s="194"/>
      <c r="AA428" s="194"/>
    </row>
    <row r="429" ht="15.75" customHeight="1">
      <c r="A429" s="241"/>
      <c r="B429" s="224"/>
      <c r="C429" s="220"/>
      <c r="D429" s="221"/>
      <c r="E429" s="222"/>
      <c r="F429" s="223"/>
      <c r="G429" s="143"/>
      <c r="H429" s="143"/>
      <c r="I429" s="143"/>
      <c r="J429" s="143"/>
      <c r="K429" s="182"/>
      <c r="L429" s="143"/>
      <c r="M429" s="182"/>
      <c r="N429" s="149"/>
      <c r="O429" s="189"/>
      <c r="P429" s="149"/>
      <c r="Q429" s="149"/>
      <c r="R429" s="189"/>
      <c r="S429" s="149"/>
      <c r="T429" s="189"/>
      <c r="U429" s="194"/>
      <c r="V429" s="194"/>
      <c r="W429" s="194"/>
      <c r="X429" s="194"/>
      <c r="Y429" s="194"/>
      <c r="Z429" s="194"/>
      <c r="AA429" s="194"/>
    </row>
    <row r="430" ht="15.75" customHeight="1">
      <c r="A430" s="241"/>
      <c r="B430" s="224"/>
      <c r="C430" s="220"/>
      <c r="D430" s="221"/>
      <c r="E430" s="222"/>
      <c r="F430" s="223"/>
      <c r="G430" s="143"/>
      <c r="H430" s="143"/>
      <c r="I430" s="143"/>
      <c r="J430" s="143"/>
      <c r="K430" s="182"/>
      <c r="L430" s="143"/>
      <c r="M430" s="182"/>
      <c r="N430" s="149"/>
      <c r="O430" s="189"/>
      <c r="P430" s="149"/>
      <c r="Q430" s="149"/>
      <c r="R430" s="189"/>
      <c r="S430" s="149"/>
      <c r="T430" s="189"/>
      <c r="U430" s="194"/>
      <c r="V430" s="194"/>
      <c r="W430" s="194"/>
      <c r="X430" s="194"/>
      <c r="Y430" s="194"/>
      <c r="Z430" s="194"/>
      <c r="AA430" s="194"/>
    </row>
    <row r="431" ht="15.75" customHeight="1">
      <c r="A431" s="241"/>
      <c r="B431" s="224"/>
      <c r="C431" s="220"/>
      <c r="D431" s="221"/>
      <c r="E431" s="222"/>
      <c r="F431" s="223"/>
      <c r="G431" s="143"/>
      <c r="H431" s="143"/>
      <c r="I431" s="143"/>
      <c r="J431" s="143"/>
      <c r="K431" s="182"/>
      <c r="L431" s="143"/>
      <c r="M431" s="182"/>
      <c r="N431" s="149"/>
      <c r="O431" s="189"/>
      <c r="P431" s="149"/>
      <c r="Q431" s="149"/>
      <c r="R431" s="189"/>
      <c r="S431" s="149"/>
      <c r="T431" s="189"/>
      <c r="U431" s="194"/>
      <c r="V431" s="194"/>
      <c r="W431" s="194"/>
      <c r="X431" s="194"/>
      <c r="Y431" s="194"/>
      <c r="Z431" s="194"/>
      <c r="AA431" s="194"/>
    </row>
    <row r="432" ht="15.75" customHeight="1">
      <c r="A432" s="241"/>
      <c r="B432" s="224"/>
      <c r="C432" s="220"/>
      <c r="D432" s="221"/>
      <c r="E432" s="222"/>
      <c r="F432" s="223"/>
      <c r="G432" s="143"/>
      <c r="H432" s="143"/>
      <c r="I432" s="143"/>
      <c r="J432" s="143"/>
      <c r="K432" s="182"/>
      <c r="L432" s="143"/>
      <c r="M432" s="182"/>
      <c r="N432" s="149"/>
      <c r="O432" s="189"/>
      <c r="P432" s="149"/>
      <c r="Q432" s="149"/>
      <c r="R432" s="189"/>
      <c r="S432" s="149"/>
      <c r="T432" s="189"/>
      <c r="U432" s="194"/>
      <c r="V432" s="194"/>
      <c r="W432" s="194"/>
      <c r="X432" s="194"/>
      <c r="Y432" s="194"/>
      <c r="Z432" s="194"/>
      <c r="AA432" s="194"/>
    </row>
    <row r="433" ht="15.75" customHeight="1">
      <c r="A433" s="241"/>
      <c r="B433" s="224"/>
      <c r="C433" s="220"/>
      <c r="D433" s="221"/>
      <c r="E433" s="222"/>
      <c r="F433" s="223"/>
      <c r="G433" s="143"/>
      <c r="H433" s="143"/>
      <c r="I433" s="143"/>
      <c r="J433" s="143"/>
      <c r="K433" s="182"/>
      <c r="L433" s="143"/>
      <c r="M433" s="182"/>
      <c r="N433" s="149"/>
      <c r="O433" s="189"/>
      <c r="P433" s="149"/>
      <c r="Q433" s="149"/>
      <c r="R433" s="189"/>
      <c r="S433" s="149"/>
      <c r="T433" s="189"/>
      <c r="U433" s="194"/>
      <c r="V433" s="194"/>
      <c r="W433" s="194"/>
      <c r="X433" s="194"/>
      <c r="Y433" s="194"/>
      <c r="Z433" s="194"/>
      <c r="AA433" s="194"/>
    </row>
    <row r="434" ht="15.75" customHeight="1">
      <c r="A434" s="241"/>
      <c r="B434" s="224"/>
      <c r="C434" s="220"/>
      <c r="D434" s="221"/>
      <c r="E434" s="222"/>
      <c r="F434" s="223"/>
      <c r="G434" s="143"/>
      <c r="H434" s="143"/>
      <c r="I434" s="143"/>
      <c r="J434" s="143"/>
      <c r="K434" s="182"/>
      <c r="L434" s="143"/>
      <c r="M434" s="182"/>
      <c r="N434" s="149"/>
      <c r="O434" s="189"/>
      <c r="P434" s="149"/>
      <c r="Q434" s="149"/>
      <c r="R434" s="189"/>
      <c r="S434" s="149"/>
      <c r="T434" s="189"/>
      <c r="U434" s="194"/>
      <c r="V434" s="194"/>
      <c r="W434" s="194"/>
      <c r="X434" s="194"/>
      <c r="Y434" s="194"/>
      <c r="Z434" s="194"/>
      <c r="AA434" s="194"/>
    </row>
    <row r="435" ht="15.75" customHeight="1">
      <c r="A435" s="241"/>
      <c r="B435" s="224"/>
      <c r="C435" s="220"/>
      <c r="D435" s="221"/>
      <c r="E435" s="222"/>
      <c r="F435" s="223"/>
      <c r="G435" s="143"/>
      <c r="H435" s="143"/>
      <c r="I435" s="143"/>
      <c r="J435" s="143"/>
      <c r="K435" s="182"/>
      <c r="L435" s="143"/>
      <c r="M435" s="182"/>
      <c r="N435" s="149"/>
      <c r="O435" s="189"/>
      <c r="P435" s="149"/>
      <c r="Q435" s="149"/>
      <c r="R435" s="189"/>
      <c r="S435" s="149"/>
      <c r="T435" s="189"/>
      <c r="U435" s="194"/>
      <c r="V435" s="194"/>
      <c r="W435" s="194"/>
      <c r="X435" s="194"/>
      <c r="Y435" s="194"/>
      <c r="Z435" s="194"/>
      <c r="AA435" s="194"/>
    </row>
    <row r="436" ht="15.75" customHeight="1">
      <c r="A436" s="241"/>
      <c r="B436" s="224"/>
      <c r="C436" s="220"/>
      <c r="D436" s="221"/>
      <c r="E436" s="222"/>
      <c r="F436" s="223"/>
      <c r="G436" s="143"/>
      <c r="H436" s="143"/>
      <c r="I436" s="143"/>
      <c r="J436" s="143"/>
      <c r="K436" s="182"/>
      <c r="L436" s="143"/>
      <c r="M436" s="182"/>
      <c r="N436" s="149"/>
      <c r="O436" s="189"/>
      <c r="P436" s="149"/>
      <c r="Q436" s="149"/>
      <c r="R436" s="189"/>
      <c r="S436" s="149"/>
      <c r="T436" s="189"/>
      <c r="U436" s="194"/>
      <c r="V436" s="194"/>
      <c r="W436" s="194"/>
      <c r="X436" s="194"/>
      <c r="Y436" s="194"/>
      <c r="Z436" s="194"/>
      <c r="AA436" s="194"/>
    </row>
    <row r="437" ht="15.75" customHeight="1">
      <c r="A437" s="241"/>
      <c r="B437" s="224"/>
      <c r="C437" s="220"/>
      <c r="D437" s="221"/>
      <c r="E437" s="222"/>
      <c r="F437" s="223"/>
      <c r="G437" s="143"/>
      <c r="H437" s="143"/>
      <c r="I437" s="143"/>
      <c r="J437" s="143"/>
      <c r="K437" s="182"/>
      <c r="L437" s="143"/>
      <c r="M437" s="182"/>
      <c r="N437" s="149"/>
      <c r="O437" s="189"/>
      <c r="P437" s="149"/>
      <c r="Q437" s="149"/>
      <c r="R437" s="189"/>
      <c r="S437" s="149"/>
      <c r="T437" s="189"/>
      <c r="U437" s="194"/>
      <c r="V437" s="194"/>
      <c r="W437" s="194"/>
      <c r="X437" s="194"/>
      <c r="Y437" s="194"/>
      <c r="Z437" s="194"/>
      <c r="AA437" s="194"/>
    </row>
    <row r="438" ht="15.75" customHeight="1">
      <c r="A438" s="241"/>
      <c r="B438" s="224"/>
      <c r="C438" s="220"/>
      <c r="D438" s="221"/>
      <c r="E438" s="222"/>
      <c r="F438" s="223"/>
      <c r="G438" s="143"/>
      <c r="H438" s="143"/>
      <c r="I438" s="143"/>
      <c r="J438" s="143"/>
      <c r="K438" s="182"/>
      <c r="L438" s="143"/>
      <c r="M438" s="182"/>
      <c r="N438" s="149"/>
      <c r="O438" s="189"/>
      <c r="P438" s="149"/>
      <c r="Q438" s="149"/>
      <c r="R438" s="189"/>
      <c r="S438" s="149"/>
      <c r="T438" s="189"/>
      <c r="U438" s="194"/>
      <c r="V438" s="194"/>
      <c r="W438" s="194"/>
      <c r="X438" s="194"/>
      <c r="Y438" s="194"/>
      <c r="Z438" s="194"/>
      <c r="AA438" s="194"/>
    </row>
    <row r="439" ht="15.75" customHeight="1">
      <c r="A439" s="241"/>
      <c r="B439" s="224"/>
      <c r="C439" s="220"/>
      <c r="D439" s="221"/>
      <c r="E439" s="222"/>
      <c r="F439" s="223"/>
      <c r="G439" s="143"/>
      <c r="H439" s="143"/>
      <c r="I439" s="143"/>
      <c r="J439" s="143"/>
      <c r="K439" s="182"/>
      <c r="L439" s="143"/>
      <c r="M439" s="182"/>
      <c r="N439" s="149"/>
      <c r="O439" s="189"/>
      <c r="P439" s="149"/>
      <c r="Q439" s="149"/>
      <c r="R439" s="189"/>
      <c r="S439" s="149"/>
      <c r="T439" s="189"/>
      <c r="U439" s="194"/>
      <c r="V439" s="194"/>
      <c r="W439" s="194"/>
      <c r="X439" s="194"/>
      <c r="Y439" s="194"/>
      <c r="Z439" s="194"/>
      <c r="AA439" s="194"/>
    </row>
    <row r="440" ht="15.75" customHeight="1">
      <c r="A440" s="241"/>
      <c r="B440" s="224"/>
      <c r="C440" s="220"/>
      <c r="D440" s="221"/>
      <c r="E440" s="222"/>
      <c r="F440" s="223"/>
      <c r="G440" s="143"/>
      <c r="H440" s="143"/>
      <c r="I440" s="143"/>
      <c r="J440" s="143"/>
      <c r="K440" s="182"/>
      <c r="L440" s="143"/>
      <c r="M440" s="182"/>
      <c r="N440" s="149"/>
      <c r="O440" s="189"/>
      <c r="P440" s="149"/>
      <c r="Q440" s="149"/>
      <c r="R440" s="189"/>
      <c r="S440" s="149"/>
      <c r="T440" s="189"/>
      <c r="U440" s="194"/>
      <c r="V440" s="194"/>
      <c r="W440" s="194"/>
      <c r="X440" s="194"/>
      <c r="Y440" s="194"/>
      <c r="Z440" s="194"/>
      <c r="AA440" s="194"/>
    </row>
    <row r="441" ht="15.75" customHeight="1">
      <c r="A441" s="241"/>
      <c r="B441" s="224"/>
      <c r="C441" s="220"/>
      <c r="D441" s="221"/>
      <c r="E441" s="222"/>
      <c r="F441" s="223"/>
      <c r="G441" s="143"/>
      <c r="H441" s="143"/>
      <c r="I441" s="143"/>
      <c r="J441" s="143"/>
      <c r="K441" s="182"/>
      <c r="L441" s="143"/>
      <c r="M441" s="182"/>
      <c r="N441" s="149"/>
      <c r="O441" s="189"/>
      <c r="P441" s="149"/>
      <c r="Q441" s="149"/>
      <c r="R441" s="189"/>
      <c r="S441" s="149"/>
      <c r="T441" s="189"/>
      <c r="U441" s="194"/>
      <c r="V441" s="194"/>
      <c r="W441" s="194"/>
      <c r="X441" s="194"/>
      <c r="Y441" s="194"/>
      <c r="Z441" s="194"/>
      <c r="AA441" s="194"/>
    </row>
    <row r="442" ht="15.75" customHeight="1">
      <c r="A442" s="241"/>
      <c r="B442" s="224"/>
      <c r="C442" s="220"/>
      <c r="D442" s="221"/>
      <c r="E442" s="222"/>
      <c r="F442" s="223"/>
      <c r="G442" s="143"/>
      <c r="H442" s="143"/>
      <c r="I442" s="143"/>
      <c r="J442" s="143"/>
      <c r="K442" s="182"/>
      <c r="L442" s="143"/>
      <c r="M442" s="182"/>
      <c r="N442" s="149"/>
      <c r="O442" s="189"/>
      <c r="P442" s="149"/>
      <c r="Q442" s="149"/>
      <c r="R442" s="189"/>
      <c r="S442" s="149"/>
      <c r="T442" s="189"/>
      <c r="U442" s="194"/>
      <c r="V442" s="194"/>
      <c r="W442" s="194"/>
      <c r="X442" s="194"/>
      <c r="Y442" s="194"/>
      <c r="Z442" s="194"/>
      <c r="AA442" s="194"/>
    </row>
    <row r="443" ht="15.75" customHeight="1">
      <c r="A443" s="241"/>
      <c r="B443" s="224"/>
      <c r="C443" s="220"/>
      <c r="D443" s="221"/>
      <c r="E443" s="222"/>
      <c r="F443" s="223"/>
      <c r="G443" s="143"/>
      <c r="H443" s="143"/>
      <c r="I443" s="143"/>
      <c r="J443" s="143"/>
      <c r="K443" s="182"/>
      <c r="L443" s="143"/>
      <c r="M443" s="182"/>
      <c r="N443" s="149"/>
      <c r="O443" s="189"/>
      <c r="P443" s="149"/>
      <c r="Q443" s="149"/>
      <c r="R443" s="189"/>
      <c r="S443" s="149"/>
      <c r="T443" s="189"/>
      <c r="U443" s="194"/>
      <c r="V443" s="194"/>
      <c r="W443" s="194"/>
      <c r="X443" s="194"/>
      <c r="Y443" s="194"/>
      <c r="Z443" s="194"/>
      <c r="AA443" s="194"/>
    </row>
    <row r="444" ht="15.75" customHeight="1">
      <c r="A444" s="241"/>
      <c r="B444" s="224"/>
      <c r="C444" s="220"/>
      <c r="D444" s="221"/>
      <c r="E444" s="222"/>
      <c r="F444" s="223"/>
      <c r="G444" s="143"/>
      <c r="H444" s="143"/>
      <c r="I444" s="143"/>
      <c r="J444" s="143"/>
      <c r="K444" s="182"/>
      <c r="L444" s="143"/>
      <c r="M444" s="182"/>
      <c r="N444" s="149"/>
      <c r="O444" s="189"/>
      <c r="P444" s="149"/>
      <c r="Q444" s="149"/>
      <c r="R444" s="189"/>
      <c r="S444" s="149"/>
      <c r="T444" s="189"/>
      <c r="U444" s="194"/>
      <c r="V444" s="194"/>
      <c r="W444" s="194"/>
      <c r="X444" s="194"/>
      <c r="Y444" s="194"/>
      <c r="Z444" s="194"/>
      <c r="AA444" s="194"/>
    </row>
    <row r="445" ht="15.75" customHeight="1">
      <c r="A445" s="241"/>
      <c r="B445" s="224"/>
      <c r="C445" s="220"/>
      <c r="D445" s="221"/>
      <c r="E445" s="222"/>
      <c r="F445" s="223"/>
      <c r="G445" s="143"/>
      <c r="H445" s="143"/>
      <c r="I445" s="143"/>
      <c r="J445" s="143"/>
      <c r="K445" s="182"/>
      <c r="L445" s="143"/>
      <c r="M445" s="182"/>
      <c r="N445" s="149"/>
      <c r="O445" s="189"/>
      <c r="P445" s="149"/>
      <c r="Q445" s="149"/>
      <c r="R445" s="189"/>
      <c r="S445" s="149"/>
      <c r="T445" s="189"/>
      <c r="U445" s="194"/>
      <c r="V445" s="194"/>
      <c r="W445" s="194"/>
      <c r="X445" s="194"/>
      <c r="Y445" s="194"/>
      <c r="Z445" s="194"/>
      <c r="AA445" s="194"/>
    </row>
    <row r="446" ht="15.75" customHeight="1">
      <c r="A446" s="241"/>
      <c r="B446" s="224"/>
      <c r="C446" s="220"/>
      <c r="D446" s="221"/>
      <c r="E446" s="222"/>
      <c r="F446" s="223"/>
      <c r="G446" s="143"/>
      <c r="H446" s="143"/>
      <c r="I446" s="143"/>
      <c r="J446" s="143"/>
      <c r="K446" s="182"/>
      <c r="L446" s="143"/>
      <c r="M446" s="182"/>
      <c r="N446" s="149"/>
      <c r="O446" s="189"/>
      <c r="P446" s="149"/>
      <c r="Q446" s="149"/>
      <c r="R446" s="189"/>
      <c r="S446" s="149"/>
      <c r="T446" s="189"/>
      <c r="U446" s="194"/>
      <c r="V446" s="194"/>
      <c r="W446" s="194"/>
      <c r="X446" s="194"/>
      <c r="Y446" s="194"/>
      <c r="Z446" s="194"/>
      <c r="AA446" s="194"/>
    </row>
    <row r="447" ht="15.75" customHeight="1">
      <c r="A447" s="241"/>
      <c r="B447" s="224"/>
      <c r="C447" s="220"/>
      <c r="D447" s="221"/>
      <c r="E447" s="222"/>
      <c r="F447" s="223"/>
      <c r="G447" s="143"/>
      <c r="H447" s="143"/>
      <c r="I447" s="143"/>
      <c r="J447" s="143"/>
      <c r="K447" s="182"/>
      <c r="L447" s="143"/>
      <c r="M447" s="182"/>
      <c r="N447" s="149"/>
      <c r="O447" s="189"/>
      <c r="P447" s="149"/>
      <c r="Q447" s="149"/>
      <c r="R447" s="189"/>
      <c r="S447" s="149"/>
      <c r="T447" s="189"/>
      <c r="U447" s="194"/>
      <c r="V447" s="194"/>
      <c r="W447" s="194"/>
      <c r="X447" s="194"/>
      <c r="Y447" s="194"/>
      <c r="Z447" s="194"/>
      <c r="AA447" s="194"/>
    </row>
    <row r="448" ht="15.75" customHeight="1">
      <c r="A448" s="241"/>
      <c r="B448" s="224"/>
      <c r="C448" s="220"/>
      <c r="D448" s="221"/>
      <c r="E448" s="222"/>
      <c r="F448" s="223"/>
      <c r="G448" s="143"/>
      <c r="H448" s="143"/>
      <c r="I448" s="143"/>
      <c r="J448" s="143"/>
      <c r="K448" s="182"/>
      <c r="L448" s="143"/>
      <c r="M448" s="182"/>
      <c r="N448" s="149"/>
      <c r="O448" s="189"/>
      <c r="P448" s="149"/>
      <c r="Q448" s="149"/>
      <c r="R448" s="189"/>
      <c r="S448" s="149"/>
      <c r="T448" s="189"/>
      <c r="U448" s="194"/>
      <c r="V448" s="194"/>
      <c r="W448" s="194"/>
      <c r="X448" s="194"/>
      <c r="Y448" s="194"/>
      <c r="Z448" s="194"/>
      <c r="AA448" s="194"/>
    </row>
    <row r="449" ht="15.75" customHeight="1">
      <c r="A449" s="241"/>
      <c r="B449" s="224"/>
      <c r="C449" s="220"/>
      <c r="D449" s="221"/>
      <c r="E449" s="222"/>
      <c r="F449" s="223"/>
      <c r="G449" s="143"/>
      <c r="H449" s="143"/>
      <c r="I449" s="143"/>
      <c r="J449" s="143"/>
      <c r="K449" s="182"/>
      <c r="L449" s="143"/>
      <c r="M449" s="182"/>
      <c r="N449" s="149"/>
      <c r="O449" s="189"/>
      <c r="P449" s="149"/>
      <c r="Q449" s="149"/>
      <c r="R449" s="189"/>
      <c r="S449" s="149"/>
      <c r="T449" s="189"/>
      <c r="U449" s="194"/>
      <c r="V449" s="194"/>
      <c r="W449" s="194"/>
      <c r="X449" s="194"/>
      <c r="Y449" s="194"/>
      <c r="Z449" s="194"/>
      <c r="AA449" s="194"/>
    </row>
    <row r="450" ht="15.75" customHeight="1">
      <c r="A450" s="241"/>
      <c r="B450" s="224"/>
      <c r="C450" s="220"/>
      <c r="D450" s="221"/>
      <c r="E450" s="222"/>
      <c r="F450" s="223"/>
      <c r="G450" s="143"/>
      <c r="H450" s="143"/>
      <c r="I450" s="143"/>
      <c r="J450" s="143"/>
      <c r="K450" s="182"/>
      <c r="L450" s="143"/>
      <c r="M450" s="182"/>
      <c r="N450" s="149"/>
      <c r="O450" s="189"/>
      <c r="P450" s="149"/>
      <c r="Q450" s="149"/>
      <c r="R450" s="189"/>
      <c r="S450" s="149"/>
      <c r="T450" s="189"/>
      <c r="U450" s="194"/>
      <c r="V450" s="194"/>
      <c r="W450" s="194"/>
      <c r="X450" s="194"/>
      <c r="Y450" s="194"/>
      <c r="Z450" s="194"/>
      <c r="AA450" s="194"/>
    </row>
    <row r="451" ht="15.75" customHeight="1">
      <c r="A451" s="241"/>
      <c r="B451" s="224"/>
      <c r="C451" s="220"/>
      <c r="D451" s="221"/>
      <c r="E451" s="222"/>
      <c r="F451" s="223"/>
      <c r="G451" s="143"/>
      <c r="H451" s="143"/>
      <c r="I451" s="143"/>
      <c r="J451" s="143"/>
      <c r="K451" s="182"/>
      <c r="L451" s="143"/>
      <c r="M451" s="182"/>
      <c r="N451" s="149"/>
      <c r="O451" s="189"/>
      <c r="P451" s="149"/>
      <c r="Q451" s="149"/>
      <c r="R451" s="189"/>
      <c r="S451" s="149"/>
      <c r="T451" s="189"/>
      <c r="U451" s="194"/>
      <c r="V451" s="194"/>
      <c r="W451" s="194"/>
      <c r="X451" s="194"/>
      <c r="Y451" s="194"/>
      <c r="Z451" s="194"/>
      <c r="AA451" s="194"/>
    </row>
    <row r="452" ht="15.75" customHeight="1">
      <c r="A452" s="241"/>
      <c r="B452" s="224"/>
      <c r="C452" s="220"/>
      <c r="D452" s="221"/>
      <c r="E452" s="222"/>
      <c r="F452" s="223"/>
      <c r="G452" s="143"/>
      <c r="H452" s="143"/>
      <c r="I452" s="143"/>
      <c r="J452" s="143"/>
      <c r="K452" s="182"/>
      <c r="L452" s="143"/>
      <c r="M452" s="182"/>
      <c r="N452" s="149"/>
      <c r="O452" s="189"/>
      <c r="P452" s="149"/>
      <c r="Q452" s="149"/>
      <c r="R452" s="189"/>
      <c r="S452" s="149"/>
      <c r="T452" s="189"/>
      <c r="U452" s="194"/>
      <c r="V452" s="194"/>
      <c r="W452" s="194"/>
      <c r="X452" s="194"/>
      <c r="Y452" s="194"/>
      <c r="Z452" s="194"/>
      <c r="AA452" s="194"/>
    </row>
    <row r="453" ht="15.75" customHeight="1">
      <c r="A453" s="241"/>
      <c r="B453" s="224"/>
      <c r="C453" s="220"/>
      <c r="D453" s="221"/>
      <c r="E453" s="222"/>
      <c r="F453" s="223"/>
      <c r="G453" s="143"/>
      <c r="H453" s="143"/>
      <c r="I453" s="143"/>
      <c r="J453" s="143"/>
      <c r="K453" s="182"/>
      <c r="L453" s="143"/>
      <c r="M453" s="182"/>
      <c r="N453" s="149"/>
      <c r="O453" s="189"/>
      <c r="P453" s="149"/>
      <c r="Q453" s="149"/>
      <c r="R453" s="189"/>
      <c r="S453" s="149"/>
      <c r="T453" s="189"/>
      <c r="U453" s="194"/>
      <c r="V453" s="194"/>
      <c r="W453" s="194"/>
      <c r="X453" s="194"/>
      <c r="Y453" s="194"/>
      <c r="Z453" s="194"/>
      <c r="AA453" s="194"/>
    </row>
    <row r="454" ht="15.75" customHeight="1">
      <c r="A454" s="241"/>
      <c r="B454" s="224"/>
      <c r="C454" s="220"/>
      <c r="D454" s="221"/>
      <c r="E454" s="222"/>
      <c r="F454" s="223"/>
      <c r="G454" s="143"/>
      <c r="H454" s="143"/>
      <c r="I454" s="143"/>
      <c r="J454" s="143"/>
      <c r="K454" s="182"/>
      <c r="L454" s="143"/>
      <c r="M454" s="182"/>
      <c r="N454" s="149"/>
      <c r="O454" s="189"/>
      <c r="P454" s="149"/>
      <c r="Q454" s="149"/>
      <c r="R454" s="189"/>
      <c r="S454" s="149"/>
      <c r="T454" s="189"/>
      <c r="U454" s="194"/>
      <c r="V454" s="194"/>
      <c r="W454" s="194"/>
      <c r="X454" s="194"/>
      <c r="Y454" s="194"/>
      <c r="Z454" s="194"/>
      <c r="AA454" s="194"/>
    </row>
    <row r="455" ht="15.75" customHeight="1">
      <c r="A455" s="241"/>
      <c r="B455" s="224"/>
      <c r="C455" s="220"/>
      <c r="D455" s="221"/>
      <c r="E455" s="222"/>
      <c r="F455" s="223"/>
      <c r="G455" s="143"/>
      <c r="H455" s="143"/>
      <c r="I455" s="143"/>
      <c r="J455" s="143"/>
      <c r="K455" s="182"/>
      <c r="L455" s="143"/>
      <c r="M455" s="182"/>
      <c r="N455" s="149"/>
      <c r="O455" s="189"/>
      <c r="P455" s="149"/>
      <c r="Q455" s="149"/>
      <c r="R455" s="189"/>
      <c r="S455" s="149"/>
      <c r="T455" s="189"/>
      <c r="U455" s="194"/>
      <c r="V455" s="194"/>
      <c r="W455" s="194"/>
      <c r="X455" s="194"/>
      <c r="Y455" s="194"/>
      <c r="Z455" s="194"/>
      <c r="AA455" s="194"/>
    </row>
    <row r="456" ht="15.75" customHeight="1">
      <c r="A456" s="241"/>
      <c r="B456" s="224"/>
      <c r="C456" s="220"/>
      <c r="D456" s="221"/>
      <c r="E456" s="222"/>
      <c r="F456" s="223"/>
      <c r="G456" s="143"/>
      <c r="H456" s="143"/>
      <c r="I456" s="143"/>
      <c r="J456" s="143"/>
      <c r="K456" s="182"/>
      <c r="L456" s="143"/>
      <c r="M456" s="182"/>
      <c r="N456" s="149"/>
      <c r="O456" s="189"/>
      <c r="P456" s="149"/>
      <c r="Q456" s="149"/>
      <c r="R456" s="189"/>
      <c r="S456" s="149"/>
      <c r="T456" s="189"/>
      <c r="U456" s="194"/>
      <c r="V456" s="194"/>
      <c r="W456" s="194"/>
      <c r="X456" s="194"/>
      <c r="Y456" s="194"/>
      <c r="Z456" s="194"/>
      <c r="AA456" s="194"/>
    </row>
    <row r="457" ht="15.75" customHeight="1">
      <c r="A457" s="241"/>
      <c r="B457" s="224"/>
      <c r="C457" s="220"/>
      <c r="D457" s="221"/>
      <c r="E457" s="222"/>
      <c r="F457" s="223"/>
      <c r="G457" s="143"/>
      <c r="H457" s="143"/>
      <c r="I457" s="143"/>
      <c r="J457" s="143"/>
      <c r="K457" s="182"/>
      <c r="L457" s="143"/>
      <c r="M457" s="182"/>
      <c r="N457" s="149"/>
      <c r="O457" s="189"/>
      <c r="P457" s="149"/>
      <c r="Q457" s="149"/>
      <c r="R457" s="189"/>
      <c r="S457" s="149"/>
      <c r="T457" s="189"/>
      <c r="U457" s="194"/>
      <c r="V457" s="194"/>
      <c r="W457" s="194"/>
      <c r="X457" s="194"/>
      <c r="Y457" s="194"/>
      <c r="Z457" s="194"/>
      <c r="AA457" s="194"/>
    </row>
    <row r="458" ht="15.75" customHeight="1">
      <c r="A458" s="241"/>
      <c r="B458" s="224"/>
      <c r="C458" s="220"/>
      <c r="D458" s="221"/>
      <c r="E458" s="222"/>
      <c r="F458" s="223"/>
      <c r="G458" s="143"/>
      <c r="H458" s="143"/>
      <c r="I458" s="143"/>
      <c r="J458" s="143"/>
      <c r="K458" s="182"/>
      <c r="L458" s="143"/>
      <c r="M458" s="182"/>
      <c r="N458" s="149"/>
      <c r="O458" s="189"/>
      <c r="P458" s="149"/>
      <c r="Q458" s="149"/>
      <c r="R458" s="189"/>
      <c r="S458" s="149"/>
      <c r="T458" s="189"/>
      <c r="U458" s="194"/>
      <c r="V458" s="194"/>
      <c r="W458" s="194"/>
      <c r="X458" s="194"/>
      <c r="Y458" s="194"/>
      <c r="Z458" s="194"/>
      <c r="AA458" s="194"/>
    </row>
    <row r="459" ht="15.75" customHeight="1">
      <c r="A459" s="241"/>
      <c r="B459" s="224"/>
      <c r="C459" s="220"/>
      <c r="D459" s="221"/>
      <c r="E459" s="222"/>
      <c r="F459" s="223"/>
      <c r="G459" s="143"/>
      <c r="H459" s="143"/>
      <c r="I459" s="143"/>
      <c r="J459" s="143"/>
      <c r="K459" s="182"/>
      <c r="L459" s="143"/>
      <c r="M459" s="182"/>
      <c r="N459" s="149"/>
      <c r="O459" s="189"/>
      <c r="P459" s="149"/>
      <c r="Q459" s="149"/>
      <c r="R459" s="189"/>
      <c r="S459" s="149"/>
      <c r="T459" s="189"/>
      <c r="U459" s="194"/>
      <c r="V459" s="194"/>
      <c r="W459" s="194"/>
      <c r="X459" s="194"/>
      <c r="Y459" s="194"/>
      <c r="Z459" s="194"/>
      <c r="AA459" s="194"/>
    </row>
    <row r="460" ht="15.75" customHeight="1">
      <c r="A460" s="241"/>
      <c r="B460" s="224"/>
      <c r="C460" s="220"/>
      <c r="D460" s="221"/>
      <c r="E460" s="222"/>
      <c r="F460" s="223"/>
      <c r="G460" s="143"/>
      <c r="H460" s="143"/>
      <c r="I460" s="143"/>
      <c r="J460" s="143"/>
      <c r="K460" s="182"/>
      <c r="L460" s="143"/>
      <c r="M460" s="182"/>
      <c r="N460" s="149"/>
      <c r="O460" s="189"/>
      <c r="P460" s="149"/>
      <c r="Q460" s="149"/>
      <c r="R460" s="189"/>
      <c r="S460" s="149"/>
      <c r="T460" s="189"/>
      <c r="U460" s="194"/>
      <c r="V460" s="194"/>
      <c r="W460" s="194"/>
      <c r="X460" s="194"/>
      <c r="Y460" s="194"/>
      <c r="Z460" s="194"/>
      <c r="AA460" s="194"/>
    </row>
    <row r="461" ht="15.75" customHeight="1">
      <c r="A461" s="241"/>
      <c r="B461" s="224"/>
      <c r="C461" s="220"/>
      <c r="D461" s="221"/>
      <c r="E461" s="222"/>
      <c r="F461" s="223"/>
      <c r="G461" s="143"/>
      <c r="H461" s="143"/>
      <c r="I461" s="143"/>
      <c r="J461" s="143"/>
      <c r="K461" s="182"/>
      <c r="L461" s="143"/>
      <c r="M461" s="182"/>
      <c r="N461" s="149"/>
      <c r="O461" s="189"/>
      <c r="P461" s="149"/>
      <c r="Q461" s="149"/>
      <c r="R461" s="189"/>
      <c r="S461" s="149"/>
      <c r="T461" s="189"/>
      <c r="U461" s="194"/>
      <c r="V461" s="194"/>
      <c r="W461" s="194"/>
      <c r="X461" s="194"/>
      <c r="Y461" s="194"/>
      <c r="Z461" s="194"/>
      <c r="AA461" s="194"/>
    </row>
    <row r="462" ht="15.75" customHeight="1">
      <c r="A462" s="241"/>
      <c r="B462" s="224"/>
      <c r="C462" s="220"/>
      <c r="D462" s="221"/>
      <c r="E462" s="222"/>
      <c r="F462" s="223"/>
      <c r="G462" s="143"/>
      <c r="H462" s="143"/>
      <c r="I462" s="143"/>
      <c r="J462" s="143"/>
      <c r="K462" s="182"/>
      <c r="L462" s="143"/>
      <c r="M462" s="182"/>
      <c r="N462" s="149"/>
      <c r="O462" s="189"/>
      <c r="P462" s="149"/>
      <c r="Q462" s="149"/>
      <c r="R462" s="189"/>
      <c r="S462" s="149"/>
      <c r="T462" s="189"/>
      <c r="U462" s="194"/>
      <c r="V462" s="194"/>
      <c r="W462" s="194"/>
      <c r="X462" s="194"/>
      <c r="Y462" s="194"/>
      <c r="Z462" s="194"/>
      <c r="AA462" s="194"/>
    </row>
    <row r="463" ht="15.75" customHeight="1">
      <c r="A463" s="241"/>
      <c r="B463" s="224"/>
      <c r="C463" s="220"/>
      <c r="D463" s="221"/>
      <c r="E463" s="222"/>
      <c r="F463" s="223"/>
      <c r="G463" s="143"/>
      <c r="H463" s="143"/>
      <c r="I463" s="143"/>
      <c r="J463" s="143"/>
      <c r="K463" s="182"/>
      <c r="L463" s="143"/>
      <c r="M463" s="182"/>
      <c r="N463" s="149"/>
      <c r="O463" s="189"/>
      <c r="P463" s="149"/>
      <c r="Q463" s="149"/>
      <c r="R463" s="189"/>
      <c r="S463" s="149"/>
      <c r="T463" s="189"/>
      <c r="U463" s="194"/>
      <c r="V463" s="194"/>
      <c r="W463" s="194"/>
      <c r="X463" s="194"/>
      <c r="Y463" s="194"/>
      <c r="Z463" s="194"/>
      <c r="AA463" s="194"/>
    </row>
    <row r="464" ht="15.75" customHeight="1">
      <c r="A464" s="241"/>
      <c r="B464" s="224"/>
      <c r="C464" s="220"/>
      <c r="D464" s="221"/>
      <c r="E464" s="222"/>
      <c r="F464" s="223"/>
      <c r="G464" s="143"/>
      <c r="H464" s="143"/>
      <c r="I464" s="143"/>
      <c r="J464" s="143"/>
      <c r="K464" s="182"/>
      <c r="L464" s="143"/>
      <c r="M464" s="182"/>
      <c r="N464" s="149"/>
      <c r="O464" s="189"/>
      <c r="P464" s="149"/>
      <c r="Q464" s="149"/>
      <c r="R464" s="189"/>
      <c r="S464" s="149"/>
      <c r="T464" s="189"/>
      <c r="U464" s="194"/>
      <c r="V464" s="194"/>
      <c r="W464" s="194"/>
      <c r="X464" s="194"/>
      <c r="Y464" s="194"/>
      <c r="Z464" s="194"/>
      <c r="AA464" s="194"/>
    </row>
    <row r="465" ht="15.75" customHeight="1">
      <c r="A465" s="241"/>
      <c r="B465" s="224"/>
      <c r="C465" s="220"/>
      <c r="D465" s="221"/>
      <c r="E465" s="222"/>
      <c r="F465" s="223"/>
      <c r="G465" s="143"/>
      <c r="H465" s="143"/>
      <c r="I465" s="143"/>
      <c r="J465" s="143"/>
      <c r="K465" s="182"/>
      <c r="L465" s="143"/>
      <c r="M465" s="182"/>
      <c r="N465" s="149"/>
      <c r="O465" s="189"/>
      <c r="P465" s="149"/>
      <c r="Q465" s="149"/>
      <c r="R465" s="189"/>
      <c r="S465" s="149"/>
      <c r="T465" s="189"/>
      <c r="U465" s="194"/>
      <c r="V465" s="194"/>
      <c r="W465" s="194"/>
      <c r="X465" s="194"/>
      <c r="Y465" s="194"/>
      <c r="Z465" s="194"/>
      <c r="AA465" s="194"/>
    </row>
    <row r="466" ht="15.75" customHeight="1">
      <c r="A466" s="241"/>
      <c r="B466" s="224"/>
      <c r="C466" s="220"/>
      <c r="D466" s="221"/>
      <c r="E466" s="222"/>
      <c r="F466" s="223"/>
      <c r="G466" s="143"/>
      <c r="H466" s="143"/>
      <c r="I466" s="143"/>
      <c r="J466" s="143"/>
      <c r="K466" s="182"/>
      <c r="L466" s="143"/>
      <c r="M466" s="182"/>
      <c r="N466" s="149"/>
      <c r="O466" s="189"/>
      <c r="P466" s="149"/>
      <c r="Q466" s="149"/>
      <c r="R466" s="189"/>
      <c r="S466" s="149"/>
      <c r="T466" s="189"/>
      <c r="U466" s="194"/>
      <c r="V466" s="194"/>
      <c r="W466" s="194"/>
      <c r="X466" s="194"/>
      <c r="Y466" s="194"/>
      <c r="Z466" s="194"/>
      <c r="AA466" s="194"/>
    </row>
    <row r="467" ht="15.75" customHeight="1">
      <c r="A467" s="241"/>
      <c r="B467" s="224"/>
      <c r="C467" s="220"/>
      <c r="D467" s="221"/>
      <c r="E467" s="222"/>
      <c r="F467" s="223"/>
      <c r="G467" s="143"/>
      <c r="H467" s="143"/>
      <c r="I467" s="143"/>
      <c r="J467" s="143"/>
      <c r="K467" s="182"/>
      <c r="L467" s="143"/>
      <c r="M467" s="182"/>
      <c r="N467" s="149"/>
      <c r="O467" s="189"/>
      <c r="P467" s="149"/>
      <c r="Q467" s="149"/>
      <c r="R467" s="189"/>
      <c r="S467" s="149"/>
      <c r="T467" s="189"/>
      <c r="U467" s="194"/>
      <c r="V467" s="194"/>
      <c r="W467" s="194"/>
      <c r="X467" s="194"/>
      <c r="Y467" s="194"/>
      <c r="Z467" s="194"/>
      <c r="AA467" s="194"/>
    </row>
    <row r="468" ht="15.75" customHeight="1">
      <c r="A468" s="241"/>
      <c r="B468" s="224"/>
      <c r="C468" s="220"/>
      <c r="D468" s="221"/>
      <c r="E468" s="222"/>
      <c r="F468" s="223"/>
      <c r="G468" s="143"/>
      <c r="H468" s="143"/>
      <c r="I468" s="143"/>
      <c r="J468" s="143"/>
      <c r="K468" s="182"/>
      <c r="L468" s="143"/>
      <c r="M468" s="182"/>
      <c r="N468" s="149"/>
      <c r="O468" s="189"/>
      <c r="P468" s="149"/>
      <c r="Q468" s="149"/>
      <c r="R468" s="189"/>
      <c r="S468" s="149"/>
      <c r="T468" s="189"/>
      <c r="U468" s="194"/>
      <c r="V468" s="194"/>
      <c r="W468" s="194"/>
      <c r="X468" s="194"/>
      <c r="Y468" s="194"/>
      <c r="Z468" s="194"/>
      <c r="AA468" s="194"/>
    </row>
    <row r="469" ht="15.75" customHeight="1">
      <c r="A469" s="241"/>
      <c r="B469" s="224"/>
      <c r="C469" s="220"/>
      <c r="D469" s="221"/>
      <c r="E469" s="222"/>
      <c r="F469" s="223"/>
      <c r="G469" s="143"/>
      <c r="H469" s="143"/>
      <c r="I469" s="143"/>
      <c r="J469" s="143"/>
      <c r="K469" s="182"/>
      <c r="L469" s="143"/>
      <c r="M469" s="182"/>
      <c r="N469" s="149"/>
      <c r="O469" s="189"/>
      <c r="P469" s="149"/>
      <c r="Q469" s="149"/>
      <c r="R469" s="189"/>
      <c r="S469" s="149"/>
      <c r="T469" s="189"/>
      <c r="U469" s="194"/>
      <c r="V469" s="194"/>
      <c r="W469" s="194"/>
      <c r="X469" s="194"/>
      <c r="Y469" s="194"/>
      <c r="Z469" s="194"/>
      <c r="AA469" s="194"/>
    </row>
    <row r="470" ht="15.75" customHeight="1">
      <c r="A470" s="241"/>
      <c r="B470" s="224"/>
      <c r="C470" s="220"/>
      <c r="D470" s="221"/>
      <c r="E470" s="222"/>
      <c r="F470" s="223"/>
      <c r="G470" s="143"/>
      <c r="H470" s="143"/>
      <c r="I470" s="143"/>
      <c r="J470" s="143"/>
      <c r="K470" s="182"/>
      <c r="L470" s="143"/>
      <c r="M470" s="182"/>
      <c r="N470" s="149"/>
      <c r="O470" s="189"/>
      <c r="P470" s="149"/>
      <c r="Q470" s="149"/>
      <c r="R470" s="189"/>
      <c r="S470" s="149"/>
      <c r="T470" s="189"/>
      <c r="U470" s="194"/>
      <c r="V470" s="194"/>
      <c r="W470" s="194"/>
      <c r="X470" s="194"/>
      <c r="Y470" s="194"/>
      <c r="Z470" s="194"/>
      <c r="AA470" s="194"/>
    </row>
    <row r="471" ht="15.75" customHeight="1">
      <c r="A471" s="241"/>
      <c r="B471" s="224"/>
      <c r="C471" s="220"/>
      <c r="D471" s="221"/>
      <c r="E471" s="222"/>
      <c r="F471" s="223"/>
      <c r="G471" s="143"/>
      <c r="H471" s="143"/>
      <c r="I471" s="143"/>
      <c r="J471" s="143"/>
      <c r="K471" s="182"/>
      <c r="L471" s="143"/>
      <c r="M471" s="182"/>
      <c r="N471" s="149"/>
      <c r="O471" s="189"/>
      <c r="P471" s="149"/>
      <c r="Q471" s="149"/>
      <c r="R471" s="189"/>
      <c r="S471" s="149"/>
      <c r="T471" s="189"/>
      <c r="U471" s="194"/>
      <c r="V471" s="194"/>
      <c r="W471" s="194"/>
      <c r="X471" s="194"/>
      <c r="Y471" s="194"/>
      <c r="Z471" s="194"/>
      <c r="AA471" s="194"/>
    </row>
    <row r="472" ht="15.75" customHeight="1">
      <c r="A472" s="241"/>
      <c r="B472" s="224"/>
      <c r="C472" s="220"/>
      <c r="D472" s="221"/>
      <c r="E472" s="222"/>
      <c r="F472" s="223"/>
      <c r="G472" s="143"/>
      <c r="H472" s="143"/>
      <c r="I472" s="143"/>
      <c r="J472" s="143"/>
      <c r="K472" s="182"/>
      <c r="L472" s="143"/>
      <c r="M472" s="182"/>
      <c r="N472" s="149"/>
      <c r="O472" s="189"/>
      <c r="P472" s="149"/>
      <c r="Q472" s="149"/>
      <c r="R472" s="189"/>
      <c r="S472" s="149"/>
      <c r="T472" s="189"/>
      <c r="U472" s="194"/>
      <c r="V472" s="194"/>
      <c r="W472" s="194"/>
      <c r="X472" s="194"/>
      <c r="Y472" s="194"/>
      <c r="Z472" s="194"/>
      <c r="AA472" s="194"/>
    </row>
    <row r="473" ht="15.75" customHeight="1">
      <c r="A473" s="241"/>
      <c r="B473" s="224"/>
      <c r="C473" s="220"/>
      <c r="D473" s="221"/>
      <c r="E473" s="222"/>
      <c r="F473" s="223"/>
      <c r="G473" s="143"/>
      <c r="H473" s="143"/>
      <c r="I473" s="143"/>
      <c r="J473" s="143"/>
      <c r="K473" s="182"/>
      <c r="L473" s="143"/>
      <c r="M473" s="182"/>
      <c r="N473" s="149"/>
      <c r="O473" s="189"/>
      <c r="P473" s="149"/>
      <c r="Q473" s="149"/>
      <c r="R473" s="189"/>
      <c r="S473" s="149"/>
      <c r="T473" s="189"/>
      <c r="U473" s="194"/>
      <c r="V473" s="194"/>
      <c r="W473" s="194"/>
      <c r="X473" s="194"/>
      <c r="Y473" s="194"/>
      <c r="Z473" s="194"/>
      <c r="AA473" s="194"/>
    </row>
    <row r="474" ht="15.75" customHeight="1">
      <c r="A474" s="241"/>
      <c r="B474" s="224"/>
      <c r="C474" s="220"/>
      <c r="D474" s="221"/>
      <c r="E474" s="222"/>
      <c r="F474" s="223"/>
      <c r="G474" s="143"/>
      <c r="H474" s="143"/>
      <c r="I474" s="143"/>
      <c r="J474" s="143"/>
      <c r="K474" s="182"/>
      <c r="L474" s="143"/>
      <c r="M474" s="182"/>
      <c r="N474" s="149"/>
      <c r="O474" s="189"/>
      <c r="P474" s="149"/>
      <c r="Q474" s="149"/>
      <c r="R474" s="189"/>
      <c r="S474" s="149"/>
      <c r="T474" s="189"/>
      <c r="U474" s="194"/>
      <c r="V474" s="194"/>
      <c r="W474" s="194"/>
      <c r="X474" s="194"/>
      <c r="Y474" s="194"/>
      <c r="Z474" s="194"/>
      <c r="AA474" s="194"/>
    </row>
    <row r="475" ht="15.75" customHeight="1">
      <c r="A475" s="241"/>
      <c r="B475" s="224"/>
      <c r="C475" s="220"/>
      <c r="D475" s="221"/>
      <c r="E475" s="222"/>
      <c r="F475" s="223"/>
      <c r="G475" s="143"/>
      <c r="H475" s="143"/>
      <c r="I475" s="143"/>
      <c r="J475" s="143"/>
      <c r="K475" s="182"/>
      <c r="L475" s="143"/>
      <c r="M475" s="182"/>
      <c r="N475" s="149"/>
      <c r="O475" s="189"/>
      <c r="P475" s="149"/>
      <c r="Q475" s="149"/>
      <c r="R475" s="189"/>
      <c r="S475" s="149"/>
      <c r="T475" s="189"/>
      <c r="U475" s="194"/>
      <c r="V475" s="194"/>
      <c r="W475" s="194"/>
      <c r="X475" s="194"/>
      <c r="Y475" s="194"/>
      <c r="Z475" s="194"/>
      <c r="AA475" s="194"/>
    </row>
    <row r="476" ht="15.75" customHeight="1">
      <c r="A476" s="241"/>
      <c r="B476" s="224"/>
      <c r="C476" s="220"/>
      <c r="D476" s="221"/>
      <c r="E476" s="222"/>
      <c r="F476" s="223"/>
      <c r="G476" s="143"/>
      <c r="H476" s="143"/>
      <c r="I476" s="143"/>
      <c r="J476" s="143"/>
      <c r="K476" s="182"/>
      <c r="L476" s="143"/>
      <c r="M476" s="182"/>
      <c r="N476" s="149"/>
      <c r="O476" s="189"/>
      <c r="P476" s="149"/>
      <c r="Q476" s="149"/>
      <c r="R476" s="189"/>
      <c r="S476" s="149"/>
      <c r="T476" s="189"/>
      <c r="U476" s="194"/>
      <c r="V476" s="194"/>
      <c r="W476" s="194"/>
      <c r="X476" s="194"/>
      <c r="Y476" s="194"/>
      <c r="Z476" s="194"/>
      <c r="AA476" s="194"/>
    </row>
    <row r="477" ht="15.75" customHeight="1">
      <c r="A477" s="241"/>
      <c r="B477" s="224"/>
      <c r="C477" s="220"/>
      <c r="D477" s="221"/>
      <c r="E477" s="222"/>
      <c r="F477" s="223"/>
      <c r="G477" s="143"/>
      <c r="H477" s="143"/>
      <c r="I477" s="143"/>
      <c r="J477" s="143"/>
      <c r="K477" s="182"/>
      <c r="L477" s="143"/>
      <c r="M477" s="182"/>
      <c r="N477" s="149"/>
      <c r="O477" s="189"/>
      <c r="P477" s="149"/>
      <c r="Q477" s="149"/>
      <c r="R477" s="189"/>
      <c r="S477" s="149"/>
      <c r="T477" s="189"/>
      <c r="U477" s="194"/>
      <c r="V477" s="194"/>
      <c r="W477" s="194"/>
      <c r="X477" s="194"/>
      <c r="Y477" s="194"/>
      <c r="Z477" s="194"/>
      <c r="AA477" s="194"/>
    </row>
    <row r="478" ht="15.75" customHeight="1">
      <c r="A478" s="241"/>
      <c r="B478" s="224"/>
      <c r="C478" s="220"/>
      <c r="D478" s="221"/>
      <c r="E478" s="222"/>
      <c r="F478" s="223"/>
      <c r="G478" s="143"/>
      <c r="H478" s="143"/>
      <c r="I478" s="143"/>
      <c r="J478" s="143"/>
      <c r="K478" s="182"/>
      <c r="L478" s="143"/>
      <c r="M478" s="182"/>
      <c r="N478" s="149"/>
      <c r="O478" s="189"/>
      <c r="P478" s="149"/>
      <c r="Q478" s="149"/>
      <c r="R478" s="189"/>
      <c r="S478" s="149"/>
      <c r="T478" s="189"/>
      <c r="U478" s="194"/>
      <c r="V478" s="194"/>
      <c r="W478" s="194"/>
      <c r="X478" s="194"/>
      <c r="Y478" s="194"/>
      <c r="Z478" s="194"/>
      <c r="AA478" s="194"/>
    </row>
    <row r="479" ht="15.75" customHeight="1">
      <c r="A479" s="241"/>
      <c r="B479" s="224"/>
      <c r="C479" s="220"/>
      <c r="D479" s="221"/>
      <c r="E479" s="222"/>
      <c r="F479" s="223"/>
      <c r="G479" s="143"/>
      <c r="H479" s="143"/>
      <c r="I479" s="143"/>
      <c r="J479" s="143"/>
      <c r="K479" s="182"/>
      <c r="L479" s="143"/>
      <c r="M479" s="182"/>
      <c r="N479" s="149"/>
      <c r="O479" s="189"/>
      <c r="P479" s="149"/>
      <c r="Q479" s="149"/>
      <c r="R479" s="189"/>
      <c r="S479" s="149"/>
      <c r="T479" s="189"/>
      <c r="U479" s="194"/>
      <c r="V479" s="194"/>
      <c r="W479" s="194"/>
      <c r="X479" s="194"/>
      <c r="Y479" s="194"/>
      <c r="Z479" s="194"/>
      <c r="AA479" s="194"/>
    </row>
    <row r="480" ht="15.75" customHeight="1">
      <c r="A480" s="241"/>
      <c r="B480" s="224"/>
      <c r="C480" s="220"/>
      <c r="D480" s="221"/>
      <c r="E480" s="222"/>
      <c r="F480" s="223"/>
      <c r="G480" s="143"/>
      <c r="H480" s="143"/>
      <c r="I480" s="143"/>
      <c r="J480" s="143"/>
      <c r="K480" s="182"/>
      <c r="L480" s="143"/>
      <c r="M480" s="182"/>
      <c r="N480" s="149"/>
      <c r="O480" s="189"/>
      <c r="P480" s="149"/>
      <c r="Q480" s="149"/>
      <c r="R480" s="189"/>
      <c r="S480" s="149"/>
      <c r="T480" s="189"/>
      <c r="U480" s="194"/>
      <c r="V480" s="194"/>
      <c r="W480" s="194"/>
      <c r="X480" s="194"/>
      <c r="Y480" s="194"/>
      <c r="Z480" s="194"/>
      <c r="AA480" s="194"/>
    </row>
    <row r="481" ht="15.75" customHeight="1">
      <c r="A481" s="241"/>
      <c r="B481" s="224"/>
      <c r="C481" s="220"/>
      <c r="D481" s="221"/>
      <c r="E481" s="222"/>
      <c r="F481" s="223"/>
      <c r="G481" s="143"/>
      <c r="H481" s="143"/>
      <c r="I481" s="143"/>
      <c r="J481" s="143"/>
      <c r="K481" s="182"/>
      <c r="L481" s="143"/>
      <c r="M481" s="182"/>
      <c r="N481" s="149"/>
      <c r="O481" s="189"/>
      <c r="P481" s="149"/>
      <c r="Q481" s="149"/>
      <c r="R481" s="189"/>
      <c r="S481" s="149"/>
      <c r="T481" s="189"/>
      <c r="U481" s="194"/>
      <c r="V481" s="194"/>
      <c r="W481" s="194"/>
      <c r="X481" s="194"/>
      <c r="Y481" s="194"/>
      <c r="Z481" s="194"/>
      <c r="AA481" s="194"/>
    </row>
    <row r="482" ht="15.75" customHeight="1">
      <c r="A482" s="241"/>
      <c r="B482" s="224"/>
      <c r="C482" s="220"/>
      <c r="D482" s="221"/>
      <c r="E482" s="222"/>
      <c r="F482" s="223"/>
      <c r="G482" s="143"/>
      <c r="H482" s="143"/>
      <c r="I482" s="143"/>
      <c r="J482" s="143"/>
      <c r="K482" s="182"/>
      <c r="L482" s="143"/>
      <c r="M482" s="182"/>
      <c r="N482" s="149"/>
      <c r="O482" s="189"/>
      <c r="P482" s="149"/>
      <c r="Q482" s="149"/>
      <c r="R482" s="189"/>
      <c r="S482" s="149"/>
      <c r="T482" s="189"/>
      <c r="U482" s="194"/>
      <c r="V482" s="194"/>
      <c r="W482" s="194"/>
      <c r="X482" s="194"/>
      <c r="Y482" s="194"/>
      <c r="Z482" s="194"/>
      <c r="AA482" s="194"/>
    </row>
    <row r="483" ht="15.75" customHeight="1">
      <c r="A483" s="241"/>
      <c r="B483" s="224"/>
      <c r="C483" s="220"/>
      <c r="D483" s="221"/>
      <c r="E483" s="222"/>
      <c r="F483" s="223"/>
      <c r="G483" s="143"/>
      <c r="H483" s="143"/>
      <c r="I483" s="143"/>
      <c r="J483" s="143"/>
      <c r="K483" s="182"/>
      <c r="L483" s="143"/>
      <c r="M483" s="182"/>
      <c r="N483" s="149"/>
      <c r="O483" s="189"/>
      <c r="P483" s="149"/>
      <c r="Q483" s="149"/>
      <c r="R483" s="189"/>
      <c r="S483" s="149"/>
      <c r="T483" s="189"/>
      <c r="U483" s="194"/>
      <c r="V483" s="194"/>
      <c r="W483" s="194"/>
      <c r="X483" s="194"/>
      <c r="Y483" s="194"/>
      <c r="Z483" s="194"/>
      <c r="AA483" s="194"/>
    </row>
    <row r="484" ht="15.75" customHeight="1">
      <c r="A484" s="241"/>
      <c r="B484" s="224"/>
      <c r="C484" s="220"/>
      <c r="D484" s="221"/>
      <c r="E484" s="222"/>
      <c r="F484" s="223"/>
      <c r="G484" s="143"/>
      <c r="H484" s="143"/>
      <c r="I484" s="143"/>
      <c r="J484" s="143"/>
      <c r="K484" s="182"/>
      <c r="L484" s="143"/>
      <c r="M484" s="182"/>
      <c r="N484" s="149"/>
      <c r="O484" s="189"/>
      <c r="P484" s="149"/>
      <c r="Q484" s="149"/>
      <c r="R484" s="189"/>
      <c r="S484" s="149"/>
      <c r="T484" s="189"/>
      <c r="U484" s="194"/>
      <c r="V484" s="194"/>
      <c r="W484" s="194"/>
      <c r="X484" s="194"/>
      <c r="Y484" s="194"/>
      <c r="Z484" s="194"/>
      <c r="AA484" s="194"/>
    </row>
    <row r="485" ht="15.75" customHeight="1">
      <c r="A485" s="241"/>
      <c r="B485" s="224"/>
      <c r="C485" s="220"/>
      <c r="D485" s="221"/>
      <c r="E485" s="222"/>
      <c r="F485" s="223"/>
      <c r="G485" s="143"/>
      <c r="H485" s="143"/>
      <c r="I485" s="143"/>
      <c r="J485" s="143"/>
      <c r="K485" s="182"/>
      <c r="L485" s="143"/>
      <c r="M485" s="182"/>
      <c r="N485" s="149"/>
      <c r="O485" s="189"/>
      <c r="P485" s="149"/>
      <c r="Q485" s="149"/>
      <c r="R485" s="189"/>
      <c r="S485" s="149"/>
      <c r="T485" s="189"/>
      <c r="U485" s="194"/>
      <c r="V485" s="194"/>
      <c r="W485" s="194"/>
      <c r="X485" s="194"/>
      <c r="Y485" s="194"/>
      <c r="Z485" s="194"/>
      <c r="AA485" s="194"/>
    </row>
    <row r="486" ht="15.75" customHeight="1">
      <c r="A486" s="241"/>
      <c r="B486" s="224"/>
      <c r="C486" s="220"/>
      <c r="D486" s="221"/>
      <c r="E486" s="222"/>
      <c r="F486" s="223"/>
      <c r="G486" s="143"/>
      <c r="H486" s="143"/>
      <c r="I486" s="143"/>
      <c r="J486" s="143"/>
      <c r="K486" s="182"/>
      <c r="L486" s="143"/>
      <c r="M486" s="182"/>
      <c r="N486" s="149"/>
      <c r="O486" s="189"/>
      <c r="P486" s="149"/>
      <c r="Q486" s="149"/>
      <c r="R486" s="189"/>
      <c r="S486" s="149"/>
      <c r="T486" s="189"/>
      <c r="U486" s="194"/>
      <c r="V486" s="194"/>
      <c r="W486" s="194"/>
      <c r="X486" s="194"/>
      <c r="Y486" s="194"/>
      <c r="Z486" s="194"/>
      <c r="AA486" s="194"/>
    </row>
    <row r="487" ht="15.75" customHeight="1">
      <c r="A487" s="241"/>
      <c r="B487" s="224"/>
      <c r="C487" s="220"/>
      <c r="D487" s="221"/>
      <c r="E487" s="222"/>
      <c r="F487" s="223"/>
      <c r="G487" s="143"/>
      <c r="H487" s="143"/>
      <c r="I487" s="143"/>
      <c r="J487" s="143"/>
      <c r="K487" s="182"/>
      <c r="L487" s="143"/>
      <c r="M487" s="182"/>
      <c r="N487" s="149"/>
      <c r="O487" s="189"/>
      <c r="P487" s="149"/>
      <c r="Q487" s="149"/>
      <c r="R487" s="189"/>
      <c r="S487" s="149"/>
      <c r="T487" s="189"/>
      <c r="U487" s="194"/>
      <c r="V487" s="194"/>
      <c r="W487" s="194"/>
      <c r="X487" s="194"/>
      <c r="Y487" s="194"/>
      <c r="Z487" s="194"/>
      <c r="AA487" s="194"/>
    </row>
    <row r="488" ht="15.75" customHeight="1">
      <c r="A488" s="241"/>
      <c r="B488" s="224"/>
      <c r="C488" s="220"/>
      <c r="D488" s="221"/>
      <c r="E488" s="222"/>
      <c r="F488" s="223"/>
      <c r="G488" s="143"/>
      <c r="H488" s="143"/>
      <c r="I488" s="143"/>
      <c r="J488" s="143"/>
      <c r="K488" s="182"/>
      <c r="L488" s="143"/>
      <c r="M488" s="182"/>
      <c r="N488" s="149"/>
      <c r="O488" s="189"/>
      <c r="P488" s="149"/>
      <c r="Q488" s="149"/>
      <c r="R488" s="189"/>
      <c r="S488" s="149"/>
      <c r="T488" s="189"/>
      <c r="U488" s="194"/>
      <c r="V488" s="194"/>
      <c r="W488" s="194"/>
      <c r="X488" s="194"/>
      <c r="Y488" s="194"/>
      <c r="Z488" s="194"/>
      <c r="AA488" s="194"/>
    </row>
    <row r="489" ht="15.75" customHeight="1">
      <c r="A489" s="241"/>
      <c r="B489" s="224"/>
      <c r="C489" s="220"/>
      <c r="D489" s="221"/>
      <c r="E489" s="222"/>
      <c r="F489" s="223"/>
      <c r="G489" s="143"/>
      <c r="H489" s="143"/>
      <c r="I489" s="143"/>
      <c r="J489" s="143"/>
      <c r="K489" s="182"/>
      <c r="L489" s="143"/>
      <c r="M489" s="182"/>
      <c r="N489" s="149"/>
      <c r="O489" s="189"/>
      <c r="P489" s="149"/>
      <c r="Q489" s="149"/>
      <c r="R489" s="189"/>
      <c r="S489" s="149"/>
      <c r="T489" s="189"/>
      <c r="U489" s="194"/>
      <c r="V489" s="194"/>
      <c r="W489" s="194"/>
      <c r="X489" s="194"/>
      <c r="Y489" s="194"/>
      <c r="Z489" s="194"/>
      <c r="AA489" s="194"/>
    </row>
    <row r="490" ht="15.75" customHeight="1">
      <c r="A490" s="241"/>
      <c r="B490" s="224"/>
      <c r="C490" s="220"/>
      <c r="D490" s="221"/>
      <c r="E490" s="222"/>
      <c r="F490" s="223"/>
      <c r="G490" s="143"/>
      <c r="H490" s="143"/>
      <c r="I490" s="143"/>
      <c r="J490" s="143"/>
      <c r="K490" s="182"/>
      <c r="L490" s="143"/>
      <c r="M490" s="182"/>
      <c r="N490" s="149"/>
      <c r="O490" s="189"/>
      <c r="P490" s="149"/>
      <c r="Q490" s="149"/>
      <c r="R490" s="189"/>
      <c r="S490" s="149"/>
      <c r="T490" s="189"/>
      <c r="U490" s="194"/>
      <c r="V490" s="194"/>
      <c r="W490" s="194"/>
      <c r="X490" s="194"/>
      <c r="Y490" s="194"/>
      <c r="Z490" s="194"/>
      <c r="AA490" s="194"/>
    </row>
    <row r="491" ht="15.75" customHeight="1">
      <c r="A491" s="241"/>
      <c r="B491" s="224"/>
      <c r="C491" s="220"/>
      <c r="D491" s="221"/>
      <c r="E491" s="222"/>
      <c r="F491" s="223"/>
      <c r="G491" s="143"/>
      <c r="H491" s="143"/>
      <c r="I491" s="143"/>
      <c r="J491" s="143"/>
      <c r="K491" s="182"/>
      <c r="L491" s="143"/>
      <c r="M491" s="182"/>
      <c r="N491" s="149"/>
      <c r="O491" s="189"/>
      <c r="P491" s="149"/>
      <c r="Q491" s="149"/>
      <c r="R491" s="189"/>
      <c r="S491" s="149"/>
      <c r="T491" s="189"/>
      <c r="U491" s="194"/>
      <c r="V491" s="194"/>
      <c r="W491" s="194"/>
      <c r="X491" s="194"/>
      <c r="Y491" s="194"/>
      <c r="Z491" s="194"/>
      <c r="AA491" s="194"/>
    </row>
    <row r="492" ht="15.75" customHeight="1">
      <c r="A492" s="241"/>
      <c r="B492" s="224"/>
      <c r="C492" s="220"/>
      <c r="D492" s="221"/>
      <c r="E492" s="222"/>
      <c r="F492" s="223"/>
      <c r="G492" s="143"/>
      <c r="H492" s="143"/>
      <c r="I492" s="143"/>
      <c r="J492" s="143"/>
      <c r="K492" s="182"/>
      <c r="L492" s="143"/>
      <c r="M492" s="182"/>
      <c r="N492" s="149"/>
      <c r="O492" s="189"/>
      <c r="P492" s="149"/>
      <c r="Q492" s="149"/>
      <c r="R492" s="189"/>
      <c r="S492" s="149"/>
      <c r="T492" s="189"/>
      <c r="U492" s="194"/>
      <c r="V492" s="194"/>
      <c r="W492" s="194"/>
      <c r="X492" s="194"/>
      <c r="Y492" s="194"/>
      <c r="Z492" s="194"/>
      <c r="AA492" s="194"/>
    </row>
    <row r="493" ht="15.75" customHeight="1">
      <c r="A493" s="241"/>
      <c r="B493" s="224"/>
      <c r="C493" s="220"/>
      <c r="D493" s="221"/>
      <c r="E493" s="222"/>
      <c r="F493" s="223"/>
      <c r="G493" s="143"/>
      <c r="H493" s="143"/>
      <c r="I493" s="143"/>
      <c r="J493" s="143"/>
      <c r="K493" s="182"/>
      <c r="L493" s="143"/>
      <c r="M493" s="182"/>
      <c r="N493" s="149"/>
      <c r="O493" s="189"/>
      <c r="P493" s="149"/>
      <c r="Q493" s="149"/>
      <c r="R493" s="189"/>
      <c r="S493" s="149"/>
      <c r="T493" s="189"/>
      <c r="U493" s="194"/>
      <c r="V493" s="194"/>
      <c r="W493" s="194"/>
      <c r="X493" s="194"/>
      <c r="Y493" s="194"/>
      <c r="Z493" s="194"/>
      <c r="AA493" s="194"/>
    </row>
    <row r="494" ht="15.75" customHeight="1">
      <c r="A494" s="241"/>
      <c r="B494" s="224"/>
      <c r="C494" s="220"/>
      <c r="D494" s="221"/>
      <c r="E494" s="222"/>
      <c r="F494" s="223"/>
      <c r="G494" s="143"/>
      <c r="H494" s="143"/>
      <c r="I494" s="143"/>
      <c r="J494" s="143"/>
      <c r="K494" s="182"/>
      <c r="L494" s="143"/>
      <c r="M494" s="182"/>
      <c r="N494" s="149"/>
      <c r="O494" s="189"/>
      <c r="P494" s="149"/>
      <c r="Q494" s="149"/>
      <c r="R494" s="189"/>
      <c r="S494" s="149"/>
      <c r="T494" s="189"/>
      <c r="U494" s="194"/>
      <c r="V494" s="194"/>
      <c r="W494" s="194"/>
      <c r="X494" s="194"/>
      <c r="Y494" s="194"/>
      <c r="Z494" s="194"/>
      <c r="AA494" s="194"/>
    </row>
    <row r="495" ht="15.75" customHeight="1">
      <c r="A495" s="241"/>
      <c r="B495" s="224"/>
      <c r="C495" s="220"/>
      <c r="D495" s="221"/>
      <c r="E495" s="222"/>
      <c r="F495" s="223"/>
      <c r="G495" s="143"/>
      <c r="H495" s="143"/>
      <c r="I495" s="143"/>
      <c r="J495" s="143"/>
      <c r="K495" s="182"/>
      <c r="L495" s="143"/>
      <c r="M495" s="182"/>
      <c r="N495" s="149"/>
      <c r="O495" s="189"/>
      <c r="P495" s="149"/>
      <c r="Q495" s="149"/>
      <c r="R495" s="189"/>
      <c r="S495" s="149"/>
      <c r="T495" s="189"/>
      <c r="U495" s="194"/>
      <c r="V495" s="194"/>
      <c r="W495" s="194"/>
      <c r="X495" s="194"/>
      <c r="Y495" s="194"/>
      <c r="Z495" s="194"/>
      <c r="AA495" s="194"/>
    </row>
    <row r="496" ht="15.75" customHeight="1">
      <c r="A496" s="241"/>
      <c r="B496" s="224"/>
      <c r="C496" s="220"/>
      <c r="D496" s="221"/>
      <c r="E496" s="222"/>
      <c r="F496" s="223"/>
      <c r="G496" s="143"/>
      <c r="H496" s="143"/>
      <c r="I496" s="143"/>
      <c r="J496" s="143"/>
      <c r="K496" s="182"/>
      <c r="L496" s="143"/>
      <c r="M496" s="182"/>
      <c r="N496" s="149"/>
      <c r="O496" s="189"/>
      <c r="P496" s="149"/>
      <c r="Q496" s="149"/>
      <c r="R496" s="189"/>
      <c r="S496" s="149"/>
      <c r="T496" s="189"/>
      <c r="U496" s="194"/>
      <c r="V496" s="194"/>
      <c r="W496" s="194"/>
      <c r="X496" s="194"/>
      <c r="Y496" s="194"/>
      <c r="Z496" s="194"/>
      <c r="AA496" s="194"/>
    </row>
    <row r="497" ht="15.75" customHeight="1">
      <c r="A497" s="241"/>
      <c r="B497" s="224"/>
      <c r="C497" s="220"/>
      <c r="D497" s="221"/>
      <c r="E497" s="222"/>
      <c r="F497" s="223"/>
      <c r="G497" s="143"/>
      <c r="H497" s="143"/>
      <c r="I497" s="143"/>
      <c r="J497" s="143"/>
      <c r="K497" s="182"/>
      <c r="L497" s="143"/>
      <c r="M497" s="182"/>
      <c r="N497" s="149"/>
      <c r="O497" s="189"/>
      <c r="P497" s="149"/>
      <c r="Q497" s="149"/>
      <c r="R497" s="189"/>
      <c r="S497" s="149"/>
      <c r="T497" s="189"/>
      <c r="U497" s="194"/>
      <c r="V497" s="194"/>
      <c r="W497" s="194"/>
      <c r="X497" s="194"/>
      <c r="Y497" s="194"/>
      <c r="Z497" s="194"/>
      <c r="AA497" s="194"/>
    </row>
    <row r="498" ht="15.75" customHeight="1">
      <c r="A498" s="241"/>
      <c r="B498" s="224"/>
      <c r="C498" s="220"/>
      <c r="D498" s="221"/>
      <c r="E498" s="222"/>
      <c r="F498" s="223"/>
      <c r="G498" s="143"/>
      <c r="H498" s="143"/>
      <c r="I498" s="143"/>
      <c r="J498" s="143"/>
      <c r="K498" s="182"/>
      <c r="L498" s="143"/>
      <c r="M498" s="182"/>
      <c r="N498" s="149"/>
      <c r="O498" s="189"/>
      <c r="P498" s="149"/>
      <c r="Q498" s="149"/>
      <c r="R498" s="189"/>
      <c r="S498" s="149"/>
      <c r="T498" s="189"/>
      <c r="U498" s="194"/>
      <c r="V498" s="194"/>
      <c r="W498" s="194"/>
      <c r="X498" s="194"/>
      <c r="Y498" s="194"/>
      <c r="Z498" s="194"/>
      <c r="AA498" s="194"/>
    </row>
    <row r="499" ht="15.75" customHeight="1">
      <c r="A499" s="241"/>
      <c r="B499" s="224"/>
      <c r="C499" s="220"/>
      <c r="D499" s="221"/>
      <c r="E499" s="222"/>
      <c r="F499" s="223"/>
      <c r="G499" s="143"/>
      <c r="H499" s="143"/>
      <c r="I499" s="143"/>
      <c r="J499" s="143"/>
      <c r="K499" s="182"/>
      <c r="L499" s="143"/>
      <c r="M499" s="182"/>
      <c r="N499" s="149"/>
      <c r="O499" s="189"/>
      <c r="P499" s="149"/>
      <c r="Q499" s="149"/>
      <c r="R499" s="189"/>
      <c r="S499" s="149"/>
      <c r="T499" s="189"/>
      <c r="U499" s="194"/>
      <c r="V499" s="194"/>
      <c r="W499" s="194"/>
      <c r="X499" s="194"/>
      <c r="Y499" s="194"/>
      <c r="Z499" s="194"/>
      <c r="AA499" s="194"/>
    </row>
    <row r="500" ht="15.75" customHeight="1">
      <c r="A500" s="241"/>
      <c r="B500" s="224"/>
      <c r="C500" s="220"/>
      <c r="D500" s="221"/>
      <c r="E500" s="222"/>
      <c r="F500" s="223"/>
      <c r="G500" s="143"/>
      <c r="H500" s="143"/>
      <c r="I500" s="143"/>
      <c r="J500" s="143"/>
      <c r="K500" s="182"/>
      <c r="L500" s="143"/>
      <c r="M500" s="182"/>
      <c r="N500" s="149"/>
      <c r="O500" s="189"/>
      <c r="P500" s="149"/>
      <c r="Q500" s="149"/>
      <c r="R500" s="189"/>
      <c r="S500" s="149"/>
      <c r="T500" s="189"/>
      <c r="U500" s="194"/>
      <c r="V500" s="194"/>
      <c r="W500" s="194"/>
      <c r="X500" s="194"/>
      <c r="Y500" s="194"/>
      <c r="Z500" s="194"/>
      <c r="AA500" s="194"/>
    </row>
    <row r="501" ht="15.75" customHeight="1">
      <c r="A501" s="241"/>
      <c r="B501" s="224"/>
      <c r="C501" s="220"/>
      <c r="D501" s="221"/>
      <c r="E501" s="222"/>
      <c r="F501" s="223"/>
      <c r="G501" s="143"/>
      <c r="H501" s="143"/>
      <c r="I501" s="143"/>
      <c r="J501" s="143"/>
      <c r="K501" s="182"/>
      <c r="L501" s="143"/>
      <c r="M501" s="182"/>
      <c r="N501" s="149"/>
      <c r="O501" s="189"/>
      <c r="P501" s="149"/>
      <c r="Q501" s="149"/>
      <c r="R501" s="189"/>
      <c r="S501" s="149"/>
      <c r="T501" s="189"/>
      <c r="U501" s="194"/>
      <c r="V501" s="194"/>
      <c r="W501" s="194"/>
      <c r="X501" s="194"/>
      <c r="Y501" s="194"/>
      <c r="Z501" s="194"/>
      <c r="AA501" s="194"/>
    </row>
    <row r="502" ht="15.75" customHeight="1">
      <c r="A502" s="241"/>
      <c r="B502" s="224"/>
      <c r="C502" s="220"/>
      <c r="D502" s="221"/>
      <c r="E502" s="222"/>
      <c r="F502" s="223"/>
      <c r="G502" s="143"/>
      <c r="H502" s="143"/>
      <c r="I502" s="143"/>
      <c r="J502" s="143"/>
      <c r="K502" s="182"/>
      <c r="L502" s="143"/>
      <c r="M502" s="182"/>
      <c r="N502" s="149"/>
      <c r="O502" s="189"/>
      <c r="P502" s="149"/>
      <c r="Q502" s="149"/>
      <c r="R502" s="189"/>
      <c r="S502" s="149"/>
      <c r="T502" s="189"/>
      <c r="U502" s="194"/>
      <c r="V502" s="194"/>
      <c r="W502" s="194"/>
      <c r="X502" s="194"/>
      <c r="Y502" s="194"/>
      <c r="Z502" s="194"/>
      <c r="AA502" s="194"/>
    </row>
    <row r="503" ht="15.75" customHeight="1">
      <c r="A503" s="241"/>
      <c r="B503" s="224"/>
      <c r="C503" s="220"/>
      <c r="D503" s="221"/>
      <c r="E503" s="222"/>
      <c r="F503" s="223"/>
      <c r="G503" s="143"/>
      <c r="H503" s="143"/>
      <c r="I503" s="143"/>
      <c r="J503" s="143"/>
      <c r="K503" s="182"/>
      <c r="L503" s="143"/>
      <c r="M503" s="182"/>
      <c r="N503" s="149"/>
      <c r="O503" s="189"/>
      <c r="P503" s="149"/>
      <c r="Q503" s="149"/>
      <c r="R503" s="189"/>
      <c r="S503" s="149"/>
      <c r="T503" s="189"/>
      <c r="U503" s="194"/>
      <c r="V503" s="194"/>
      <c r="W503" s="194"/>
      <c r="X503" s="194"/>
      <c r="Y503" s="194"/>
      <c r="Z503" s="194"/>
      <c r="AA503" s="194"/>
    </row>
    <row r="504" ht="15.75" customHeight="1">
      <c r="A504" s="241"/>
      <c r="B504" s="224"/>
      <c r="C504" s="220"/>
      <c r="D504" s="221"/>
      <c r="E504" s="222"/>
      <c r="F504" s="223"/>
      <c r="G504" s="143"/>
      <c r="H504" s="143"/>
      <c r="I504" s="143"/>
      <c r="J504" s="143"/>
      <c r="K504" s="182"/>
      <c r="L504" s="143"/>
      <c r="M504" s="182"/>
      <c r="N504" s="149"/>
      <c r="O504" s="189"/>
      <c r="P504" s="149"/>
      <c r="Q504" s="149"/>
      <c r="R504" s="189"/>
      <c r="S504" s="149"/>
      <c r="T504" s="189"/>
      <c r="U504" s="194"/>
      <c r="V504" s="194"/>
      <c r="W504" s="194"/>
      <c r="X504" s="194"/>
      <c r="Y504" s="194"/>
      <c r="Z504" s="194"/>
      <c r="AA504" s="194"/>
    </row>
    <row r="505" ht="15.75" customHeight="1">
      <c r="A505" s="241"/>
      <c r="B505" s="224"/>
      <c r="C505" s="220"/>
      <c r="D505" s="221"/>
      <c r="E505" s="222"/>
      <c r="F505" s="223"/>
      <c r="G505" s="143"/>
      <c r="H505" s="143"/>
      <c r="I505" s="143"/>
      <c r="J505" s="143"/>
      <c r="K505" s="182"/>
      <c r="L505" s="143"/>
      <c r="M505" s="182"/>
      <c r="N505" s="149"/>
      <c r="O505" s="189"/>
      <c r="P505" s="149"/>
      <c r="Q505" s="149"/>
      <c r="R505" s="189"/>
      <c r="S505" s="149"/>
      <c r="T505" s="189"/>
      <c r="U505" s="194"/>
      <c r="V505" s="194"/>
      <c r="W505" s="194"/>
      <c r="X505" s="194"/>
      <c r="Y505" s="194"/>
      <c r="Z505" s="194"/>
      <c r="AA505" s="194"/>
    </row>
    <row r="506" ht="15.75" customHeight="1">
      <c r="A506" s="241"/>
      <c r="B506" s="224"/>
      <c r="C506" s="220"/>
      <c r="D506" s="221"/>
      <c r="E506" s="222"/>
      <c r="F506" s="223"/>
      <c r="G506" s="143"/>
      <c r="H506" s="143"/>
      <c r="I506" s="143"/>
      <c r="J506" s="143"/>
      <c r="K506" s="182"/>
      <c r="L506" s="143"/>
      <c r="M506" s="182"/>
      <c r="N506" s="149"/>
      <c r="O506" s="189"/>
      <c r="P506" s="149"/>
      <c r="Q506" s="149"/>
      <c r="R506" s="189"/>
      <c r="S506" s="149"/>
      <c r="T506" s="189"/>
      <c r="U506" s="194"/>
      <c r="V506" s="194"/>
      <c r="W506" s="194"/>
      <c r="X506" s="194"/>
      <c r="Y506" s="194"/>
      <c r="Z506" s="194"/>
      <c r="AA506" s="194"/>
    </row>
    <row r="507" ht="15.75" customHeight="1">
      <c r="A507" s="241"/>
      <c r="B507" s="224"/>
      <c r="C507" s="220"/>
      <c r="D507" s="221"/>
      <c r="E507" s="222"/>
      <c r="F507" s="223"/>
      <c r="G507" s="143"/>
      <c r="H507" s="143"/>
      <c r="I507" s="143"/>
      <c r="J507" s="143"/>
      <c r="K507" s="182"/>
      <c r="L507" s="143"/>
      <c r="M507" s="182"/>
      <c r="N507" s="149"/>
      <c r="O507" s="189"/>
      <c r="P507" s="149"/>
      <c r="Q507" s="149"/>
      <c r="R507" s="189"/>
      <c r="S507" s="149"/>
      <c r="T507" s="189"/>
      <c r="U507" s="194"/>
      <c r="V507" s="194"/>
      <c r="W507" s="194"/>
      <c r="X507" s="194"/>
      <c r="Y507" s="194"/>
      <c r="Z507" s="194"/>
      <c r="AA507" s="194"/>
    </row>
    <row r="508" ht="15.75" customHeight="1">
      <c r="A508" s="241"/>
      <c r="B508" s="224"/>
      <c r="C508" s="220"/>
      <c r="D508" s="221"/>
      <c r="E508" s="222"/>
      <c r="F508" s="223"/>
      <c r="G508" s="143"/>
      <c r="H508" s="143"/>
      <c r="I508" s="143"/>
      <c r="J508" s="143"/>
      <c r="K508" s="182"/>
      <c r="L508" s="143"/>
      <c r="M508" s="182"/>
      <c r="N508" s="149"/>
      <c r="O508" s="189"/>
      <c r="P508" s="149"/>
      <c r="Q508" s="149"/>
      <c r="R508" s="189"/>
      <c r="S508" s="149"/>
      <c r="T508" s="189"/>
      <c r="U508" s="194"/>
      <c r="V508" s="194"/>
      <c r="W508" s="194"/>
      <c r="X508" s="194"/>
      <c r="Y508" s="194"/>
      <c r="Z508" s="194"/>
      <c r="AA508" s="194"/>
    </row>
    <row r="509" ht="15.75" customHeight="1">
      <c r="A509" s="241"/>
      <c r="B509" s="224"/>
      <c r="C509" s="220"/>
      <c r="D509" s="221"/>
      <c r="E509" s="222"/>
      <c r="F509" s="223"/>
      <c r="G509" s="143"/>
      <c r="H509" s="143"/>
      <c r="I509" s="143"/>
      <c r="J509" s="143"/>
      <c r="K509" s="182"/>
      <c r="L509" s="143"/>
      <c r="M509" s="182"/>
      <c r="N509" s="149"/>
      <c r="O509" s="189"/>
      <c r="P509" s="149"/>
      <c r="Q509" s="149"/>
      <c r="R509" s="189"/>
      <c r="S509" s="149"/>
      <c r="T509" s="189"/>
      <c r="U509" s="194"/>
      <c r="V509" s="194"/>
      <c r="W509" s="194"/>
      <c r="X509" s="194"/>
      <c r="Y509" s="194"/>
      <c r="Z509" s="194"/>
      <c r="AA509" s="194"/>
    </row>
    <row r="510" ht="15.75" customHeight="1">
      <c r="A510" s="241"/>
      <c r="B510" s="224"/>
      <c r="C510" s="220"/>
      <c r="D510" s="221"/>
      <c r="E510" s="222"/>
      <c r="F510" s="223"/>
      <c r="G510" s="143"/>
      <c r="H510" s="143"/>
      <c r="I510" s="143"/>
      <c r="J510" s="143"/>
      <c r="K510" s="182"/>
      <c r="L510" s="143"/>
      <c r="M510" s="182"/>
      <c r="N510" s="149"/>
      <c r="O510" s="189"/>
      <c r="P510" s="149"/>
      <c r="Q510" s="149"/>
      <c r="R510" s="189"/>
      <c r="S510" s="149"/>
      <c r="T510" s="189"/>
      <c r="U510" s="194"/>
      <c r="V510" s="194"/>
      <c r="W510" s="194"/>
      <c r="X510" s="194"/>
      <c r="Y510" s="194"/>
      <c r="Z510" s="194"/>
      <c r="AA510" s="194"/>
    </row>
    <row r="511" ht="15.75" customHeight="1">
      <c r="A511" s="241"/>
      <c r="B511" s="224"/>
      <c r="C511" s="220"/>
      <c r="D511" s="221"/>
      <c r="E511" s="222"/>
      <c r="F511" s="223"/>
      <c r="G511" s="143"/>
      <c r="H511" s="143"/>
      <c r="I511" s="143"/>
      <c r="J511" s="143"/>
      <c r="K511" s="182"/>
      <c r="L511" s="143"/>
      <c r="M511" s="182"/>
      <c r="N511" s="149"/>
      <c r="O511" s="189"/>
      <c r="P511" s="149"/>
      <c r="Q511" s="149"/>
      <c r="R511" s="189"/>
      <c r="S511" s="149"/>
      <c r="T511" s="189"/>
      <c r="U511" s="194"/>
      <c r="V511" s="194"/>
      <c r="W511" s="194"/>
      <c r="X511" s="194"/>
      <c r="Y511" s="194"/>
      <c r="Z511" s="194"/>
      <c r="AA511" s="194"/>
    </row>
    <row r="512" ht="15.75" customHeight="1">
      <c r="A512" s="241"/>
      <c r="B512" s="224"/>
      <c r="C512" s="220"/>
      <c r="D512" s="221"/>
      <c r="E512" s="222"/>
      <c r="F512" s="223"/>
      <c r="G512" s="143"/>
      <c r="H512" s="143"/>
      <c r="I512" s="143"/>
      <c r="J512" s="143"/>
      <c r="K512" s="182"/>
      <c r="L512" s="143"/>
      <c r="M512" s="182"/>
      <c r="N512" s="149"/>
      <c r="O512" s="189"/>
      <c r="P512" s="149"/>
      <c r="Q512" s="149"/>
      <c r="R512" s="189"/>
      <c r="S512" s="149"/>
      <c r="T512" s="189"/>
      <c r="U512" s="194"/>
      <c r="V512" s="194"/>
      <c r="W512" s="194"/>
      <c r="X512" s="194"/>
      <c r="Y512" s="194"/>
      <c r="Z512" s="194"/>
      <c r="AA512" s="194"/>
    </row>
    <row r="513" ht="15.75" customHeight="1">
      <c r="A513" s="241"/>
      <c r="B513" s="224"/>
      <c r="C513" s="220"/>
      <c r="D513" s="221"/>
      <c r="E513" s="222"/>
      <c r="F513" s="223"/>
      <c r="G513" s="143"/>
      <c r="H513" s="143"/>
      <c r="I513" s="143"/>
      <c r="J513" s="143"/>
      <c r="K513" s="182"/>
      <c r="L513" s="143"/>
      <c r="M513" s="182"/>
      <c r="N513" s="149"/>
      <c r="O513" s="189"/>
      <c r="P513" s="149"/>
      <c r="Q513" s="149"/>
      <c r="R513" s="189"/>
      <c r="S513" s="149"/>
      <c r="T513" s="189"/>
      <c r="U513" s="194"/>
      <c r="V513" s="194"/>
      <c r="W513" s="194"/>
      <c r="X513" s="194"/>
      <c r="Y513" s="194"/>
      <c r="Z513" s="194"/>
      <c r="AA513" s="194"/>
    </row>
    <row r="514" ht="15.75" customHeight="1">
      <c r="A514" s="241"/>
      <c r="B514" s="224"/>
      <c r="C514" s="220"/>
      <c r="D514" s="221"/>
      <c r="E514" s="222"/>
      <c r="F514" s="223"/>
      <c r="G514" s="143"/>
      <c r="H514" s="143"/>
      <c r="I514" s="143"/>
      <c r="J514" s="143"/>
      <c r="K514" s="182"/>
      <c r="L514" s="143"/>
      <c r="M514" s="182"/>
      <c r="N514" s="149"/>
      <c r="O514" s="189"/>
      <c r="P514" s="149"/>
      <c r="Q514" s="149"/>
      <c r="R514" s="189"/>
      <c r="S514" s="149"/>
      <c r="T514" s="189"/>
      <c r="U514" s="194"/>
      <c r="V514" s="194"/>
      <c r="W514" s="194"/>
      <c r="X514" s="194"/>
      <c r="Y514" s="194"/>
      <c r="Z514" s="194"/>
      <c r="AA514" s="194"/>
    </row>
    <row r="515" ht="15.75" customHeight="1">
      <c r="A515" s="241"/>
      <c r="B515" s="224"/>
      <c r="C515" s="220"/>
      <c r="D515" s="221"/>
      <c r="E515" s="222"/>
      <c r="F515" s="223"/>
      <c r="G515" s="143"/>
      <c r="H515" s="143"/>
      <c r="I515" s="143"/>
      <c r="J515" s="143"/>
      <c r="K515" s="182"/>
      <c r="L515" s="143"/>
      <c r="M515" s="182"/>
      <c r="N515" s="149"/>
      <c r="O515" s="189"/>
      <c r="P515" s="149"/>
      <c r="Q515" s="149"/>
      <c r="R515" s="189"/>
      <c r="S515" s="149"/>
      <c r="T515" s="189"/>
      <c r="U515" s="194"/>
      <c r="V515" s="194"/>
      <c r="W515" s="194"/>
      <c r="X515" s="194"/>
      <c r="Y515" s="194"/>
      <c r="Z515" s="194"/>
      <c r="AA515" s="194"/>
    </row>
    <row r="516" ht="15.75" customHeight="1">
      <c r="A516" s="241"/>
      <c r="B516" s="224"/>
      <c r="C516" s="220"/>
      <c r="D516" s="221"/>
      <c r="E516" s="222"/>
      <c r="F516" s="223"/>
      <c r="G516" s="143"/>
      <c r="H516" s="143"/>
      <c r="I516" s="143"/>
      <c r="J516" s="143"/>
      <c r="K516" s="182"/>
      <c r="L516" s="143"/>
      <c r="M516" s="182"/>
      <c r="N516" s="149"/>
      <c r="O516" s="189"/>
      <c r="P516" s="149"/>
      <c r="Q516" s="149"/>
      <c r="R516" s="189"/>
      <c r="S516" s="149"/>
      <c r="T516" s="189"/>
      <c r="U516" s="194"/>
      <c r="V516" s="194"/>
      <c r="W516" s="194"/>
      <c r="X516" s="194"/>
      <c r="Y516" s="194"/>
      <c r="Z516" s="194"/>
      <c r="AA516" s="194"/>
    </row>
    <row r="517" ht="15.75" customHeight="1">
      <c r="A517" s="241"/>
      <c r="B517" s="224"/>
      <c r="C517" s="220"/>
      <c r="D517" s="221"/>
      <c r="E517" s="222"/>
      <c r="F517" s="223"/>
      <c r="G517" s="143"/>
      <c r="H517" s="143"/>
      <c r="I517" s="143"/>
      <c r="J517" s="143"/>
      <c r="K517" s="182"/>
      <c r="L517" s="143"/>
      <c r="M517" s="182"/>
      <c r="N517" s="149"/>
      <c r="O517" s="189"/>
      <c r="P517" s="149"/>
      <c r="Q517" s="149"/>
      <c r="R517" s="189"/>
      <c r="S517" s="149"/>
      <c r="T517" s="189"/>
      <c r="U517" s="194"/>
      <c r="V517" s="194"/>
      <c r="W517" s="194"/>
      <c r="X517" s="194"/>
      <c r="Y517" s="194"/>
      <c r="Z517" s="194"/>
      <c r="AA517" s="194"/>
    </row>
    <row r="518" ht="15.75" customHeight="1">
      <c r="A518" s="241"/>
      <c r="B518" s="224"/>
      <c r="C518" s="220"/>
      <c r="D518" s="221"/>
      <c r="E518" s="222"/>
      <c r="F518" s="223"/>
      <c r="G518" s="143"/>
      <c r="H518" s="143"/>
      <c r="I518" s="143"/>
      <c r="J518" s="143"/>
      <c r="K518" s="182"/>
      <c r="L518" s="143"/>
      <c r="M518" s="182"/>
      <c r="N518" s="149"/>
      <c r="O518" s="189"/>
      <c r="P518" s="149"/>
      <c r="Q518" s="149"/>
      <c r="R518" s="189"/>
      <c r="S518" s="149"/>
      <c r="T518" s="189"/>
      <c r="U518" s="194"/>
      <c r="V518" s="194"/>
      <c r="W518" s="194"/>
      <c r="X518" s="194"/>
      <c r="Y518" s="194"/>
      <c r="Z518" s="194"/>
      <c r="AA518" s="194"/>
    </row>
    <row r="519" ht="15.75" customHeight="1">
      <c r="A519" s="241"/>
      <c r="B519" s="224"/>
      <c r="C519" s="220"/>
      <c r="D519" s="221"/>
      <c r="E519" s="222"/>
      <c r="F519" s="223"/>
      <c r="G519" s="143"/>
      <c r="H519" s="143"/>
      <c r="I519" s="143"/>
      <c r="J519" s="143"/>
      <c r="K519" s="182"/>
      <c r="L519" s="143"/>
      <c r="M519" s="182"/>
      <c r="N519" s="149"/>
      <c r="O519" s="189"/>
      <c r="P519" s="149"/>
      <c r="Q519" s="149"/>
      <c r="R519" s="189"/>
      <c r="S519" s="149"/>
      <c r="T519" s="189"/>
      <c r="U519" s="194"/>
      <c r="V519" s="194"/>
      <c r="W519" s="194"/>
      <c r="X519" s="194"/>
      <c r="Y519" s="194"/>
      <c r="Z519" s="194"/>
      <c r="AA519" s="194"/>
    </row>
    <row r="520" ht="15.75" customHeight="1">
      <c r="A520" s="241"/>
      <c r="B520" s="224"/>
      <c r="C520" s="220"/>
      <c r="D520" s="221"/>
      <c r="E520" s="222"/>
      <c r="F520" s="223"/>
      <c r="G520" s="143"/>
      <c r="H520" s="143"/>
      <c r="I520" s="143"/>
      <c r="J520" s="143"/>
      <c r="K520" s="182"/>
      <c r="L520" s="143"/>
      <c r="M520" s="182"/>
      <c r="N520" s="149"/>
      <c r="O520" s="189"/>
      <c r="P520" s="149"/>
      <c r="Q520" s="149"/>
      <c r="R520" s="189"/>
      <c r="S520" s="149"/>
      <c r="T520" s="189"/>
      <c r="U520" s="194"/>
      <c r="V520" s="194"/>
      <c r="W520" s="194"/>
      <c r="X520" s="194"/>
      <c r="Y520" s="194"/>
      <c r="Z520" s="194"/>
      <c r="AA520" s="194"/>
    </row>
    <row r="521" ht="15.75" customHeight="1">
      <c r="A521" s="241"/>
      <c r="B521" s="224"/>
      <c r="C521" s="220"/>
      <c r="D521" s="221"/>
      <c r="E521" s="222"/>
      <c r="F521" s="223"/>
      <c r="G521" s="143"/>
      <c r="H521" s="143"/>
      <c r="I521" s="143"/>
      <c r="J521" s="143"/>
      <c r="K521" s="182"/>
      <c r="L521" s="143"/>
      <c r="M521" s="182"/>
      <c r="N521" s="149"/>
      <c r="O521" s="189"/>
      <c r="P521" s="149"/>
      <c r="Q521" s="149"/>
      <c r="R521" s="189"/>
      <c r="S521" s="149"/>
      <c r="T521" s="189"/>
      <c r="U521" s="194"/>
      <c r="V521" s="194"/>
      <c r="W521" s="194"/>
      <c r="X521" s="194"/>
      <c r="Y521" s="194"/>
      <c r="Z521" s="194"/>
      <c r="AA521" s="194"/>
    </row>
    <row r="522" ht="15.75" customHeight="1">
      <c r="A522" s="241"/>
      <c r="B522" s="224"/>
      <c r="C522" s="220"/>
      <c r="D522" s="221"/>
      <c r="E522" s="222"/>
      <c r="F522" s="223"/>
      <c r="G522" s="143"/>
      <c r="H522" s="143"/>
      <c r="I522" s="143"/>
      <c r="J522" s="143"/>
      <c r="K522" s="182"/>
      <c r="L522" s="143"/>
      <c r="M522" s="182"/>
      <c r="N522" s="149"/>
      <c r="O522" s="189"/>
      <c r="P522" s="149"/>
      <c r="Q522" s="149"/>
      <c r="R522" s="189"/>
      <c r="S522" s="149"/>
      <c r="T522" s="189"/>
      <c r="U522" s="194"/>
      <c r="V522" s="194"/>
      <c r="W522" s="194"/>
      <c r="X522" s="194"/>
      <c r="Y522" s="194"/>
      <c r="Z522" s="194"/>
      <c r="AA522" s="194"/>
    </row>
    <row r="523" ht="15.75" customHeight="1">
      <c r="A523" s="241"/>
      <c r="B523" s="224"/>
      <c r="C523" s="220"/>
      <c r="D523" s="221"/>
      <c r="E523" s="222"/>
      <c r="F523" s="223"/>
      <c r="G523" s="143"/>
      <c r="H523" s="143"/>
      <c r="I523" s="143"/>
      <c r="J523" s="143"/>
      <c r="K523" s="182"/>
      <c r="L523" s="143"/>
      <c r="M523" s="182"/>
      <c r="N523" s="149"/>
      <c r="O523" s="189"/>
      <c r="P523" s="149"/>
      <c r="Q523" s="149"/>
      <c r="R523" s="189"/>
      <c r="S523" s="149"/>
      <c r="T523" s="189"/>
      <c r="U523" s="194"/>
      <c r="V523" s="194"/>
      <c r="W523" s="194"/>
      <c r="X523" s="194"/>
      <c r="Y523" s="194"/>
      <c r="Z523" s="194"/>
      <c r="AA523" s="194"/>
    </row>
    <row r="524" ht="15.75" customHeight="1">
      <c r="A524" s="241"/>
      <c r="B524" s="224"/>
      <c r="C524" s="220"/>
      <c r="D524" s="221"/>
      <c r="E524" s="222"/>
      <c r="F524" s="223"/>
      <c r="G524" s="143"/>
      <c r="H524" s="143"/>
      <c r="I524" s="143"/>
      <c r="J524" s="143"/>
      <c r="K524" s="182"/>
      <c r="L524" s="143"/>
      <c r="M524" s="182"/>
      <c r="N524" s="149"/>
      <c r="O524" s="189"/>
      <c r="P524" s="149"/>
      <c r="Q524" s="149"/>
      <c r="R524" s="189"/>
      <c r="S524" s="149"/>
      <c r="T524" s="189"/>
      <c r="U524" s="194"/>
      <c r="V524" s="194"/>
      <c r="W524" s="194"/>
      <c r="X524" s="194"/>
      <c r="Y524" s="194"/>
      <c r="Z524" s="194"/>
      <c r="AA524" s="194"/>
    </row>
    <row r="525" ht="15.75" customHeight="1">
      <c r="A525" s="241"/>
      <c r="B525" s="224"/>
      <c r="C525" s="220"/>
      <c r="D525" s="221"/>
      <c r="E525" s="222"/>
      <c r="F525" s="223"/>
      <c r="G525" s="143"/>
      <c r="H525" s="143"/>
      <c r="I525" s="143"/>
      <c r="J525" s="143"/>
      <c r="K525" s="182"/>
      <c r="L525" s="143"/>
      <c r="M525" s="182"/>
      <c r="N525" s="149"/>
      <c r="O525" s="189"/>
      <c r="P525" s="149"/>
      <c r="Q525" s="149"/>
      <c r="R525" s="189"/>
      <c r="S525" s="149"/>
      <c r="T525" s="189"/>
      <c r="U525" s="194"/>
      <c r="V525" s="194"/>
      <c r="W525" s="194"/>
      <c r="X525" s="194"/>
      <c r="Y525" s="194"/>
      <c r="Z525" s="194"/>
      <c r="AA525" s="194"/>
    </row>
    <row r="526" ht="15.75" customHeight="1">
      <c r="A526" s="241"/>
      <c r="B526" s="224"/>
      <c r="C526" s="220"/>
      <c r="D526" s="221"/>
      <c r="E526" s="222"/>
      <c r="F526" s="223"/>
      <c r="G526" s="143"/>
      <c r="H526" s="143"/>
      <c r="I526" s="143"/>
      <c r="J526" s="143"/>
      <c r="K526" s="182"/>
      <c r="L526" s="143"/>
      <c r="M526" s="182"/>
      <c r="N526" s="149"/>
      <c r="O526" s="189"/>
      <c r="P526" s="149"/>
      <c r="Q526" s="149"/>
      <c r="R526" s="189"/>
      <c r="S526" s="149"/>
      <c r="T526" s="189"/>
      <c r="U526" s="194"/>
      <c r="V526" s="194"/>
      <c r="W526" s="194"/>
      <c r="X526" s="194"/>
      <c r="Y526" s="194"/>
      <c r="Z526" s="194"/>
      <c r="AA526" s="194"/>
    </row>
    <row r="527" ht="15.75" customHeight="1">
      <c r="A527" s="241"/>
      <c r="B527" s="224"/>
      <c r="C527" s="220"/>
      <c r="D527" s="221"/>
      <c r="E527" s="222"/>
      <c r="F527" s="223"/>
      <c r="G527" s="143"/>
      <c r="H527" s="143"/>
      <c r="I527" s="143"/>
      <c r="J527" s="143"/>
      <c r="K527" s="182"/>
      <c r="L527" s="143"/>
      <c r="M527" s="182"/>
      <c r="N527" s="149"/>
      <c r="O527" s="189"/>
      <c r="P527" s="149"/>
      <c r="Q527" s="149"/>
      <c r="R527" s="189"/>
      <c r="S527" s="149"/>
      <c r="T527" s="189"/>
      <c r="U527" s="194"/>
      <c r="V527" s="194"/>
      <c r="W527" s="194"/>
      <c r="X527" s="194"/>
      <c r="Y527" s="194"/>
      <c r="Z527" s="194"/>
      <c r="AA527" s="194"/>
    </row>
    <row r="528" ht="15.75" customHeight="1">
      <c r="A528" s="241"/>
      <c r="B528" s="224"/>
      <c r="C528" s="220"/>
      <c r="D528" s="221"/>
      <c r="E528" s="222"/>
      <c r="F528" s="223"/>
      <c r="G528" s="143"/>
      <c r="H528" s="143"/>
      <c r="I528" s="143"/>
      <c r="J528" s="143"/>
      <c r="K528" s="182"/>
      <c r="L528" s="143"/>
      <c r="M528" s="182"/>
      <c r="N528" s="149"/>
      <c r="O528" s="189"/>
      <c r="P528" s="149"/>
      <c r="Q528" s="149"/>
      <c r="R528" s="189"/>
      <c r="S528" s="149"/>
      <c r="T528" s="189"/>
      <c r="U528" s="194"/>
      <c r="V528" s="194"/>
      <c r="W528" s="194"/>
      <c r="X528" s="194"/>
      <c r="Y528" s="194"/>
      <c r="Z528" s="194"/>
      <c r="AA528" s="194"/>
    </row>
    <row r="529" ht="15.75" customHeight="1">
      <c r="A529" s="241"/>
      <c r="B529" s="224"/>
      <c r="C529" s="220"/>
      <c r="D529" s="221"/>
      <c r="E529" s="222"/>
      <c r="F529" s="223"/>
      <c r="G529" s="143"/>
      <c r="H529" s="143"/>
      <c r="I529" s="143"/>
      <c r="J529" s="143"/>
      <c r="K529" s="182"/>
      <c r="L529" s="143"/>
      <c r="M529" s="182"/>
      <c r="N529" s="149"/>
      <c r="O529" s="189"/>
      <c r="P529" s="149"/>
      <c r="Q529" s="149"/>
      <c r="R529" s="189"/>
      <c r="S529" s="149"/>
      <c r="T529" s="189"/>
      <c r="U529" s="194"/>
      <c r="V529" s="194"/>
      <c r="W529" s="194"/>
      <c r="X529" s="194"/>
      <c r="Y529" s="194"/>
      <c r="Z529" s="194"/>
      <c r="AA529" s="194"/>
    </row>
    <row r="530" ht="15.75" customHeight="1">
      <c r="A530" s="241"/>
      <c r="B530" s="224"/>
      <c r="C530" s="220"/>
      <c r="D530" s="221"/>
      <c r="E530" s="222"/>
      <c r="F530" s="223"/>
      <c r="G530" s="143"/>
      <c r="H530" s="143"/>
      <c r="I530" s="143"/>
      <c r="J530" s="143"/>
      <c r="K530" s="182"/>
      <c r="L530" s="143"/>
      <c r="M530" s="182"/>
      <c r="N530" s="149"/>
      <c r="O530" s="189"/>
      <c r="P530" s="149"/>
      <c r="Q530" s="149"/>
      <c r="R530" s="189"/>
      <c r="S530" s="149"/>
      <c r="T530" s="189"/>
      <c r="U530" s="194"/>
      <c r="V530" s="194"/>
      <c r="W530" s="194"/>
      <c r="X530" s="194"/>
      <c r="Y530" s="194"/>
      <c r="Z530" s="194"/>
      <c r="AA530" s="194"/>
    </row>
    <row r="531" ht="15.75" customHeight="1">
      <c r="A531" s="241"/>
      <c r="B531" s="224"/>
      <c r="C531" s="220"/>
      <c r="D531" s="221"/>
      <c r="E531" s="222"/>
      <c r="F531" s="223"/>
      <c r="G531" s="143"/>
      <c r="H531" s="143"/>
      <c r="I531" s="143"/>
      <c r="J531" s="143"/>
      <c r="K531" s="182"/>
      <c r="L531" s="143"/>
      <c r="M531" s="182"/>
      <c r="N531" s="149"/>
      <c r="O531" s="189"/>
      <c r="P531" s="149"/>
      <c r="Q531" s="149"/>
      <c r="R531" s="189"/>
      <c r="S531" s="149"/>
      <c r="T531" s="189"/>
      <c r="U531" s="194"/>
      <c r="V531" s="194"/>
      <c r="W531" s="194"/>
      <c r="X531" s="194"/>
      <c r="Y531" s="194"/>
      <c r="Z531" s="194"/>
      <c r="AA531" s="194"/>
    </row>
    <row r="532" ht="15.75" customHeight="1">
      <c r="A532" s="241"/>
      <c r="B532" s="224"/>
      <c r="C532" s="220"/>
      <c r="D532" s="221"/>
      <c r="E532" s="222"/>
      <c r="F532" s="223"/>
      <c r="G532" s="143"/>
      <c r="H532" s="143"/>
      <c r="I532" s="143"/>
      <c r="J532" s="143"/>
      <c r="K532" s="182"/>
      <c r="L532" s="143"/>
      <c r="M532" s="182"/>
      <c r="N532" s="149"/>
      <c r="O532" s="189"/>
      <c r="P532" s="149"/>
      <c r="Q532" s="149"/>
      <c r="R532" s="189"/>
      <c r="S532" s="149"/>
      <c r="T532" s="189"/>
      <c r="U532" s="194"/>
      <c r="V532" s="194"/>
      <c r="W532" s="194"/>
      <c r="X532" s="194"/>
      <c r="Y532" s="194"/>
      <c r="Z532" s="194"/>
      <c r="AA532" s="194"/>
    </row>
    <row r="533" ht="15.75" customHeight="1">
      <c r="A533" s="241"/>
      <c r="B533" s="224"/>
      <c r="C533" s="220"/>
      <c r="D533" s="221"/>
      <c r="E533" s="222"/>
      <c r="F533" s="223"/>
      <c r="G533" s="143"/>
      <c r="H533" s="143"/>
      <c r="I533" s="143"/>
      <c r="J533" s="143"/>
      <c r="K533" s="182"/>
      <c r="L533" s="143"/>
      <c r="M533" s="182"/>
      <c r="N533" s="149"/>
      <c r="O533" s="189"/>
      <c r="P533" s="149"/>
      <c r="Q533" s="149"/>
      <c r="R533" s="189"/>
      <c r="S533" s="149"/>
      <c r="T533" s="189"/>
      <c r="U533" s="194"/>
      <c r="V533" s="194"/>
      <c r="W533" s="194"/>
      <c r="X533" s="194"/>
      <c r="Y533" s="194"/>
      <c r="Z533" s="194"/>
      <c r="AA533" s="194"/>
    </row>
    <row r="534" ht="15.75" customHeight="1">
      <c r="A534" s="241"/>
      <c r="B534" s="224"/>
      <c r="C534" s="220"/>
      <c r="D534" s="221"/>
      <c r="E534" s="222"/>
      <c r="F534" s="223"/>
      <c r="G534" s="143"/>
      <c r="H534" s="143"/>
      <c r="I534" s="143"/>
      <c r="J534" s="143"/>
      <c r="K534" s="182"/>
      <c r="L534" s="143"/>
      <c r="M534" s="182"/>
      <c r="N534" s="149"/>
      <c r="O534" s="189"/>
      <c r="P534" s="149"/>
      <c r="Q534" s="149"/>
      <c r="R534" s="189"/>
      <c r="S534" s="149"/>
      <c r="T534" s="189"/>
      <c r="U534" s="194"/>
      <c r="V534" s="194"/>
      <c r="W534" s="194"/>
      <c r="X534" s="194"/>
      <c r="Y534" s="194"/>
      <c r="Z534" s="194"/>
      <c r="AA534" s="194"/>
    </row>
    <row r="535" ht="15.75" customHeight="1">
      <c r="A535" s="241"/>
      <c r="B535" s="224"/>
      <c r="C535" s="220"/>
      <c r="D535" s="221"/>
      <c r="E535" s="222"/>
      <c r="F535" s="223"/>
      <c r="G535" s="143"/>
      <c r="H535" s="143"/>
      <c r="I535" s="143"/>
      <c r="J535" s="143"/>
      <c r="K535" s="182"/>
      <c r="L535" s="143"/>
      <c r="M535" s="182"/>
      <c r="N535" s="149"/>
      <c r="O535" s="189"/>
      <c r="P535" s="149"/>
      <c r="Q535" s="149"/>
      <c r="R535" s="189"/>
      <c r="S535" s="149"/>
      <c r="T535" s="189"/>
      <c r="U535" s="194"/>
      <c r="V535" s="194"/>
      <c r="W535" s="194"/>
      <c r="X535" s="194"/>
      <c r="Y535" s="194"/>
      <c r="Z535" s="194"/>
      <c r="AA535" s="194"/>
    </row>
    <row r="536" ht="15.75" customHeight="1">
      <c r="A536" s="241"/>
      <c r="B536" s="224"/>
      <c r="C536" s="220"/>
      <c r="D536" s="221"/>
      <c r="E536" s="222"/>
      <c r="F536" s="223"/>
      <c r="G536" s="143"/>
      <c r="H536" s="143"/>
      <c r="I536" s="143"/>
      <c r="J536" s="143"/>
      <c r="K536" s="182"/>
      <c r="L536" s="143"/>
      <c r="M536" s="182"/>
      <c r="N536" s="149"/>
      <c r="O536" s="189"/>
      <c r="P536" s="149"/>
      <c r="Q536" s="149"/>
      <c r="R536" s="189"/>
      <c r="S536" s="149"/>
      <c r="T536" s="189"/>
      <c r="U536" s="194"/>
      <c r="V536" s="194"/>
      <c r="W536" s="194"/>
      <c r="X536" s="194"/>
      <c r="Y536" s="194"/>
      <c r="Z536" s="194"/>
      <c r="AA536" s="194"/>
    </row>
    <row r="537" ht="15.75" customHeight="1">
      <c r="A537" s="241"/>
      <c r="B537" s="224"/>
      <c r="C537" s="220"/>
      <c r="D537" s="221"/>
      <c r="E537" s="222"/>
      <c r="F537" s="223"/>
      <c r="G537" s="143"/>
      <c r="H537" s="143"/>
      <c r="I537" s="143"/>
      <c r="J537" s="143"/>
      <c r="K537" s="182"/>
      <c r="L537" s="143"/>
      <c r="M537" s="182"/>
      <c r="N537" s="149"/>
      <c r="O537" s="189"/>
      <c r="P537" s="149"/>
      <c r="Q537" s="149"/>
      <c r="R537" s="189"/>
      <c r="S537" s="149"/>
      <c r="T537" s="189"/>
      <c r="U537" s="194"/>
      <c r="V537" s="194"/>
      <c r="W537" s="194"/>
      <c r="X537" s="194"/>
      <c r="Y537" s="194"/>
      <c r="Z537" s="194"/>
      <c r="AA537" s="194"/>
    </row>
    <row r="538" ht="15.75" customHeight="1">
      <c r="A538" s="241"/>
      <c r="B538" s="224"/>
      <c r="C538" s="220"/>
      <c r="D538" s="221"/>
      <c r="E538" s="222"/>
      <c r="F538" s="223"/>
      <c r="G538" s="143"/>
      <c r="H538" s="143"/>
      <c r="I538" s="143"/>
      <c r="J538" s="143"/>
      <c r="K538" s="182"/>
      <c r="L538" s="143"/>
      <c r="M538" s="182"/>
      <c r="N538" s="149"/>
      <c r="O538" s="189"/>
      <c r="P538" s="149"/>
      <c r="Q538" s="149"/>
      <c r="R538" s="189"/>
      <c r="S538" s="149"/>
      <c r="T538" s="189"/>
      <c r="U538" s="194"/>
      <c r="V538" s="194"/>
      <c r="W538" s="194"/>
      <c r="X538" s="194"/>
      <c r="Y538" s="194"/>
      <c r="Z538" s="194"/>
      <c r="AA538" s="194"/>
    </row>
    <row r="539" ht="15.75" customHeight="1">
      <c r="A539" s="241"/>
      <c r="B539" s="224"/>
      <c r="C539" s="220"/>
      <c r="D539" s="221"/>
      <c r="E539" s="222"/>
      <c r="F539" s="223"/>
      <c r="G539" s="143"/>
      <c r="H539" s="143"/>
      <c r="I539" s="143"/>
      <c r="J539" s="143"/>
      <c r="K539" s="182"/>
      <c r="L539" s="143"/>
      <c r="M539" s="182"/>
      <c r="N539" s="149"/>
      <c r="O539" s="189"/>
      <c r="P539" s="149"/>
      <c r="Q539" s="149"/>
      <c r="R539" s="189"/>
      <c r="S539" s="149"/>
      <c r="T539" s="189"/>
      <c r="U539" s="194"/>
      <c r="V539" s="194"/>
      <c r="W539" s="194"/>
      <c r="X539" s="194"/>
      <c r="Y539" s="194"/>
      <c r="Z539" s="194"/>
      <c r="AA539" s="194"/>
    </row>
    <row r="540" ht="15.75" customHeight="1">
      <c r="A540" s="241"/>
      <c r="B540" s="224"/>
      <c r="C540" s="220"/>
      <c r="D540" s="221"/>
      <c r="E540" s="222"/>
      <c r="F540" s="223"/>
      <c r="G540" s="143"/>
      <c r="H540" s="143"/>
      <c r="I540" s="143"/>
      <c r="J540" s="143"/>
      <c r="K540" s="182"/>
      <c r="L540" s="143"/>
      <c r="M540" s="182"/>
      <c r="N540" s="149"/>
      <c r="O540" s="189"/>
      <c r="P540" s="149"/>
      <c r="Q540" s="149"/>
      <c r="R540" s="189"/>
      <c r="S540" s="149"/>
      <c r="T540" s="189"/>
      <c r="U540" s="194"/>
      <c r="V540" s="194"/>
      <c r="W540" s="194"/>
      <c r="X540" s="194"/>
      <c r="Y540" s="194"/>
      <c r="Z540" s="194"/>
      <c r="AA540" s="194"/>
    </row>
    <row r="541" ht="15.75" customHeight="1">
      <c r="A541" s="241"/>
      <c r="B541" s="224"/>
      <c r="C541" s="220"/>
      <c r="D541" s="221"/>
      <c r="E541" s="222"/>
      <c r="F541" s="223"/>
      <c r="G541" s="143"/>
      <c r="H541" s="143"/>
      <c r="I541" s="143"/>
      <c r="J541" s="143"/>
      <c r="K541" s="182"/>
      <c r="L541" s="143"/>
      <c r="M541" s="182"/>
      <c r="N541" s="149"/>
      <c r="O541" s="189"/>
      <c r="P541" s="149"/>
      <c r="Q541" s="149"/>
      <c r="R541" s="189"/>
      <c r="S541" s="149"/>
      <c r="T541" s="189"/>
      <c r="U541" s="194"/>
      <c r="V541" s="194"/>
      <c r="W541" s="194"/>
      <c r="X541" s="194"/>
      <c r="Y541" s="194"/>
      <c r="Z541" s="194"/>
      <c r="AA541" s="194"/>
    </row>
    <row r="542" ht="15.75" customHeight="1">
      <c r="A542" s="241"/>
      <c r="B542" s="224"/>
      <c r="C542" s="220"/>
      <c r="D542" s="221"/>
      <c r="E542" s="222"/>
      <c r="F542" s="223"/>
      <c r="G542" s="143"/>
      <c r="H542" s="143"/>
      <c r="I542" s="143"/>
      <c r="J542" s="143"/>
      <c r="K542" s="182"/>
      <c r="L542" s="143"/>
      <c r="M542" s="182"/>
      <c r="N542" s="149"/>
      <c r="O542" s="189"/>
      <c r="P542" s="149"/>
      <c r="Q542" s="149"/>
      <c r="R542" s="189"/>
      <c r="S542" s="149"/>
      <c r="T542" s="189"/>
      <c r="U542" s="194"/>
      <c r="V542" s="194"/>
      <c r="W542" s="194"/>
      <c r="X542" s="194"/>
      <c r="Y542" s="194"/>
      <c r="Z542" s="194"/>
      <c r="AA542" s="194"/>
    </row>
    <row r="543" ht="15.75" customHeight="1">
      <c r="A543" s="241"/>
      <c r="B543" s="224"/>
      <c r="C543" s="220"/>
      <c r="D543" s="221"/>
      <c r="E543" s="222"/>
      <c r="F543" s="223"/>
      <c r="G543" s="143"/>
      <c r="H543" s="143"/>
      <c r="I543" s="143"/>
      <c r="J543" s="143"/>
      <c r="K543" s="182"/>
      <c r="L543" s="143"/>
      <c r="M543" s="182"/>
      <c r="N543" s="149"/>
      <c r="O543" s="189"/>
      <c r="P543" s="149"/>
      <c r="Q543" s="149"/>
      <c r="R543" s="189"/>
      <c r="S543" s="149"/>
      <c r="T543" s="189"/>
      <c r="U543" s="194"/>
      <c r="V543" s="194"/>
      <c r="W543" s="194"/>
      <c r="X543" s="194"/>
      <c r="Y543" s="194"/>
      <c r="Z543" s="194"/>
      <c r="AA543" s="194"/>
    </row>
    <row r="544" ht="15.75" customHeight="1">
      <c r="A544" s="241"/>
      <c r="B544" s="224"/>
      <c r="C544" s="220"/>
      <c r="D544" s="221"/>
      <c r="E544" s="222"/>
      <c r="F544" s="223"/>
      <c r="G544" s="143"/>
      <c r="H544" s="143"/>
      <c r="I544" s="143"/>
      <c r="J544" s="143"/>
      <c r="K544" s="182"/>
      <c r="L544" s="143"/>
      <c r="M544" s="182"/>
      <c r="N544" s="149"/>
      <c r="O544" s="189"/>
      <c r="P544" s="149"/>
      <c r="Q544" s="149"/>
      <c r="R544" s="189"/>
      <c r="S544" s="149"/>
      <c r="T544" s="189"/>
      <c r="U544" s="194"/>
      <c r="V544" s="194"/>
      <c r="W544" s="194"/>
      <c r="X544" s="194"/>
      <c r="Y544" s="194"/>
      <c r="Z544" s="194"/>
      <c r="AA544" s="194"/>
    </row>
    <row r="545" ht="15.75" customHeight="1">
      <c r="A545" s="241"/>
      <c r="B545" s="224"/>
      <c r="C545" s="220"/>
      <c r="D545" s="221"/>
      <c r="E545" s="222"/>
      <c r="F545" s="223"/>
      <c r="G545" s="143"/>
      <c r="H545" s="143"/>
      <c r="I545" s="143"/>
      <c r="J545" s="143"/>
      <c r="K545" s="182"/>
      <c r="L545" s="143"/>
      <c r="M545" s="182"/>
      <c r="N545" s="149"/>
      <c r="O545" s="189"/>
      <c r="P545" s="149"/>
      <c r="Q545" s="149"/>
      <c r="R545" s="189"/>
      <c r="S545" s="149"/>
      <c r="T545" s="189"/>
      <c r="U545" s="194"/>
      <c r="V545" s="194"/>
      <c r="W545" s="194"/>
      <c r="X545" s="194"/>
      <c r="Y545" s="194"/>
      <c r="Z545" s="194"/>
      <c r="AA545" s="194"/>
    </row>
    <row r="546" ht="15.75" customHeight="1">
      <c r="A546" s="241"/>
      <c r="B546" s="224"/>
      <c r="C546" s="220"/>
      <c r="D546" s="221"/>
      <c r="E546" s="222"/>
      <c r="F546" s="223"/>
      <c r="G546" s="143"/>
      <c r="H546" s="143"/>
      <c r="I546" s="143"/>
      <c r="J546" s="143"/>
      <c r="K546" s="182"/>
      <c r="L546" s="143"/>
      <c r="M546" s="182"/>
      <c r="N546" s="149"/>
      <c r="O546" s="189"/>
      <c r="P546" s="149"/>
      <c r="Q546" s="149"/>
      <c r="R546" s="189"/>
      <c r="S546" s="149"/>
      <c r="T546" s="189"/>
      <c r="U546" s="194"/>
      <c r="V546" s="194"/>
      <c r="W546" s="194"/>
      <c r="X546" s="194"/>
      <c r="Y546" s="194"/>
      <c r="Z546" s="194"/>
      <c r="AA546" s="194"/>
    </row>
    <row r="547" ht="15.75" customHeight="1">
      <c r="A547" s="241"/>
      <c r="B547" s="224"/>
      <c r="C547" s="220"/>
      <c r="D547" s="221"/>
      <c r="E547" s="222"/>
      <c r="F547" s="223"/>
      <c r="G547" s="143"/>
      <c r="H547" s="143"/>
      <c r="I547" s="143"/>
      <c r="J547" s="143"/>
      <c r="K547" s="182"/>
      <c r="L547" s="143"/>
      <c r="M547" s="182"/>
      <c r="N547" s="149"/>
      <c r="O547" s="189"/>
      <c r="P547" s="149"/>
      <c r="Q547" s="149"/>
      <c r="R547" s="189"/>
      <c r="S547" s="149"/>
      <c r="T547" s="189"/>
      <c r="U547" s="194"/>
      <c r="V547" s="194"/>
      <c r="W547" s="194"/>
      <c r="X547" s="194"/>
      <c r="Y547" s="194"/>
      <c r="Z547" s="194"/>
      <c r="AA547" s="194"/>
    </row>
    <row r="548" ht="15.75" customHeight="1">
      <c r="A548" s="241"/>
      <c r="B548" s="224"/>
      <c r="C548" s="220"/>
      <c r="D548" s="221"/>
      <c r="E548" s="222"/>
      <c r="F548" s="223"/>
      <c r="G548" s="143"/>
      <c r="H548" s="143"/>
      <c r="I548" s="143"/>
      <c r="J548" s="143"/>
      <c r="K548" s="182"/>
      <c r="L548" s="143"/>
      <c r="M548" s="182"/>
      <c r="N548" s="149"/>
      <c r="O548" s="189"/>
      <c r="P548" s="149"/>
      <c r="Q548" s="149"/>
      <c r="R548" s="189"/>
      <c r="S548" s="149"/>
      <c r="T548" s="189"/>
      <c r="U548" s="194"/>
      <c r="V548" s="194"/>
      <c r="W548" s="194"/>
      <c r="X548" s="194"/>
      <c r="Y548" s="194"/>
      <c r="Z548" s="194"/>
      <c r="AA548" s="194"/>
    </row>
    <row r="549" ht="15.75" customHeight="1">
      <c r="A549" s="241"/>
      <c r="B549" s="224"/>
      <c r="C549" s="220"/>
      <c r="D549" s="221"/>
      <c r="E549" s="222"/>
      <c r="F549" s="223"/>
      <c r="G549" s="143"/>
      <c r="H549" s="143"/>
      <c r="I549" s="143"/>
      <c r="J549" s="143"/>
      <c r="K549" s="182"/>
      <c r="L549" s="143"/>
      <c r="M549" s="182"/>
      <c r="N549" s="149"/>
      <c r="O549" s="189"/>
      <c r="P549" s="149"/>
      <c r="Q549" s="149"/>
      <c r="R549" s="189"/>
      <c r="S549" s="149"/>
      <c r="T549" s="189"/>
      <c r="U549" s="194"/>
      <c r="V549" s="194"/>
      <c r="W549" s="194"/>
      <c r="X549" s="194"/>
      <c r="Y549" s="194"/>
      <c r="Z549" s="194"/>
      <c r="AA549" s="194"/>
    </row>
    <row r="550" ht="15.75" customHeight="1">
      <c r="A550" s="241"/>
      <c r="B550" s="224"/>
      <c r="C550" s="220"/>
      <c r="D550" s="221"/>
      <c r="E550" s="222"/>
      <c r="F550" s="223"/>
      <c r="G550" s="143"/>
      <c r="H550" s="143"/>
      <c r="I550" s="143"/>
      <c r="J550" s="143"/>
      <c r="K550" s="182"/>
      <c r="L550" s="143"/>
      <c r="M550" s="182"/>
      <c r="N550" s="149"/>
      <c r="O550" s="189"/>
      <c r="P550" s="149"/>
      <c r="Q550" s="149"/>
      <c r="R550" s="189"/>
      <c r="S550" s="149"/>
      <c r="T550" s="189"/>
      <c r="U550" s="194"/>
      <c r="V550" s="194"/>
      <c r="W550" s="194"/>
      <c r="X550" s="194"/>
      <c r="Y550" s="194"/>
      <c r="Z550" s="194"/>
      <c r="AA550" s="194"/>
    </row>
    <row r="551" ht="15.75" customHeight="1">
      <c r="A551" s="241"/>
      <c r="B551" s="224"/>
      <c r="C551" s="220"/>
      <c r="D551" s="221"/>
      <c r="E551" s="222"/>
      <c r="F551" s="223"/>
      <c r="G551" s="143"/>
      <c r="H551" s="143"/>
      <c r="I551" s="143"/>
      <c r="J551" s="143"/>
      <c r="K551" s="182"/>
      <c r="L551" s="143"/>
      <c r="M551" s="182"/>
      <c r="N551" s="149"/>
      <c r="O551" s="189"/>
      <c r="P551" s="149"/>
      <c r="Q551" s="149"/>
      <c r="R551" s="189"/>
      <c r="S551" s="149"/>
      <c r="T551" s="189"/>
      <c r="U551" s="194"/>
      <c r="V551" s="194"/>
      <c r="W551" s="194"/>
      <c r="X551" s="194"/>
      <c r="Y551" s="194"/>
      <c r="Z551" s="194"/>
      <c r="AA551" s="194"/>
    </row>
    <row r="552" ht="15.75" customHeight="1">
      <c r="A552" s="241"/>
      <c r="B552" s="224"/>
      <c r="C552" s="220"/>
      <c r="D552" s="221"/>
      <c r="E552" s="222"/>
      <c r="F552" s="223"/>
      <c r="G552" s="143"/>
      <c r="H552" s="143"/>
      <c r="I552" s="143"/>
      <c r="J552" s="143"/>
      <c r="K552" s="182"/>
      <c r="L552" s="143"/>
      <c r="M552" s="182"/>
      <c r="N552" s="149"/>
      <c r="O552" s="189"/>
      <c r="P552" s="149"/>
      <c r="Q552" s="149"/>
      <c r="R552" s="189"/>
      <c r="S552" s="149"/>
      <c r="T552" s="189"/>
      <c r="U552" s="194"/>
      <c r="V552" s="194"/>
      <c r="W552" s="194"/>
      <c r="X552" s="194"/>
      <c r="Y552" s="194"/>
      <c r="Z552" s="194"/>
      <c r="AA552" s="194"/>
    </row>
    <row r="553" ht="15.75" customHeight="1">
      <c r="A553" s="241"/>
      <c r="B553" s="224"/>
      <c r="C553" s="220"/>
      <c r="D553" s="221"/>
      <c r="E553" s="222"/>
      <c r="F553" s="223"/>
      <c r="G553" s="143"/>
      <c r="H553" s="143"/>
      <c r="I553" s="143"/>
      <c r="J553" s="143"/>
      <c r="K553" s="182"/>
      <c r="L553" s="143"/>
      <c r="M553" s="182"/>
      <c r="N553" s="149"/>
      <c r="O553" s="189"/>
      <c r="P553" s="149"/>
      <c r="Q553" s="149"/>
      <c r="R553" s="189"/>
      <c r="S553" s="149"/>
      <c r="T553" s="189"/>
      <c r="U553" s="194"/>
      <c r="V553" s="194"/>
      <c r="W553" s="194"/>
      <c r="X553" s="194"/>
      <c r="Y553" s="194"/>
      <c r="Z553" s="194"/>
      <c r="AA553" s="194"/>
    </row>
    <row r="554" ht="15.75" customHeight="1">
      <c r="A554" s="241"/>
      <c r="B554" s="224"/>
      <c r="C554" s="220"/>
      <c r="D554" s="221"/>
      <c r="E554" s="222"/>
      <c r="F554" s="223"/>
      <c r="G554" s="143"/>
      <c r="H554" s="143"/>
      <c r="I554" s="143"/>
      <c r="J554" s="143"/>
      <c r="K554" s="182"/>
      <c r="L554" s="143"/>
      <c r="M554" s="182"/>
      <c r="N554" s="149"/>
      <c r="O554" s="189"/>
      <c r="P554" s="149"/>
      <c r="Q554" s="149"/>
      <c r="R554" s="189"/>
      <c r="S554" s="149"/>
      <c r="T554" s="189"/>
      <c r="U554" s="194"/>
      <c r="V554" s="194"/>
      <c r="W554" s="194"/>
      <c r="X554" s="194"/>
      <c r="Y554" s="194"/>
      <c r="Z554" s="194"/>
      <c r="AA554" s="194"/>
    </row>
    <row r="555" ht="15.75" customHeight="1">
      <c r="A555" s="241"/>
      <c r="B555" s="224"/>
      <c r="C555" s="220"/>
      <c r="D555" s="221"/>
      <c r="E555" s="222"/>
      <c r="F555" s="223"/>
      <c r="G555" s="143"/>
      <c r="H555" s="143"/>
      <c r="I555" s="143"/>
      <c r="J555" s="143"/>
      <c r="K555" s="182"/>
      <c r="L555" s="143"/>
      <c r="M555" s="182"/>
      <c r="N555" s="149"/>
      <c r="O555" s="189"/>
      <c r="P555" s="149"/>
      <c r="Q555" s="149"/>
      <c r="R555" s="189"/>
      <c r="S555" s="149"/>
      <c r="T555" s="189"/>
      <c r="U555" s="194"/>
      <c r="V555" s="194"/>
      <c r="W555" s="194"/>
      <c r="X555" s="194"/>
      <c r="Y555" s="194"/>
      <c r="Z555" s="194"/>
      <c r="AA555" s="194"/>
    </row>
    <row r="556" ht="15.75" customHeight="1">
      <c r="A556" s="241"/>
      <c r="B556" s="224"/>
      <c r="C556" s="220"/>
      <c r="D556" s="221"/>
      <c r="E556" s="222"/>
      <c r="F556" s="223"/>
      <c r="G556" s="143"/>
      <c r="H556" s="143"/>
      <c r="I556" s="143"/>
      <c r="J556" s="143"/>
      <c r="K556" s="182"/>
      <c r="L556" s="143"/>
      <c r="M556" s="182"/>
      <c r="N556" s="149"/>
      <c r="O556" s="189"/>
      <c r="P556" s="149"/>
      <c r="Q556" s="149"/>
      <c r="R556" s="189"/>
      <c r="S556" s="149"/>
      <c r="T556" s="189"/>
      <c r="U556" s="194"/>
      <c r="V556" s="194"/>
      <c r="W556" s="194"/>
      <c r="X556" s="194"/>
      <c r="Y556" s="194"/>
      <c r="Z556" s="194"/>
      <c r="AA556" s="194"/>
    </row>
    <row r="557" ht="15.75" customHeight="1">
      <c r="A557" s="241"/>
      <c r="B557" s="224"/>
      <c r="C557" s="220"/>
      <c r="D557" s="221"/>
      <c r="E557" s="222"/>
      <c r="F557" s="223"/>
      <c r="G557" s="143"/>
      <c r="H557" s="143"/>
      <c r="I557" s="143"/>
      <c r="J557" s="143"/>
      <c r="K557" s="182"/>
      <c r="L557" s="143"/>
      <c r="M557" s="182"/>
      <c r="N557" s="149"/>
      <c r="O557" s="189"/>
      <c r="P557" s="149"/>
      <c r="Q557" s="149"/>
      <c r="R557" s="189"/>
      <c r="S557" s="149"/>
      <c r="T557" s="189"/>
      <c r="U557" s="194"/>
      <c r="V557" s="194"/>
      <c r="W557" s="194"/>
      <c r="X557" s="194"/>
      <c r="Y557" s="194"/>
      <c r="Z557" s="194"/>
      <c r="AA557" s="194"/>
    </row>
    <row r="558" ht="15.75" customHeight="1">
      <c r="A558" s="241"/>
      <c r="B558" s="224"/>
      <c r="C558" s="220"/>
      <c r="D558" s="221"/>
      <c r="E558" s="222"/>
      <c r="F558" s="223"/>
      <c r="G558" s="143"/>
      <c r="H558" s="143"/>
      <c r="I558" s="143"/>
      <c r="J558" s="143"/>
      <c r="K558" s="182"/>
      <c r="L558" s="143"/>
      <c r="M558" s="182"/>
      <c r="N558" s="149"/>
      <c r="O558" s="189"/>
      <c r="P558" s="149"/>
      <c r="Q558" s="149"/>
      <c r="R558" s="189"/>
      <c r="S558" s="149"/>
      <c r="T558" s="189"/>
      <c r="U558" s="194"/>
      <c r="V558" s="194"/>
      <c r="W558" s="194"/>
      <c r="X558" s="194"/>
      <c r="Y558" s="194"/>
      <c r="Z558" s="194"/>
      <c r="AA558" s="194"/>
    </row>
    <row r="559" ht="15.75" customHeight="1">
      <c r="A559" s="241"/>
      <c r="B559" s="224"/>
      <c r="C559" s="220"/>
      <c r="D559" s="221"/>
      <c r="E559" s="222"/>
      <c r="F559" s="223"/>
      <c r="G559" s="143"/>
      <c r="H559" s="143"/>
      <c r="I559" s="143"/>
      <c r="J559" s="143"/>
      <c r="K559" s="182"/>
      <c r="L559" s="143"/>
      <c r="M559" s="182"/>
      <c r="N559" s="149"/>
      <c r="O559" s="189"/>
      <c r="P559" s="149"/>
      <c r="Q559" s="149"/>
      <c r="R559" s="189"/>
      <c r="S559" s="149"/>
      <c r="T559" s="189"/>
      <c r="U559" s="194"/>
      <c r="V559" s="194"/>
      <c r="W559" s="194"/>
      <c r="X559" s="194"/>
      <c r="Y559" s="194"/>
      <c r="Z559" s="194"/>
      <c r="AA559" s="194"/>
    </row>
    <row r="560" ht="15.75" customHeight="1">
      <c r="A560" s="241"/>
      <c r="B560" s="224"/>
      <c r="C560" s="220"/>
      <c r="D560" s="221"/>
      <c r="E560" s="222"/>
      <c r="F560" s="223"/>
      <c r="G560" s="143"/>
      <c r="H560" s="143"/>
      <c r="I560" s="143"/>
      <c r="J560" s="143"/>
      <c r="K560" s="182"/>
      <c r="L560" s="143"/>
      <c r="M560" s="182"/>
      <c r="N560" s="149"/>
      <c r="O560" s="189"/>
      <c r="P560" s="149"/>
      <c r="Q560" s="149"/>
      <c r="R560" s="189"/>
      <c r="S560" s="149"/>
      <c r="T560" s="189"/>
      <c r="U560" s="194"/>
      <c r="V560" s="194"/>
      <c r="W560" s="194"/>
      <c r="X560" s="194"/>
      <c r="Y560" s="194"/>
      <c r="Z560" s="194"/>
      <c r="AA560" s="194"/>
    </row>
    <row r="561" ht="15.75" customHeight="1">
      <c r="A561" s="241"/>
      <c r="B561" s="224"/>
      <c r="C561" s="220"/>
      <c r="D561" s="221"/>
      <c r="E561" s="222"/>
      <c r="F561" s="223"/>
      <c r="G561" s="143"/>
      <c r="H561" s="143"/>
      <c r="I561" s="143"/>
      <c r="J561" s="143"/>
      <c r="K561" s="182"/>
      <c r="L561" s="143"/>
      <c r="M561" s="182"/>
      <c r="N561" s="149"/>
      <c r="O561" s="189"/>
      <c r="P561" s="149"/>
      <c r="Q561" s="149"/>
      <c r="R561" s="189"/>
      <c r="S561" s="149"/>
      <c r="T561" s="189"/>
      <c r="U561" s="194"/>
      <c r="V561" s="194"/>
      <c r="W561" s="194"/>
      <c r="X561" s="194"/>
      <c r="Y561" s="194"/>
      <c r="Z561" s="194"/>
      <c r="AA561" s="194"/>
    </row>
    <row r="562" ht="15.75" customHeight="1">
      <c r="A562" s="241"/>
      <c r="B562" s="224"/>
      <c r="C562" s="220"/>
      <c r="D562" s="221"/>
      <c r="E562" s="222"/>
      <c r="F562" s="223"/>
      <c r="G562" s="143"/>
      <c r="H562" s="143"/>
      <c r="I562" s="143"/>
      <c r="J562" s="143"/>
      <c r="K562" s="182"/>
      <c r="L562" s="143"/>
      <c r="M562" s="182"/>
      <c r="N562" s="149"/>
      <c r="O562" s="189"/>
      <c r="P562" s="149"/>
      <c r="Q562" s="149"/>
      <c r="R562" s="189"/>
      <c r="S562" s="149"/>
      <c r="T562" s="189"/>
      <c r="U562" s="194"/>
      <c r="V562" s="194"/>
      <c r="W562" s="194"/>
      <c r="X562" s="194"/>
      <c r="Y562" s="194"/>
      <c r="Z562" s="194"/>
      <c r="AA562" s="194"/>
    </row>
    <row r="563" ht="15.75" customHeight="1">
      <c r="A563" s="241"/>
      <c r="B563" s="224"/>
      <c r="C563" s="220"/>
      <c r="D563" s="221"/>
      <c r="E563" s="222"/>
      <c r="F563" s="223"/>
      <c r="G563" s="143"/>
      <c r="H563" s="143"/>
      <c r="I563" s="143"/>
      <c r="J563" s="143"/>
      <c r="K563" s="182"/>
      <c r="L563" s="143"/>
      <c r="M563" s="182"/>
      <c r="N563" s="149"/>
      <c r="O563" s="189"/>
      <c r="P563" s="149"/>
      <c r="Q563" s="149"/>
      <c r="R563" s="189"/>
      <c r="S563" s="149"/>
      <c r="T563" s="189"/>
      <c r="U563" s="194"/>
      <c r="V563" s="194"/>
      <c r="W563" s="194"/>
      <c r="X563" s="194"/>
      <c r="Y563" s="194"/>
      <c r="Z563" s="194"/>
      <c r="AA563" s="194"/>
    </row>
    <row r="564" ht="15.75" customHeight="1">
      <c r="A564" s="241"/>
      <c r="B564" s="224"/>
      <c r="C564" s="220"/>
      <c r="D564" s="221"/>
      <c r="E564" s="222"/>
      <c r="F564" s="223"/>
      <c r="G564" s="143"/>
      <c r="H564" s="143"/>
      <c r="I564" s="143"/>
      <c r="J564" s="143"/>
      <c r="K564" s="182"/>
      <c r="L564" s="143"/>
      <c r="M564" s="182"/>
      <c r="N564" s="149"/>
      <c r="O564" s="189"/>
      <c r="P564" s="149"/>
      <c r="Q564" s="149"/>
      <c r="R564" s="189"/>
      <c r="S564" s="149"/>
      <c r="T564" s="189"/>
      <c r="U564" s="194"/>
      <c r="V564" s="194"/>
      <c r="W564" s="194"/>
      <c r="X564" s="194"/>
      <c r="Y564" s="194"/>
      <c r="Z564" s="194"/>
      <c r="AA564" s="194"/>
    </row>
    <row r="565" ht="15.75" customHeight="1">
      <c r="A565" s="241"/>
      <c r="B565" s="224"/>
      <c r="C565" s="220"/>
      <c r="D565" s="221"/>
      <c r="E565" s="222"/>
      <c r="F565" s="223"/>
      <c r="G565" s="143"/>
      <c r="H565" s="143"/>
      <c r="I565" s="143"/>
      <c r="J565" s="143"/>
      <c r="K565" s="182"/>
      <c r="L565" s="143"/>
      <c r="M565" s="182"/>
      <c r="N565" s="149"/>
      <c r="O565" s="189"/>
      <c r="P565" s="149"/>
      <c r="Q565" s="149"/>
      <c r="R565" s="189"/>
      <c r="S565" s="149"/>
      <c r="T565" s="189"/>
      <c r="U565" s="194"/>
      <c r="V565" s="194"/>
      <c r="W565" s="194"/>
      <c r="X565" s="194"/>
      <c r="Y565" s="194"/>
      <c r="Z565" s="194"/>
      <c r="AA565" s="194"/>
    </row>
    <row r="566" ht="15.75" customHeight="1">
      <c r="A566" s="241"/>
      <c r="B566" s="224"/>
      <c r="C566" s="220"/>
      <c r="D566" s="221"/>
      <c r="E566" s="222"/>
      <c r="F566" s="223"/>
      <c r="G566" s="143"/>
      <c r="H566" s="143"/>
      <c r="I566" s="143"/>
      <c r="J566" s="143"/>
      <c r="K566" s="182"/>
      <c r="L566" s="143"/>
      <c r="M566" s="182"/>
      <c r="N566" s="149"/>
      <c r="O566" s="189"/>
      <c r="P566" s="149"/>
      <c r="Q566" s="149"/>
      <c r="R566" s="189"/>
      <c r="S566" s="149"/>
      <c r="T566" s="189"/>
      <c r="U566" s="194"/>
      <c r="V566" s="194"/>
      <c r="W566" s="194"/>
      <c r="X566" s="194"/>
      <c r="Y566" s="194"/>
      <c r="Z566" s="194"/>
      <c r="AA566" s="194"/>
    </row>
    <row r="567" ht="15.75" customHeight="1">
      <c r="A567" s="241"/>
      <c r="B567" s="224"/>
      <c r="C567" s="220"/>
      <c r="D567" s="221"/>
      <c r="E567" s="222"/>
      <c r="F567" s="223"/>
      <c r="G567" s="143"/>
      <c r="H567" s="143"/>
      <c r="I567" s="143"/>
      <c r="J567" s="143"/>
      <c r="K567" s="182"/>
      <c r="L567" s="143"/>
      <c r="M567" s="182"/>
      <c r="N567" s="149"/>
      <c r="O567" s="189"/>
      <c r="P567" s="149"/>
      <c r="Q567" s="149"/>
      <c r="R567" s="189"/>
      <c r="S567" s="149"/>
      <c r="T567" s="189"/>
      <c r="U567" s="194"/>
      <c r="V567" s="194"/>
      <c r="W567" s="194"/>
      <c r="X567" s="194"/>
      <c r="Y567" s="194"/>
      <c r="Z567" s="194"/>
      <c r="AA567" s="194"/>
    </row>
    <row r="568" ht="15.75" customHeight="1">
      <c r="A568" s="241"/>
      <c r="B568" s="224"/>
      <c r="C568" s="220"/>
      <c r="D568" s="221"/>
      <c r="E568" s="222"/>
      <c r="F568" s="223"/>
      <c r="G568" s="143"/>
      <c r="H568" s="143"/>
      <c r="I568" s="143"/>
      <c r="J568" s="143"/>
      <c r="K568" s="182"/>
      <c r="L568" s="143"/>
      <c r="M568" s="182"/>
      <c r="N568" s="149"/>
      <c r="O568" s="189"/>
      <c r="P568" s="149"/>
      <c r="Q568" s="149"/>
      <c r="R568" s="189"/>
      <c r="S568" s="149"/>
      <c r="T568" s="189"/>
      <c r="U568" s="194"/>
      <c r="V568" s="194"/>
      <c r="W568" s="194"/>
      <c r="X568" s="194"/>
      <c r="Y568" s="194"/>
      <c r="Z568" s="194"/>
      <c r="AA568" s="194"/>
    </row>
    <row r="569" ht="15.75" customHeight="1">
      <c r="A569" s="241"/>
      <c r="B569" s="224"/>
      <c r="C569" s="220"/>
      <c r="D569" s="221"/>
      <c r="E569" s="222"/>
      <c r="F569" s="223"/>
      <c r="G569" s="143"/>
      <c r="H569" s="143"/>
      <c r="I569" s="143"/>
      <c r="J569" s="143"/>
      <c r="K569" s="182"/>
      <c r="L569" s="143"/>
      <c r="M569" s="182"/>
      <c r="N569" s="149"/>
      <c r="O569" s="189"/>
      <c r="P569" s="149"/>
      <c r="Q569" s="149"/>
      <c r="R569" s="189"/>
      <c r="S569" s="149"/>
      <c r="T569" s="189"/>
      <c r="U569" s="194"/>
      <c r="V569" s="194"/>
      <c r="W569" s="194"/>
      <c r="X569" s="194"/>
      <c r="Y569" s="194"/>
      <c r="Z569" s="194"/>
      <c r="AA569" s="194"/>
    </row>
    <row r="570" ht="15.75" customHeight="1">
      <c r="A570" s="241"/>
      <c r="B570" s="224"/>
      <c r="C570" s="220"/>
      <c r="D570" s="221"/>
      <c r="E570" s="222"/>
      <c r="F570" s="223"/>
      <c r="G570" s="143"/>
      <c r="H570" s="143"/>
      <c r="I570" s="143"/>
      <c r="J570" s="143"/>
      <c r="K570" s="182"/>
      <c r="L570" s="143"/>
      <c r="M570" s="182"/>
      <c r="N570" s="149"/>
      <c r="O570" s="189"/>
      <c r="P570" s="149"/>
      <c r="Q570" s="149"/>
      <c r="R570" s="189"/>
      <c r="S570" s="149"/>
      <c r="T570" s="189"/>
      <c r="U570" s="194"/>
      <c r="V570" s="194"/>
      <c r="W570" s="194"/>
      <c r="X570" s="194"/>
      <c r="Y570" s="194"/>
      <c r="Z570" s="194"/>
      <c r="AA570" s="194"/>
    </row>
    <row r="571" ht="15.75" customHeight="1">
      <c r="A571" s="241"/>
      <c r="B571" s="224"/>
      <c r="C571" s="220"/>
      <c r="D571" s="221"/>
      <c r="E571" s="222"/>
      <c r="F571" s="223"/>
      <c r="G571" s="143"/>
      <c r="H571" s="143"/>
      <c r="I571" s="143"/>
      <c r="J571" s="143"/>
      <c r="K571" s="182"/>
      <c r="L571" s="143"/>
      <c r="M571" s="182"/>
      <c r="N571" s="149"/>
      <c r="O571" s="189"/>
      <c r="P571" s="149"/>
      <c r="Q571" s="149"/>
      <c r="R571" s="189"/>
      <c r="S571" s="149"/>
      <c r="T571" s="189"/>
      <c r="U571" s="194"/>
      <c r="V571" s="194"/>
      <c r="W571" s="194"/>
      <c r="X571" s="194"/>
      <c r="Y571" s="194"/>
      <c r="Z571" s="194"/>
      <c r="AA571" s="194"/>
    </row>
    <row r="572" ht="15.75" customHeight="1">
      <c r="A572" s="241"/>
      <c r="B572" s="224"/>
      <c r="C572" s="220"/>
      <c r="D572" s="221"/>
      <c r="E572" s="222"/>
      <c r="F572" s="223"/>
      <c r="G572" s="143"/>
      <c r="H572" s="143"/>
      <c r="I572" s="143"/>
      <c r="J572" s="143"/>
      <c r="K572" s="182"/>
      <c r="L572" s="143"/>
      <c r="M572" s="182"/>
      <c r="N572" s="149"/>
      <c r="O572" s="189"/>
      <c r="P572" s="149"/>
      <c r="Q572" s="149"/>
      <c r="R572" s="189"/>
      <c r="S572" s="149"/>
      <c r="T572" s="189"/>
      <c r="U572" s="194"/>
      <c r="V572" s="194"/>
      <c r="W572" s="194"/>
      <c r="X572" s="194"/>
      <c r="Y572" s="194"/>
      <c r="Z572" s="194"/>
      <c r="AA572" s="194"/>
    </row>
    <row r="573" ht="15.75" customHeight="1">
      <c r="A573" s="241"/>
      <c r="B573" s="224"/>
      <c r="C573" s="220"/>
      <c r="D573" s="221"/>
      <c r="E573" s="222"/>
      <c r="F573" s="223"/>
      <c r="G573" s="143"/>
      <c r="H573" s="143"/>
      <c r="I573" s="143"/>
      <c r="J573" s="143"/>
      <c r="K573" s="182"/>
      <c r="L573" s="143"/>
      <c r="M573" s="182"/>
      <c r="N573" s="149"/>
      <c r="O573" s="189"/>
      <c r="P573" s="149"/>
      <c r="Q573" s="149"/>
      <c r="R573" s="189"/>
      <c r="S573" s="149"/>
      <c r="T573" s="189"/>
      <c r="U573" s="194"/>
      <c r="V573" s="194"/>
      <c r="W573" s="194"/>
      <c r="X573" s="194"/>
      <c r="Y573" s="194"/>
      <c r="Z573" s="194"/>
      <c r="AA573" s="194"/>
    </row>
    <row r="574" ht="15.75" customHeight="1">
      <c r="A574" s="241"/>
      <c r="B574" s="224"/>
      <c r="C574" s="220"/>
      <c r="D574" s="221"/>
      <c r="E574" s="222"/>
      <c r="F574" s="223"/>
      <c r="G574" s="143"/>
      <c r="H574" s="143"/>
      <c r="I574" s="143"/>
      <c r="J574" s="143"/>
      <c r="K574" s="182"/>
      <c r="L574" s="143"/>
      <c r="M574" s="182"/>
      <c r="N574" s="149"/>
      <c r="O574" s="189"/>
      <c r="P574" s="149"/>
      <c r="Q574" s="149"/>
      <c r="R574" s="189"/>
      <c r="S574" s="149"/>
      <c r="T574" s="189"/>
      <c r="U574" s="194"/>
      <c r="V574" s="194"/>
      <c r="W574" s="194"/>
      <c r="X574" s="194"/>
      <c r="Y574" s="194"/>
      <c r="Z574" s="194"/>
      <c r="AA574" s="194"/>
    </row>
    <row r="575" ht="15.75" customHeight="1">
      <c r="A575" s="241"/>
      <c r="B575" s="224"/>
      <c r="C575" s="220"/>
      <c r="D575" s="221"/>
      <c r="E575" s="222"/>
      <c r="F575" s="223"/>
      <c r="G575" s="143"/>
      <c r="H575" s="143"/>
      <c r="I575" s="143"/>
      <c r="J575" s="143"/>
      <c r="K575" s="182"/>
      <c r="L575" s="143"/>
      <c r="M575" s="182"/>
      <c r="N575" s="149"/>
      <c r="O575" s="189"/>
      <c r="P575" s="149"/>
      <c r="Q575" s="149"/>
      <c r="R575" s="189"/>
      <c r="S575" s="149"/>
      <c r="T575" s="189"/>
      <c r="U575" s="194"/>
      <c r="V575" s="194"/>
      <c r="W575" s="194"/>
      <c r="X575" s="194"/>
      <c r="Y575" s="194"/>
      <c r="Z575" s="194"/>
      <c r="AA575" s="194"/>
    </row>
    <row r="576" ht="15.75" customHeight="1">
      <c r="A576" s="241"/>
      <c r="B576" s="224"/>
      <c r="C576" s="220"/>
      <c r="D576" s="221"/>
      <c r="E576" s="222"/>
      <c r="F576" s="223"/>
      <c r="G576" s="143"/>
      <c r="H576" s="143"/>
      <c r="I576" s="143"/>
      <c r="J576" s="143"/>
      <c r="K576" s="182"/>
      <c r="L576" s="143"/>
      <c r="M576" s="182"/>
      <c r="N576" s="149"/>
      <c r="O576" s="189"/>
      <c r="P576" s="149"/>
      <c r="Q576" s="149"/>
      <c r="R576" s="189"/>
      <c r="S576" s="149"/>
      <c r="T576" s="189"/>
      <c r="U576" s="194"/>
      <c r="V576" s="194"/>
      <c r="W576" s="194"/>
      <c r="X576" s="194"/>
      <c r="Y576" s="194"/>
      <c r="Z576" s="194"/>
      <c r="AA576" s="194"/>
    </row>
    <row r="577" ht="15.75" customHeight="1">
      <c r="A577" s="241"/>
      <c r="B577" s="224"/>
      <c r="C577" s="220"/>
      <c r="D577" s="221"/>
      <c r="E577" s="222"/>
      <c r="F577" s="223"/>
      <c r="G577" s="143"/>
      <c r="H577" s="143"/>
      <c r="I577" s="143"/>
      <c r="J577" s="143"/>
      <c r="K577" s="182"/>
      <c r="L577" s="143"/>
      <c r="M577" s="182"/>
      <c r="N577" s="149"/>
      <c r="O577" s="189"/>
      <c r="P577" s="149"/>
      <c r="Q577" s="149"/>
      <c r="R577" s="189"/>
      <c r="S577" s="149"/>
      <c r="T577" s="189"/>
      <c r="U577" s="194"/>
      <c r="V577" s="194"/>
      <c r="W577" s="194"/>
      <c r="X577" s="194"/>
      <c r="Y577" s="194"/>
      <c r="Z577" s="194"/>
      <c r="AA577" s="194"/>
    </row>
    <row r="578" ht="15.75" customHeight="1">
      <c r="A578" s="241"/>
      <c r="B578" s="224"/>
      <c r="C578" s="220"/>
      <c r="D578" s="221"/>
      <c r="E578" s="222"/>
      <c r="F578" s="223"/>
      <c r="G578" s="143"/>
      <c r="H578" s="143"/>
      <c r="I578" s="143"/>
      <c r="J578" s="143"/>
      <c r="K578" s="182"/>
      <c r="L578" s="143"/>
      <c r="M578" s="182"/>
      <c r="N578" s="149"/>
      <c r="O578" s="189"/>
      <c r="P578" s="149"/>
      <c r="Q578" s="149"/>
      <c r="R578" s="189"/>
      <c r="S578" s="149"/>
      <c r="T578" s="189"/>
      <c r="U578" s="194"/>
      <c r="V578" s="194"/>
      <c r="W578" s="194"/>
      <c r="X578" s="194"/>
      <c r="Y578" s="194"/>
      <c r="Z578" s="194"/>
      <c r="AA578" s="194"/>
    </row>
    <row r="579" ht="15.75" customHeight="1">
      <c r="A579" s="241"/>
      <c r="B579" s="224"/>
      <c r="C579" s="220"/>
      <c r="D579" s="221"/>
      <c r="E579" s="222"/>
      <c r="F579" s="223"/>
      <c r="G579" s="143"/>
      <c r="H579" s="143"/>
      <c r="I579" s="143"/>
      <c r="J579" s="143"/>
      <c r="K579" s="182"/>
      <c r="L579" s="143"/>
      <c r="M579" s="182"/>
      <c r="N579" s="149"/>
      <c r="O579" s="189"/>
      <c r="P579" s="149"/>
      <c r="Q579" s="149"/>
      <c r="R579" s="189"/>
      <c r="S579" s="149"/>
      <c r="T579" s="189"/>
      <c r="U579" s="194"/>
      <c r="V579" s="194"/>
      <c r="W579" s="194"/>
      <c r="X579" s="194"/>
      <c r="Y579" s="194"/>
      <c r="Z579" s="194"/>
      <c r="AA579" s="194"/>
    </row>
    <row r="580" ht="15.75" customHeight="1">
      <c r="A580" s="241"/>
      <c r="B580" s="224"/>
      <c r="C580" s="220"/>
      <c r="D580" s="221"/>
      <c r="E580" s="222"/>
      <c r="F580" s="223"/>
      <c r="G580" s="143"/>
      <c r="H580" s="143"/>
      <c r="I580" s="143"/>
      <c r="J580" s="143"/>
      <c r="K580" s="182"/>
      <c r="L580" s="143"/>
      <c r="M580" s="182"/>
      <c r="N580" s="149"/>
      <c r="O580" s="189"/>
      <c r="P580" s="149"/>
      <c r="Q580" s="149"/>
      <c r="R580" s="189"/>
      <c r="S580" s="149"/>
      <c r="T580" s="189"/>
      <c r="U580" s="194"/>
      <c r="V580" s="194"/>
      <c r="W580" s="194"/>
      <c r="X580" s="194"/>
      <c r="Y580" s="194"/>
      <c r="Z580" s="194"/>
      <c r="AA580" s="194"/>
    </row>
    <row r="581" ht="15.75" customHeight="1">
      <c r="A581" s="241"/>
      <c r="B581" s="224"/>
      <c r="C581" s="220"/>
      <c r="D581" s="221"/>
      <c r="E581" s="222"/>
      <c r="F581" s="223"/>
      <c r="G581" s="143"/>
      <c r="H581" s="143"/>
      <c r="I581" s="143"/>
      <c r="J581" s="143"/>
      <c r="K581" s="182"/>
      <c r="L581" s="143"/>
      <c r="M581" s="182"/>
      <c r="N581" s="149"/>
      <c r="O581" s="189"/>
      <c r="P581" s="149"/>
      <c r="Q581" s="149"/>
      <c r="R581" s="189"/>
      <c r="S581" s="149"/>
      <c r="T581" s="189"/>
      <c r="U581" s="194"/>
      <c r="V581" s="194"/>
      <c r="W581" s="194"/>
      <c r="X581" s="194"/>
      <c r="Y581" s="194"/>
      <c r="Z581" s="194"/>
      <c r="AA581" s="194"/>
    </row>
    <row r="582" ht="15.75" customHeight="1">
      <c r="A582" s="241"/>
      <c r="B582" s="224"/>
      <c r="C582" s="220"/>
      <c r="D582" s="221"/>
      <c r="E582" s="222"/>
      <c r="F582" s="223"/>
      <c r="G582" s="143"/>
      <c r="H582" s="143"/>
      <c r="I582" s="143"/>
      <c r="J582" s="143"/>
      <c r="K582" s="182"/>
      <c r="L582" s="143"/>
      <c r="M582" s="182"/>
      <c r="N582" s="149"/>
      <c r="O582" s="189"/>
      <c r="P582" s="149"/>
      <c r="Q582" s="149"/>
      <c r="R582" s="189"/>
      <c r="S582" s="149"/>
      <c r="T582" s="189"/>
      <c r="U582" s="194"/>
      <c r="V582" s="194"/>
      <c r="W582" s="194"/>
      <c r="X582" s="194"/>
      <c r="Y582" s="194"/>
      <c r="Z582" s="194"/>
      <c r="AA582" s="194"/>
    </row>
    <row r="583" ht="15.75" customHeight="1">
      <c r="A583" s="241"/>
      <c r="B583" s="224"/>
      <c r="C583" s="220"/>
      <c r="D583" s="221"/>
      <c r="E583" s="222"/>
      <c r="F583" s="223"/>
      <c r="G583" s="143"/>
      <c r="H583" s="143"/>
      <c r="I583" s="143"/>
      <c r="J583" s="143"/>
      <c r="K583" s="182"/>
      <c r="L583" s="143"/>
      <c r="M583" s="182"/>
      <c r="N583" s="149"/>
      <c r="O583" s="189"/>
      <c r="P583" s="149"/>
      <c r="Q583" s="149"/>
      <c r="R583" s="189"/>
      <c r="S583" s="149"/>
      <c r="T583" s="189"/>
      <c r="U583" s="194"/>
      <c r="V583" s="194"/>
      <c r="W583" s="194"/>
      <c r="X583" s="194"/>
      <c r="Y583" s="194"/>
      <c r="Z583" s="194"/>
      <c r="AA583" s="194"/>
    </row>
    <row r="584" ht="15.75" customHeight="1">
      <c r="A584" s="241"/>
      <c r="B584" s="224"/>
      <c r="C584" s="220"/>
      <c r="D584" s="221"/>
      <c r="E584" s="222"/>
      <c r="F584" s="223"/>
      <c r="G584" s="143"/>
      <c r="H584" s="143"/>
      <c r="I584" s="143"/>
      <c r="J584" s="143"/>
      <c r="K584" s="182"/>
      <c r="L584" s="143"/>
      <c r="M584" s="182"/>
      <c r="N584" s="149"/>
      <c r="O584" s="189"/>
      <c r="P584" s="149"/>
      <c r="Q584" s="149"/>
      <c r="R584" s="189"/>
      <c r="S584" s="149"/>
      <c r="T584" s="189"/>
      <c r="U584" s="194"/>
      <c r="V584" s="194"/>
      <c r="W584" s="194"/>
      <c r="X584" s="194"/>
      <c r="Y584" s="194"/>
      <c r="Z584" s="194"/>
      <c r="AA584" s="194"/>
    </row>
    <row r="585" ht="15.75" customHeight="1">
      <c r="A585" s="241"/>
      <c r="B585" s="224"/>
      <c r="C585" s="220"/>
      <c r="D585" s="221"/>
      <c r="E585" s="222"/>
      <c r="F585" s="223"/>
      <c r="G585" s="143"/>
      <c r="H585" s="143"/>
      <c r="I585" s="143"/>
      <c r="J585" s="143"/>
      <c r="K585" s="182"/>
      <c r="L585" s="143"/>
      <c r="M585" s="182"/>
      <c r="N585" s="149"/>
      <c r="O585" s="189"/>
      <c r="P585" s="149"/>
      <c r="Q585" s="149"/>
      <c r="R585" s="189"/>
      <c r="S585" s="149"/>
      <c r="T585" s="189"/>
      <c r="U585" s="194"/>
      <c r="V585" s="194"/>
      <c r="W585" s="194"/>
      <c r="X585" s="194"/>
      <c r="Y585" s="194"/>
      <c r="Z585" s="194"/>
      <c r="AA585" s="194"/>
    </row>
    <row r="586" ht="15.75" customHeight="1">
      <c r="A586" s="241"/>
      <c r="B586" s="224"/>
      <c r="C586" s="220"/>
      <c r="D586" s="221"/>
      <c r="E586" s="222"/>
      <c r="F586" s="223"/>
      <c r="G586" s="143"/>
      <c r="H586" s="143"/>
      <c r="I586" s="143"/>
      <c r="J586" s="143"/>
      <c r="K586" s="182"/>
      <c r="L586" s="143"/>
      <c r="M586" s="182"/>
      <c r="N586" s="149"/>
      <c r="O586" s="189"/>
      <c r="P586" s="149"/>
      <c r="Q586" s="149"/>
      <c r="R586" s="189"/>
      <c r="S586" s="149"/>
      <c r="T586" s="189"/>
      <c r="U586" s="194"/>
      <c r="V586" s="194"/>
      <c r="W586" s="194"/>
      <c r="X586" s="194"/>
      <c r="Y586" s="194"/>
      <c r="Z586" s="194"/>
      <c r="AA586" s="194"/>
    </row>
    <row r="587" ht="15.75" customHeight="1">
      <c r="A587" s="241"/>
      <c r="B587" s="224"/>
      <c r="C587" s="220"/>
      <c r="D587" s="221"/>
      <c r="E587" s="222"/>
      <c r="F587" s="223"/>
      <c r="G587" s="143"/>
      <c r="H587" s="143"/>
      <c r="I587" s="143"/>
      <c r="J587" s="143"/>
      <c r="K587" s="182"/>
      <c r="L587" s="143"/>
      <c r="M587" s="182"/>
      <c r="N587" s="149"/>
      <c r="O587" s="189"/>
      <c r="P587" s="149"/>
      <c r="Q587" s="149"/>
      <c r="R587" s="189"/>
      <c r="S587" s="149"/>
      <c r="T587" s="189"/>
      <c r="U587" s="194"/>
      <c r="V587" s="194"/>
      <c r="W587" s="194"/>
      <c r="X587" s="194"/>
      <c r="Y587" s="194"/>
      <c r="Z587" s="194"/>
      <c r="AA587" s="194"/>
    </row>
    <row r="588" ht="15.75" customHeight="1">
      <c r="A588" s="241"/>
      <c r="B588" s="224"/>
      <c r="C588" s="220"/>
      <c r="D588" s="221"/>
      <c r="E588" s="222"/>
      <c r="F588" s="223"/>
      <c r="G588" s="143"/>
      <c r="H588" s="143"/>
      <c r="I588" s="143"/>
      <c r="J588" s="143"/>
      <c r="K588" s="182"/>
      <c r="L588" s="143"/>
      <c r="M588" s="182"/>
      <c r="N588" s="149"/>
      <c r="O588" s="189"/>
      <c r="P588" s="149"/>
      <c r="Q588" s="149"/>
      <c r="R588" s="189"/>
      <c r="S588" s="149"/>
      <c r="T588" s="189"/>
      <c r="U588" s="194"/>
      <c r="V588" s="194"/>
      <c r="W588" s="194"/>
      <c r="X588" s="194"/>
      <c r="Y588" s="194"/>
      <c r="Z588" s="194"/>
      <c r="AA588" s="194"/>
    </row>
    <row r="589" ht="15.75" customHeight="1">
      <c r="A589" s="241"/>
      <c r="B589" s="224"/>
      <c r="C589" s="220"/>
      <c r="D589" s="221"/>
      <c r="E589" s="222"/>
      <c r="F589" s="223"/>
      <c r="G589" s="143"/>
      <c r="H589" s="143"/>
      <c r="I589" s="143"/>
      <c r="J589" s="143"/>
      <c r="K589" s="182"/>
      <c r="L589" s="143"/>
      <c r="M589" s="182"/>
      <c r="N589" s="149"/>
      <c r="O589" s="189"/>
      <c r="P589" s="149"/>
      <c r="Q589" s="149"/>
      <c r="R589" s="189"/>
      <c r="S589" s="149"/>
      <c r="T589" s="189"/>
      <c r="U589" s="194"/>
      <c r="V589" s="194"/>
      <c r="W589" s="194"/>
      <c r="X589" s="194"/>
      <c r="Y589" s="194"/>
      <c r="Z589" s="194"/>
      <c r="AA589" s="194"/>
    </row>
    <row r="590" ht="15.75" customHeight="1">
      <c r="A590" s="241"/>
      <c r="B590" s="224"/>
      <c r="C590" s="220"/>
      <c r="D590" s="221"/>
      <c r="E590" s="222"/>
      <c r="F590" s="223"/>
      <c r="G590" s="143"/>
      <c r="H590" s="143"/>
      <c r="I590" s="143"/>
      <c r="J590" s="143"/>
      <c r="K590" s="182"/>
      <c r="L590" s="143"/>
      <c r="M590" s="182"/>
      <c r="N590" s="149"/>
      <c r="O590" s="189"/>
      <c r="P590" s="149"/>
      <c r="Q590" s="149"/>
      <c r="R590" s="189"/>
      <c r="S590" s="149"/>
      <c r="T590" s="189"/>
      <c r="U590" s="194"/>
      <c r="V590" s="194"/>
      <c r="W590" s="194"/>
      <c r="X590" s="194"/>
      <c r="Y590" s="194"/>
      <c r="Z590" s="194"/>
      <c r="AA590" s="194"/>
    </row>
    <row r="591" ht="15.75" customHeight="1">
      <c r="A591" s="241"/>
      <c r="B591" s="224"/>
      <c r="C591" s="220"/>
      <c r="D591" s="221"/>
      <c r="E591" s="222"/>
      <c r="F591" s="223"/>
      <c r="G591" s="143"/>
      <c r="H591" s="143"/>
      <c r="I591" s="143"/>
      <c r="J591" s="143"/>
      <c r="K591" s="182"/>
      <c r="L591" s="143"/>
      <c r="M591" s="182"/>
      <c r="N591" s="149"/>
      <c r="O591" s="189"/>
      <c r="P591" s="149"/>
      <c r="Q591" s="149"/>
      <c r="R591" s="189"/>
      <c r="S591" s="149"/>
      <c r="T591" s="189"/>
      <c r="U591" s="194"/>
      <c r="V591" s="194"/>
      <c r="W591" s="194"/>
      <c r="X591" s="194"/>
      <c r="Y591" s="194"/>
      <c r="Z591" s="194"/>
      <c r="AA591" s="194"/>
    </row>
    <row r="592" ht="15.75" customHeight="1">
      <c r="A592" s="241"/>
      <c r="B592" s="224"/>
      <c r="C592" s="220"/>
      <c r="D592" s="221"/>
      <c r="E592" s="222"/>
      <c r="F592" s="223"/>
      <c r="G592" s="143"/>
      <c r="H592" s="143"/>
      <c r="I592" s="143"/>
      <c r="J592" s="143"/>
      <c r="K592" s="182"/>
      <c r="L592" s="143"/>
      <c r="M592" s="182"/>
      <c r="N592" s="149"/>
      <c r="O592" s="189"/>
      <c r="P592" s="149"/>
      <c r="Q592" s="149"/>
      <c r="R592" s="189"/>
      <c r="S592" s="149"/>
      <c r="T592" s="189"/>
      <c r="U592" s="194"/>
      <c r="V592" s="194"/>
      <c r="W592" s="194"/>
      <c r="X592" s="194"/>
      <c r="Y592" s="194"/>
      <c r="Z592" s="194"/>
      <c r="AA592" s="194"/>
    </row>
    <row r="593" ht="15.75" customHeight="1">
      <c r="A593" s="241"/>
      <c r="B593" s="224"/>
      <c r="C593" s="220"/>
      <c r="D593" s="221"/>
      <c r="E593" s="222"/>
      <c r="F593" s="223"/>
      <c r="G593" s="143"/>
      <c r="H593" s="143"/>
      <c r="I593" s="143"/>
      <c r="J593" s="143"/>
      <c r="K593" s="182"/>
      <c r="L593" s="143"/>
      <c r="M593" s="182"/>
      <c r="N593" s="149"/>
      <c r="O593" s="189"/>
      <c r="P593" s="149"/>
      <c r="Q593" s="149"/>
      <c r="R593" s="189"/>
      <c r="S593" s="149"/>
      <c r="T593" s="189"/>
      <c r="U593" s="194"/>
      <c r="V593" s="194"/>
      <c r="W593" s="194"/>
      <c r="X593" s="194"/>
      <c r="Y593" s="194"/>
      <c r="Z593" s="194"/>
      <c r="AA593" s="194"/>
    </row>
    <row r="594" ht="15.75" customHeight="1">
      <c r="A594" s="241"/>
      <c r="B594" s="224"/>
      <c r="C594" s="220"/>
      <c r="D594" s="221"/>
      <c r="E594" s="222"/>
      <c r="F594" s="223"/>
      <c r="G594" s="143"/>
      <c r="H594" s="143"/>
      <c r="I594" s="143"/>
      <c r="J594" s="143"/>
      <c r="K594" s="182"/>
      <c r="L594" s="143"/>
      <c r="M594" s="182"/>
      <c r="N594" s="149"/>
      <c r="O594" s="189"/>
      <c r="P594" s="149"/>
      <c r="Q594" s="149"/>
      <c r="R594" s="189"/>
      <c r="S594" s="149"/>
      <c r="T594" s="189"/>
      <c r="U594" s="194"/>
      <c r="V594" s="194"/>
      <c r="W594" s="194"/>
      <c r="X594" s="194"/>
      <c r="Y594" s="194"/>
      <c r="Z594" s="194"/>
      <c r="AA594" s="194"/>
    </row>
    <row r="595" ht="15.75" customHeight="1">
      <c r="A595" s="241"/>
      <c r="B595" s="224"/>
      <c r="C595" s="220"/>
      <c r="D595" s="221"/>
      <c r="E595" s="222"/>
      <c r="F595" s="223"/>
      <c r="G595" s="143"/>
      <c r="H595" s="143"/>
      <c r="I595" s="143"/>
      <c r="J595" s="143"/>
      <c r="K595" s="182"/>
      <c r="L595" s="143"/>
      <c r="M595" s="182"/>
      <c r="N595" s="149"/>
      <c r="O595" s="189"/>
      <c r="P595" s="149"/>
      <c r="Q595" s="149"/>
      <c r="R595" s="189"/>
      <c r="S595" s="149"/>
      <c r="T595" s="189"/>
      <c r="U595" s="194"/>
      <c r="V595" s="194"/>
      <c r="W595" s="194"/>
      <c r="X595" s="194"/>
      <c r="Y595" s="194"/>
      <c r="Z595" s="194"/>
      <c r="AA595" s="194"/>
    </row>
    <row r="596" ht="15.75" customHeight="1">
      <c r="A596" s="241"/>
      <c r="B596" s="224"/>
      <c r="C596" s="220"/>
      <c r="D596" s="221"/>
      <c r="E596" s="222"/>
      <c r="F596" s="223"/>
      <c r="G596" s="143"/>
      <c r="H596" s="143"/>
      <c r="I596" s="143"/>
      <c r="J596" s="143"/>
      <c r="K596" s="182"/>
      <c r="L596" s="143"/>
      <c r="M596" s="182"/>
      <c r="N596" s="149"/>
      <c r="O596" s="189"/>
      <c r="P596" s="149"/>
      <c r="Q596" s="149"/>
      <c r="R596" s="189"/>
      <c r="S596" s="149"/>
      <c r="T596" s="189"/>
      <c r="U596" s="194"/>
      <c r="V596" s="194"/>
      <c r="W596" s="194"/>
      <c r="X596" s="194"/>
      <c r="Y596" s="194"/>
      <c r="Z596" s="194"/>
      <c r="AA596" s="194"/>
    </row>
    <row r="597" ht="15.75" customHeight="1">
      <c r="A597" s="241"/>
      <c r="B597" s="224"/>
      <c r="C597" s="220"/>
      <c r="D597" s="221"/>
      <c r="E597" s="222"/>
      <c r="F597" s="223"/>
      <c r="G597" s="143"/>
      <c r="H597" s="143"/>
      <c r="I597" s="143"/>
      <c r="J597" s="143"/>
      <c r="K597" s="182"/>
      <c r="L597" s="143"/>
      <c r="M597" s="182"/>
      <c r="N597" s="149"/>
      <c r="O597" s="189"/>
      <c r="P597" s="149"/>
      <c r="Q597" s="149"/>
      <c r="R597" s="189"/>
      <c r="S597" s="149"/>
      <c r="T597" s="189"/>
      <c r="U597" s="194"/>
      <c r="V597" s="194"/>
      <c r="W597" s="194"/>
      <c r="X597" s="194"/>
      <c r="Y597" s="194"/>
      <c r="Z597" s="194"/>
      <c r="AA597" s="194"/>
    </row>
    <row r="598" ht="15.75" customHeight="1">
      <c r="A598" s="241"/>
      <c r="B598" s="224"/>
      <c r="C598" s="220"/>
      <c r="D598" s="221"/>
      <c r="E598" s="222"/>
      <c r="F598" s="223"/>
      <c r="G598" s="143"/>
      <c r="H598" s="143"/>
      <c r="I598" s="143"/>
      <c r="J598" s="143"/>
      <c r="K598" s="182"/>
      <c r="L598" s="143"/>
      <c r="M598" s="182"/>
      <c r="N598" s="149"/>
      <c r="O598" s="189"/>
      <c r="P598" s="149"/>
      <c r="Q598" s="149"/>
      <c r="R598" s="189"/>
      <c r="S598" s="149"/>
      <c r="T598" s="189"/>
      <c r="U598" s="194"/>
      <c r="V598" s="194"/>
      <c r="W598" s="194"/>
      <c r="X598" s="194"/>
      <c r="Y598" s="194"/>
      <c r="Z598" s="194"/>
      <c r="AA598" s="194"/>
    </row>
    <row r="599" ht="15.75" customHeight="1">
      <c r="A599" s="241"/>
      <c r="B599" s="224"/>
      <c r="C599" s="220"/>
      <c r="D599" s="221"/>
      <c r="E599" s="222"/>
      <c r="F599" s="223"/>
      <c r="G599" s="143"/>
      <c r="H599" s="143"/>
      <c r="I599" s="143"/>
      <c r="J599" s="143"/>
      <c r="K599" s="182"/>
      <c r="L599" s="143"/>
      <c r="M599" s="182"/>
      <c r="N599" s="149"/>
      <c r="O599" s="189"/>
      <c r="P599" s="149"/>
      <c r="Q599" s="149"/>
      <c r="R599" s="189"/>
      <c r="S599" s="149"/>
      <c r="T599" s="189"/>
      <c r="U599" s="194"/>
      <c r="V599" s="194"/>
      <c r="W599" s="194"/>
      <c r="X599" s="194"/>
      <c r="Y599" s="194"/>
      <c r="Z599" s="194"/>
      <c r="AA599" s="194"/>
    </row>
    <row r="600" ht="15.75" customHeight="1">
      <c r="A600" s="241"/>
      <c r="B600" s="224"/>
      <c r="C600" s="220"/>
      <c r="D600" s="221"/>
      <c r="E600" s="222"/>
      <c r="F600" s="223"/>
      <c r="G600" s="143"/>
      <c r="H600" s="143"/>
      <c r="I600" s="143"/>
      <c r="J600" s="143"/>
      <c r="K600" s="182"/>
      <c r="L600" s="143"/>
      <c r="M600" s="182"/>
      <c r="N600" s="149"/>
      <c r="O600" s="189"/>
      <c r="P600" s="149"/>
      <c r="Q600" s="149"/>
      <c r="R600" s="189"/>
      <c r="S600" s="149"/>
      <c r="T600" s="189"/>
      <c r="U600" s="194"/>
      <c r="V600" s="194"/>
      <c r="W600" s="194"/>
      <c r="X600" s="194"/>
      <c r="Y600" s="194"/>
      <c r="Z600" s="194"/>
      <c r="AA600" s="194"/>
    </row>
    <row r="601" ht="15.75" customHeight="1">
      <c r="A601" s="241"/>
      <c r="B601" s="224"/>
      <c r="C601" s="220"/>
      <c r="D601" s="221"/>
      <c r="E601" s="222"/>
      <c r="F601" s="223"/>
      <c r="G601" s="143"/>
      <c r="H601" s="143"/>
      <c r="I601" s="143"/>
      <c r="J601" s="143"/>
      <c r="K601" s="182"/>
      <c r="L601" s="143"/>
      <c r="M601" s="182"/>
      <c r="N601" s="149"/>
      <c r="O601" s="189"/>
      <c r="P601" s="149"/>
      <c r="Q601" s="149"/>
      <c r="R601" s="189"/>
      <c r="S601" s="149"/>
      <c r="T601" s="189"/>
      <c r="U601" s="194"/>
      <c r="V601" s="194"/>
      <c r="W601" s="194"/>
      <c r="X601" s="194"/>
      <c r="Y601" s="194"/>
      <c r="Z601" s="194"/>
      <c r="AA601" s="194"/>
    </row>
    <row r="602" ht="15.75" customHeight="1">
      <c r="A602" s="241"/>
      <c r="B602" s="224"/>
      <c r="C602" s="220"/>
      <c r="D602" s="221"/>
      <c r="E602" s="222"/>
      <c r="F602" s="223"/>
      <c r="G602" s="143"/>
      <c r="H602" s="143"/>
      <c r="I602" s="143"/>
      <c r="J602" s="143"/>
      <c r="K602" s="182"/>
      <c r="L602" s="143"/>
      <c r="M602" s="182"/>
      <c r="N602" s="149"/>
      <c r="O602" s="189"/>
      <c r="P602" s="149"/>
      <c r="Q602" s="149"/>
      <c r="R602" s="189"/>
      <c r="S602" s="149"/>
      <c r="T602" s="189"/>
      <c r="U602" s="194"/>
      <c r="V602" s="194"/>
      <c r="W602" s="194"/>
      <c r="X602" s="194"/>
      <c r="Y602" s="194"/>
      <c r="Z602" s="194"/>
      <c r="AA602" s="194"/>
    </row>
    <row r="603" ht="15.75" customHeight="1">
      <c r="A603" s="241"/>
      <c r="B603" s="224"/>
      <c r="C603" s="220"/>
      <c r="D603" s="221"/>
      <c r="E603" s="222"/>
      <c r="F603" s="223"/>
      <c r="G603" s="143"/>
      <c r="H603" s="143"/>
      <c r="I603" s="143"/>
      <c r="J603" s="143"/>
      <c r="K603" s="182"/>
      <c r="L603" s="143"/>
      <c r="M603" s="182"/>
      <c r="N603" s="149"/>
      <c r="O603" s="189"/>
      <c r="P603" s="149"/>
      <c r="Q603" s="149"/>
      <c r="R603" s="189"/>
      <c r="S603" s="149"/>
      <c r="T603" s="189"/>
      <c r="U603" s="194"/>
      <c r="V603" s="194"/>
      <c r="W603" s="194"/>
      <c r="X603" s="194"/>
      <c r="Y603" s="194"/>
      <c r="Z603" s="194"/>
      <c r="AA603" s="194"/>
    </row>
    <row r="604" ht="15.75" customHeight="1">
      <c r="A604" s="241"/>
      <c r="B604" s="224"/>
      <c r="C604" s="220"/>
      <c r="D604" s="221"/>
      <c r="E604" s="222"/>
      <c r="F604" s="223"/>
      <c r="G604" s="143"/>
      <c r="H604" s="143"/>
      <c r="I604" s="143"/>
      <c r="J604" s="143"/>
      <c r="K604" s="182"/>
      <c r="L604" s="143"/>
      <c r="M604" s="182"/>
      <c r="N604" s="149"/>
      <c r="O604" s="189"/>
      <c r="P604" s="149"/>
      <c r="Q604" s="149"/>
      <c r="R604" s="189"/>
      <c r="S604" s="149"/>
      <c r="T604" s="189"/>
      <c r="U604" s="194"/>
      <c r="V604" s="194"/>
      <c r="W604" s="194"/>
      <c r="X604" s="194"/>
      <c r="Y604" s="194"/>
      <c r="Z604" s="194"/>
      <c r="AA604" s="194"/>
    </row>
    <row r="605" ht="15.75" customHeight="1">
      <c r="A605" s="241"/>
      <c r="B605" s="224"/>
      <c r="C605" s="220"/>
      <c r="D605" s="221"/>
      <c r="E605" s="222"/>
      <c r="F605" s="223"/>
      <c r="G605" s="143"/>
      <c r="H605" s="143"/>
      <c r="I605" s="143"/>
      <c r="J605" s="143"/>
      <c r="K605" s="182"/>
      <c r="L605" s="143"/>
      <c r="M605" s="182"/>
      <c r="N605" s="149"/>
      <c r="O605" s="189"/>
      <c r="P605" s="149"/>
      <c r="Q605" s="149"/>
      <c r="R605" s="189"/>
      <c r="S605" s="149"/>
      <c r="T605" s="189"/>
      <c r="U605" s="194"/>
      <c r="V605" s="194"/>
      <c r="W605" s="194"/>
      <c r="X605" s="194"/>
      <c r="Y605" s="194"/>
      <c r="Z605" s="194"/>
      <c r="AA605" s="194"/>
    </row>
    <row r="606" ht="15.75" customHeight="1">
      <c r="A606" s="241"/>
      <c r="B606" s="224"/>
      <c r="C606" s="220"/>
      <c r="D606" s="221"/>
      <c r="E606" s="222"/>
      <c r="F606" s="223"/>
      <c r="G606" s="143"/>
      <c r="H606" s="143"/>
      <c r="I606" s="143"/>
      <c r="J606" s="143"/>
      <c r="K606" s="182"/>
      <c r="L606" s="143"/>
      <c r="M606" s="182"/>
      <c r="N606" s="149"/>
      <c r="O606" s="189"/>
      <c r="P606" s="149"/>
      <c r="Q606" s="149"/>
      <c r="R606" s="189"/>
      <c r="S606" s="149"/>
      <c r="T606" s="189"/>
      <c r="U606" s="194"/>
      <c r="V606" s="194"/>
      <c r="W606" s="194"/>
      <c r="X606" s="194"/>
      <c r="Y606" s="194"/>
      <c r="Z606" s="194"/>
      <c r="AA606" s="194"/>
    </row>
    <row r="607" ht="15.75" customHeight="1">
      <c r="A607" s="241"/>
      <c r="B607" s="224"/>
      <c r="C607" s="220"/>
      <c r="D607" s="221"/>
      <c r="E607" s="222"/>
      <c r="F607" s="223"/>
      <c r="G607" s="143"/>
      <c r="H607" s="143"/>
      <c r="I607" s="143"/>
      <c r="J607" s="143"/>
      <c r="K607" s="182"/>
      <c r="L607" s="143"/>
      <c r="M607" s="182"/>
      <c r="N607" s="149"/>
      <c r="O607" s="189"/>
      <c r="P607" s="149"/>
      <c r="Q607" s="149"/>
      <c r="R607" s="189"/>
      <c r="S607" s="149"/>
      <c r="T607" s="189"/>
      <c r="U607" s="194"/>
      <c r="V607" s="194"/>
      <c r="W607" s="194"/>
      <c r="X607" s="194"/>
      <c r="Y607" s="194"/>
      <c r="Z607" s="194"/>
      <c r="AA607" s="194"/>
    </row>
    <row r="608" ht="15.75" customHeight="1">
      <c r="A608" s="241"/>
      <c r="B608" s="224"/>
      <c r="C608" s="220"/>
      <c r="D608" s="221"/>
      <c r="E608" s="222"/>
      <c r="F608" s="223"/>
      <c r="G608" s="143"/>
      <c r="H608" s="143"/>
      <c r="I608" s="143"/>
      <c r="J608" s="143"/>
      <c r="K608" s="182"/>
      <c r="L608" s="143"/>
      <c r="M608" s="182"/>
      <c r="N608" s="149"/>
      <c r="O608" s="189"/>
      <c r="P608" s="149"/>
      <c r="Q608" s="149"/>
      <c r="R608" s="189"/>
      <c r="S608" s="149"/>
      <c r="T608" s="189"/>
      <c r="U608" s="194"/>
      <c r="V608" s="194"/>
      <c r="W608" s="194"/>
      <c r="X608" s="194"/>
      <c r="Y608" s="194"/>
      <c r="Z608" s="194"/>
      <c r="AA608" s="194"/>
    </row>
    <row r="609" ht="15.75" customHeight="1">
      <c r="A609" s="241"/>
      <c r="B609" s="224"/>
      <c r="C609" s="220"/>
      <c r="D609" s="221"/>
      <c r="E609" s="222"/>
      <c r="F609" s="223"/>
      <c r="G609" s="143"/>
      <c r="H609" s="143"/>
      <c r="I609" s="143"/>
      <c r="J609" s="143"/>
      <c r="K609" s="182"/>
      <c r="L609" s="143"/>
      <c r="M609" s="182"/>
      <c r="N609" s="149"/>
      <c r="O609" s="189"/>
      <c r="P609" s="149"/>
      <c r="Q609" s="149"/>
      <c r="R609" s="189"/>
      <c r="S609" s="149"/>
      <c r="T609" s="189"/>
      <c r="U609" s="194"/>
      <c r="V609" s="194"/>
      <c r="W609" s="194"/>
      <c r="X609" s="194"/>
      <c r="Y609" s="194"/>
      <c r="Z609" s="194"/>
      <c r="AA609" s="194"/>
    </row>
    <row r="610" ht="15.75" customHeight="1">
      <c r="A610" s="241"/>
      <c r="B610" s="224"/>
      <c r="C610" s="220"/>
      <c r="D610" s="221"/>
      <c r="E610" s="222"/>
      <c r="F610" s="223"/>
      <c r="G610" s="143"/>
      <c r="H610" s="143"/>
      <c r="I610" s="143"/>
      <c r="J610" s="143"/>
      <c r="K610" s="182"/>
      <c r="L610" s="143"/>
      <c r="M610" s="182"/>
      <c r="N610" s="149"/>
      <c r="O610" s="189"/>
      <c r="P610" s="149"/>
      <c r="Q610" s="149"/>
      <c r="R610" s="189"/>
      <c r="S610" s="149"/>
      <c r="T610" s="189"/>
      <c r="U610" s="194"/>
      <c r="V610" s="194"/>
      <c r="W610" s="194"/>
      <c r="X610" s="194"/>
      <c r="Y610" s="194"/>
      <c r="Z610" s="194"/>
      <c r="AA610" s="194"/>
    </row>
    <row r="611" ht="15.75" customHeight="1">
      <c r="A611" s="241"/>
      <c r="B611" s="224"/>
      <c r="C611" s="220"/>
      <c r="D611" s="221"/>
      <c r="E611" s="222"/>
      <c r="F611" s="223"/>
      <c r="G611" s="143"/>
      <c r="H611" s="143"/>
      <c r="I611" s="143"/>
      <c r="J611" s="143"/>
      <c r="K611" s="182"/>
      <c r="L611" s="143"/>
      <c r="M611" s="182"/>
      <c r="N611" s="149"/>
      <c r="O611" s="189"/>
      <c r="P611" s="149"/>
      <c r="Q611" s="149"/>
      <c r="R611" s="189"/>
      <c r="S611" s="149"/>
      <c r="T611" s="189"/>
      <c r="U611" s="194"/>
      <c r="V611" s="194"/>
      <c r="W611" s="194"/>
      <c r="X611" s="194"/>
      <c r="Y611" s="194"/>
      <c r="Z611" s="194"/>
      <c r="AA611" s="194"/>
    </row>
    <row r="612" ht="15.75" customHeight="1">
      <c r="A612" s="241"/>
      <c r="B612" s="224"/>
      <c r="C612" s="220"/>
      <c r="D612" s="221"/>
      <c r="E612" s="222"/>
      <c r="F612" s="223"/>
      <c r="G612" s="143"/>
      <c r="H612" s="143"/>
      <c r="I612" s="143"/>
      <c r="J612" s="143"/>
      <c r="K612" s="182"/>
      <c r="L612" s="143"/>
      <c r="M612" s="182"/>
      <c r="N612" s="149"/>
      <c r="O612" s="189"/>
      <c r="P612" s="149"/>
      <c r="Q612" s="149"/>
      <c r="R612" s="189"/>
      <c r="S612" s="149"/>
      <c r="T612" s="189"/>
      <c r="U612" s="194"/>
      <c r="V612" s="194"/>
      <c r="W612" s="194"/>
      <c r="X612" s="194"/>
      <c r="Y612" s="194"/>
      <c r="Z612" s="194"/>
      <c r="AA612" s="194"/>
    </row>
    <row r="613" ht="15.75" customHeight="1">
      <c r="A613" s="241"/>
      <c r="B613" s="224"/>
      <c r="C613" s="220"/>
      <c r="D613" s="221"/>
      <c r="E613" s="222"/>
      <c r="F613" s="223"/>
      <c r="G613" s="143"/>
      <c r="H613" s="143"/>
      <c r="I613" s="143"/>
      <c r="J613" s="143"/>
      <c r="K613" s="182"/>
      <c r="L613" s="143"/>
      <c r="M613" s="182"/>
      <c r="N613" s="149"/>
      <c r="O613" s="189"/>
      <c r="P613" s="149"/>
      <c r="Q613" s="149"/>
      <c r="R613" s="189"/>
      <c r="S613" s="149"/>
      <c r="T613" s="189"/>
      <c r="U613" s="194"/>
      <c r="V613" s="194"/>
      <c r="W613" s="194"/>
      <c r="X613" s="194"/>
      <c r="Y613" s="194"/>
      <c r="Z613" s="194"/>
      <c r="AA613" s="194"/>
    </row>
    <row r="614" ht="15.75" customHeight="1">
      <c r="A614" s="241"/>
      <c r="B614" s="224"/>
      <c r="C614" s="220"/>
      <c r="D614" s="221"/>
      <c r="E614" s="222"/>
      <c r="F614" s="223"/>
      <c r="G614" s="143"/>
      <c r="H614" s="143"/>
      <c r="I614" s="143"/>
      <c r="J614" s="143"/>
      <c r="K614" s="182"/>
      <c r="L614" s="143"/>
      <c r="M614" s="182"/>
      <c r="N614" s="149"/>
      <c r="O614" s="189"/>
      <c r="P614" s="149"/>
      <c r="Q614" s="149"/>
      <c r="R614" s="189"/>
      <c r="S614" s="149"/>
      <c r="T614" s="189"/>
      <c r="U614" s="194"/>
      <c r="V614" s="194"/>
      <c r="W614" s="194"/>
      <c r="X614" s="194"/>
      <c r="Y614" s="194"/>
      <c r="Z614" s="194"/>
      <c r="AA614" s="194"/>
    </row>
    <row r="615" ht="15.75" customHeight="1">
      <c r="A615" s="241"/>
      <c r="B615" s="224"/>
      <c r="C615" s="220"/>
      <c r="D615" s="221"/>
      <c r="E615" s="222"/>
      <c r="F615" s="223"/>
      <c r="G615" s="143"/>
      <c r="H615" s="143"/>
      <c r="I615" s="143"/>
      <c r="J615" s="143"/>
      <c r="K615" s="182"/>
      <c r="L615" s="143"/>
      <c r="M615" s="182"/>
      <c r="N615" s="149"/>
      <c r="O615" s="189"/>
      <c r="P615" s="149"/>
      <c r="Q615" s="149"/>
      <c r="R615" s="189"/>
      <c r="S615" s="149"/>
      <c r="T615" s="189"/>
      <c r="U615" s="194"/>
      <c r="V615" s="194"/>
      <c r="W615" s="194"/>
      <c r="X615" s="194"/>
      <c r="Y615" s="194"/>
      <c r="Z615" s="194"/>
      <c r="AA615" s="194"/>
    </row>
    <row r="616" ht="15.75" customHeight="1">
      <c r="A616" s="241"/>
      <c r="B616" s="224"/>
      <c r="C616" s="220"/>
      <c r="D616" s="221"/>
      <c r="E616" s="222"/>
      <c r="F616" s="223"/>
      <c r="G616" s="143"/>
      <c r="H616" s="143"/>
      <c r="I616" s="143"/>
      <c r="J616" s="143"/>
      <c r="K616" s="182"/>
      <c r="L616" s="143"/>
      <c r="M616" s="182"/>
      <c r="N616" s="149"/>
      <c r="O616" s="189"/>
      <c r="P616" s="149"/>
      <c r="Q616" s="149"/>
      <c r="R616" s="189"/>
      <c r="S616" s="149"/>
      <c r="T616" s="189"/>
      <c r="U616" s="194"/>
      <c r="V616" s="194"/>
      <c r="W616" s="194"/>
      <c r="X616" s="194"/>
      <c r="Y616" s="194"/>
      <c r="Z616" s="194"/>
      <c r="AA616" s="194"/>
    </row>
    <row r="617" ht="15.75" customHeight="1">
      <c r="A617" s="241"/>
      <c r="B617" s="224"/>
      <c r="C617" s="220"/>
      <c r="D617" s="221"/>
      <c r="E617" s="222"/>
      <c r="F617" s="223"/>
      <c r="G617" s="143"/>
      <c r="H617" s="143"/>
      <c r="I617" s="143"/>
      <c r="J617" s="143"/>
      <c r="K617" s="182"/>
      <c r="L617" s="143"/>
      <c r="M617" s="182"/>
      <c r="N617" s="149"/>
      <c r="O617" s="189"/>
      <c r="P617" s="149"/>
      <c r="Q617" s="149"/>
      <c r="R617" s="189"/>
      <c r="S617" s="149"/>
      <c r="T617" s="189"/>
      <c r="U617" s="194"/>
      <c r="V617" s="194"/>
      <c r="W617" s="194"/>
      <c r="X617" s="194"/>
      <c r="Y617" s="194"/>
      <c r="Z617" s="194"/>
      <c r="AA617" s="194"/>
    </row>
    <row r="618" ht="15.75" customHeight="1">
      <c r="A618" s="241"/>
      <c r="B618" s="224"/>
      <c r="C618" s="220"/>
      <c r="D618" s="221"/>
      <c r="E618" s="222"/>
      <c r="F618" s="223"/>
      <c r="G618" s="143"/>
      <c r="H618" s="143"/>
      <c r="I618" s="143"/>
      <c r="J618" s="143"/>
      <c r="K618" s="182"/>
      <c r="L618" s="143"/>
      <c r="M618" s="182"/>
      <c r="N618" s="149"/>
      <c r="O618" s="189"/>
      <c r="P618" s="149"/>
      <c r="Q618" s="149"/>
      <c r="R618" s="189"/>
      <c r="S618" s="149"/>
      <c r="T618" s="189"/>
      <c r="U618" s="194"/>
      <c r="V618" s="194"/>
      <c r="W618" s="194"/>
      <c r="X618" s="194"/>
      <c r="Y618" s="194"/>
      <c r="Z618" s="194"/>
      <c r="AA618" s="194"/>
    </row>
    <row r="619" ht="15.75" customHeight="1">
      <c r="A619" s="241"/>
      <c r="B619" s="224"/>
      <c r="C619" s="220"/>
      <c r="D619" s="221"/>
      <c r="E619" s="222"/>
      <c r="F619" s="223"/>
      <c r="G619" s="143"/>
      <c r="H619" s="143"/>
      <c r="I619" s="143"/>
      <c r="J619" s="143"/>
      <c r="K619" s="182"/>
      <c r="L619" s="143"/>
      <c r="M619" s="182"/>
      <c r="N619" s="149"/>
      <c r="O619" s="189"/>
      <c r="P619" s="149"/>
      <c r="Q619" s="149"/>
      <c r="R619" s="189"/>
      <c r="S619" s="149"/>
      <c r="T619" s="189"/>
      <c r="U619" s="194"/>
      <c r="V619" s="194"/>
      <c r="W619" s="194"/>
      <c r="X619" s="194"/>
      <c r="Y619" s="194"/>
      <c r="Z619" s="194"/>
      <c r="AA619" s="194"/>
    </row>
    <row r="620" ht="15.75" customHeight="1">
      <c r="A620" s="241"/>
      <c r="B620" s="224"/>
      <c r="C620" s="220"/>
      <c r="D620" s="221"/>
      <c r="E620" s="222"/>
      <c r="F620" s="223"/>
      <c r="G620" s="143"/>
      <c r="H620" s="143"/>
      <c r="I620" s="143"/>
      <c r="J620" s="143"/>
      <c r="K620" s="182"/>
      <c r="L620" s="143"/>
      <c r="M620" s="182"/>
      <c r="N620" s="149"/>
      <c r="O620" s="189"/>
      <c r="P620" s="149"/>
      <c r="Q620" s="149"/>
      <c r="R620" s="189"/>
      <c r="S620" s="149"/>
      <c r="T620" s="189"/>
      <c r="U620" s="194"/>
      <c r="V620" s="194"/>
      <c r="W620" s="194"/>
      <c r="X620" s="194"/>
      <c r="Y620" s="194"/>
      <c r="Z620" s="194"/>
      <c r="AA620" s="194"/>
    </row>
    <row r="621" ht="15.75" customHeight="1">
      <c r="A621" s="241"/>
      <c r="B621" s="224"/>
      <c r="C621" s="220"/>
      <c r="D621" s="221"/>
      <c r="E621" s="222"/>
      <c r="F621" s="223"/>
      <c r="G621" s="143"/>
      <c r="H621" s="143"/>
      <c r="I621" s="143"/>
      <c r="J621" s="143"/>
      <c r="K621" s="182"/>
      <c r="L621" s="143"/>
      <c r="M621" s="182"/>
      <c r="N621" s="149"/>
      <c r="O621" s="189"/>
      <c r="P621" s="149"/>
      <c r="Q621" s="149"/>
      <c r="R621" s="189"/>
      <c r="S621" s="149"/>
      <c r="T621" s="189"/>
      <c r="U621" s="194"/>
      <c r="V621" s="194"/>
      <c r="W621" s="194"/>
      <c r="X621" s="194"/>
      <c r="Y621" s="194"/>
      <c r="Z621" s="194"/>
      <c r="AA621" s="194"/>
    </row>
    <row r="622" ht="15.75" customHeight="1">
      <c r="A622" s="241"/>
      <c r="B622" s="224"/>
      <c r="C622" s="220"/>
      <c r="D622" s="221"/>
      <c r="E622" s="222"/>
      <c r="F622" s="223"/>
      <c r="G622" s="143"/>
      <c r="H622" s="143"/>
      <c r="I622" s="143"/>
      <c r="J622" s="143"/>
      <c r="K622" s="182"/>
      <c r="L622" s="143"/>
      <c r="M622" s="182"/>
      <c r="N622" s="149"/>
      <c r="O622" s="189"/>
      <c r="P622" s="149"/>
      <c r="Q622" s="149"/>
      <c r="R622" s="189"/>
      <c r="S622" s="149"/>
      <c r="T622" s="189"/>
      <c r="U622" s="194"/>
      <c r="V622" s="194"/>
      <c r="W622" s="194"/>
      <c r="X622" s="194"/>
      <c r="Y622" s="194"/>
      <c r="Z622" s="194"/>
      <c r="AA622" s="194"/>
    </row>
    <row r="623" ht="15.75" customHeight="1">
      <c r="A623" s="241"/>
      <c r="B623" s="224"/>
      <c r="C623" s="220"/>
      <c r="D623" s="221"/>
      <c r="E623" s="222"/>
      <c r="F623" s="223"/>
      <c r="G623" s="143"/>
      <c r="H623" s="143"/>
      <c r="I623" s="143"/>
      <c r="J623" s="143"/>
      <c r="K623" s="182"/>
      <c r="L623" s="143"/>
      <c r="M623" s="182"/>
      <c r="N623" s="149"/>
      <c r="O623" s="189"/>
      <c r="P623" s="149"/>
      <c r="Q623" s="149"/>
      <c r="R623" s="189"/>
      <c r="S623" s="149"/>
      <c r="T623" s="189"/>
      <c r="U623" s="194"/>
      <c r="V623" s="194"/>
      <c r="W623" s="194"/>
      <c r="X623" s="194"/>
      <c r="Y623" s="194"/>
      <c r="Z623" s="194"/>
      <c r="AA623" s="194"/>
    </row>
    <row r="624" ht="15.75" customHeight="1">
      <c r="A624" s="241"/>
      <c r="B624" s="224"/>
      <c r="C624" s="220"/>
      <c r="D624" s="221"/>
      <c r="E624" s="222"/>
      <c r="F624" s="223"/>
      <c r="G624" s="143"/>
      <c r="H624" s="143"/>
      <c r="I624" s="143"/>
      <c r="J624" s="143"/>
      <c r="K624" s="182"/>
      <c r="L624" s="143"/>
      <c r="M624" s="182"/>
      <c r="N624" s="149"/>
      <c r="O624" s="189"/>
      <c r="P624" s="149"/>
      <c r="Q624" s="149"/>
      <c r="R624" s="189"/>
      <c r="S624" s="149"/>
      <c r="T624" s="189"/>
      <c r="U624" s="194"/>
      <c r="V624" s="194"/>
      <c r="W624" s="194"/>
      <c r="X624" s="194"/>
      <c r="Y624" s="194"/>
      <c r="Z624" s="194"/>
      <c r="AA624" s="194"/>
    </row>
    <row r="625" ht="15.75" customHeight="1">
      <c r="A625" s="241"/>
      <c r="B625" s="224"/>
      <c r="C625" s="220"/>
      <c r="D625" s="221"/>
      <c r="E625" s="222"/>
      <c r="F625" s="223"/>
      <c r="G625" s="143"/>
      <c r="H625" s="143"/>
      <c r="I625" s="143"/>
      <c r="J625" s="143"/>
      <c r="K625" s="182"/>
      <c r="L625" s="143"/>
      <c r="M625" s="182"/>
      <c r="N625" s="149"/>
      <c r="O625" s="189"/>
      <c r="P625" s="149"/>
      <c r="Q625" s="149"/>
      <c r="R625" s="189"/>
      <c r="S625" s="149"/>
      <c r="T625" s="189"/>
      <c r="U625" s="194"/>
      <c r="V625" s="194"/>
      <c r="W625" s="194"/>
      <c r="X625" s="194"/>
      <c r="Y625" s="194"/>
      <c r="Z625" s="194"/>
      <c r="AA625" s="194"/>
    </row>
    <row r="626" ht="15.75" customHeight="1">
      <c r="A626" s="241"/>
      <c r="B626" s="224"/>
      <c r="C626" s="220"/>
      <c r="D626" s="221"/>
      <c r="E626" s="222"/>
      <c r="F626" s="223"/>
      <c r="G626" s="143"/>
      <c r="H626" s="143"/>
      <c r="I626" s="143"/>
      <c r="J626" s="143"/>
      <c r="K626" s="182"/>
      <c r="L626" s="143"/>
      <c r="M626" s="182"/>
      <c r="N626" s="149"/>
      <c r="O626" s="189"/>
      <c r="P626" s="149"/>
      <c r="Q626" s="149"/>
      <c r="R626" s="189"/>
      <c r="S626" s="149"/>
      <c r="T626" s="189"/>
      <c r="U626" s="194"/>
      <c r="V626" s="194"/>
      <c r="W626" s="194"/>
      <c r="X626" s="194"/>
      <c r="Y626" s="194"/>
      <c r="Z626" s="194"/>
      <c r="AA626" s="194"/>
    </row>
    <row r="627" ht="15.75" customHeight="1">
      <c r="A627" s="241"/>
      <c r="B627" s="224"/>
      <c r="C627" s="220"/>
      <c r="D627" s="221"/>
      <c r="E627" s="222"/>
      <c r="F627" s="223"/>
      <c r="G627" s="143"/>
      <c r="H627" s="143"/>
      <c r="I627" s="143"/>
      <c r="J627" s="143"/>
      <c r="K627" s="182"/>
      <c r="L627" s="143"/>
      <c r="M627" s="182"/>
      <c r="N627" s="149"/>
      <c r="O627" s="189"/>
      <c r="P627" s="149"/>
      <c r="Q627" s="149"/>
      <c r="R627" s="189"/>
      <c r="S627" s="149"/>
      <c r="T627" s="189"/>
      <c r="U627" s="194"/>
      <c r="V627" s="194"/>
      <c r="W627" s="194"/>
      <c r="X627" s="194"/>
      <c r="Y627" s="194"/>
      <c r="Z627" s="194"/>
      <c r="AA627" s="194"/>
    </row>
    <row r="628" ht="15.75" customHeight="1">
      <c r="A628" s="241"/>
      <c r="B628" s="224"/>
      <c r="C628" s="220"/>
      <c r="D628" s="221"/>
      <c r="E628" s="222"/>
      <c r="F628" s="223"/>
      <c r="G628" s="143"/>
      <c r="H628" s="143"/>
      <c r="I628" s="143"/>
      <c r="J628" s="143"/>
      <c r="K628" s="182"/>
      <c r="L628" s="143"/>
      <c r="M628" s="182"/>
      <c r="N628" s="149"/>
      <c r="O628" s="189"/>
      <c r="P628" s="149"/>
      <c r="Q628" s="149"/>
      <c r="R628" s="189"/>
      <c r="S628" s="149"/>
      <c r="T628" s="189"/>
      <c r="U628" s="194"/>
      <c r="V628" s="194"/>
      <c r="W628" s="194"/>
      <c r="X628" s="194"/>
      <c r="Y628" s="194"/>
      <c r="Z628" s="194"/>
      <c r="AA628" s="194"/>
    </row>
    <row r="629" ht="15.75" customHeight="1">
      <c r="A629" s="241"/>
      <c r="B629" s="224"/>
      <c r="C629" s="220"/>
      <c r="D629" s="221"/>
      <c r="E629" s="222"/>
      <c r="F629" s="223"/>
      <c r="G629" s="143"/>
      <c r="H629" s="143"/>
      <c r="I629" s="143"/>
      <c r="J629" s="143"/>
      <c r="K629" s="182"/>
      <c r="L629" s="143"/>
      <c r="M629" s="182"/>
      <c r="N629" s="149"/>
      <c r="O629" s="189"/>
      <c r="P629" s="149"/>
      <c r="Q629" s="149"/>
      <c r="R629" s="189"/>
      <c r="S629" s="149"/>
      <c r="T629" s="189"/>
      <c r="U629" s="194"/>
      <c r="V629" s="194"/>
      <c r="W629" s="194"/>
      <c r="X629" s="194"/>
      <c r="Y629" s="194"/>
      <c r="Z629" s="194"/>
      <c r="AA629" s="194"/>
    </row>
    <row r="630" ht="15.75" customHeight="1">
      <c r="A630" s="241"/>
      <c r="B630" s="224"/>
      <c r="C630" s="220"/>
      <c r="D630" s="221"/>
      <c r="E630" s="222"/>
      <c r="F630" s="223"/>
      <c r="G630" s="143"/>
      <c r="H630" s="143"/>
      <c r="I630" s="143"/>
      <c r="J630" s="143"/>
      <c r="K630" s="182"/>
      <c r="L630" s="143"/>
      <c r="M630" s="182"/>
      <c r="N630" s="149"/>
      <c r="O630" s="189"/>
      <c r="P630" s="149"/>
      <c r="Q630" s="149"/>
      <c r="R630" s="189"/>
      <c r="S630" s="149"/>
      <c r="T630" s="189"/>
      <c r="U630" s="194"/>
      <c r="V630" s="194"/>
      <c r="W630" s="194"/>
      <c r="X630" s="194"/>
      <c r="Y630" s="194"/>
      <c r="Z630" s="194"/>
      <c r="AA630" s="194"/>
    </row>
    <row r="631" ht="15.75" customHeight="1">
      <c r="A631" s="241"/>
      <c r="B631" s="224"/>
      <c r="C631" s="220"/>
      <c r="D631" s="221"/>
      <c r="E631" s="222"/>
      <c r="F631" s="223"/>
      <c r="G631" s="143"/>
      <c r="H631" s="143"/>
      <c r="I631" s="143"/>
      <c r="J631" s="143"/>
      <c r="K631" s="182"/>
      <c r="L631" s="143"/>
      <c r="M631" s="182"/>
      <c r="N631" s="149"/>
      <c r="O631" s="189"/>
      <c r="P631" s="149"/>
      <c r="Q631" s="149"/>
      <c r="R631" s="189"/>
      <c r="S631" s="149"/>
      <c r="T631" s="189"/>
      <c r="U631" s="194"/>
      <c r="V631" s="194"/>
      <c r="W631" s="194"/>
      <c r="X631" s="194"/>
      <c r="Y631" s="194"/>
      <c r="Z631" s="194"/>
      <c r="AA631" s="194"/>
    </row>
    <row r="632" ht="15.75" customHeight="1">
      <c r="A632" s="241"/>
      <c r="B632" s="224"/>
      <c r="C632" s="220"/>
      <c r="D632" s="221"/>
      <c r="E632" s="222"/>
      <c r="F632" s="223"/>
      <c r="G632" s="143"/>
      <c r="H632" s="143"/>
      <c r="I632" s="143"/>
      <c r="J632" s="143"/>
      <c r="K632" s="182"/>
      <c r="L632" s="143"/>
      <c r="M632" s="182"/>
      <c r="N632" s="149"/>
      <c r="O632" s="189"/>
      <c r="P632" s="149"/>
      <c r="Q632" s="149"/>
      <c r="R632" s="189"/>
      <c r="S632" s="149"/>
      <c r="T632" s="189"/>
      <c r="U632" s="194"/>
      <c r="V632" s="194"/>
      <c r="W632" s="194"/>
      <c r="X632" s="194"/>
      <c r="Y632" s="194"/>
      <c r="Z632" s="194"/>
      <c r="AA632" s="194"/>
    </row>
    <row r="633" ht="15.75" customHeight="1">
      <c r="A633" s="241"/>
      <c r="B633" s="224"/>
      <c r="C633" s="220"/>
      <c r="D633" s="221"/>
      <c r="E633" s="222"/>
      <c r="F633" s="223"/>
      <c r="G633" s="143"/>
      <c r="H633" s="143"/>
      <c r="I633" s="143"/>
      <c r="J633" s="143"/>
      <c r="K633" s="182"/>
      <c r="L633" s="143"/>
      <c r="M633" s="182"/>
      <c r="N633" s="149"/>
      <c r="O633" s="189"/>
      <c r="P633" s="149"/>
      <c r="Q633" s="149"/>
      <c r="R633" s="189"/>
      <c r="S633" s="149"/>
      <c r="T633" s="189"/>
      <c r="U633" s="194"/>
      <c r="V633" s="194"/>
      <c r="W633" s="194"/>
      <c r="X633" s="194"/>
      <c r="Y633" s="194"/>
      <c r="Z633" s="194"/>
      <c r="AA633" s="194"/>
    </row>
    <row r="634" ht="15.75" customHeight="1">
      <c r="A634" s="241"/>
      <c r="B634" s="224"/>
      <c r="C634" s="220"/>
      <c r="D634" s="221"/>
      <c r="E634" s="222"/>
      <c r="F634" s="223"/>
      <c r="G634" s="143"/>
      <c r="H634" s="143"/>
      <c r="I634" s="143"/>
      <c r="J634" s="143"/>
      <c r="K634" s="182"/>
      <c r="L634" s="143"/>
      <c r="M634" s="182"/>
      <c r="N634" s="149"/>
      <c r="O634" s="189"/>
      <c r="P634" s="149"/>
      <c r="Q634" s="149"/>
      <c r="R634" s="189"/>
      <c r="S634" s="149"/>
      <c r="T634" s="189"/>
      <c r="U634" s="194"/>
      <c r="V634" s="194"/>
      <c r="W634" s="194"/>
      <c r="X634" s="194"/>
      <c r="Y634" s="194"/>
      <c r="Z634" s="194"/>
      <c r="AA634" s="194"/>
    </row>
    <row r="635" ht="15.75" customHeight="1">
      <c r="A635" s="241"/>
      <c r="B635" s="224"/>
      <c r="C635" s="220"/>
      <c r="D635" s="221"/>
      <c r="E635" s="222"/>
      <c r="F635" s="223"/>
      <c r="G635" s="143"/>
      <c r="H635" s="143"/>
      <c r="I635" s="143"/>
      <c r="J635" s="143"/>
      <c r="K635" s="182"/>
      <c r="L635" s="143"/>
      <c r="M635" s="182"/>
      <c r="N635" s="149"/>
      <c r="O635" s="189"/>
      <c r="P635" s="149"/>
      <c r="Q635" s="149"/>
      <c r="R635" s="189"/>
      <c r="S635" s="149"/>
      <c r="T635" s="189"/>
      <c r="U635" s="194"/>
      <c r="V635" s="194"/>
      <c r="W635" s="194"/>
      <c r="X635" s="194"/>
      <c r="Y635" s="194"/>
      <c r="Z635" s="194"/>
      <c r="AA635" s="194"/>
    </row>
    <row r="636" ht="15.75" customHeight="1">
      <c r="A636" s="241"/>
      <c r="B636" s="224"/>
      <c r="C636" s="220"/>
      <c r="D636" s="221"/>
      <c r="E636" s="222"/>
      <c r="F636" s="223"/>
      <c r="G636" s="143"/>
      <c r="H636" s="143"/>
      <c r="I636" s="143"/>
      <c r="J636" s="143"/>
      <c r="K636" s="182"/>
      <c r="L636" s="143"/>
      <c r="M636" s="182"/>
      <c r="N636" s="149"/>
      <c r="O636" s="189"/>
      <c r="P636" s="149"/>
      <c r="Q636" s="149"/>
      <c r="R636" s="189"/>
      <c r="S636" s="149"/>
      <c r="T636" s="189"/>
      <c r="U636" s="194"/>
      <c r="V636" s="194"/>
      <c r="W636" s="194"/>
      <c r="X636" s="194"/>
      <c r="Y636" s="194"/>
      <c r="Z636" s="194"/>
      <c r="AA636" s="194"/>
    </row>
    <row r="637" ht="15.75" customHeight="1">
      <c r="A637" s="241"/>
      <c r="B637" s="224"/>
      <c r="C637" s="220"/>
      <c r="D637" s="221"/>
      <c r="E637" s="222"/>
      <c r="F637" s="223"/>
      <c r="G637" s="143"/>
      <c r="H637" s="143"/>
      <c r="I637" s="143"/>
      <c r="J637" s="143"/>
      <c r="K637" s="182"/>
      <c r="L637" s="143"/>
      <c r="M637" s="182"/>
      <c r="N637" s="149"/>
      <c r="O637" s="189"/>
      <c r="P637" s="149"/>
      <c r="Q637" s="149"/>
      <c r="R637" s="189"/>
      <c r="S637" s="149"/>
      <c r="T637" s="189"/>
      <c r="U637" s="194"/>
      <c r="V637" s="194"/>
      <c r="W637" s="194"/>
      <c r="X637" s="194"/>
      <c r="Y637" s="194"/>
      <c r="Z637" s="194"/>
      <c r="AA637" s="194"/>
    </row>
    <row r="638" ht="15.75" customHeight="1">
      <c r="A638" s="241"/>
      <c r="B638" s="224"/>
      <c r="C638" s="220"/>
      <c r="D638" s="221"/>
      <c r="E638" s="222"/>
      <c r="F638" s="223"/>
      <c r="G638" s="143"/>
      <c r="H638" s="143"/>
      <c r="I638" s="143"/>
      <c r="J638" s="143"/>
      <c r="K638" s="182"/>
      <c r="L638" s="143"/>
      <c r="M638" s="182"/>
      <c r="N638" s="149"/>
      <c r="O638" s="189"/>
      <c r="P638" s="149"/>
      <c r="Q638" s="149"/>
      <c r="R638" s="189"/>
      <c r="S638" s="149"/>
      <c r="T638" s="189"/>
      <c r="U638" s="194"/>
      <c r="V638" s="194"/>
      <c r="W638" s="194"/>
      <c r="X638" s="194"/>
      <c r="Y638" s="194"/>
      <c r="Z638" s="194"/>
      <c r="AA638" s="194"/>
    </row>
    <row r="639" ht="15.75" customHeight="1">
      <c r="A639" s="241"/>
      <c r="B639" s="224"/>
      <c r="C639" s="220"/>
      <c r="D639" s="221"/>
      <c r="E639" s="222"/>
      <c r="F639" s="223"/>
      <c r="G639" s="143"/>
      <c r="H639" s="143"/>
      <c r="I639" s="143"/>
      <c r="J639" s="143"/>
      <c r="K639" s="182"/>
      <c r="L639" s="143"/>
      <c r="M639" s="182"/>
      <c r="N639" s="149"/>
      <c r="O639" s="189"/>
      <c r="P639" s="149"/>
      <c r="Q639" s="149"/>
      <c r="R639" s="189"/>
      <c r="S639" s="149"/>
      <c r="T639" s="189"/>
      <c r="U639" s="194"/>
      <c r="V639" s="194"/>
      <c r="W639" s="194"/>
      <c r="X639" s="194"/>
      <c r="Y639" s="194"/>
      <c r="Z639" s="194"/>
      <c r="AA639" s="194"/>
    </row>
    <row r="640" ht="15.75" customHeight="1">
      <c r="A640" s="241"/>
      <c r="B640" s="224"/>
      <c r="C640" s="220"/>
      <c r="D640" s="221"/>
      <c r="E640" s="222"/>
      <c r="F640" s="223"/>
      <c r="G640" s="143"/>
      <c r="H640" s="143"/>
      <c r="I640" s="143"/>
      <c r="J640" s="143"/>
      <c r="K640" s="182"/>
      <c r="L640" s="143"/>
      <c r="M640" s="182"/>
      <c r="N640" s="149"/>
      <c r="O640" s="189"/>
      <c r="P640" s="149"/>
      <c r="Q640" s="149"/>
      <c r="R640" s="189"/>
      <c r="S640" s="149"/>
      <c r="T640" s="189"/>
      <c r="U640" s="194"/>
      <c r="V640" s="194"/>
      <c r="W640" s="194"/>
      <c r="X640" s="194"/>
      <c r="Y640" s="194"/>
      <c r="Z640" s="194"/>
      <c r="AA640" s="194"/>
    </row>
    <row r="641" ht="15.75" customHeight="1">
      <c r="A641" s="241"/>
      <c r="B641" s="224"/>
      <c r="C641" s="220"/>
      <c r="D641" s="221"/>
      <c r="E641" s="222"/>
      <c r="F641" s="223"/>
      <c r="G641" s="143"/>
      <c r="H641" s="143"/>
      <c r="I641" s="143"/>
      <c r="J641" s="143"/>
      <c r="K641" s="182"/>
      <c r="L641" s="143"/>
      <c r="M641" s="182"/>
      <c r="N641" s="149"/>
      <c r="O641" s="189"/>
      <c r="P641" s="149"/>
      <c r="Q641" s="149"/>
      <c r="R641" s="189"/>
      <c r="S641" s="149"/>
      <c r="T641" s="189"/>
      <c r="U641" s="194"/>
      <c r="V641" s="194"/>
      <c r="W641" s="194"/>
      <c r="X641" s="194"/>
      <c r="Y641" s="194"/>
      <c r="Z641" s="194"/>
      <c r="AA641" s="194"/>
    </row>
    <row r="642" ht="15.75" customHeight="1">
      <c r="A642" s="241"/>
      <c r="B642" s="224"/>
      <c r="C642" s="220"/>
      <c r="D642" s="221"/>
      <c r="E642" s="222"/>
      <c r="F642" s="223"/>
      <c r="G642" s="143"/>
      <c r="H642" s="143"/>
      <c r="I642" s="143"/>
      <c r="J642" s="143"/>
      <c r="K642" s="182"/>
      <c r="L642" s="143"/>
      <c r="M642" s="182"/>
      <c r="N642" s="149"/>
      <c r="O642" s="189"/>
      <c r="P642" s="149"/>
      <c r="Q642" s="149"/>
      <c r="R642" s="189"/>
      <c r="S642" s="149"/>
      <c r="T642" s="189"/>
      <c r="U642" s="194"/>
      <c r="V642" s="194"/>
      <c r="W642" s="194"/>
      <c r="X642" s="194"/>
      <c r="Y642" s="194"/>
      <c r="Z642" s="194"/>
      <c r="AA642" s="194"/>
    </row>
    <row r="643" ht="15.75" customHeight="1">
      <c r="A643" s="241"/>
      <c r="B643" s="224"/>
      <c r="C643" s="220"/>
      <c r="D643" s="221"/>
      <c r="E643" s="222"/>
      <c r="F643" s="223"/>
      <c r="G643" s="143"/>
      <c r="H643" s="143"/>
      <c r="I643" s="143"/>
      <c r="J643" s="143"/>
      <c r="K643" s="182"/>
      <c r="L643" s="143"/>
      <c r="M643" s="182"/>
      <c r="N643" s="149"/>
      <c r="O643" s="189"/>
      <c r="P643" s="149"/>
      <c r="Q643" s="149"/>
      <c r="R643" s="189"/>
      <c r="S643" s="149"/>
      <c r="T643" s="189"/>
      <c r="U643" s="194"/>
      <c r="V643" s="194"/>
      <c r="W643" s="194"/>
      <c r="X643" s="194"/>
      <c r="Y643" s="194"/>
      <c r="Z643" s="194"/>
      <c r="AA643" s="194"/>
    </row>
    <row r="644" ht="15.75" customHeight="1">
      <c r="A644" s="241"/>
      <c r="B644" s="224"/>
      <c r="C644" s="220"/>
      <c r="D644" s="221"/>
      <c r="E644" s="222"/>
      <c r="F644" s="223"/>
      <c r="G644" s="143"/>
      <c r="H644" s="143"/>
      <c r="I644" s="143"/>
      <c r="J644" s="143"/>
      <c r="K644" s="182"/>
      <c r="L644" s="143"/>
      <c r="M644" s="182"/>
      <c r="N644" s="149"/>
      <c r="O644" s="189"/>
      <c r="P644" s="149"/>
      <c r="Q644" s="149"/>
      <c r="R644" s="189"/>
      <c r="S644" s="149"/>
      <c r="T644" s="189"/>
      <c r="U644" s="194"/>
      <c r="V644" s="194"/>
      <c r="W644" s="194"/>
      <c r="X644" s="194"/>
      <c r="Y644" s="194"/>
      <c r="Z644" s="194"/>
      <c r="AA644" s="194"/>
    </row>
    <row r="645" ht="15.75" customHeight="1">
      <c r="A645" s="241"/>
      <c r="B645" s="224"/>
      <c r="C645" s="220"/>
      <c r="D645" s="221"/>
      <c r="E645" s="222"/>
      <c r="F645" s="223"/>
      <c r="G645" s="143"/>
      <c r="H645" s="143"/>
      <c r="I645" s="143"/>
      <c r="J645" s="143"/>
      <c r="K645" s="182"/>
      <c r="L645" s="143"/>
      <c r="M645" s="182"/>
      <c r="N645" s="149"/>
      <c r="O645" s="189"/>
      <c r="P645" s="149"/>
      <c r="Q645" s="149"/>
      <c r="R645" s="189"/>
      <c r="S645" s="149"/>
      <c r="T645" s="189"/>
      <c r="U645" s="194"/>
      <c r="V645" s="194"/>
      <c r="W645" s="194"/>
      <c r="X645" s="194"/>
      <c r="Y645" s="194"/>
      <c r="Z645" s="194"/>
      <c r="AA645" s="194"/>
    </row>
    <row r="646" ht="15.75" customHeight="1">
      <c r="A646" s="241"/>
      <c r="B646" s="224"/>
      <c r="C646" s="220"/>
      <c r="D646" s="221"/>
      <c r="E646" s="222"/>
      <c r="F646" s="223"/>
      <c r="G646" s="143"/>
      <c r="H646" s="143"/>
      <c r="I646" s="143"/>
      <c r="J646" s="143"/>
      <c r="K646" s="182"/>
      <c r="L646" s="143"/>
      <c r="M646" s="182"/>
      <c r="N646" s="149"/>
      <c r="O646" s="189"/>
      <c r="P646" s="149"/>
      <c r="Q646" s="149"/>
      <c r="R646" s="189"/>
      <c r="S646" s="149"/>
      <c r="T646" s="189"/>
      <c r="U646" s="194"/>
      <c r="V646" s="194"/>
      <c r="W646" s="194"/>
      <c r="X646" s="194"/>
      <c r="Y646" s="194"/>
      <c r="Z646" s="194"/>
      <c r="AA646" s="194"/>
    </row>
    <row r="647" ht="15.75" customHeight="1">
      <c r="A647" s="241"/>
      <c r="B647" s="224"/>
      <c r="C647" s="220"/>
      <c r="D647" s="221"/>
      <c r="E647" s="222"/>
      <c r="F647" s="223"/>
      <c r="G647" s="143"/>
      <c r="H647" s="143"/>
      <c r="I647" s="143"/>
      <c r="J647" s="143"/>
      <c r="K647" s="182"/>
      <c r="L647" s="143"/>
      <c r="M647" s="182"/>
      <c r="N647" s="149"/>
      <c r="O647" s="189"/>
      <c r="P647" s="149"/>
      <c r="Q647" s="149"/>
      <c r="R647" s="189"/>
      <c r="S647" s="149"/>
      <c r="T647" s="189"/>
      <c r="U647" s="194"/>
      <c r="V647" s="194"/>
      <c r="W647" s="194"/>
      <c r="X647" s="194"/>
      <c r="Y647" s="194"/>
      <c r="Z647" s="194"/>
      <c r="AA647" s="194"/>
    </row>
    <row r="648" ht="15.75" customHeight="1">
      <c r="A648" s="241"/>
      <c r="B648" s="224"/>
      <c r="C648" s="220"/>
      <c r="D648" s="221"/>
      <c r="E648" s="222"/>
      <c r="F648" s="223"/>
      <c r="G648" s="143"/>
      <c r="H648" s="143"/>
      <c r="I648" s="143"/>
      <c r="J648" s="143"/>
      <c r="K648" s="182"/>
      <c r="L648" s="143"/>
      <c r="M648" s="182"/>
      <c r="N648" s="149"/>
      <c r="O648" s="189"/>
      <c r="P648" s="149"/>
      <c r="Q648" s="149"/>
      <c r="R648" s="189"/>
      <c r="S648" s="149"/>
      <c r="T648" s="189"/>
      <c r="U648" s="194"/>
      <c r="V648" s="194"/>
      <c r="W648" s="194"/>
      <c r="X648" s="194"/>
      <c r="Y648" s="194"/>
      <c r="Z648" s="194"/>
      <c r="AA648" s="194"/>
    </row>
    <row r="649" ht="15.75" customHeight="1">
      <c r="A649" s="241"/>
      <c r="B649" s="224"/>
      <c r="C649" s="220"/>
      <c r="D649" s="221"/>
      <c r="E649" s="222"/>
      <c r="F649" s="223"/>
      <c r="G649" s="143"/>
      <c r="H649" s="143"/>
      <c r="I649" s="143"/>
      <c r="J649" s="143"/>
      <c r="K649" s="182"/>
      <c r="L649" s="143"/>
      <c r="M649" s="182"/>
      <c r="N649" s="149"/>
      <c r="O649" s="189"/>
      <c r="P649" s="149"/>
      <c r="Q649" s="149"/>
      <c r="R649" s="189"/>
      <c r="S649" s="149"/>
      <c r="T649" s="189"/>
      <c r="U649" s="194"/>
      <c r="V649" s="194"/>
      <c r="W649" s="194"/>
      <c r="X649" s="194"/>
      <c r="Y649" s="194"/>
      <c r="Z649" s="194"/>
      <c r="AA649" s="194"/>
    </row>
    <row r="650" ht="15.75" customHeight="1">
      <c r="A650" s="241"/>
      <c r="B650" s="224"/>
      <c r="C650" s="220"/>
      <c r="D650" s="221"/>
      <c r="E650" s="222"/>
      <c r="F650" s="223"/>
      <c r="G650" s="143"/>
      <c r="H650" s="143"/>
      <c r="I650" s="143"/>
      <c r="J650" s="143"/>
      <c r="K650" s="182"/>
      <c r="L650" s="143"/>
      <c r="M650" s="182"/>
      <c r="N650" s="149"/>
      <c r="O650" s="189"/>
      <c r="P650" s="149"/>
      <c r="Q650" s="149"/>
      <c r="R650" s="189"/>
      <c r="S650" s="149"/>
      <c r="T650" s="189"/>
      <c r="U650" s="194"/>
      <c r="V650" s="194"/>
      <c r="W650" s="194"/>
      <c r="X650" s="194"/>
      <c r="Y650" s="194"/>
      <c r="Z650" s="194"/>
      <c r="AA650" s="194"/>
    </row>
    <row r="651" ht="15.75" customHeight="1">
      <c r="A651" s="241"/>
      <c r="B651" s="224"/>
      <c r="C651" s="220"/>
      <c r="D651" s="221"/>
      <c r="E651" s="222"/>
      <c r="F651" s="223"/>
      <c r="G651" s="143"/>
      <c r="H651" s="143"/>
      <c r="I651" s="143"/>
      <c r="J651" s="143"/>
      <c r="K651" s="182"/>
      <c r="L651" s="143"/>
      <c r="M651" s="182"/>
      <c r="N651" s="149"/>
      <c r="O651" s="189"/>
      <c r="P651" s="149"/>
      <c r="Q651" s="149"/>
      <c r="R651" s="189"/>
      <c r="S651" s="149"/>
      <c r="T651" s="189"/>
      <c r="U651" s="194"/>
      <c r="V651" s="194"/>
      <c r="W651" s="194"/>
      <c r="X651" s="194"/>
      <c r="Y651" s="194"/>
      <c r="Z651" s="194"/>
      <c r="AA651" s="194"/>
    </row>
    <row r="652" ht="15.75" customHeight="1">
      <c r="A652" s="241"/>
      <c r="B652" s="224"/>
      <c r="C652" s="220"/>
      <c r="D652" s="221"/>
      <c r="E652" s="222"/>
      <c r="F652" s="223"/>
      <c r="G652" s="143"/>
      <c r="H652" s="143"/>
      <c r="I652" s="143"/>
      <c r="J652" s="143"/>
      <c r="K652" s="182"/>
      <c r="L652" s="143"/>
      <c r="M652" s="182"/>
      <c r="N652" s="149"/>
      <c r="O652" s="189"/>
      <c r="P652" s="149"/>
      <c r="Q652" s="149"/>
      <c r="R652" s="189"/>
      <c r="S652" s="149"/>
      <c r="T652" s="189"/>
      <c r="U652" s="194"/>
      <c r="V652" s="194"/>
      <c r="W652" s="194"/>
      <c r="X652" s="194"/>
      <c r="Y652" s="194"/>
      <c r="Z652" s="194"/>
      <c r="AA652" s="194"/>
    </row>
    <row r="653" ht="15.75" customHeight="1">
      <c r="A653" s="241"/>
      <c r="B653" s="224"/>
      <c r="C653" s="220"/>
      <c r="D653" s="221"/>
      <c r="E653" s="222"/>
      <c r="F653" s="223"/>
      <c r="G653" s="143"/>
      <c r="H653" s="143"/>
      <c r="I653" s="143"/>
      <c r="J653" s="143"/>
      <c r="K653" s="182"/>
      <c r="L653" s="143"/>
      <c r="M653" s="182"/>
      <c r="N653" s="149"/>
      <c r="O653" s="189"/>
      <c r="P653" s="149"/>
      <c r="Q653" s="149"/>
      <c r="R653" s="189"/>
      <c r="S653" s="149"/>
      <c r="T653" s="189"/>
      <c r="U653" s="194"/>
      <c r="V653" s="194"/>
      <c r="W653" s="194"/>
      <c r="X653" s="194"/>
      <c r="Y653" s="194"/>
      <c r="Z653" s="194"/>
      <c r="AA653" s="194"/>
    </row>
    <row r="654" ht="15.75" customHeight="1">
      <c r="A654" s="241"/>
      <c r="B654" s="224"/>
      <c r="C654" s="220"/>
      <c r="D654" s="221"/>
      <c r="E654" s="222"/>
      <c r="F654" s="223"/>
      <c r="G654" s="143"/>
      <c r="H654" s="143"/>
      <c r="I654" s="143"/>
      <c r="J654" s="143"/>
      <c r="K654" s="182"/>
      <c r="L654" s="143"/>
      <c r="M654" s="182"/>
      <c r="N654" s="149"/>
      <c r="O654" s="189"/>
      <c r="P654" s="149"/>
      <c r="Q654" s="149"/>
      <c r="R654" s="189"/>
      <c r="S654" s="149"/>
      <c r="T654" s="189"/>
      <c r="U654" s="194"/>
      <c r="V654" s="194"/>
      <c r="W654" s="194"/>
      <c r="X654" s="194"/>
      <c r="Y654" s="194"/>
      <c r="Z654" s="194"/>
      <c r="AA654" s="194"/>
    </row>
    <row r="655" ht="15.75" customHeight="1">
      <c r="A655" s="241"/>
      <c r="B655" s="224"/>
      <c r="C655" s="220"/>
      <c r="D655" s="221"/>
      <c r="E655" s="222"/>
      <c r="F655" s="223"/>
      <c r="G655" s="143"/>
      <c r="H655" s="143"/>
      <c r="I655" s="143"/>
      <c r="J655" s="143"/>
      <c r="K655" s="182"/>
      <c r="L655" s="143"/>
      <c r="M655" s="182"/>
      <c r="N655" s="149"/>
      <c r="O655" s="189"/>
      <c r="P655" s="149"/>
      <c r="Q655" s="149"/>
      <c r="R655" s="189"/>
      <c r="S655" s="149"/>
      <c r="T655" s="189"/>
      <c r="U655" s="194"/>
      <c r="V655" s="194"/>
      <c r="W655" s="194"/>
      <c r="X655" s="194"/>
      <c r="Y655" s="194"/>
      <c r="Z655" s="194"/>
      <c r="AA655" s="194"/>
    </row>
    <row r="656" ht="15.75" customHeight="1">
      <c r="A656" s="241"/>
      <c r="B656" s="224"/>
      <c r="C656" s="220"/>
      <c r="D656" s="221"/>
      <c r="E656" s="222"/>
      <c r="F656" s="223"/>
      <c r="G656" s="143"/>
      <c r="H656" s="143"/>
      <c r="I656" s="143"/>
      <c r="J656" s="143"/>
      <c r="K656" s="182"/>
      <c r="L656" s="143"/>
      <c r="M656" s="182"/>
      <c r="N656" s="149"/>
      <c r="O656" s="189"/>
      <c r="P656" s="149"/>
      <c r="Q656" s="149"/>
      <c r="R656" s="189"/>
      <c r="S656" s="149"/>
      <c r="T656" s="189"/>
      <c r="U656" s="194"/>
      <c r="V656" s="194"/>
      <c r="W656" s="194"/>
      <c r="X656" s="194"/>
      <c r="Y656" s="194"/>
      <c r="Z656" s="194"/>
      <c r="AA656" s="194"/>
    </row>
    <row r="657" ht="15.75" customHeight="1">
      <c r="A657" s="241"/>
      <c r="B657" s="224"/>
      <c r="C657" s="220"/>
      <c r="D657" s="221"/>
      <c r="E657" s="222"/>
      <c r="F657" s="223"/>
      <c r="G657" s="143"/>
      <c r="H657" s="143"/>
      <c r="I657" s="143"/>
      <c r="J657" s="143"/>
      <c r="K657" s="182"/>
      <c r="L657" s="143"/>
      <c r="M657" s="182"/>
      <c r="N657" s="149"/>
      <c r="O657" s="189"/>
      <c r="P657" s="149"/>
      <c r="Q657" s="149"/>
      <c r="R657" s="189"/>
      <c r="S657" s="149"/>
      <c r="T657" s="189"/>
      <c r="U657" s="194"/>
      <c r="V657" s="194"/>
      <c r="W657" s="194"/>
      <c r="X657" s="194"/>
      <c r="Y657" s="194"/>
      <c r="Z657" s="194"/>
      <c r="AA657" s="194"/>
    </row>
    <row r="658" ht="15.75" customHeight="1">
      <c r="A658" s="241"/>
      <c r="B658" s="224"/>
      <c r="C658" s="220"/>
      <c r="D658" s="221"/>
      <c r="E658" s="222"/>
      <c r="F658" s="223"/>
      <c r="G658" s="143"/>
      <c r="H658" s="143"/>
      <c r="I658" s="143"/>
      <c r="J658" s="143"/>
      <c r="K658" s="182"/>
      <c r="L658" s="143"/>
      <c r="M658" s="182"/>
      <c r="N658" s="149"/>
      <c r="O658" s="189"/>
      <c r="P658" s="149"/>
      <c r="Q658" s="149"/>
      <c r="R658" s="189"/>
      <c r="S658" s="149"/>
      <c r="T658" s="189"/>
      <c r="U658" s="194"/>
      <c r="V658" s="194"/>
      <c r="W658" s="194"/>
      <c r="X658" s="194"/>
      <c r="Y658" s="194"/>
      <c r="Z658" s="194"/>
      <c r="AA658" s="194"/>
    </row>
    <row r="659" ht="15.75" customHeight="1">
      <c r="A659" s="241"/>
      <c r="B659" s="224"/>
      <c r="C659" s="220"/>
      <c r="D659" s="221"/>
      <c r="E659" s="222"/>
      <c r="F659" s="223"/>
      <c r="G659" s="143"/>
      <c r="H659" s="143"/>
      <c r="I659" s="143"/>
      <c r="J659" s="143"/>
      <c r="K659" s="182"/>
      <c r="L659" s="143"/>
      <c r="M659" s="182"/>
      <c r="N659" s="149"/>
      <c r="O659" s="189"/>
      <c r="P659" s="149"/>
      <c r="Q659" s="149"/>
      <c r="R659" s="189"/>
      <c r="S659" s="149"/>
      <c r="T659" s="189"/>
      <c r="U659" s="194"/>
      <c r="V659" s="194"/>
      <c r="W659" s="194"/>
      <c r="X659" s="194"/>
      <c r="Y659" s="194"/>
      <c r="Z659" s="194"/>
      <c r="AA659" s="194"/>
    </row>
    <row r="660" ht="15.75" customHeight="1">
      <c r="A660" s="241"/>
      <c r="B660" s="224"/>
      <c r="C660" s="220"/>
      <c r="D660" s="221"/>
      <c r="E660" s="222"/>
      <c r="F660" s="223"/>
      <c r="G660" s="143"/>
      <c r="H660" s="143"/>
      <c r="I660" s="143"/>
      <c r="J660" s="143"/>
      <c r="K660" s="182"/>
      <c r="L660" s="143"/>
      <c r="M660" s="182"/>
      <c r="N660" s="149"/>
      <c r="O660" s="189"/>
      <c r="P660" s="149"/>
      <c r="Q660" s="149"/>
      <c r="R660" s="189"/>
      <c r="S660" s="149"/>
      <c r="T660" s="189"/>
      <c r="U660" s="194"/>
      <c r="V660" s="194"/>
      <c r="W660" s="194"/>
      <c r="X660" s="194"/>
      <c r="Y660" s="194"/>
      <c r="Z660" s="194"/>
      <c r="AA660" s="194"/>
    </row>
    <row r="661" ht="15.75" customHeight="1">
      <c r="A661" s="241"/>
      <c r="B661" s="224"/>
      <c r="C661" s="220"/>
      <c r="D661" s="221"/>
      <c r="E661" s="222"/>
      <c r="F661" s="223"/>
      <c r="G661" s="143"/>
      <c r="H661" s="143"/>
      <c r="I661" s="143"/>
      <c r="J661" s="143"/>
      <c r="K661" s="182"/>
      <c r="L661" s="143"/>
      <c r="M661" s="182"/>
      <c r="N661" s="149"/>
      <c r="O661" s="189"/>
      <c r="P661" s="149"/>
      <c r="Q661" s="149"/>
      <c r="R661" s="189"/>
      <c r="S661" s="149"/>
      <c r="T661" s="189"/>
      <c r="U661" s="194"/>
      <c r="V661" s="194"/>
      <c r="W661" s="194"/>
      <c r="X661" s="194"/>
      <c r="Y661" s="194"/>
      <c r="Z661" s="194"/>
      <c r="AA661" s="194"/>
    </row>
    <row r="662" ht="15.75" customHeight="1">
      <c r="A662" s="241"/>
      <c r="B662" s="224"/>
      <c r="C662" s="220"/>
      <c r="D662" s="221"/>
      <c r="E662" s="222"/>
      <c r="F662" s="223"/>
      <c r="G662" s="143"/>
      <c r="H662" s="143"/>
      <c r="I662" s="143"/>
      <c r="J662" s="143"/>
      <c r="K662" s="182"/>
      <c r="L662" s="143"/>
      <c r="M662" s="182"/>
      <c r="N662" s="149"/>
      <c r="O662" s="189"/>
      <c r="P662" s="149"/>
      <c r="Q662" s="149"/>
      <c r="R662" s="189"/>
      <c r="S662" s="149"/>
      <c r="T662" s="189"/>
      <c r="U662" s="194"/>
      <c r="V662" s="194"/>
      <c r="W662" s="194"/>
      <c r="X662" s="194"/>
      <c r="Y662" s="194"/>
      <c r="Z662" s="194"/>
      <c r="AA662" s="194"/>
    </row>
    <row r="663" ht="15.75" customHeight="1">
      <c r="A663" s="241"/>
      <c r="B663" s="224"/>
      <c r="C663" s="220"/>
      <c r="D663" s="221"/>
      <c r="E663" s="222"/>
      <c r="F663" s="223"/>
      <c r="G663" s="143"/>
      <c r="H663" s="143"/>
      <c r="I663" s="143"/>
      <c r="J663" s="143"/>
      <c r="K663" s="182"/>
      <c r="L663" s="143"/>
      <c r="M663" s="182"/>
      <c r="N663" s="149"/>
      <c r="O663" s="189"/>
      <c r="P663" s="149"/>
      <c r="Q663" s="149"/>
      <c r="R663" s="189"/>
      <c r="S663" s="149"/>
      <c r="T663" s="189"/>
      <c r="U663" s="194"/>
      <c r="V663" s="194"/>
      <c r="W663" s="194"/>
      <c r="X663" s="194"/>
      <c r="Y663" s="194"/>
      <c r="Z663" s="194"/>
      <c r="AA663" s="194"/>
    </row>
    <row r="664" ht="15.75" customHeight="1">
      <c r="A664" s="241"/>
      <c r="B664" s="224"/>
      <c r="C664" s="220"/>
      <c r="D664" s="221"/>
      <c r="E664" s="222"/>
      <c r="F664" s="223"/>
      <c r="G664" s="143"/>
      <c r="H664" s="143"/>
      <c r="I664" s="143"/>
      <c r="J664" s="143"/>
      <c r="K664" s="182"/>
      <c r="L664" s="143"/>
      <c r="M664" s="182"/>
      <c r="N664" s="149"/>
      <c r="O664" s="189"/>
      <c r="P664" s="149"/>
      <c r="Q664" s="149"/>
      <c r="R664" s="189"/>
      <c r="S664" s="149"/>
      <c r="T664" s="189"/>
      <c r="U664" s="194"/>
      <c r="V664" s="194"/>
      <c r="W664" s="194"/>
      <c r="X664" s="194"/>
      <c r="Y664" s="194"/>
      <c r="Z664" s="194"/>
      <c r="AA664" s="194"/>
    </row>
    <row r="665" ht="15.75" customHeight="1">
      <c r="A665" s="241"/>
      <c r="B665" s="224"/>
      <c r="C665" s="220"/>
      <c r="D665" s="221"/>
      <c r="E665" s="222"/>
      <c r="F665" s="223"/>
      <c r="G665" s="143"/>
      <c r="H665" s="143"/>
      <c r="I665" s="143"/>
      <c r="J665" s="143"/>
      <c r="K665" s="182"/>
      <c r="L665" s="143"/>
      <c r="M665" s="182"/>
      <c r="N665" s="149"/>
      <c r="O665" s="189"/>
      <c r="P665" s="149"/>
      <c r="Q665" s="149"/>
      <c r="R665" s="189"/>
      <c r="S665" s="149"/>
      <c r="T665" s="189"/>
      <c r="U665" s="194"/>
      <c r="V665" s="194"/>
      <c r="W665" s="194"/>
      <c r="X665" s="194"/>
      <c r="Y665" s="194"/>
      <c r="Z665" s="194"/>
      <c r="AA665" s="194"/>
    </row>
    <row r="666" ht="15.75" customHeight="1">
      <c r="A666" s="241"/>
      <c r="B666" s="224"/>
      <c r="C666" s="220"/>
      <c r="D666" s="221"/>
      <c r="E666" s="222"/>
      <c r="F666" s="223"/>
      <c r="G666" s="143"/>
      <c r="H666" s="143"/>
      <c r="I666" s="143"/>
      <c r="J666" s="143"/>
      <c r="K666" s="182"/>
      <c r="L666" s="143"/>
      <c r="M666" s="182"/>
      <c r="N666" s="149"/>
      <c r="O666" s="189"/>
      <c r="P666" s="149"/>
      <c r="Q666" s="149"/>
      <c r="R666" s="189"/>
      <c r="S666" s="149"/>
      <c r="T666" s="189"/>
      <c r="U666" s="194"/>
      <c r="V666" s="194"/>
      <c r="W666" s="194"/>
      <c r="X666" s="194"/>
      <c r="Y666" s="194"/>
      <c r="Z666" s="194"/>
      <c r="AA666" s="194"/>
    </row>
    <row r="667" ht="15.75" customHeight="1">
      <c r="A667" s="241"/>
      <c r="B667" s="224"/>
      <c r="C667" s="220"/>
      <c r="D667" s="221"/>
      <c r="E667" s="222"/>
      <c r="F667" s="223"/>
      <c r="G667" s="143"/>
      <c r="H667" s="143"/>
      <c r="I667" s="143"/>
      <c r="J667" s="143"/>
      <c r="K667" s="182"/>
      <c r="L667" s="143"/>
      <c r="M667" s="182"/>
      <c r="N667" s="149"/>
      <c r="O667" s="189"/>
      <c r="P667" s="149"/>
      <c r="Q667" s="149"/>
      <c r="R667" s="189"/>
      <c r="S667" s="149"/>
      <c r="T667" s="189"/>
      <c r="U667" s="194"/>
      <c r="V667" s="194"/>
      <c r="W667" s="194"/>
      <c r="X667" s="194"/>
      <c r="Y667" s="194"/>
      <c r="Z667" s="194"/>
      <c r="AA667" s="194"/>
    </row>
    <row r="668" ht="15.75" customHeight="1">
      <c r="A668" s="241"/>
      <c r="B668" s="224"/>
      <c r="C668" s="220"/>
      <c r="D668" s="221"/>
      <c r="E668" s="222"/>
      <c r="F668" s="223"/>
      <c r="G668" s="143"/>
      <c r="H668" s="143"/>
      <c r="I668" s="143"/>
      <c r="J668" s="143"/>
      <c r="K668" s="182"/>
      <c r="L668" s="143"/>
      <c r="M668" s="182"/>
      <c r="N668" s="149"/>
      <c r="O668" s="189"/>
      <c r="P668" s="149"/>
      <c r="Q668" s="149"/>
      <c r="R668" s="189"/>
      <c r="S668" s="149"/>
      <c r="T668" s="189"/>
      <c r="U668" s="194"/>
      <c r="V668" s="194"/>
      <c r="W668" s="194"/>
      <c r="X668" s="194"/>
      <c r="Y668" s="194"/>
      <c r="Z668" s="194"/>
      <c r="AA668" s="194"/>
    </row>
    <row r="669" ht="15.75" customHeight="1">
      <c r="A669" s="241"/>
      <c r="B669" s="224"/>
      <c r="C669" s="220"/>
      <c r="D669" s="221"/>
      <c r="E669" s="222"/>
      <c r="F669" s="223"/>
      <c r="G669" s="143"/>
      <c r="H669" s="143"/>
      <c r="I669" s="143"/>
      <c r="J669" s="143"/>
      <c r="K669" s="182"/>
      <c r="L669" s="143"/>
      <c r="M669" s="182"/>
      <c r="N669" s="149"/>
      <c r="O669" s="189"/>
      <c r="P669" s="149"/>
      <c r="Q669" s="149"/>
      <c r="R669" s="189"/>
      <c r="S669" s="149"/>
      <c r="T669" s="189"/>
      <c r="U669" s="194"/>
      <c r="V669" s="194"/>
      <c r="W669" s="194"/>
      <c r="X669" s="194"/>
      <c r="Y669" s="194"/>
      <c r="Z669" s="194"/>
      <c r="AA669" s="194"/>
    </row>
    <row r="670" ht="15.75" customHeight="1">
      <c r="A670" s="241"/>
      <c r="B670" s="224"/>
      <c r="C670" s="220"/>
      <c r="D670" s="221"/>
      <c r="E670" s="222"/>
      <c r="F670" s="223"/>
      <c r="G670" s="143"/>
      <c r="H670" s="143"/>
      <c r="I670" s="143"/>
      <c r="J670" s="143"/>
      <c r="K670" s="182"/>
      <c r="L670" s="143"/>
      <c r="M670" s="182"/>
      <c r="N670" s="149"/>
      <c r="O670" s="189"/>
      <c r="P670" s="149"/>
      <c r="Q670" s="149"/>
      <c r="R670" s="189"/>
      <c r="S670" s="149"/>
      <c r="T670" s="189"/>
      <c r="U670" s="194"/>
      <c r="V670" s="194"/>
      <c r="W670" s="194"/>
      <c r="X670" s="194"/>
      <c r="Y670" s="194"/>
      <c r="Z670" s="194"/>
      <c r="AA670" s="194"/>
    </row>
    <row r="671" ht="15.75" customHeight="1">
      <c r="A671" s="241"/>
      <c r="B671" s="224"/>
      <c r="C671" s="220"/>
      <c r="D671" s="221"/>
      <c r="E671" s="222"/>
      <c r="F671" s="223"/>
      <c r="G671" s="143"/>
      <c r="H671" s="143"/>
      <c r="I671" s="143"/>
      <c r="J671" s="143"/>
      <c r="K671" s="182"/>
      <c r="L671" s="143"/>
      <c r="M671" s="182"/>
      <c r="N671" s="149"/>
      <c r="O671" s="189"/>
      <c r="P671" s="149"/>
      <c r="Q671" s="149"/>
      <c r="R671" s="189"/>
      <c r="S671" s="149"/>
      <c r="T671" s="189"/>
      <c r="U671" s="194"/>
      <c r="V671" s="194"/>
      <c r="W671" s="194"/>
      <c r="X671" s="194"/>
      <c r="Y671" s="194"/>
      <c r="Z671" s="194"/>
      <c r="AA671" s="194"/>
    </row>
    <row r="672" ht="15.75" customHeight="1">
      <c r="A672" s="241"/>
      <c r="B672" s="224"/>
      <c r="C672" s="220"/>
      <c r="D672" s="221"/>
      <c r="E672" s="222"/>
      <c r="F672" s="223"/>
      <c r="G672" s="143"/>
      <c r="H672" s="143"/>
      <c r="I672" s="143"/>
      <c r="J672" s="143"/>
      <c r="K672" s="182"/>
      <c r="L672" s="143"/>
      <c r="M672" s="182"/>
      <c r="N672" s="149"/>
      <c r="O672" s="189"/>
      <c r="P672" s="149"/>
      <c r="Q672" s="149"/>
      <c r="R672" s="189"/>
      <c r="S672" s="149"/>
      <c r="T672" s="189"/>
      <c r="U672" s="194"/>
      <c r="V672" s="194"/>
      <c r="W672" s="194"/>
      <c r="X672" s="194"/>
      <c r="Y672" s="194"/>
      <c r="Z672" s="194"/>
      <c r="AA672" s="194"/>
    </row>
    <row r="673" ht="15.75" customHeight="1">
      <c r="A673" s="241"/>
      <c r="B673" s="224"/>
      <c r="C673" s="220"/>
      <c r="D673" s="221"/>
      <c r="E673" s="222"/>
      <c r="F673" s="223"/>
      <c r="G673" s="143"/>
      <c r="H673" s="143"/>
      <c r="I673" s="143"/>
      <c r="J673" s="143"/>
      <c r="K673" s="182"/>
      <c r="L673" s="143"/>
      <c r="M673" s="182"/>
      <c r="N673" s="149"/>
      <c r="O673" s="189"/>
      <c r="P673" s="149"/>
      <c r="Q673" s="149"/>
      <c r="R673" s="189"/>
      <c r="S673" s="149"/>
      <c r="T673" s="189"/>
      <c r="U673" s="194"/>
      <c r="V673" s="194"/>
      <c r="W673" s="194"/>
      <c r="X673" s="194"/>
      <c r="Y673" s="194"/>
      <c r="Z673" s="194"/>
      <c r="AA673" s="194"/>
    </row>
    <row r="674" ht="15.75" customHeight="1">
      <c r="A674" s="241"/>
      <c r="B674" s="224"/>
      <c r="C674" s="220"/>
      <c r="D674" s="221"/>
      <c r="E674" s="222"/>
      <c r="F674" s="223"/>
      <c r="G674" s="143"/>
      <c r="H674" s="143"/>
      <c r="I674" s="143"/>
      <c r="J674" s="143"/>
      <c r="K674" s="182"/>
      <c r="L674" s="143"/>
      <c r="M674" s="182"/>
      <c r="N674" s="149"/>
      <c r="O674" s="189"/>
      <c r="P674" s="149"/>
      <c r="Q674" s="149"/>
      <c r="R674" s="189"/>
      <c r="S674" s="149"/>
      <c r="T674" s="189"/>
      <c r="U674" s="194"/>
      <c r="V674" s="194"/>
      <c r="W674" s="194"/>
      <c r="X674" s="194"/>
      <c r="Y674" s="194"/>
      <c r="Z674" s="194"/>
      <c r="AA674" s="194"/>
    </row>
    <row r="675" ht="15.75" customHeight="1">
      <c r="A675" s="241"/>
      <c r="B675" s="224"/>
      <c r="C675" s="220"/>
      <c r="D675" s="221"/>
      <c r="E675" s="222"/>
      <c r="F675" s="223"/>
      <c r="G675" s="143"/>
      <c r="H675" s="143"/>
      <c r="I675" s="143"/>
      <c r="J675" s="143"/>
      <c r="K675" s="182"/>
      <c r="L675" s="143"/>
      <c r="M675" s="182"/>
      <c r="N675" s="149"/>
      <c r="O675" s="189"/>
      <c r="P675" s="149"/>
      <c r="Q675" s="149"/>
      <c r="R675" s="189"/>
      <c r="S675" s="149"/>
      <c r="T675" s="189"/>
      <c r="U675" s="194"/>
      <c r="V675" s="194"/>
      <c r="W675" s="194"/>
      <c r="X675" s="194"/>
      <c r="Y675" s="194"/>
      <c r="Z675" s="194"/>
      <c r="AA675" s="194"/>
    </row>
    <row r="676" ht="15.75" customHeight="1">
      <c r="A676" s="241"/>
      <c r="B676" s="224"/>
      <c r="C676" s="220"/>
      <c r="D676" s="221"/>
      <c r="E676" s="222"/>
      <c r="F676" s="223"/>
      <c r="G676" s="143"/>
      <c r="H676" s="143"/>
      <c r="I676" s="143"/>
      <c r="J676" s="143"/>
      <c r="K676" s="182"/>
      <c r="L676" s="143"/>
      <c r="M676" s="182"/>
      <c r="N676" s="149"/>
      <c r="O676" s="189"/>
      <c r="P676" s="149"/>
      <c r="Q676" s="149"/>
      <c r="R676" s="189"/>
      <c r="S676" s="149"/>
      <c r="T676" s="189"/>
      <c r="U676" s="194"/>
      <c r="V676" s="194"/>
      <c r="W676" s="194"/>
      <c r="X676" s="194"/>
      <c r="Y676" s="194"/>
      <c r="Z676" s="194"/>
      <c r="AA676" s="194"/>
    </row>
    <row r="677" ht="15.75" customHeight="1">
      <c r="A677" s="241"/>
      <c r="B677" s="224"/>
      <c r="C677" s="220"/>
      <c r="D677" s="221"/>
      <c r="E677" s="222"/>
      <c r="F677" s="223"/>
      <c r="G677" s="143"/>
      <c r="H677" s="143"/>
      <c r="I677" s="143"/>
      <c r="J677" s="143"/>
      <c r="K677" s="182"/>
      <c r="L677" s="143"/>
      <c r="M677" s="182"/>
      <c r="N677" s="149"/>
      <c r="O677" s="189"/>
      <c r="P677" s="149"/>
      <c r="Q677" s="149"/>
      <c r="R677" s="189"/>
      <c r="S677" s="149"/>
      <c r="T677" s="189"/>
      <c r="U677" s="194"/>
      <c r="V677" s="194"/>
      <c r="W677" s="194"/>
      <c r="X677" s="194"/>
      <c r="Y677" s="194"/>
      <c r="Z677" s="194"/>
      <c r="AA677" s="194"/>
    </row>
    <row r="678" ht="15.75" customHeight="1">
      <c r="A678" s="241"/>
      <c r="B678" s="224"/>
      <c r="C678" s="220"/>
      <c r="D678" s="221"/>
      <c r="E678" s="222"/>
      <c r="F678" s="223"/>
      <c r="G678" s="143"/>
      <c r="H678" s="143"/>
      <c r="I678" s="143"/>
      <c r="J678" s="143"/>
      <c r="K678" s="182"/>
      <c r="L678" s="143"/>
      <c r="M678" s="182"/>
      <c r="N678" s="149"/>
      <c r="O678" s="189"/>
      <c r="P678" s="149"/>
      <c r="Q678" s="149"/>
      <c r="R678" s="189"/>
      <c r="S678" s="149"/>
      <c r="T678" s="189"/>
      <c r="U678" s="194"/>
      <c r="V678" s="194"/>
      <c r="W678" s="194"/>
      <c r="X678" s="194"/>
      <c r="Y678" s="194"/>
      <c r="Z678" s="194"/>
      <c r="AA678" s="194"/>
    </row>
    <row r="679" ht="15.75" customHeight="1">
      <c r="A679" s="241"/>
      <c r="B679" s="224"/>
      <c r="C679" s="220"/>
      <c r="D679" s="221"/>
      <c r="E679" s="222"/>
      <c r="F679" s="223"/>
      <c r="G679" s="143"/>
      <c r="H679" s="143"/>
      <c r="I679" s="143"/>
      <c r="J679" s="143"/>
      <c r="K679" s="182"/>
      <c r="L679" s="143"/>
      <c r="M679" s="182"/>
      <c r="N679" s="149"/>
      <c r="O679" s="189"/>
      <c r="P679" s="149"/>
      <c r="Q679" s="149"/>
      <c r="R679" s="189"/>
      <c r="S679" s="149"/>
      <c r="T679" s="189"/>
      <c r="U679" s="194"/>
      <c r="V679" s="194"/>
      <c r="W679" s="194"/>
      <c r="X679" s="194"/>
      <c r="Y679" s="194"/>
      <c r="Z679" s="194"/>
      <c r="AA679" s="194"/>
    </row>
    <row r="680" ht="15.75" customHeight="1">
      <c r="A680" s="241"/>
      <c r="B680" s="224"/>
      <c r="C680" s="220"/>
      <c r="D680" s="221"/>
      <c r="E680" s="222"/>
      <c r="F680" s="223"/>
      <c r="G680" s="143"/>
      <c r="H680" s="143"/>
      <c r="I680" s="143"/>
      <c r="J680" s="143"/>
      <c r="K680" s="182"/>
      <c r="L680" s="143"/>
      <c r="M680" s="182"/>
      <c r="N680" s="149"/>
      <c r="O680" s="189"/>
      <c r="P680" s="149"/>
      <c r="Q680" s="149"/>
      <c r="R680" s="189"/>
      <c r="S680" s="149"/>
      <c r="T680" s="189"/>
      <c r="U680" s="194"/>
      <c r="V680" s="194"/>
      <c r="W680" s="194"/>
      <c r="X680" s="194"/>
      <c r="Y680" s="194"/>
      <c r="Z680" s="194"/>
      <c r="AA680" s="194"/>
    </row>
    <row r="681" ht="15.75" customHeight="1">
      <c r="A681" s="241"/>
      <c r="B681" s="224"/>
      <c r="C681" s="220"/>
      <c r="D681" s="221"/>
      <c r="E681" s="222"/>
      <c r="F681" s="223"/>
      <c r="G681" s="143"/>
      <c r="H681" s="143"/>
      <c r="I681" s="143"/>
      <c r="J681" s="143"/>
      <c r="K681" s="182"/>
      <c r="L681" s="143"/>
      <c r="M681" s="182"/>
      <c r="N681" s="149"/>
      <c r="O681" s="189"/>
      <c r="P681" s="149"/>
      <c r="Q681" s="149"/>
      <c r="R681" s="189"/>
      <c r="S681" s="149"/>
      <c r="T681" s="189"/>
      <c r="U681" s="194"/>
      <c r="V681" s="194"/>
      <c r="W681" s="194"/>
      <c r="X681" s="194"/>
      <c r="Y681" s="194"/>
      <c r="Z681" s="194"/>
      <c r="AA681" s="194"/>
    </row>
    <row r="682" ht="15.75" customHeight="1">
      <c r="A682" s="241"/>
      <c r="B682" s="224"/>
      <c r="C682" s="220"/>
      <c r="D682" s="221"/>
      <c r="E682" s="222"/>
      <c r="F682" s="223"/>
      <c r="G682" s="143"/>
      <c r="H682" s="143"/>
      <c r="I682" s="143"/>
      <c r="J682" s="143"/>
      <c r="K682" s="182"/>
      <c r="L682" s="143"/>
      <c r="M682" s="182"/>
      <c r="N682" s="149"/>
      <c r="O682" s="189"/>
      <c r="P682" s="149"/>
      <c r="Q682" s="149"/>
      <c r="R682" s="189"/>
      <c r="S682" s="149"/>
      <c r="T682" s="189"/>
      <c r="U682" s="194"/>
      <c r="V682" s="194"/>
      <c r="W682" s="194"/>
      <c r="X682" s="194"/>
      <c r="Y682" s="194"/>
      <c r="Z682" s="194"/>
      <c r="AA682" s="194"/>
    </row>
    <row r="683" ht="15.75" customHeight="1">
      <c r="A683" s="241"/>
      <c r="B683" s="224"/>
      <c r="C683" s="220"/>
      <c r="D683" s="221"/>
      <c r="E683" s="222"/>
      <c r="F683" s="223"/>
      <c r="G683" s="143"/>
      <c r="H683" s="143"/>
      <c r="I683" s="143"/>
      <c r="J683" s="143"/>
      <c r="K683" s="182"/>
      <c r="L683" s="143"/>
      <c r="M683" s="182"/>
      <c r="N683" s="149"/>
      <c r="O683" s="189"/>
      <c r="P683" s="149"/>
      <c r="Q683" s="149"/>
      <c r="R683" s="189"/>
      <c r="S683" s="149"/>
      <c r="T683" s="189"/>
      <c r="U683" s="194"/>
      <c r="V683" s="194"/>
      <c r="W683" s="194"/>
      <c r="X683" s="194"/>
      <c r="Y683" s="194"/>
      <c r="Z683" s="194"/>
      <c r="AA683" s="194"/>
    </row>
    <row r="684" ht="15.75" customHeight="1">
      <c r="A684" s="241"/>
      <c r="B684" s="224"/>
      <c r="C684" s="220"/>
      <c r="D684" s="221"/>
      <c r="E684" s="222"/>
      <c r="F684" s="223"/>
      <c r="G684" s="143"/>
      <c r="H684" s="143"/>
      <c r="I684" s="143"/>
      <c r="J684" s="143"/>
      <c r="K684" s="182"/>
      <c r="L684" s="143"/>
      <c r="M684" s="182"/>
      <c r="N684" s="149"/>
      <c r="O684" s="189"/>
      <c r="P684" s="149"/>
      <c r="Q684" s="149"/>
      <c r="R684" s="189"/>
      <c r="S684" s="149"/>
      <c r="T684" s="189"/>
      <c r="U684" s="194"/>
      <c r="V684" s="194"/>
      <c r="W684" s="194"/>
      <c r="X684" s="194"/>
      <c r="Y684" s="194"/>
      <c r="Z684" s="194"/>
      <c r="AA684" s="194"/>
    </row>
    <row r="685" ht="15.75" customHeight="1">
      <c r="A685" s="241"/>
      <c r="B685" s="224"/>
      <c r="C685" s="220"/>
      <c r="D685" s="221"/>
      <c r="E685" s="222"/>
      <c r="F685" s="223"/>
      <c r="G685" s="143"/>
      <c r="H685" s="143"/>
      <c r="I685" s="143"/>
      <c r="J685" s="143"/>
      <c r="K685" s="182"/>
      <c r="L685" s="143"/>
      <c r="M685" s="182"/>
      <c r="N685" s="149"/>
      <c r="O685" s="189"/>
      <c r="P685" s="149"/>
      <c r="Q685" s="149"/>
      <c r="R685" s="189"/>
      <c r="S685" s="149"/>
      <c r="T685" s="189"/>
      <c r="U685" s="194"/>
      <c r="V685" s="194"/>
      <c r="W685" s="194"/>
      <c r="X685" s="194"/>
      <c r="Y685" s="194"/>
      <c r="Z685" s="194"/>
      <c r="AA685" s="194"/>
    </row>
    <row r="686" ht="15.75" customHeight="1">
      <c r="A686" s="241"/>
      <c r="B686" s="224"/>
      <c r="C686" s="220"/>
      <c r="D686" s="221"/>
      <c r="E686" s="222"/>
      <c r="F686" s="223"/>
      <c r="G686" s="143"/>
      <c r="H686" s="143"/>
      <c r="I686" s="143"/>
      <c r="J686" s="143"/>
      <c r="K686" s="182"/>
      <c r="L686" s="143"/>
      <c r="M686" s="182"/>
      <c r="N686" s="149"/>
      <c r="O686" s="189"/>
      <c r="P686" s="149"/>
      <c r="Q686" s="149"/>
      <c r="R686" s="189"/>
      <c r="S686" s="149"/>
      <c r="T686" s="189"/>
      <c r="U686" s="194"/>
      <c r="V686" s="194"/>
      <c r="W686" s="194"/>
      <c r="X686" s="194"/>
      <c r="Y686" s="194"/>
      <c r="Z686" s="194"/>
      <c r="AA686" s="194"/>
    </row>
    <row r="687" ht="15.75" customHeight="1">
      <c r="A687" s="241"/>
      <c r="B687" s="224"/>
      <c r="C687" s="220"/>
      <c r="D687" s="221"/>
      <c r="E687" s="222"/>
      <c r="F687" s="223"/>
      <c r="G687" s="143"/>
      <c r="H687" s="143"/>
      <c r="I687" s="143"/>
      <c r="J687" s="143"/>
      <c r="K687" s="182"/>
      <c r="L687" s="143"/>
      <c r="M687" s="182"/>
      <c r="N687" s="149"/>
      <c r="O687" s="189"/>
      <c r="P687" s="149"/>
      <c r="Q687" s="149"/>
      <c r="R687" s="189"/>
      <c r="S687" s="149"/>
      <c r="T687" s="189"/>
      <c r="U687" s="194"/>
      <c r="V687" s="194"/>
      <c r="W687" s="194"/>
      <c r="X687" s="194"/>
      <c r="Y687" s="194"/>
      <c r="Z687" s="194"/>
      <c r="AA687" s="194"/>
    </row>
    <row r="688" ht="15.75" customHeight="1">
      <c r="A688" s="241"/>
      <c r="B688" s="224"/>
      <c r="C688" s="220"/>
      <c r="D688" s="221"/>
      <c r="E688" s="222"/>
      <c r="F688" s="223"/>
      <c r="G688" s="143"/>
      <c r="H688" s="143"/>
      <c r="I688" s="143"/>
      <c r="J688" s="143"/>
      <c r="K688" s="182"/>
      <c r="L688" s="143"/>
      <c r="M688" s="182"/>
      <c r="N688" s="149"/>
      <c r="O688" s="189"/>
      <c r="P688" s="149"/>
      <c r="Q688" s="149"/>
      <c r="R688" s="189"/>
      <c r="S688" s="149"/>
      <c r="T688" s="189"/>
      <c r="U688" s="194"/>
      <c r="V688" s="194"/>
      <c r="W688" s="194"/>
      <c r="X688" s="194"/>
      <c r="Y688" s="194"/>
      <c r="Z688" s="194"/>
      <c r="AA688" s="194"/>
    </row>
    <row r="689" ht="15.75" customHeight="1">
      <c r="A689" s="241"/>
      <c r="B689" s="224"/>
      <c r="C689" s="220"/>
      <c r="D689" s="221"/>
      <c r="E689" s="222"/>
      <c r="F689" s="223"/>
      <c r="G689" s="143"/>
      <c r="H689" s="143"/>
      <c r="I689" s="143"/>
      <c r="J689" s="143"/>
      <c r="K689" s="182"/>
      <c r="L689" s="143"/>
      <c r="M689" s="182"/>
      <c r="N689" s="149"/>
      <c r="O689" s="189"/>
      <c r="P689" s="149"/>
      <c r="Q689" s="149"/>
      <c r="R689" s="189"/>
      <c r="S689" s="149"/>
      <c r="T689" s="189"/>
      <c r="U689" s="194"/>
      <c r="V689" s="194"/>
      <c r="W689" s="194"/>
      <c r="X689" s="194"/>
      <c r="Y689" s="194"/>
      <c r="Z689" s="194"/>
      <c r="AA689" s="194"/>
    </row>
    <row r="690" ht="15.75" customHeight="1">
      <c r="A690" s="241"/>
      <c r="B690" s="224"/>
      <c r="C690" s="220"/>
      <c r="D690" s="221"/>
      <c r="E690" s="222"/>
      <c r="F690" s="223"/>
      <c r="G690" s="143"/>
      <c r="H690" s="143"/>
      <c r="I690" s="143"/>
      <c r="J690" s="143"/>
      <c r="K690" s="182"/>
      <c r="L690" s="143"/>
      <c r="M690" s="182"/>
      <c r="N690" s="149"/>
      <c r="O690" s="189"/>
      <c r="P690" s="149"/>
      <c r="Q690" s="149"/>
      <c r="R690" s="189"/>
      <c r="S690" s="149"/>
      <c r="T690" s="189"/>
      <c r="U690" s="194"/>
      <c r="V690" s="194"/>
      <c r="W690" s="194"/>
      <c r="X690" s="194"/>
      <c r="Y690" s="194"/>
      <c r="Z690" s="194"/>
      <c r="AA690" s="194"/>
    </row>
    <row r="691" ht="15.75" customHeight="1">
      <c r="A691" s="241"/>
      <c r="B691" s="224"/>
      <c r="C691" s="220"/>
      <c r="D691" s="221"/>
      <c r="E691" s="222"/>
      <c r="F691" s="223"/>
      <c r="G691" s="143"/>
      <c r="H691" s="143"/>
      <c r="I691" s="143"/>
      <c r="J691" s="143"/>
      <c r="K691" s="182"/>
      <c r="L691" s="143"/>
      <c r="M691" s="182"/>
      <c r="N691" s="149"/>
      <c r="O691" s="189"/>
      <c r="P691" s="149"/>
      <c r="Q691" s="149"/>
      <c r="R691" s="189"/>
      <c r="S691" s="149"/>
      <c r="T691" s="189"/>
      <c r="U691" s="194"/>
      <c r="V691" s="194"/>
      <c r="W691" s="194"/>
      <c r="X691" s="194"/>
      <c r="Y691" s="194"/>
      <c r="Z691" s="194"/>
      <c r="AA691" s="194"/>
    </row>
    <row r="692" ht="15.75" customHeight="1">
      <c r="A692" s="241"/>
      <c r="B692" s="224"/>
      <c r="C692" s="220"/>
      <c r="D692" s="221"/>
      <c r="E692" s="222"/>
      <c r="F692" s="223"/>
      <c r="G692" s="143"/>
      <c r="H692" s="143"/>
      <c r="I692" s="143"/>
      <c r="J692" s="143"/>
      <c r="K692" s="182"/>
      <c r="L692" s="143"/>
      <c r="M692" s="182"/>
      <c r="N692" s="149"/>
      <c r="O692" s="189"/>
      <c r="P692" s="149"/>
      <c r="Q692" s="149"/>
      <c r="R692" s="189"/>
      <c r="S692" s="149"/>
      <c r="T692" s="189"/>
      <c r="U692" s="194"/>
      <c r="V692" s="194"/>
      <c r="W692" s="194"/>
      <c r="X692" s="194"/>
      <c r="Y692" s="194"/>
      <c r="Z692" s="194"/>
      <c r="AA692" s="194"/>
    </row>
    <row r="693" ht="15.75" customHeight="1">
      <c r="A693" s="241"/>
      <c r="B693" s="224"/>
      <c r="C693" s="220"/>
      <c r="D693" s="221"/>
      <c r="E693" s="222"/>
      <c r="F693" s="223"/>
      <c r="G693" s="143"/>
      <c r="H693" s="143"/>
      <c r="I693" s="143"/>
      <c r="J693" s="143"/>
      <c r="K693" s="182"/>
      <c r="L693" s="143"/>
      <c r="M693" s="182"/>
      <c r="N693" s="149"/>
      <c r="O693" s="189"/>
      <c r="P693" s="149"/>
      <c r="Q693" s="149"/>
      <c r="R693" s="189"/>
      <c r="S693" s="149"/>
      <c r="T693" s="189"/>
      <c r="U693" s="194"/>
      <c r="V693" s="194"/>
      <c r="W693" s="194"/>
      <c r="X693" s="194"/>
      <c r="Y693" s="194"/>
      <c r="Z693" s="194"/>
      <c r="AA693" s="194"/>
    </row>
    <row r="694" ht="15.75" customHeight="1">
      <c r="A694" s="241"/>
      <c r="B694" s="224"/>
      <c r="C694" s="220"/>
      <c r="D694" s="221"/>
      <c r="E694" s="222"/>
      <c r="F694" s="223"/>
      <c r="G694" s="143"/>
      <c r="H694" s="143"/>
      <c r="I694" s="143"/>
      <c r="J694" s="143"/>
      <c r="K694" s="182"/>
      <c r="L694" s="143"/>
      <c r="M694" s="182"/>
      <c r="N694" s="149"/>
      <c r="O694" s="189"/>
      <c r="P694" s="149"/>
      <c r="Q694" s="149"/>
      <c r="R694" s="189"/>
      <c r="S694" s="149"/>
      <c r="T694" s="189"/>
      <c r="U694" s="194"/>
      <c r="V694" s="194"/>
      <c r="W694" s="194"/>
      <c r="X694" s="194"/>
      <c r="Y694" s="194"/>
      <c r="Z694" s="194"/>
      <c r="AA694" s="194"/>
    </row>
    <row r="695" ht="15.75" customHeight="1">
      <c r="A695" s="241"/>
      <c r="B695" s="224"/>
      <c r="C695" s="220"/>
      <c r="D695" s="221"/>
      <c r="E695" s="222"/>
      <c r="F695" s="223"/>
      <c r="G695" s="143"/>
      <c r="H695" s="143"/>
      <c r="I695" s="143"/>
      <c r="J695" s="143"/>
      <c r="K695" s="182"/>
      <c r="L695" s="143"/>
      <c r="M695" s="182"/>
      <c r="N695" s="149"/>
      <c r="O695" s="189"/>
      <c r="P695" s="149"/>
      <c r="Q695" s="149"/>
      <c r="R695" s="189"/>
      <c r="S695" s="149"/>
      <c r="T695" s="189"/>
      <c r="U695" s="194"/>
      <c r="V695" s="194"/>
      <c r="W695" s="194"/>
      <c r="X695" s="194"/>
      <c r="Y695" s="194"/>
      <c r="Z695" s="194"/>
      <c r="AA695" s="194"/>
    </row>
    <row r="696" ht="15.75" customHeight="1">
      <c r="A696" s="241"/>
      <c r="B696" s="224"/>
      <c r="C696" s="220"/>
      <c r="D696" s="221"/>
      <c r="E696" s="222"/>
      <c r="F696" s="223"/>
      <c r="G696" s="143"/>
      <c r="H696" s="143"/>
      <c r="I696" s="143"/>
      <c r="J696" s="143"/>
      <c r="K696" s="182"/>
      <c r="L696" s="143"/>
      <c r="M696" s="182"/>
      <c r="N696" s="149"/>
      <c r="O696" s="189"/>
      <c r="P696" s="149"/>
      <c r="Q696" s="149"/>
      <c r="R696" s="189"/>
      <c r="S696" s="149"/>
      <c r="T696" s="189"/>
      <c r="U696" s="194"/>
      <c r="V696" s="194"/>
      <c r="W696" s="194"/>
      <c r="X696" s="194"/>
      <c r="Y696" s="194"/>
      <c r="Z696" s="194"/>
      <c r="AA696" s="194"/>
    </row>
    <row r="697" ht="15.75" customHeight="1">
      <c r="A697" s="241"/>
      <c r="B697" s="224"/>
      <c r="C697" s="220"/>
      <c r="D697" s="221"/>
      <c r="E697" s="222"/>
      <c r="F697" s="223"/>
      <c r="G697" s="143"/>
      <c r="H697" s="143"/>
      <c r="I697" s="143"/>
      <c r="J697" s="143"/>
      <c r="K697" s="182"/>
      <c r="L697" s="143"/>
      <c r="M697" s="182"/>
      <c r="N697" s="149"/>
      <c r="O697" s="189"/>
      <c r="P697" s="149"/>
      <c r="Q697" s="149"/>
      <c r="R697" s="189"/>
      <c r="S697" s="149"/>
      <c r="T697" s="189"/>
      <c r="U697" s="194"/>
      <c r="V697" s="194"/>
      <c r="W697" s="194"/>
      <c r="X697" s="194"/>
      <c r="Y697" s="194"/>
      <c r="Z697" s="194"/>
      <c r="AA697" s="194"/>
    </row>
    <row r="698" ht="15.75" customHeight="1">
      <c r="A698" s="241"/>
      <c r="B698" s="224"/>
      <c r="C698" s="220"/>
      <c r="D698" s="221"/>
      <c r="E698" s="222"/>
      <c r="F698" s="223"/>
      <c r="G698" s="143"/>
      <c r="H698" s="143"/>
      <c r="I698" s="143"/>
      <c r="J698" s="143"/>
      <c r="K698" s="182"/>
      <c r="L698" s="143"/>
      <c r="M698" s="182"/>
      <c r="N698" s="149"/>
      <c r="O698" s="189"/>
      <c r="P698" s="149"/>
      <c r="Q698" s="149"/>
      <c r="R698" s="189"/>
      <c r="S698" s="149"/>
      <c r="T698" s="189"/>
      <c r="U698" s="194"/>
      <c r="V698" s="194"/>
      <c r="W698" s="194"/>
      <c r="X698" s="194"/>
      <c r="Y698" s="194"/>
      <c r="Z698" s="194"/>
      <c r="AA698" s="194"/>
    </row>
    <row r="699" ht="15.75" customHeight="1">
      <c r="A699" s="241"/>
      <c r="B699" s="224"/>
      <c r="C699" s="220"/>
      <c r="D699" s="221"/>
      <c r="E699" s="222"/>
      <c r="F699" s="223"/>
      <c r="G699" s="143"/>
      <c r="H699" s="143"/>
      <c r="I699" s="143"/>
      <c r="J699" s="143"/>
      <c r="K699" s="182"/>
      <c r="L699" s="143"/>
      <c r="M699" s="182"/>
      <c r="N699" s="149"/>
      <c r="O699" s="189"/>
      <c r="P699" s="149"/>
      <c r="Q699" s="149"/>
      <c r="R699" s="189"/>
      <c r="S699" s="149"/>
      <c r="T699" s="189"/>
      <c r="U699" s="194"/>
      <c r="V699" s="194"/>
      <c r="W699" s="194"/>
      <c r="X699" s="194"/>
      <c r="Y699" s="194"/>
      <c r="Z699" s="194"/>
      <c r="AA699" s="194"/>
    </row>
    <row r="700" ht="15.75" customHeight="1">
      <c r="A700" s="241"/>
      <c r="B700" s="224"/>
      <c r="C700" s="220"/>
      <c r="D700" s="221"/>
      <c r="E700" s="222"/>
      <c r="F700" s="223"/>
      <c r="G700" s="143"/>
      <c r="H700" s="143"/>
      <c r="I700" s="143"/>
      <c r="J700" s="143"/>
      <c r="K700" s="182"/>
      <c r="L700" s="143"/>
      <c r="M700" s="182"/>
      <c r="N700" s="149"/>
      <c r="O700" s="189"/>
      <c r="P700" s="149"/>
      <c r="Q700" s="149"/>
      <c r="R700" s="189"/>
      <c r="S700" s="149"/>
      <c r="T700" s="189"/>
      <c r="U700" s="194"/>
      <c r="V700" s="194"/>
      <c r="W700" s="194"/>
      <c r="X700" s="194"/>
      <c r="Y700" s="194"/>
      <c r="Z700" s="194"/>
      <c r="AA700" s="194"/>
    </row>
    <row r="701" ht="15.75" customHeight="1">
      <c r="A701" s="241"/>
      <c r="B701" s="224"/>
      <c r="C701" s="220"/>
      <c r="D701" s="221"/>
      <c r="E701" s="222"/>
      <c r="F701" s="223"/>
      <c r="G701" s="143"/>
      <c r="H701" s="143"/>
      <c r="I701" s="143"/>
      <c r="J701" s="143"/>
      <c r="K701" s="182"/>
      <c r="L701" s="143"/>
      <c r="M701" s="182"/>
      <c r="N701" s="149"/>
      <c r="O701" s="189"/>
      <c r="P701" s="149"/>
      <c r="Q701" s="149"/>
      <c r="R701" s="189"/>
      <c r="S701" s="149"/>
      <c r="T701" s="189"/>
      <c r="U701" s="194"/>
      <c r="V701" s="194"/>
      <c r="W701" s="194"/>
      <c r="X701" s="194"/>
      <c r="Y701" s="194"/>
      <c r="Z701" s="194"/>
      <c r="AA701" s="194"/>
    </row>
    <row r="702" ht="15.75" customHeight="1">
      <c r="A702" s="241"/>
      <c r="B702" s="224"/>
      <c r="C702" s="220"/>
      <c r="D702" s="221"/>
      <c r="E702" s="222"/>
      <c r="F702" s="223"/>
      <c r="G702" s="143"/>
      <c r="H702" s="143"/>
      <c r="I702" s="143"/>
      <c r="J702" s="143"/>
      <c r="K702" s="182"/>
      <c r="L702" s="143"/>
      <c r="M702" s="182"/>
      <c r="N702" s="149"/>
      <c r="O702" s="189"/>
      <c r="P702" s="149"/>
      <c r="Q702" s="149"/>
      <c r="R702" s="189"/>
      <c r="S702" s="149"/>
      <c r="T702" s="189"/>
      <c r="U702" s="194"/>
      <c r="V702" s="194"/>
      <c r="W702" s="194"/>
      <c r="X702" s="194"/>
      <c r="Y702" s="194"/>
      <c r="Z702" s="194"/>
      <c r="AA702" s="194"/>
    </row>
    <row r="703" ht="15.75" customHeight="1">
      <c r="A703" s="241"/>
      <c r="B703" s="224"/>
      <c r="C703" s="220"/>
      <c r="D703" s="221"/>
      <c r="E703" s="222"/>
      <c r="F703" s="223"/>
      <c r="G703" s="143"/>
      <c r="H703" s="143"/>
      <c r="I703" s="143"/>
      <c r="J703" s="143"/>
      <c r="K703" s="182"/>
      <c r="L703" s="143"/>
      <c r="M703" s="182"/>
      <c r="N703" s="149"/>
      <c r="O703" s="189"/>
      <c r="P703" s="149"/>
      <c r="Q703" s="149"/>
      <c r="R703" s="189"/>
      <c r="S703" s="149"/>
      <c r="T703" s="189"/>
      <c r="U703" s="194"/>
      <c r="V703" s="194"/>
      <c r="W703" s="194"/>
      <c r="X703" s="194"/>
      <c r="Y703" s="194"/>
      <c r="Z703" s="194"/>
      <c r="AA703" s="194"/>
    </row>
    <row r="704" ht="15.75" customHeight="1">
      <c r="A704" s="241"/>
      <c r="B704" s="224"/>
      <c r="C704" s="220"/>
      <c r="D704" s="221"/>
      <c r="E704" s="222"/>
      <c r="F704" s="223"/>
      <c r="G704" s="143"/>
      <c r="H704" s="143"/>
      <c r="I704" s="143"/>
      <c r="J704" s="143"/>
      <c r="K704" s="182"/>
      <c r="L704" s="143"/>
      <c r="M704" s="182"/>
      <c r="N704" s="149"/>
      <c r="O704" s="189"/>
      <c r="P704" s="149"/>
      <c r="Q704" s="149"/>
      <c r="R704" s="189"/>
      <c r="S704" s="149"/>
      <c r="T704" s="189"/>
      <c r="U704" s="194"/>
      <c r="V704" s="194"/>
      <c r="W704" s="194"/>
      <c r="X704" s="194"/>
      <c r="Y704" s="194"/>
      <c r="Z704" s="194"/>
      <c r="AA704" s="194"/>
    </row>
    <row r="705" ht="15.75" customHeight="1">
      <c r="A705" s="241"/>
      <c r="B705" s="224"/>
      <c r="C705" s="220"/>
      <c r="D705" s="221"/>
      <c r="E705" s="222"/>
      <c r="F705" s="223"/>
      <c r="G705" s="143"/>
      <c r="H705" s="143"/>
      <c r="I705" s="143"/>
      <c r="J705" s="143"/>
      <c r="K705" s="182"/>
      <c r="L705" s="143"/>
      <c r="M705" s="182"/>
      <c r="N705" s="149"/>
      <c r="O705" s="189"/>
      <c r="P705" s="149"/>
      <c r="Q705" s="149"/>
      <c r="R705" s="189"/>
      <c r="S705" s="149"/>
      <c r="T705" s="189"/>
      <c r="U705" s="194"/>
      <c r="V705" s="194"/>
      <c r="W705" s="194"/>
      <c r="X705" s="194"/>
      <c r="Y705" s="194"/>
      <c r="Z705" s="194"/>
      <c r="AA705" s="194"/>
    </row>
    <row r="706" ht="15.75" customHeight="1">
      <c r="A706" s="241"/>
      <c r="B706" s="224"/>
      <c r="C706" s="220"/>
      <c r="D706" s="221"/>
      <c r="E706" s="222"/>
      <c r="F706" s="223"/>
      <c r="G706" s="143"/>
      <c r="H706" s="143"/>
      <c r="I706" s="143"/>
      <c r="J706" s="143"/>
      <c r="K706" s="182"/>
      <c r="L706" s="143"/>
      <c r="M706" s="182"/>
      <c r="N706" s="149"/>
      <c r="O706" s="189"/>
      <c r="P706" s="149"/>
      <c r="Q706" s="149"/>
      <c r="R706" s="189"/>
      <c r="S706" s="149"/>
      <c r="T706" s="189"/>
      <c r="U706" s="194"/>
      <c r="V706" s="194"/>
      <c r="W706" s="194"/>
      <c r="X706" s="194"/>
      <c r="Y706" s="194"/>
      <c r="Z706" s="194"/>
      <c r="AA706" s="194"/>
    </row>
    <row r="707" ht="15.75" customHeight="1">
      <c r="A707" s="241"/>
      <c r="B707" s="224"/>
      <c r="C707" s="220"/>
      <c r="D707" s="221"/>
      <c r="E707" s="222"/>
      <c r="F707" s="223"/>
      <c r="G707" s="143"/>
      <c r="H707" s="143"/>
      <c r="I707" s="143"/>
      <c r="J707" s="143"/>
      <c r="K707" s="182"/>
      <c r="L707" s="143"/>
      <c r="M707" s="182"/>
      <c r="N707" s="149"/>
      <c r="O707" s="189"/>
      <c r="P707" s="149"/>
      <c r="Q707" s="149"/>
      <c r="R707" s="189"/>
      <c r="S707" s="149"/>
      <c r="T707" s="189"/>
      <c r="U707" s="194"/>
      <c r="V707" s="194"/>
      <c r="W707" s="194"/>
      <c r="X707" s="194"/>
      <c r="Y707" s="194"/>
      <c r="Z707" s="194"/>
      <c r="AA707" s="194"/>
    </row>
    <row r="708" ht="15.75" customHeight="1">
      <c r="A708" s="241"/>
      <c r="B708" s="224"/>
      <c r="C708" s="220"/>
      <c r="D708" s="221"/>
      <c r="E708" s="222"/>
      <c r="F708" s="223"/>
      <c r="G708" s="143"/>
      <c r="H708" s="143"/>
      <c r="I708" s="143"/>
      <c r="J708" s="143"/>
      <c r="K708" s="182"/>
      <c r="L708" s="143"/>
      <c r="M708" s="182"/>
      <c r="N708" s="149"/>
      <c r="O708" s="189"/>
      <c r="P708" s="149"/>
      <c r="Q708" s="149"/>
      <c r="R708" s="189"/>
      <c r="S708" s="149"/>
      <c r="T708" s="189"/>
      <c r="U708" s="194"/>
      <c r="V708" s="194"/>
      <c r="W708" s="194"/>
      <c r="X708" s="194"/>
      <c r="Y708" s="194"/>
      <c r="Z708" s="194"/>
      <c r="AA708" s="194"/>
    </row>
    <row r="709" ht="15.75" customHeight="1">
      <c r="A709" s="241"/>
      <c r="B709" s="224"/>
      <c r="C709" s="220"/>
      <c r="D709" s="221"/>
      <c r="E709" s="222"/>
      <c r="F709" s="223"/>
      <c r="G709" s="143"/>
      <c r="H709" s="143"/>
      <c r="I709" s="143"/>
      <c r="J709" s="143"/>
      <c r="K709" s="182"/>
      <c r="L709" s="143"/>
      <c r="M709" s="182"/>
      <c r="N709" s="149"/>
      <c r="O709" s="189"/>
      <c r="P709" s="149"/>
      <c r="Q709" s="149"/>
      <c r="R709" s="189"/>
      <c r="S709" s="149"/>
      <c r="T709" s="189"/>
      <c r="U709" s="194"/>
      <c r="V709" s="194"/>
      <c r="W709" s="194"/>
      <c r="X709" s="194"/>
      <c r="Y709" s="194"/>
      <c r="Z709" s="194"/>
      <c r="AA709" s="194"/>
    </row>
    <row r="710" ht="15.75" customHeight="1">
      <c r="A710" s="241"/>
      <c r="B710" s="224"/>
      <c r="C710" s="220"/>
      <c r="D710" s="221"/>
      <c r="E710" s="222"/>
      <c r="F710" s="223"/>
      <c r="G710" s="143"/>
      <c r="H710" s="143"/>
      <c r="I710" s="143"/>
      <c r="J710" s="143"/>
      <c r="K710" s="182"/>
      <c r="L710" s="143"/>
      <c r="M710" s="182"/>
      <c r="N710" s="149"/>
      <c r="O710" s="189"/>
      <c r="P710" s="149"/>
      <c r="Q710" s="149"/>
      <c r="R710" s="189"/>
      <c r="S710" s="149"/>
      <c r="T710" s="189"/>
      <c r="U710" s="194"/>
      <c r="V710" s="194"/>
      <c r="W710" s="194"/>
      <c r="X710" s="194"/>
      <c r="Y710" s="194"/>
      <c r="Z710" s="194"/>
      <c r="AA710" s="194"/>
    </row>
    <row r="711" ht="15.75" customHeight="1">
      <c r="A711" s="241"/>
      <c r="B711" s="224"/>
      <c r="C711" s="220"/>
      <c r="D711" s="221"/>
      <c r="E711" s="222"/>
      <c r="F711" s="223"/>
      <c r="G711" s="143"/>
      <c r="H711" s="143"/>
      <c r="I711" s="143"/>
      <c r="J711" s="143"/>
      <c r="K711" s="182"/>
      <c r="L711" s="143"/>
      <c r="M711" s="182"/>
      <c r="N711" s="149"/>
      <c r="O711" s="189"/>
      <c r="P711" s="149"/>
      <c r="Q711" s="149"/>
      <c r="R711" s="189"/>
      <c r="S711" s="149"/>
      <c r="T711" s="189"/>
      <c r="U711" s="194"/>
      <c r="V711" s="194"/>
      <c r="W711" s="194"/>
      <c r="X711" s="194"/>
      <c r="Y711" s="194"/>
      <c r="Z711" s="194"/>
      <c r="AA711" s="194"/>
    </row>
    <row r="712" ht="15.75" customHeight="1">
      <c r="A712" s="241"/>
      <c r="B712" s="224"/>
      <c r="C712" s="220"/>
      <c r="D712" s="221"/>
      <c r="E712" s="222"/>
      <c r="F712" s="223"/>
      <c r="G712" s="143"/>
      <c r="H712" s="143"/>
      <c r="I712" s="143"/>
      <c r="J712" s="143"/>
      <c r="K712" s="182"/>
      <c r="L712" s="143"/>
      <c r="M712" s="182"/>
      <c r="N712" s="149"/>
      <c r="O712" s="189"/>
      <c r="P712" s="149"/>
      <c r="Q712" s="149"/>
      <c r="R712" s="189"/>
      <c r="S712" s="149"/>
      <c r="T712" s="189"/>
      <c r="U712" s="194"/>
      <c r="V712" s="194"/>
      <c r="W712" s="194"/>
      <c r="X712" s="194"/>
      <c r="Y712" s="194"/>
      <c r="Z712" s="194"/>
      <c r="AA712" s="194"/>
    </row>
    <row r="713" ht="15.75" customHeight="1">
      <c r="A713" s="241"/>
      <c r="B713" s="224"/>
      <c r="C713" s="220"/>
      <c r="D713" s="221"/>
      <c r="E713" s="222"/>
      <c r="F713" s="223"/>
      <c r="G713" s="143"/>
      <c r="H713" s="143"/>
      <c r="I713" s="143"/>
      <c r="J713" s="143"/>
      <c r="K713" s="182"/>
      <c r="L713" s="143"/>
      <c r="M713" s="182"/>
      <c r="N713" s="149"/>
      <c r="O713" s="189"/>
      <c r="P713" s="149"/>
      <c r="Q713" s="149"/>
      <c r="R713" s="189"/>
      <c r="S713" s="149"/>
      <c r="T713" s="189"/>
      <c r="U713" s="194"/>
      <c r="V713" s="194"/>
      <c r="W713" s="194"/>
      <c r="X713" s="194"/>
      <c r="Y713" s="194"/>
      <c r="Z713" s="194"/>
      <c r="AA713" s="194"/>
    </row>
    <row r="714" ht="15.75" customHeight="1">
      <c r="A714" s="241"/>
      <c r="B714" s="224"/>
      <c r="C714" s="220"/>
      <c r="D714" s="221"/>
      <c r="E714" s="222"/>
      <c r="F714" s="223"/>
      <c r="G714" s="143"/>
      <c r="H714" s="143"/>
      <c r="I714" s="143"/>
      <c r="J714" s="143"/>
      <c r="K714" s="182"/>
      <c r="L714" s="143"/>
      <c r="M714" s="182"/>
      <c r="N714" s="149"/>
      <c r="O714" s="189"/>
      <c r="P714" s="149"/>
      <c r="Q714" s="149"/>
      <c r="R714" s="189"/>
      <c r="S714" s="149"/>
      <c r="T714" s="189"/>
      <c r="U714" s="194"/>
      <c r="V714" s="194"/>
      <c r="W714" s="194"/>
      <c r="X714" s="194"/>
      <c r="Y714" s="194"/>
      <c r="Z714" s="194"/>
      <c r="AA714" s="194"/>
    </row>
    <row r="715" ht="15.75" customHeight="1">
      <c r="A715" s="241"/>
      <c r="B715" s="224"/>
      <c r="C715" s="220"/>
      <c r="D715" s="221"/>
      <c r="E715" s="222"/>
      <c r="F715" s="223"/>
      <c r="G715" s="143"/>
      <c r="H715" s="143"/>
      <c r="I715" s="143"/>
      <c r="J715" s="143"/>
      <c r="K715" s="182"/>
      <c r="L715" s="143"/>
      <c r="M715" s="182"/>
      <c r="N715" s="149"/>
      <c r="O715" s="189"/>
      <c r="P715" s="149"/>
      <c r="Q715" s="149"/>
      <c r="R715" s="189"/>
      <c r="S715" s="149"/>
      <c r="T715" s="189"/>
      <c r="U715" s="194"/>
      <c r="V715" s="194"/>
      <c r="W715" s="194"/>
      <c r="X715" s="194"/>
      <c r="Y715" s="194"/>
      <c r="Z715" s="194"/>
      <c r="AA715" s="194"/>
    </row>
    <row r="716" ht="15.75" customHeight="1">
      <c r="A716" s="241"/>
      <c r="B716" s="224"/>
      <c r="C716" s="220"/>
      <c r="D716" s="221"/>
      <c r="E716" s="222"/>
      <c r="F716" s="223"/>
      <c r="G716" s="143"/>
      <c r="H716" s="143"/>
      <c r="I716" s="143"/>
      <c r="J716" s="143"/>
      <c r="K716" s="182"/>
      <c r="L716" s="143"/>
      <c r="M716" s="182"/>
      <c r="N716" s="149"/>
      <c r="O716" s="189"/>
      <c r="P716" s="149"/>
      <c r="Q716" s="149"/>
      <c r="R716" s="189"/>
      <c r="S716" s="149"/>
      <c r="T716" s="189"/>
      <c r="U716" s="194"/>
      <c r="V716" s="194"/>
      <c r="W716" s="194"/>
      <c r="X716" s="194"/>
      <c r="Y716" s="194"/>
      <c r="Z716" s="194"/>
      <c r="AA716" s="194"/>
    </row>
    <row r="717" ht="15.75" customHeight="1">
      <c r="A717" s="241"/>
      <c r="B717" s="224"/>
      <c r="C717" s="220"/>
      <c r="D717" s="221"/>
      <c r="E717" s="222"/>
      <c r="F717" s="223"/>
      <c r="G717" s="143"/>
      <c r="H717" s="143"/>
      <c r="I717" s="143"/>
      <c r="J717" s="143"/>
      <c r="K717" s="182"/>
      <c r="L717" s="143"/>
      <c r="M717" s="182"/>
      <c r="N717" s="149"/>
      <c r="O717" s="189"/>
      <c r="P717" s="149"/>
      <c r="Q717" s="149"/>
      <c r="R717" s="189"/>
      <c r="S717" s="149"/>
      <c r="T717" s="189"/>
      <c r="U717" s="194"/>
      <c r="V717" s="194"/>
      <c r="W717" s="194"/>
      <c r="X717" s="194"/>
      <c r="Y717" s="194"/>
      <c r="Z717" s="194"/>
      <c r="AA717" s="194"/>
    </row>
    <row r="718" ht="15.75" customHeight="1">
      <c r="A718" s="241"/>
      <c r="B718" s="224"/>
      <c r="C718" s="220"/>
      <c r="D718" s="221"/>
      <c r="E718" s="222"/>
      <c r="F718" s="223"/>
      <c r="G718" s="143"/>
      <c r="H718" s="143"/>
      <c r="I718" s="143"/>
      <c r="J718" s="143"/>
      <c r="K718" s="182"/>
      <c r="L718" s="143"/>
      <c r="M718" s="182"/>
      <c r="N718" s="149"/>
      <c r="O718" s="189"/>
      <c r="P718" s="149"/>
      <c r="Q718" s="149"/>
      <c r="R718" s="189"/>
      <c r="S718" s="149"/>
      <c r="T718" s="189"/>
      <c r="U718" s="194"/>
      <c r="V718" s="194"/>
      <c r="W718" s="194"/>
      <c r="X718" s="194"/>
      <c r="Y718" s="194"/>
      <c r="Z718" s="194"/>
      <c r="AA718" s="194"/>
    </row>
    <row r="719" ht="15.75" customHeight="1">
      <c r="A719" s="241"/>
      <c r="B719" s="224"/>
      <c r="C719" s="220"/>
      <c r="D719" s="221"/>
      <c r="E719" s="222"/>
      <c r="F719" s="223"/>
      <c r="G719" s="143"/>
      <c r="H719" s="143"/>
      <c r="I719" s="143"/>
      <c r="J719" s="143"/>
      <c r="K719" s="182"/>
      <c r="L719" s="143"/>
      <c r="M719" s="182"/>
      <c r="N719" s="149"/>
      <c r="O719" s="189"/>
      <c r="P719" s="149"/>
      <c r="Q719" s="149"/>
      <c r="R719" s="189"/>
      <c r="S719" s="149"/>
      <c r="T719" s="189"/>
      <c r="U719" s="194"/>
      <c r="V719" s="194"/>
      <c r="W719" s="194"/>
      <c r="X719" s="194"/>
      <c r="Y719" s="194"/>
      <c r="Z719" s="194"/>
      <c r="AA719" s="194"/>
    </row>
    <row r="720" ht="15.75" customHeight="1">
      <c r="A720" s="241"/>
      <c r="B720" s="224"/>
      <c r="C720" s="220"/>
      <c r="D720" s="221"/>
      <c r="E720" s="222"/>
      <c r="F720" s="223"/>
      <c r="G720" s="143"/>
      <c r="H720" s="143"/>
      <c r="I720" s="143"/>
      <c r="J720" s="143"/>
      <c r="K720" s="182"/>
      <c r="L720" s="143"/>
      <c r="M720" s="182"/>
      <c r="N720" s="149"/>
      <c r="O720" s="189"/>
      <c r="P720" s="149"/>
      <c r="Q720" s="149"/>
      <c r="R720" s="189"/>
      <c r="S720" s="149"/>
      <c r="T720" s="189"/>
      <c r="U720" s="194"/>
      <c r="V720" s="194"/>
      <c r="W720" s="194"/>
      <c r="X720" s="194"/>
      <c r="Y720" s="194"/>
      <c r="Z720" s="194"/>
      <c r="AA720" s="194"/>
    </row>
    <row r="721" ht="15.75" customHeight="1">
      <c r="A721" s="241"/>
      <c r="B721" s="224"/>
      <c r="C721" s="220"/>
      <c r="D721" s="221"/>
      <c r="E721" s="222"/>
      <c r="F721" s="223"/>
      <c r="G721" s="143"/>
      <c r="H721" s="143"/>
      <c r="I721" s="143"/>
      <c r="J721" s="143"/>
      <c r="K721" s="182"/>
      <c r="L721" s="143"/>
      <c r="M721" s="182"/>
      <c r="N721" s="149"/>
      <c r="O721" s="189"/>
      <c r="P721" s="149"/>
      <c r="Q721" s="149"/>
      <c r="R721" s="189"/>
      <c r="S721" s="149"/>
      <c r="T721" s="189"/>
      <c r="U721" s="194"/>
      <c r="V721" s="194"/>
      <c r="W721" s="194"/>
      <c r="X721" s="194"/>
      <c r="Y721" s="194"/>
      <c r="Z721" s="194"/>
      <c r="AA721" s="194"/>
    </row>
    <row r="722" ht="15.75" customHeight="1">
      <c r="A722" s="241"/>
      <c r="B722" s="224"/>
      <c r="C722" s="220"/>
      <c r="D722" s="221"/>
      <c r="E722" s="222"/>
      <c r="F722" s="223"/>
      <c r="G722" s="143"/>
      <c r="H722" s="143"/>
      <c r="I722" s="143"/>
      <c r="J722" s="143"/>
      <c r="K722" s="182"/>
      <c r="L722" s="143"/>
      <c r="M722" s="182"/>
      <c r="N722" s="149"/>
      <c r="O722" s="189"/>
      <c r="P722" s="149"/>
      <c r="Q722" s="149"/>
      <c r="R722" s="189"/>
      <c r="S722" s="149"/>
      <c r="T722" s="189"/>
      <c r="U722" s="194"/>
      <c r="V722" s="194"/>
      <c r="W722" s="194"/>
      <c r="X722" s="194"/>
      <c r="Y722" s="194"/>
      <c r="Z722" s="194"/>
      <c r="AA722" s="194"/>
    </row>
    <row r="723" ht="15.75" customHeight="1">
      <c r="A723" s="241"/>
      <c r="B723" s="224"/>
      <c r="C723" s="220"/>
      <c r="D723" s="221"/>
      <c r="E723" s="222"/>
      <c r="F723" s="223"/>
      <c r="G723" s="143"/>
      <c r="H723" s="143"/>
      <c r="I723" s="143"/>
      <c r="J723" s="143"/>
      <c r="K723" s="182"/>
      <c r="L723" s="143"/>
      <c r="M723" s="182"/>
      <c r="N723" s="149"/>
      <c r="O723" s="189"/>
      <c r="P723" s="149"/>
      <c r="Q723" s="149"/>
      <c r="R723" s="189"/>
      <c r="S723" s="149"/>
      <c r="T723" s="189"/>
      <c r="U723" s="194"/>
      <c r="V723" s="194"/>
      <c r="W723" s="194"/>
      <c r="X723" s="194"/>
      <c r="Y723" s="194"/>
      <c r="Z723" s="194"/>
      <c r="AA723" s="194"/>
    </row>
    <row r="724" ht="15.75" customHeight="1">
      <c r="A724" s="241"/>
      <c r="B724" s="224"/>
      <c r="C724" s="220"/>
      <c r="D724" s="221"/>
      <c r="E724" s="222"/>
      <c r="F724" s="223"/>
      <c r="G724" s="143"/>
      <c r="H724" s="143"/>
      <c r="I724" s="143"/>
      <c r="J724" s="143"/>
      <c r="K724" s="182"/>
      <c r="L724" s="143"/>
      <c r="M724" s="182"/>
      <c r="N724" s="149"/>
      <c r="O724" s="189"/>
      <c r="P724" s="149"/>
      <c r="Q724" s="149"/>
      <c r="R724" s="189"/>
      <c r="S724" s="149"/>
      <c r="T724" s="189"/>
      <c r="U724" s="194"/>
      <c r="V724" s="194"/>
      <c r="W724" s="194"/>
      <c r="X724" s="194"/>
      <c r="Y724" s="194"/>
      <c r="Z724" s="194"/>
      <c r="AA724" s="194"/>
    </row>
    <row r="725" ht="15.75" customHeight="1">
      <c r="A725" s="241"/>
      <c r="B725" s="224"/>
      <c r="C725" s="220"/>
      <c r="D725" s="221"/>
      <c r="E725" s="222"/>
      <c r="F725" s="223"/>
      <c r="G725" s="143"/>
      <c r="H725" s="143"/>
      <c r="I725" s="143"/>
      <c r="J725" s="143"/>
      <c r="K725" s="182"/>
      <c r="L725" s="143"/>
      <c r="M725" s="182"/>
      <c r="N725" s="149"/>
      <c r="O725" s="189"/>
      <c r="P725" s="149"/>
      <c r="Q725" s="149"/>
      <c r="R725" s="189"/>
      <c r="S725" s="149"/>
      <c r="T725" s="189"/>
      <c r="U725" s="194"/>
      <c r="V725" s="194"/>
      <c r="W725" s="194"/>
      <c r="X725" s="194"/>
      <c r="Y725" s="194"/>
      <c r="Z725" s="194"/>
      <c r="AA725" s="194"/>
    </row>
    <row r="726" ht="15.75" customHeight="1">
      <c r="A726" s="241"/>
      <c r="B726" s="224"/>
      <c r="C726" s="220"/>
      <c r="D726" s="221"/>
      <c r="E726" s="222"/>
      <c r="F726" s="223"/>
      <c r="G726" s="143"/>
      <c r="H726" s="143"/>
      <c r="I726" s="143"/>
      <c r="J726" s="143"/>
      <c r="K726" s="182"/>
      <c r="L726" s="143"/>
      <c r="M726" s="182"/>
      <c r="N726" s="149"/>
      <c r="O726" s="189"/>
      <c r="P726" s="149"/>
      <c r="Q726" s="149"/>
      <c r="R726" s="189"/>
      <c r="S726" s="149"/>
      <c r="T726" s="189"/>
      <c r="U726" s="194"/>
      <c r="V726" s="194"/>
      <c r="W726" s="194"/>
      <c r="X726" s="194"/>
      <c r="Y726" s="194"/>
      <c r="Z726" s="194"/>
      <c r="AA726" s="194"/>
    </row>
    <row r="727" ht="15.75" customHeight="1">
      <c r="A727" s="241"/>
      <c r="B727" s="224"/>
      <c r="C727" s="220"/>
      <c r="D727" s="221"/>
      <c r="E727" s="222"/>
      <c r="F727" s="223"/>
      <c r="G727" s="143"/>
      <c r="H727" s="143"/>
      <c r="I727" s="143"/>
      <c r="J727" s="143"/>
      <c r="K727" s="182"/>
      <c r="L727" s="143"/>
      <c r="M727" s="182"/>
      <c r="N727" s="149"/>
      <c r="O727" s="189"/>
      <c r="P727" s="149"/>
      <c r="Q727" s="149"/>
      <c r="R727" s="189"/>
      <c r="S727" s="149"/>
      <c r="T727" s="189"/>
      <c r="U727" s="194"/>
      <c r="V727" s="194"/>
      <c r="W727" s="194"/>
      <c r="X727" s="194"/>
      <c r="Y727" s="194"/>
      <c r="Z727" s="194"/>
      <c r="AA727" s="194"/>
    </row>
    <row r="728" ht="15.75" customHeight="1">
      <c r="A728" s="241"/>
      <c r="B728" s="224"/>
      <c r="C728" s="220"/>
      <c r="D728" s="221"/>
      <c r="E728" s="222"/>
      <c r="F728" s="223"/>
      <c r="G728" s="143"/>
      <c r="H728" s="143"/>
      <c r="I728" s="143"/>
      <c r="J728" s="143"/>
      <c r="K728" s="182"/>
      <c r="L728" s="143"/>
      <c r="M728" s="182"/>
      <c r="N728" s="149"/>
      <c r="O728" s="189"/>
      <c r="P728" s="149"/>
      <c r="Q728" s="149"/>
      <c r="R728" s="189"/>
      <c r="S728" s="149"/>
      <c r="T728" s="189"/>
      <c r="U728" s="194"/>
      <c r="V728" s="194"/>
      <c r="W728" s="194"/>
      <c r="X728" s="194"/>
      <c r="Y728" s="194"/>
      <c r="Z728" s="194"/>
      <c r="AA728" s="194"/>
    </row>
    <row r="729" ht="15.75" customHeight="1">
      <c r="A729" s="241"/>
      <c r="B729" s="224"/>
      <c r="C729" s="220"/>
      <c r="D729" s="221"/>
      <c r="E729" s="222"/>
      <c r="F729" s="223"/>
      <c r="G729" s="143"/>
      <c r="H729" s="143"/>
      <c r="I729" s="143"/>
      <c r="J729" s="143"/>
      <c r="K729" s="182"/>
      <c r="L729" s="143"/>
      <c r="M729" s="182"/>
      <c r="N729" s="149"/>
      <c r="O729" s="189"/>
      <c r="P729" s="149"/>
      <c r="Q729" s="149"/>
      <c r="R729" s="189"/>
      <c r="S729" s="149"/>
      <c r="T729" s="189"/>
      <c r="U729" s="194"/>
      <c r="V729" s="194"/>
      <c r="W729" s="194"/>
      <c r="X729" s="194"/>
      <c r="Y729" s="194"/>
      <c r="Z729" s="194"/>
      <c r="AA729" s="194"/>
    </row>
    <row r="730" ht="15.75" customHeight="1">
      <c r="A730" s="241"/>
      <c r="B730" s="224"/>
      <c r="C730" s="220"/>
      <c r="D730" s="221"/>
      <c r="E730" s="222"/>
      <c r="F730" s="223"/>
      <c r="G730" s="143"/>
      <c r="H730" s="143"/>
      <c r="I730" s="143"/>
      <c r="J730" s="143"/>
      <c r="K730" s="182"/>
      <c r="L730" s="143"/>
      <c r="M730" s="182"/>
      <c r="N730" s="149"/>
      <c r="O730" s="189"/>
      <c r="P730" s="149"/>
      <c r="Q730" s="149"/>
      <c r="R730" s="189"/>
      <c r="S730" s="149"/>
      <c r="T730" s="189"/>
      <c r="U730" s="194"/>
      <c r="V730" s="194"/>
      <c r="W730" s="194"/>
      <c r="X730" s="194"/>
      <c r="Y730" s="194"/>
      <c r="Z730" s="194"/>
      <c r="AA730" s="194"/>
    </row>
    <row r="731" ht="15.75" customHeight="1">
      <c r="A731" s="241"/>
      <c r="B731" s="224"/>
      <c r="C731" s="220"/>
      <c r="D731" s="221"/>
      <c r="E731" s="222"/>
      <c r="F731" s="223"/>
      <c r="G731" s="143"/>
      <c r="H731" s="143"/>
      <c r="I731" s="143"/>
      <c r="J731" s="143"/>
      <c r="K731" s="182"/>
      <c r="L731" s="143"/>
      <c r="M731" s="182"/>
      <c r="N731" s="149"/>
      <c r="O731" s="189"/>
      <c r="P731" s="149"/>
      <c r="Q731" s="149"/>
      <c r="R731" s="189"/>
      <c r="S731" s="149"/>
      <c r="T731" s="189"/>
      <c r="U731" s="194"/>
      <c r="V731" s="194"/>
      <c r="W731" s="194"/>
      <c r="X731" s="194"/>
      <c r="Y731" s="194"/>
      <c r="Z731" s="194"/>
      <c r="AA731" s="194"/>
    </row>
    <row r="732" ht="15.75" customHeight="1">
      <c r="A732" s="241"/>
      <c r="B732" s="224"/>
      <c r="C732" s="220"/>
      <c r="D732" s="221"/>
      <c r="E732" s="222"/>
      <c r="F732" s="223"/>
      <c r="G732" s="143"/>
      <c r="H732" s="143"/>
      <c r="I732" s="143"/>
      <c r="J732" s="143"/>
      <c r="K732" s="182"/>
      <c r="L732" s="143"/>
      <c r="M732" s="182"/>
      <c r="N732" s="149"/>
      <c r="O732" s="189"/>
      <c r="P732" s="149"/>
      <c r="Q732" s="149"/>
      <c r="R732" s="189"/>
      <c r="S732" s="149"/>
      <c r="T732" s="189"/>
      <c r="U732" s="194"/>
      <c r="V732" s="194"/>
      <c r="W732" s="194"/>
      <c r="X732" s="194"/>
      <c r="Y732" s="194"/>
      <c r="Z732" s="194"/>
      <c r="AA732" s="194"/>
    </row>
    <row r="733" ht="15.75" customHeight="1">
      <c r="A733" s="241"/>
      <c r="B733" s="224"/>
      <c r="C733" s="220"/>
      <c r="D733" s="221"/>
      <c r="E733" s="222"/>
      <c r="F733" s="223"/>
      <c r="G733" s="143"/>
      <c r="H733" s="143"/>
      <c r="I733" s="143"/>
      <c r="J733" s="143"/>
      <c r="K733" s="182"/>
      <c r="L733" s="143"/>
      <c r="M733" s="182"/>
      <c r="N733" s="149"/>
      <c r="O733" s="189"/>
      <c r="P733" s="149"/>
      <c r="Q733" s="149"/>
      <c r="R733" s="189"/>
      <c r="S733" s="149"/>
      <c r="T733" s="189"/>
      <c r="U733" s="194"/>
      <c r="V733" s="194"/>
      <c r="W733" s="194"/>
      <c r="X733" s="194"/>
      <c r="Y733" s="194"/>
      <c r="Z733" s="194"/>
      <c r="AA733" s="194"/>
    </row>
    <row r="734" ht="15.75" customHeight="1">
      <c r="A734" s="241"/>
      <c r="B734" s="224"/>
      <c r="C734" s="220"/>
      <c r="D734" s="221"/>
      <c r="E734" s="222"/>
      <c r="F734" s="223"/>
      <c r="G734" s="143"/>
      <c r="H734" s="143"/>
      <c r="I734" s="143"/>
      <c r="J734" s="143"/>
      <c r="K734" s="182"/>
      <c r="L734" s="143"/>
      <c r="M734" s="182"/>
      <c r="N734" s="149"/>
      <c r="O734" s="189"/>
      <c r="P734" s="149"/>
      <c r="Q734" s="149"/>
      <c r="R734" s="189"/>
      <c r="S734" s="149"/>
      <c r="T734" s="189"/>
      <c r="U734" s="194"/>
      <c r="V734" s="194"/>
      <c r="W734" s="194"/>
      <c r="X734" s="194"/>
      <c r="Y734" s="194"/>
      <c r="Z734" s="194"/>
      <c r="AA734" s="194"/>
    </row>
    <row r="735" ht="15.75" customHeight="1">
      <c r="A735" s="241"/>
      <c r="B735" s="224"/>
      <c r="C735" s="220"/>
      <c r="D735" s="221"/>
      <c r="E735" s="222"/>
      <c r="F735" s="223"/>
      <c r="G735" s="143"/>
      <c r="H735" s="143"/>
      <c r="I735" s="143"/>
      <c r="J735" s="143"/>
      <c r="K735" s="182"/>
      <c r="L735" s="143"/>
      <c r="M735" s="182"/>
      <c r="N735" s="149"/>
      <c r="O735" s="189"/>
      <c r="P735" s="149"/>
      <c r="Q735" s="149"/>
      <c r="R735" s="189"/>
      <c r="S735" s="149"/>
      <c r="T735" s="189"/>
      <c r="U735" s="194"/>
      <c r="V735" s="194"/>
      <c r="W735" s="194"/>
      <c r="X735" s="194"/>
      <c r="Y735" s="194"/>
      <c r="Z735" s="194"/>
      <c r="AA735" s="194"/>
    </row>
    <row r="736" ht="15.75" customHeight="1">
      <c r="A736" s="241"/>
      <c r="B736" s="224"/>
      <c r="C736" s="220"/>
      <c r="D736" s="221"/>
      <c r="E736" s="222"/>
      <c r="F736" s="223"/>
      <c r="G736" s="143"/>
      <c r="H736" s="143"/>
      <c r="I736" s="143"/>
      <c r="J736" s="143"/>
      <c r="K736" s="182"/>
      <c r="L736" s="143"/>
      <c r="M736" s="182"/>
      <c r="N736" s="149"/>
      <c r="O736" s="189"/>
      <c r="P736" s="149"/>
      <c r="Q736" s="149"/>
      <c r="R736" s="189"/>
      <c r="S736" s="149"/>
      <c r="T736" s="189"/>
      <c r="U736" s="194"/>
      <c r="V736" s="194"/>
      <c r="W736" s="194"/>
      <c r="X736" s="194"/>
      <c r="Y736" s="194"/>
      <c r="Z736" s="194"/>
      <c r="AA736" s="194"/>
    </row>
    <row r="737" ht="15.75" customHeight="1">
      <c r="A737" s="241"/>
      <c r="B737" s="224"/>
      <c r="C737" s="220"/>
      <c r="D737" s="221"/>
      <c r="E737" s="222"/>
      <c r="F737" s="223"/>
      <c r="G737" s="143"/>
      <c r="H737" s="143"/>
      <c r="I737" s="143"/>
      <c r="J737" s="143"/>
      <c r="K737" s="182"/>
      <c r="L737" s="143"/>
      <c r="M737" s="182"/>
      <c r="N737" s="149"/>
      <c r="O737" s="189"/>
      <c r="P737" s="149"/>
      <c r="Q737" s="149"/>
      <c r="R737" s="189"/>
      <c r="S737" s="149"/>
      <c r="T737" s="189"/>
      <c r="U737" s="194"/>
      <c r="V737" s="194"/>
      <c r="W737" s="194"/>
      <c r="X737" s="194"/>
      <c r="Y737" s="194"/>
      <c r="Z737" s="194"/>
      <c r="AA737" s="194"/>
    </row>
    <row r="738" ht="15.75" customHeight="1">
      <c r="A738" s="241"/>
      <c r="B738" s="224"/>
      <c r="C738" s="220"/>
      <c r="D738" s="221"/>
      <c r="E738" s="222"/>
      <c r="F738" s="223"/>
      <c r="G738" s="143"/>
      <c r="H738" s="143"/>
      <c r="I738" s="143"/>
      <c r="J738" s="143"/>
      <c r="K738" s="182"/>
      <c r="L738" s="143"/>
      <c r="M738" s="182"/>
      <c r="N738" s="149"/>
      <c r="O738" s="189"/>
      <c r="P738" s="149"/>
      <c r="Q738" s="149"/>
      <c r="R738" s="189"/>
      <c r="S738" s="149"/>
      <c r="T738" s="189"/>
      <c r="U738" s="194"/>
      <c r="V738" s="194"/>
      <c r="W738" s="194"/>
      <c r="X738" s="194"/>
      <c r="Y738" s="194"/>
      <c r="Z738" s="194"/>
      <c r="AA738" s="194"/>
    </row>
    <row r="739" ht="15.75" customHeight="1">
      <c r="A739" s="241"/>
      <c r="B739" s="224"/>
      <c r="C739" s="220"/>
      <c r="D739" s="221"/>
      <c r="E739" s="222"/>
      <c r="F739" s="223"/>
      <c r="G739" s="143"/>
      <c r="H739" s="143"/>
      <c r="I739" s="143"/>
      <c r="J739" s="143"/>
      <c r="K739" s="182"/>
      <c r="L739" s="143"/>
      <c r="M739" s="182"/>
      <c r="N739" s="149"/>
      <c r="O739" s="189"/>
      <c r="P739" s="149"/>
      <c r="Q739" s="149"/>
      <c r="R739" s="189"/>
      <c r="S739" s="149"/>
      <c r="T739" s="189"/>
      <c r="U739" s="194"/>
      <c r="V739" s="194"/>
      <c r="W739" s="194"/>
      <c r="X739" s="194"/>
      <c r="Y739" s="194"/>
      <c r="Z739" s="194"/>
      <c r="AA739" s="194"/>
    </row>
    <row r="740" ht="15.75" customHeight="1">
      <c r="A740" s="241"/>
      <c r="B740" s="224"/>
      <c r="C740" s="220"/>
      <c r="D740" s="221"/>
      <c r="E740" s="222"/>
      <c r="F740" s="223"/>
      <c r="G740" s="143"/>
      <c r="H740" s="143"/>
      <c r="I740" s="143"/>
      <c r="J740" s="143"/>
      <c r="K740" s="182"/>
      <c r="L740" s="143"/>
      <c r="M740" s="182"/>
      <c r="N740" s="149"/>
      <c r="O740" s="189"/>
      <c r="P740" s="149"/>
      <c r="Q740" s="149"/>
      <c r="R740" s="189"/>
      <c r="S740" s="149"/>
      <c r="T740" s="189"/>
      <c r="U740" s="194"/>
      <c r="V740" s="194"/>
      <c r="W740" s="194"/>
      <c r="X740" s="194"/>
      <c r="Y740" s="194"/>
      <c r="Z740" s="194"/>
      <c r="AA740" s="194"/>
    </row>
    <row r="741" ht="15.75" customHeight="1">
      <c r="A741" s="241"/>
      <c r="B741" s="224"/>
      <c r="C741" s="220"/>
      <c r="D741" s="221"/>
      <c r="E741" s="222"/>
      <c r="F741" s="223"/>
      <c r="G741" s="143"/>
      <c r="H741" s="143"/>
      <c r="I741" s="143"/>
      <c r="J741" s="143"/>
      <c r="K741" s="182"/>
      <c r="L741" s="143"/>
      <c r="M741" s="182"/>
      <c r="N741" s="149"/>
      <c r="O741" s="189"/>
      <c r="P741" s="149"/>
      <c r="Q741" s="149"/>
      <c r="R741" s="189"/>
      <c r="S741" s="149"/>
      <c r="T741" s="189"/>
      <c r="U741" s="194"/>
      <c r="V741" s="194"/>
      <c r="W741" s="194"/>
      <c r="X741" s="194"/>
      <c r="Y741" s="194"/>
      <c r="Z741" s="194"/>
      <c r="AA741" s="194"/>
    </row>
    <row r="742" ht="15.75" customHeight="1">
      <c r="A742" s="241"/>
      <c r="B742" s="224"/>
      <c r="C742" s="220"/>
      <c r="D742" s="221"/>
      <c r="E742" s="222"/>
      <c r="F742" s="223"/>
      <c r="G742" s="143"/>
      <c r="H742" s="143"/>
      <c r="I742" s="143"/>
      <c r="J742" s="143"/>
      <c r="K742" s="182"/>
      <c r="L742" s="143"/>
      <c r="M742" s="182"/>
      <c r="N742" s="149"/>
      <c r="O742" s="189"/>
      <c r="P742" s="149"/>
      <c r="Q742" s="149"/>
      <c r="R742" s="189"/>
      <c r="S742" s="149"/>
      <c r="T742" s="189"/>
      <c r="U742" s="194"/>
      <c r="V742" s="194"/>
      <c r="W742" s="194"/>
      <c r="X742" s="194"/>
      <c r="Y742" s="194"/>
      <c r="Z742" s="194"/>
      <c r="AA742" s="194"/>
    </row>
    <row r="743" ht="15.75" customHeight="1">
      <c r="A743" s="241"/>
      <c r="B743" s="224"/>
      <c r="C743" s="220"/>
      <c r="D743" s="221"/>
      <c r="E743" s="222"/>
      <c r="F743" s="223"/>
      <c r="G743" s="143"/>
      <c r="H743" s="143"/>
      <c r="I743" s="143"/>
      <c r="J743" s="143"/>
      <c r="K743" s="182"/>
      <c r="L743" s="143"/>
      <c r="M743" s="182"/>
      <c r="N743" s="149"/>
      <c r="O743" s="189"/>
      <c r="P743" s="149"/>
      <c r="Q743" s="149"/>
      <c r="R743" s="189"/>
      <c r="S743" s="149"/>
      <c r="T743" s="189"/>
      <c r="U743" s="194"/>
      <c r="V743" s="194"/>
      <c r="W743" s="194"/>
      <c r="X743" s="194"/>
      <c r="Y743" s="194"/>
      <c r="Z743" s="194"/>
      <c r="AA743" s="194"/>
    </row>
    <row r="744" ht="15.75" customHeight="1">
      <c r="A744" s="241"/>
      <c r="B744" s="224"/>
      <c r="C744" s="220"/>
      <c r="D744" s="221"/>
      <c r="E744" s="222"/>
      <c r="F744" s="223"/>
      <c r="G744" s="143"/>
      <c r="H744" s="143"/>
      <c r="I744" s="143"/>
      <c r="J744" s="143"/>
      <c r="K744" s="182"/>
      <c r="L744" s="143"/>
      <c r="M744" s="182"/>
      <c r="N744" s="149"/>
      <c r="O744" s="189"/>
      <c r="P744" s="149"/>
      <c r="Q744" s="149"/>
      <c r="R744" s="189"/>
      <c r="S744" s="149"/>
      <c r="T744" s="189"/>
      <c r="U744" s="194"/>
      <c r="V744" s="194"/>
      <c r="W744" s="194"/>
      <c r="X744" s="194"/>
      <c r="Y744" s="194"/>
      <c r="Z744" s="194"/>
      <c r="AA744" s="194"/>
    </row>
    <row r="745" ht="15.75" customHeight="1">
      <c r="A745" s="241"/>
      <c r="B745" s="224"/>
      <c r="C745" s="220"/>
      <c r="D745" s="221"/>
      <c r="E745" s="222"/>
      <c r="F745" s="223"/>
      <c r="G745" s="143"/>
      <c r="H745" s="143"/>
      <c r="I745" s="143"/>
      <c r="J745" s="143"/>
      <c r="K745" s="182"/>
      <c r="L745" s="143"/>
      <c r="M745" s="182"/>
      <c r="N745" s="149"/>
      <c r="O745" s="189"/>
      <c r="P745" s="149"/>
      <c r="Q745" s="149"/>
      <c r="R745" s="189"/>
      <c r="S745" s="149"/>
      <c r="T745" s="189"/>
      <c r="U745" s="194"/>
      <c r="V745" s="194"/>
      <c r="W745" s="194"/>
      <c r="X745" s="194"/>
      <c r="Y745" s="194"/>
      <c r="Z745" s="194"/>
      <c r="AA745" s="194"/>
    </row>
    <row r="746" ht="15.75" customHeight="1">
      <c r="A746" s="241"/>
      <c r="B746" s="224"/>
      <c r="C746" s="220"/>
      <c r="D746" s="221"/>
      <c r="E746" s="222"/>
      <c r="F746" s="223"/>
      <c r="G746" s="143"/>
      <c r="H746" s="143"/>
      <c r="I746" s="143"/>
      <c r="J746" s="143"/>
      <c r="K746" s="182"/>
      <c r="L746" s="143"/>
      <c r="M746" s="182"/>
      <c r="N746" s="149"/>
      <c r="O746" s="189"/>
      <c r="P746" s="149"/>
      <c r="Q746" s="149"/>
      <c r="R746" s="189"/>
      <c r="S746" s="149"/>
      <c r="T746" s="189"/>
      <c r="U746" s="194"/>
      <c r="V746" s="194"/>
      <c r="W746" s="194"/>
      <c r="X746" s="194"/>
      <c r="Y746" s="194"/>
      <c r="Z746" s="194"/>
      <c r="AA746" s="194"/>
    </row>
    <row r="747" ht="15.75" customHeight="1">
      <c r="A747" s="241"/>
      <c r="B747" s="224"/>
      <c r="C747" s="220"/>
      <c r="D747" s="221"/>
      <c r="E747" s="222"/>
      <c r="F747" s="223"/>
      <c r="G747" s="143"/>
      <c r="H747" s="143"/>
      <c r="I747" s="143"/>
      <c r="J747" s="143"/>
      <c r="K747" s="182"/>
      <c r="L747" s="143"/>
      <c r="M747" s="182"/>
      <c r="N747" s="149"/>
      <c r="O747" s="189"/>
      <c r="P747" s="149"/>
      <c r="Q747" s="149"/>
      <c r="R747" s="189"/>
      <c r="S747" s="149"/>
      <c r="T747" s="189"/>
      <c r="U747" s="194"/>
      <c r="V747" s="194"/>
      <c r="W747" s="194"/>
      <c r="X747" s="194"/>
      <c r="Y747" s="194"/>
      <c r="Z747" s="194"/>
      <c r="AA747" s="194"/>
    </row>
    <row r="748" ht="15.75" customHeight="1">
      <c r="A748" s="241"/>
      <c r="B748" s="224"/>
      <c r="C748" s="220"/>
      <c r="D748" s="221"/>
      <c r="E748" s="222"/>
      <c r="F748" s="223"/>
      <c r="G748" s="143"/>
      <c r="H748" s="143"/>
      <c r="I748" s="143"/>
      <c r="J748" s="143"/>
      <c r="K748" s="182"/>
      <c r="L748" s="143"/>
      <c r="M748" s="182"/>
      <c r="N748" s="149"/>
      <c r="O748" s="189"/>
      <c r="P748" s="149"/>
      <c r="Q748" s="149"/>
      <c r="R748" s="189"/>
      <c r="S748" s="149"/>
      <c r="T748" s="189"/>
      <c r="U748" s="194"/>
      <c r="V748" s="194"/>
      <c r="W748" s="194"/>
      <c r="X748" s="194"/>
      <c r="Y748" s="194"/>
      <c r="Z748" s="194"/>
      <c r="AA748" s="194"/>
    </row>
    <row r="749" ht="15.75" customHeight="1">
      <c r="A749" s="241"/>
      <c r="B749" s="224"/>
      <c r="C749" s="220"/>
      <c r="D749" s="221"/>
      <c r="E749" s="222"/>
      <c r="F749" s="223"/>
      <c r="G749" s="143"/>
      <c r="H749" s="143"/>
      <c r="I749" s="143"/>
      <c r="J749" s="143"/>
      <c r="K749" s="182"/>
      <c r="L749" s="143"/>
      <c r="M749" s="182"/>
      <c r="N749" s="149"/>
      <c r="O749" s="189"/>
      <c r="P749" s="149"/>
      <c r="Q749" s="149"/>
      <c r="R749" s="189"/>
      <c r="S749" s="149"/>
      <c r="T749" s="189"/>
      <c r="U749" s="194"/>
      <c r="V749" s="194"/>
      <c r="W749" s="194"/>
      <c r="X749" s="194"/>
      <c r="Y749" s="194"/>
      <c r="Z749" s="194"/>
      <c r="AA749" s="194"/>
    </row>
    <row r="750" ht="15.75" customHeight="1">
      <c r="A750" s="241"/>
      <c r="B750" s="224"/>
      <c r="C750" s="220"/>
      <c r="D750" s="221"/>
      <c r="E750" s="222"/>
      <c r="F750" s="223"/>
      <c r="G750" s="143"/>
      <c r="H750" s="143"/>
      <c r="I750" s="143"/>
      <c r="J750" s="143"/>
      <c r="K750" s="182"/>
      <c r="L750" s="143"/>
      <c r="M750" s="182"/>
      <c r="N750" s="149"/>
      <c r="O750" s="189"/>
      <c r="P750" s="149"/>
      <c r="Q750" s="149"/>
      <c r="R750" s="189"/>
      <c r="S750" s="149"/>
      <c r="T750" s="189"/>
      <c r="U750" s="194"/>
      <c r="V750" s="194"/>
      <c r="W750" s="194"/>
      <c r="X750" s="194"/>
      <c r="Y750" s="194"/>
      <c r="Z750" s="194"/>
      <c r="AA750" s="194"/>
    </row>
    <row r="751" ht="15.75" customHeight="1">
      <c r="A751" s="241"/>
      <c r="B751" s="224"/>
      <c r="C751" s="220"/>
      <c r="D751" s="221"/>
      <c r="E751" s="222"/>
      <c r="F751" s="223"/>
      <c r="G751" s="143"/>
      <c r="H751" s="143"/>
      <c r="I751" s="143"/>
      <c r="J751" s="143"/>
      <c r="K751" s="182"/>
      <c r="L751" s="143"/>
      <c r="M751" s="182"/>
      <c r="N751" s="149"/>
      <c r="O751" s="189"/>
      <c r="P751" s="149"/>
      <c r="Q751" s="149"/>
      <c r="R751" s="189"/>
      <c r="S751" s="149"/>
      <c r="T751" s="189"/>
      <c r="U751" s="194"/>
      <c r="V751" s="194"/>
      <c r="W751" s="194"/>
      <c r="X751" s="194"/>
      <c r="Y751" s="194"/>
      <c r="Z751" s="194"/>
      <c r="AA751" s="194"/>
    </row>
    <row r="752" ht="15.75" customHeight="1">
      <c r="A752" s="241"/>
      <c r="B752" s="224"/>
      <c r="C752" s="220"/>
      <c r="D752" s="221"/>
      <c r="E752" s="222"/>
      <c r="F752" s="223"/>
      <c r="G752" s="143"/>
      <c r="H752" s="143"/>
      <c r="I752" s="143"/>
      <c r="J752" s="143"/>
      <c r="K752" s="182"/>
      <c r="L752" s="143"/>
      <c r="M752" s="182"/>
      <c r="N752" s="149"/>
      <c r="O752" s="189"/>
      <c r="P752" s="149"/>
      <c r="Q752" s="149"/>
      <c r="R752" s="189"/>
      <c r="S752" s="149"/>
      <c r="T752" s="189"/>
      <c r="U752" s="194"/>
      <c r="V752" s="194"/>
      <c r="W752" s="194"/>
      <c r="X752" s="194"/>
      <c r="Y752" s="194"/>
      <c r="Z752" s="194"/>
      <c r="AA752" s="194"/>
    </row>
    <row r="753" ht="15.75" customHeight="1">
      <c r="A753" s="241"/>
      <c r="B753" s="224"/>
      <c r="C753" s="220"/>
      <c r="D753" s="221"/>
      <c r="E753" s="222"/>
      <c r="F753" s="223"/>
      <c r="G753" s="143"/>
      <c r="H753" s="143"/>
      <c r="I753" s="143"/>
      <c r="J753" s="143"/>
      <c r="K753" s="182"/>
      <c r="L753" s="143"/>
      <c r="M753" s="182"/>
      <c r="N753" s="149"/>
      <c r="O753" s="189"/>
      <c r="P753" s="149"/>
      <c r="Q753" s="149"/>
      <c r="R753" s="189"/>
      <c r="S753" s="149"/>
      <c r="T753" s="189"/>
      <c r="U753" s="194"/>
      <c r="V753" s="194"/>
      <c r="W753" s="194"/>
      <c r="X753" s="194"/>
      <c r="Y753" s="194"/>
      <c r="Z753" s="194"/>
      <c r="AA753" s="194"/>
    </row>
    <row r="754" ht="15.75" customHeight="1">
      <c r="A754" s="241"/>
      <c r="B754" s="224"/>
      <c r="C754" s="220"/>
      <c r="D754" s="221"/>
      <c r="E754" s="222"/>
      <c r="F754" s="223"/>
      <c r="G754" s="143"/>
      <c r="H754" s="143"/>
      <c r="I754" s="143"/>
      <c r="J754" s="143"/>
      <c r="K754" s="182"/>
      <c r="L754" s="143"/>
      <c r="M754" s="182"/>
      <c r="N754" s="149"/>
      <c r="O754" s="189"/>
      <c r="P754" s="149"/>
      <c r="Q754" s="149"/>
      <c r="R754" s="189"/>
      <c r="S754" s="149"/>
      <c r="T754" s="189"/>
      <c r="U754" s="194"/>
      <c r="V754" s="194"/>
      <c r="W754" s="194"/>
      <c r="X754" s="194"/>
      <c r="Y754" s="194"/>
      <c r="Z754" s="194"/>
      <c r="AA754" s="194"/>
    </row>
    <row r="755" ht="15.75" customHeight="1">
      <c r="A755" s="241"/>
      <c r="B755" s="224"/>
      <c r="C755" s="220"/>
      <c r="D755" s="221"/>
      <c r="E755" s="222"/>
      <c r="F755" s="223"/>
      <c r="G755" s="143"/>
      <c r="H755" s="143"/>
      <c r="I755" s="143"/>
      <c r="J755" s="143"/>
      <c r="K755" s="182"/>
      <c r="L755" s="143"/>
      <c r="M755" s="182"/>
      <c r="N755" s="149"/>
      <c r="O755" s="189"/>
      <c r="P755" s="149"/>
      <c r="Q755" s="149"/>
      <c r="R755" s="189"/>
      <c r="S755" s="149"/>
      <c r="T755" s="189"/>
      <c r="U755" s="194"/>
      <c r="V755" s="194"/>
      <c r="W755" s="194"/>
      <c r="X755" s="194"/>
      <c r="Y755" s="194"/>
      <c r="Z755" s="194"/>
      <c r="AA755" s="194"/>
    </row>
    <row r="756" ht="15.75" customHeight="1">
      <c r="A756" s="241"/>
      <c r="B756" s="224"/>
      <c r="C756" s="220"/>
      <c r="D756" s="221"/>
      <c r="E756" s="222"/>
      <c r="F756" s="223"/>
      <c r="G756" s="143"/>
      <c r="H756" s="143"/>
      <c r="I756" s="143"/>
      <c r="J756" s="143"/>
      <c r="K756" s="182"/>
      <c r="L756" s="143"/>
      <c r="M756" s="182"/>
      <c r="N756" s="149"/>
      <c r="O756" s="189"/>
      <c r="P756" s="149"/>
      <c r="Q756" s="149"/>
      <c r="R756" s="189"/>
      <c r="S756" s="149"/>
      <c r="T756" s="189"/>
      <c r="U756" s="194"/>
      <c r="V756" s="194"/>
      <c r="W756" s="194"/>
      <c r="X756" s="194"/>
      <c r="Y756" s="194"/>
      <c r="Z756" s="194"/>
      <c r="AA756" s="194"/>
    </row>
    <row r="757" ht="15.75" customHeight="1">
      <c r="A757" s="241"/>
      <c r="B757" s="224"/>
      <c r="C757" s="220"/>
      <c r="D757" s="221"/>
      <c r="E757" s="222"/>
      <c r="F757" s="223"/>
      <c r="G757" s="143"/>
      <c r="H757" s="143"/>
      <c r="I757" s="143"/>
      <c r="J757" s="143"/>
      <c r="K757" s="182"/>
      <c r="L757" s="143"/>
      <c r="M757" s="182"/>
      <c r="N757" s="149"/>
      <c r="O757" s="189"/>
      <c r="P757" s="149"/>
      <c r="Q757" s="149"/>
      <c r="R757" s="189"/>
      <c r="S757" s="149"/>
      <c r="T757" s="189"/>
      <c r="U757" s="194"/>
      <c r="V757" s="194"/>
      <c r="W757" s="194"/>
      <c r="X757" s="194"/>
      <c r="Y757" s="194"/>
      <c r="Z757" s="194"/>
      <c r="AA757" s="194"/>
    </row>
    <row r="758" ht="15.75" customHeight="1">
      <c r="A758" s="241"/>
      <c r="B758" s="224"/>
      <c r="C758" s="220"/>
      <c r="D758" s="221"/>
      <c r="E758" s="222"/>
      <c r="F758" s="223"/>
      <c r="G758" s="143"/>
      <c r="H758" s="143"/>
      <c r="I758" s="143"/>
      <c r="J758" s="143"/>
      <c r="K758" s="182"/>
      <c r="L758" s="143"/>
      <c r="M758" s="182"/>
      <c r="N758" s="149"/>
      <c r="O758" s="189"/>
      <c r="P758" s="149"/>
      <c r="Q758" s="149"/>
      <c r="R758" s="189"/>
      <c r="S758" s="149"/>
      <c r="T758" s="189"/>
      <c r="U758" s="194"/>
      <c r="V758" s="194"/>
      <c r="W758" s="194"/>
      <c r="X758" s="194"/>
      <c r="Y758" s="194"/>
      <c r="Z758" s="194"/>
      <c r="AA758" s="194"/>
    </row>
    <row r="759" ht="15.75" customHeight="1">
      <c r="A759" s="241"/>
      <c r="B759" s="224"/>
      <c r="C759" s="220"/>
      <c r="D759" s="221"/>
      <c r="E759" s="222"/>
      <c r="F759" s="223"/>
      <c r="G759" s="143"/>
      <c r="H759" s="143"/>
      <c r="I759" s="143"/>
      <c r="J759" s="143"/>
      <c r="K759" s="182"/>
      <c r="L759" s="143"/>
      <c r="M759" s="182"/>
      <c r="N759" s="149"/>
      <c r="O759" s="189"/>
      <c r="P759" s="149"/>
      <c r="Q759" s="149"/>
      <c r="R759" s="189"/>
      <c r="S759" s="149"/>
      <c r="T759" s="189"/>
      <c r="U759" s="194"/>
      <c r="V759" s="194"/>
      <c r="W759" s="194"/>
      <c r="X759" s="194"/>
      <c r="Y759" s="194"/>
      <c r="Z759" s="194"/>
      <c r="AA759" s="194"/>
    </row>
    <row r="760" ht="15.75" customHeight="1">
      <c r="A760" s="241"/>
      <c r="B760" s="224"/>
      <c r="C760" s="220"/>
      <c r="D760" s="221"/>
      <c r="E760" s="222"/>
      <c r="F760" s="223"/>
      <c r="G760" s="143"/>
      <c r="H760" s="143"/>
      <c r="I760" s="143"/>
      <c r="J760" s="143"/>
      <c r="K760" s="182"/>
      <c r="L760" s="143"/>
      <c r="M760" s="182"/>
      <c r="N760" s="149"/>
      <c r="O760" s="189"/>
      <c r="P760" s="149"/>
      <c r="Q760" s="149"/>
      <c r="R760" s="189"/>
      <c r="S760" s="149"/>
      <c r="T760" s="189"/>
      <c r="U760" s="194"/>
      <c r="V760" s="194"/>
      <c r="W760" s="194"/>
      <c r="X760" s="194"/>
      <c r="Y760" s="194"/>
      <c r="Z760" s="194"/>
      <c r="AA760" s="194"/>
    </row>
    <row r="761" ht="15.75" customHeight="1">
      <c r="A761" s="241"/>
      <c r="B761" s="224"/>
      <c r="C761" s="220"/>
      <c r="D761" s="221"/>
      <c r="E761" s="222"/>
      <c r="F761" s="223"/>
      <c r="G761" s="143"/>
      <c r="H761" s="143"/>
      <c r="I761" s="143"/>
      <c r="J761" s="143"/>
      <c r="K761" s="182"/>
      <c r="L761" s="143"/>
      <c r="M761" s="182"/>
      <c r="N761" s="149"/>
      <c r="O761" s="189"/>
      <c r="P761" s="149"/>
      <c r="Q761" s="149"/>
      <c r="R761" s="189"/>
      <c r="S761" s="149"/>
      <c r="T761" s="189"/>
      <c r="U761" s="194"/>
      <c r="V761" s="194"/>
      <c r="W761" s="194"/>
      <c r="X761" s="194"/>
      <c r="Y761" s="194"/>
      <c r="Z761" s="194"/>
      <c r="AA761" s="194"/>
    </row>
    <row r="762" ht="15.75" customHeight="1">
      <c r="A762" s="241"/>
      <c r="B762" s="224"/>
      <c r="C762" s="220"/>
      <c r="D762" s="221"/>
      <c r="E762" s="222"/>
      <c r="F762" s="223"/>
      <c r="G762" s="143"/>
      <c r="H762" s="143"/>
      <c r="I762" s="143"/>
      <c r="J762" s="143"/>
      <c r="K762" s="182"/>
      <c r="L762" s="143"/>
      <c r="M762" s="182"/>
      <c r="N762" s="149"/>
      <c r="O762" s="189"/>
      <c r="P762" s="149"/>
      <c r="Q762" s="149"/>
      <c r="R762" s="189"/>
      <c r="S762" s="149"/>
      <c r="T762" s="189"/>
      <c r="U762" s="194"/>
      <c r="V762" s="194"/>
      <c r="W762" s="194"/>
      <c r="X762" s="194"/>
      <c r="Y762" s="194"/>
      <c r="Z762" s="194"/>
      <c r="AA762" s="194"/>
    </row>
    <row r="763" ht="15.75" customHeight="1">
      <c r="A763" s="241"/>
      <c r="B763" s="224"/>
      <c r="C763" s="220"/>
      <c r="D763" s="221"/>
      <c r="E763" s="222"/>
      <c r="F763" s="223"/>
      <c r="G763" s="143"/>
      <c r="H763" s="143"/>
      <c r="I763" s="143"/>
      <c r="J763" s="143"/>
      <c r="K763" s="182"/>
      <c r="L763" s="143"/>
      <c r="M763" s="182"/>
      <c r="N763" s="149"/>
      <c r="O763" s="189"/>
      <c r="P763" s="149"/>
      <c r="Q763" s="149"/>
      <c r="R763" s="189"/>
      <c r="S763" s="149"/>
      <c r="T763" s="189"/>
      <c r="U763" s="194"/>
      <c r="V763" s="194"/>
      <c r="W763" s="194"/>
      <c r="X763" s="194"/>
      <c r="Y763" s="194"/>
      <c r="Z763" s="194"/>
      <c r="AA763" s="194"/>
    </row>
    <row r="764" ht="15.75" customHeight="1">
      <c r="A764" s="241"/>
      <c r="B764" s="224"/>
      <c r="C764" s="220"/>
      <c r="D764" s="221"/>
      <c r="E764" s="222"/>
      <c r="F764" s="223"/>
      <c r="G764" s="143"/>
      <c r="H764" s="143"/>
      <c r="I764" s="143"/>
      <c r="J764" s="143"/>
      <c r="K764" s="182"/>
      <c r="L764" s="143"/>
      <c r="M764" s="182"/>
      <c r="N764" s="149"/>
      <c r="O764" s="189"/>
      <c r="P764" s="149"/>
      <c r="Q764" s="149"/>
      <c r="R764" s="189"/>
      <c r="S764" s="149"/>
      <c r="T764" s="189"/>
      <c r="U764" s="194"/>
      <c r="V764" s="194"/>
      <c r="W764" s="194"/>
      <c r="X764" s="194"/>
      <c r="Y764" s="194"/>
      <c r="Z764" s="194"/>
      <c r="AA764" s="194"/>
    </row>
    <row r="765" ht="15.75" customHeight="1">
      <c r="A765" s="241"/>
      <c r="B765" s="224"/>
      <c r="C765" s="220"/>
      <c r="D765" s="221"/>
      <c r="E765" s="222"/>
      <c r="F765" s="223"/>
      <c r="G765" s="143"/>
      <c r="H765" s="143"/>
      <c r="I765" s="143"/>
      <c r="J765" s="143"/>
      <c r="K765" s="182"/>
      <c r="L765" s="143"/>
      <c r="M765" s="182"/>
      <c r="N765" s="149"/>
      <c r="O765" s="189"/>
      <c r="P765" s="149"/>
      <c r="Q765" s="149"/>
      <c r="R765" s="189"/>
      <c r="S765" s="149"/>
      <c r="T765" s="189"/>
      <c r="U765" s="194"/>
      <c r="V765" s="194"/>
      <c r="W765" s="194"/>
      <c r="X765" s="194"/>
      <c r="Y765" s="194"/>
      <c r="Z765" s="194"/>
      <c r="AA765" s="194"/>
    </row>
    <row r="766" ht="15.75" customHeight="1">
      <c r="A766" s="241"/>
      <c r="B766" s="224"/>
      <c r="C766" s="220"/>
      <c r="D766" s="221"/>
      <c r="E766" s="222"/>
      <c r="F766" s="223"/>
      <c r="G766" s="143"/>
      <c r="H766" s="143"/>
      <c r="I766" s="143"/>
      <c r="J766" s="143"/>
      <c r="K766" s="182"/>
      <c r="L766" s="143"/>
      <c r="M766" s="182"/>
      <c r="N766" s="149"/>
      <c r="O766" s="189"/>
      <c r="P766" s="149"/>
      <c r="Q766" s="149"/>
      <c r="R766" s="189"/>
      <c r="S766" s="149"/>
      <c r="T766" s="189"/>
      <c r="U766" s="194"/>
      <c r="V766" s="194"/>
      <c r="W766" s="194"/>
      <c r="X766" s="194"/>
      <c r="Y766" s="194"/>
      <c r="Z766" s="194"/>
      <c r="AA766" s="194"/>
    </row>
    <row r="767" ht="15.75" customHeight="1">
      <c r="A767" s="241"/>
      <c r="B767" s="224"/>
      <c r="C767" s="220"/>
      <c r="D767" s="221"/>
      <c r="E767" s="222"/>
      <c r="F767" s="223"/>
      <c r="G767" s="143"/>
      <c r="H767" s="143"/>
      <c r="I767" s="143"/>
      <c r="J767" s="143"/>
      <c r="K767" s="182"/>
      <c r="L767" s="143"/>
      <c r="M767" s="182"/>
      <c r="N767" s="149"/>
      <c r="O767" s="189"/>
      <c r="P767" s="149"/>
      <c r="Q767" s="149"/>
      <c r="R767" s="189"/>
      <c r="S767" s="149"/>
      <c r="T767" s="189"/>
      <c r="U767" s="194"/>
      <c r="V767" s="194"/>
      <c r="W767" s="194"/>
      <c r="X767" s="194"/>
      <c r="Y767" s="194"/>
      <c r="Z767" s="194"/>
      <c r="AA767" s="194"/>
    </row>
    <row r="768" ht="15.75" customHeight="1">
      <c r="A768" s="241"/>
      <c r="B768" s="224"/>
      <c r="C768" s="220"/>
      <c r="D768" s="221"/>
      <c r="E768" s="222"/>
      <c r="F768" s="223"/>
      <c r="G768" s="143"/>
      <c r="H768" s="143"/>
      <c r="I768" s="143"/>
      <c r="J768" s="143"/>
      <c r="K768" s="182"/>
      <c r="L768" s="143"/>
      <c r="M768" s="182"/>
      <c r="N768" s="149"/>
      <c r="O768" s="189"/>
      <c r="P768" s="149"/>
      <c r="Q768" s="149"/>
      <c r="R768" s="189"/>
      <c r="S768" s="149"/>
      <c r="T768" s="189"/>
      <c r="U768" s="194"/>
      <c r="V768" s="194"/>
      <c r="W768" s="194"/>
      <c r="X768" s="194"/>
      <c r="Y768" s="194"/>
      <c r="Z768" s="194"/>
      <c r="AA768" s="194"/>
    </row>
    <row r="769" ht="15.75" customHeight="1">
      <c r="A769" s="241"/>
      <c r="B769" s="224"/>
      <c r="C769" s="220"/>
      <c r="D769" s="221"/>
      <c r="E769" s="222"/>
      <c r="F769" s="223"/>
      <c r="G769" s="143"/>
      <c r="H769" s="143"/>
      <c r="I769" s="143"/>
      <c r="J769" s="143"/>
      <c r="K769" s="182"/>
      <c r="L769" s="143"/>
      <c r="M769" s="182"/>
      <c r="N769" s="149"/>
      <c r="O769" s="189"/>
      <c r="P769" s="149"/>
      <c r="Q769" s="149"/>
      <c r="R769" s="189"/>
      <c r="S769" s="149"/>
      <c r="T769" s="189"/>
      <c r="U769" s="194"/>
      <c r="V769" s="194"/>
      <c r="W769" s="194"/>
      <c r="X769" s="194"/>
      <c r="Y769" s="194"/>
      <c r="Z769" s="194"/>
      <c r="AA769" s="194"/>
    </row>
    <row r="770" ht="15.75" customHeight="1">
      <c r="A770" s="241"/>
      <c r="B770" s="224"/>
      <c r="C770" s="220"/>
      <c r="D770" s="221"/>
      <c r="E770" s="222"/>
      <c r="F770" s="223"/>
      <c r="G770" s="143"/>
      <c r="H770" s="143"/>
      <c r="I770" s="143"/>
      <c r="J770" s="143"/>
      <c r="K770" s="182"/>
      <c r="L770" s="143"/>
      <c r="M770" s="182"/>
      <c r="N770" s="149"/>
      <c r="O770" s="189"/>
      <c r="P770" s="149"/>
      <c r="Q770" s="149"/>
      <c r="R770" s="189"/>
      <c r="S770" s="149"/>
      <c r="T770" s="189"/>
      <c r="U770" s="194"/>
      <c r="V770" s="194"/>
      <c r="W770" s="194"/>
      <c r="X770" s="194"/>
      <c r="Y770" s="194"/>
      <c r="Z770" s="194"/>
      <c r="AA770" s="194"/>
    </row>
    <row r="771" ht="15.75" customHeight="1">
      <c r="A771" s="241"/>
      <c r="B771" s="224"/>
      <c r="C771" s="220"/>
      <c r="D771" s="221"/>
      <c r="E771" s="222"/>
      <c r="F771" s="223"/>
      <c r="G771" s="143"/>
      <c r="H771" s="143"/>
      <c r="I771" s="143"/>
      <c r="J771" s="143"/>
      <c r="K771" s="182"/>
      <c r="L771" s="143"/>
      <c r="M771" s="182"/>
      <c r="N771" s="149"/>
      <c r="O771" s="189"/>
      <c r="P771" s="149"/>
      <c r="Q771" s="149"/>
      <c r="R771" s="189"/>
      <c r="S771" s="149"/>
      <c r="T771" s="189"/>
      <c r="U771" s="194"/>
      <c r="V771" s="194"/>
      <c r="W771" s="194"/>
      <c r="X771" s="194"/>
      <c r="Y771" s="194"/>
      <c r="Z771" s="194"/>
      <c r="AA771" s="194"/>
    </row>
    <row r="772" ht="15.75" customHeight="1">
      <c r="A772" s="241"/>
      <c r="B772" s="224"/>
      <c r="C772" s="220"/>
      <c r="D772" s="221"/>
      <c r="E772" s="222"/>
      <c r="F772" s="223"/>
      <c r="G772" s="143"/>
      <c r="H772" s="143"/>
      <c r="I772" s="143"/>
      <c r="J772" s="143"/>
      <c r="K772" s="182"/>
      <c r="L772" s="143"/>
      <c r="M772" s="182"/>
      <c r="N772" s="149"/>
      <c r="O772" s="189"/>
      <c r="P772" s="149"/>
      <c r="Q772" s="149"/>
      <c r="R772" s="189"/>
      <c r="S772" s="149"/>
      <c r="T772" s="189"/>
      <c r="U772" s="194"/>
      <c r="V772" s="194"/>
      <c r="W772" s="194"/>
      <c r="X772" s="194"/>
      <c r="Y772" s="194"/>
      <c r="Z772" s="194"/>
      <c r="AA772" s="194"/>
    </row>
    <row r="773" ht="15.75" customHeight="1">
      <c r="A773" s="241"/>
      <c r="B773" s="224"/>
      <c r="C773" s="220"/>
      <c r="D773" s="221"/>
      <c r="E773" s="222"/>
      <c r="F773" s="223"/>
      <c r="G773" s="143"/>
      <c r="H773" s="143"/>
      <c r="I773" s="143"/>
      <c r="J773" s="143"/>
      <c r="K773" s="182"/>
      <c r="L773" s="143"/>
      <c r="M773" s="182"/>
      <c r="N773" s="149"/>
      <c r="O773" s="189"/>
      <c r="P773" s="149"/>
      <c r="Q773" s="149"/>
      <c r="R773" s="189"/>
      <c r="S773" s="149"/>
      <c r="T773" s="189"/>
      <c r="U773" s="194"/>
      <c r="V773" s="194"/>
      <c r="W773" s="194"/>
      <c r="X773" s="194"/>
      <c r="Y773" s="194"/>
      <c r="Z773" s="194"/>
      <c r="AA773" s="194"/>
    </row>
    <row r="774" ht="15.75" customHeight="1">
      <c r="A774" s="241"/>
      <c r="B774" s="224"/>
      <c r="C774" s="220"/>
      <c r="D774" s="221"/>
      <c r="E774" s="222"/>
      <c r="F774" s="223"/>
      <c r="G774" s="143"/>
      <c r="H774" s="143"/>
      <c r="I774" s="143"/>
      <c r="J774" s="143"/>
      <c r="K774" s="182"/>
      <c r="L774" s="143"/>
      <c r="M774" s="182"/>
      <c r="N774" s="149"/>
      <c r="O774" s="189"/>
      <c r="P774" s="149"/>
      <c r="Q774" s="149"/>
      <c r="R774" s="189"/>
      <c r="S774" s="149"/>
      <c r="T774" s="189"/>
      <c r="U774" s="194"/>
      <c r="V774" s="194"/>
      <c r="W774" s="194"/>
      <c r="X774" s="194"/>
      <c r="Y774" s="194"/>
      <c r="Z774" s="194"/>
      <c r="AA774" s="194"/>
    </row>
    <row r="775" ht="15.75" customHeight="1">
      <c r="A775" s="241"/>
      <c r="B775" s="224"/>
      <c r="C775" s="220"/>
      <c r="D775" s="221"/>
      <c r="E775" s="222"/>
      <c r="F775" s="223"/>
      <c r="G775" s="143"/>
      <c r="H775" s="143"/>
      <c r="I775" s="143"/>
      <c r="J775" s="143"/>
      <c r="K775" s="182"/>
      <c r="L775" s="143"/>
      <c r="M775" s="182"/>
      <c r="N775" s="149"/>
      <c r="O775" s="189"/>
      <c r="P775" s="149"/>
      <c r="Q775" s="149"/>
      <c r="R775" s="189"/>
      <c r="S775" s="149"/>
      <c r="T775" s="189"/>
      <c r="U775" s="194"/>
      <c r="V775" s="194"/>
      <c r="W775" s="194"/>
      <c r="X775" s="194"/>
      <c r="Y775" s="194"/>
      <c r="Z775" s="194"/>
      <c r="AA775" s="194"/>
    </row>
    <row r="776" ht="15.75" customHeight="1">
      <c r="A776" s="241"/>
      <c r="B776" s="224"/>
      <c r="C776" s="220"/>
      <c r="D776" s="221"/>
      <c r="E776" s="222"/>
      <c r="F776" s="223"/>
      <c r="G776" s="143"/>
      <c r="H776" s="143"/>
      <c r="I776" s="143"/>
      <c r="J776" s="143"/>
      <c r="K776" s="182"/>
      <c r="L776" s="143"/>
      <c r="M776" s="182"/>
      <c r="N776" s="149"/>
      <c r="O776" s="189"/>
      <c r="P776" s="149"/>
      <c r="Q776" s="149"/>
      <c r="R776" s="189"/>
      <c r="S776" s="149"/>
      <c r="T776" s="189"/>
      <c r="U776" s="194"/>
      <c r="V776" s="194"/>
      <c r="W776" s="194"/>
      <c r="X776" s="194"/>
      <c r="Y776" s="194"/>
      <c r="Z776" s="194"/>
      <c r="AA776" s="194"/>
    </row>
    <row r="777" ht="15.75" customHeight="1">
      <c r="A777" s="241"/>
      <c r="B777" s="224"/>
      <c r="C777" s="220"/>
      <c r="D777" s="221"/>
      <c r="E777" s="222"/>
      <c r="F777" s="223"/>
      <c r="G777" s="143"/>
      <c r="H777" s="143"/>
      <c r="I777" s="143"/>
      <c r="J777" s="143"/>
      <c r="K777" s="182"/>
      <c r="L777" s="143"/>
      <c r="M777" s="182"/>
      <c r="N777" s="149"/>
      <c r="O777" s="189"/>
      <c r="P777" s="149"/>
      <c r="Q777" s="149"/>
      <c r="R777" s="189"/>
      <c r="S777" s="149"/>
      <c r="T777" s="189"/>
      <c r="U777" s="194"/>
      <c r="V777" s="194"/>
      <c r="W777" s="194"/>
      <c r="X777" s="194"/>
      <c r="Y777" s="194"/>
      <c r="Z777" s="194"/>
      <c r="AA777" s="194"/>
    </row>
    <row r="778" ht="15.75" customHeight="1">
      <c r="A778" s="241"/>
      <c r="B778" s="224"/>
      <c r="C778" s="220"/>
      <c r="D778" s="221"/>
      <c r="E778" s="222"/>
      <c r="F778" s="223"/>
      <c r="G778" s="143"/>
      <c r="H778" s="143"/>
      <c r="I778" s="143"/>
      <c r="J778" s="143"/>
      <c r="K778" s="182"/>
      <c r="L778" s="143"/>
      <c r="M778" s="182"/>
      <c r="N778" s="149"/>
      <c r="O778" s="189"/>
      <c r="P778" s="149"/>
      <c r="Q778" s="149"/>
      <c r="R778" s="189"/>
      <c r="S778" s="149"/>
      <c r="T778" s="189"/>
      <c r="U778" s="194"/>
      <c r="V778" s="194"/>
      <c r="W778" s="194"/>
      <c r="X778" s="194"/>
      <c r="Y778" s="194"/>
      <c r="Z778" s="194"/>
      <c r="AA778" s="194"/>
    </row>
    <row r="779" ht="15.75" customHeight="1">
      <c r="A779" s="241"/>
      <c r="B779" s="224"/>
      <c r="C779" s="220"/>
      <c r="D779" s="221"/>
      <c r="E779" s="222"/>
      <c r="F779" s="223"/>
      <c r="G779" s="143"/>
      <c r="H779" s="143"/>
      <c r="I779" s="143"/>
      <c r="J779" s="143"/>
      <c r="K779" s="182"/>
      <c r="L779" s="143"/>
      <c r="M779" s="182"/>
      <c r="N779" s="149"/>
      <c r="O779" s="189"/>
      <c r="P779" s="149"/>
      <c r="Q779" s="149"/>
      <c r="R779" s="189"/>
      <c r="S779" s="149"/>
      <c r="T779" s="189"/>
      <c r="U779" s="194"/>
      <c r="V779" s="194"/>
      <c r="W779" s="194"/>
      <c r="X779" s="194"/>
      <c r="Y779" s="194"/>
      <c r="Z779" s="194"/>
      <c r="AA779" s="194"/>
    </row>
    <row r="780" ht="15.75" customHeight="1">
      <c r="A780" s="241"/>
      <c r="B780" s="224"/>
      <c r="C780" s="220"/>
      <c r="D780" s="221"/>
      <c r="E780" s="222"/>
      <c r="F780" s="223"/>
      <c r="G780" s="143"/>
      <c r="H780" s="143"/>
      <c r="I780" s="143"/>
      <c r="J780" s="143"/>
      <c r="K780" s="182"/>
      <c r="L780" s="143"/>
      <c r="M780" s="182"/>
      <c r="N780" s="149"/>
      <c r="O780" s="189"/>
      <c r="P780" s="149"/>
      <c r="Q780" s="149"/>
      <c r="R780" s="189"/>
      <c r="S780" s="149"/>
      <c r="T780" s="189"/>
      <c r="U780" s="194"/>
      <c r="V780" s="194"/>
      <c r="W780" s="194"/>
      <c r="X780" s="194"/>
      <c r="Y780" s="194"/>
      <c r="Z780" s="194"/>
      <c r="AA780" s="194"/>
    </row>
    <row r="781" ht="15.75" customHeight="1">
      <c r="A781" s="241"/>
      <c r="B781" s="224"/>
      <c r="C781" s="220"/>
      <c r="D781" s="221"/>
      <c r="E781" s="222"/>
      <c r="F781" s="223"/>
      <c r="G781" s="143"/>
      <c r="H781" s="143"/>
      <c r="I781" s="143"/>
      <c r="J781" s="143"/>
      <c r="K781" s="182"/>
      <c r="L781" s="143"/>
      <c r="M781" s="182"/>
      <c r="N781" s="149"/>
      <c r="O781" s="189"/>
      <c r="P781" s="149"/>
      <c r="Q781" s="149"/>
      <c r="R781" s="189"/>
      <c r="S781" s="149"/>
      <c r="T781" s="189"/>
      <c r="U781" s="194"/>
      <c r="V781" s="194"/>
      <c r="W781" s="194"/>
      <c r="X781" s="194"/>
      <c r="Y781" s="194"/>
      <c r="Z781" s="194"/>
      <c r="AA781" s="194"/>
    </row>
    <row r="782" ht="15.75" customHeight="1">
      <c r="A782" s="241"/>
      <c r="B782" s="224"/>
      <c r="C782" s="220"/>
      <c r="D782" s="221"/>
      <c r="E782" s="222"/>
      <c r="F782" s="223"/>
      <c r="G782" s="143"/>
      <c r="H782" s="143"/>
      <c r="I782" s="143"/>
      <c r="J782" s="143"/>
      <c r="K782" s="182"/>
      <c r="L782" s="143"/>
      <c r="M782" s="182"/>
      <c r="N782" s="149"/>
      <c r="O782" s="189"/>
      <c r="P782" s="149"/>
      <c r="Q782" s="149"/>
      <c r="R782" s="189"/>
      <c r="S782" s="149"/>
      <c r="T782" s="189"/>
      <c r="U782" s="194"/>
      <c r="V782" s="194"/>
      <c r="W782" s="194"/>
      <c r="X782" s="194"/>
      <c r="Y782" s="194"/>
      <c r="Z782" s="194"/>
      <c r="AA782" s="194"/>
    </row>
    <row r="783" ht="15.75" customHeight="1">
      <c r="A783" s="241"/>
      <c r="B783" s="224"/>
      <c r="C783" s="220"/>
      <c r="D783" s="221"/>
      <c r="E783" s="222"/>
      <c r="F783" s="223"/>
      <c r="G783" s="143"/>
      <c r="H783" s="143"/>
      <c r="I783" s="143"/>
      <c r="J783" s="143"/>
      <c r="K783" s="182"/>
      <c r="L783" s="143"/>
      <c r="M783" s="182"/>
      <c r="N783" s="149"/>
      <c r="O783" s="189"/>
      <c r="P783" s="149"/>
      <c r="Q783" s="149"/>
      <c r="R783" s="189"/>
      <c r="S783" s="149"/>
      <c r="T783" s="189"/>
      <c r="U783" s="194"/>
      <c r="V783" s="194"/>
      <c r="W783" s="194"/>
      <c r="X783" s="194"/>
      <c r="Y783" s="194"/>
      <c r="Z783" s="194"/>
      <c r="AA783" s="194"/>
    </row>
    <row r="784" ht="15.75" customHeight="1">
      <c r="A784" s="241"/>
      <c r="B784" s="224"/>
      <c r="C784" s="220"/>
      <c r="D784" s="221"/>
      <c r="E784" s="222"/>
      <c r="F784" s="223"/>
      <c r="G784" s="143"/>
      <c r="H784" s="143"/>
      <c r="I784" s="143"/>
      <c r="J784" s="143"/>
      <c r="K784" s="182"/>
      <c r="L784" s="143"/>
      <c r="M784" s="182"/>
      <c r="N784" s="149"/>
      <c r="O784" s="189"/>
      <c r="P784" s="149"/>
      <c r="Q784" s="149"/>
      <c r="R784" s="189"/>
      <c r="S784" s="149"/>
      <c r="T784" s="189"/>
      <c r="U784" s="194"/>
      <c r="V784" s="194"/>
      <c r="W784" s="194"/>
      <c r="X784" s="194"/>
      <c r="Y784" s="194"/>
      <c r="Z784" s="194"/>
      <c r="AA784" s="194"/>
    </row>
    <row r="785" ht="15.75" customHeight="1">
      <c r="A785" s="241"/>
      <c r="B785" s="224"/>
      <c r="C785" s="220"/>
      <c r="D785" s="221"/>
      <c r="E785" s="222"/>
      <c r="F785" s="223"/>
      <c r="G785" s="143"/>
      <c r="H785" s="143"/>
      <c r="I785" s="143"/>
      <c r="J785" s="143"/>
      <c r="K785" s="182"/>
      <c r="L785" s="143"/>
      <c r="M785" s="182"/>
      <c r="N785" s="149"/>
      <c r="O785" s="189"/>
      <c r="P785" s="149"/>
      <c r="Q785" s="149"/>
      <c r="R785" s="189"/>
      <c r="S785" s="149"/>
      <c r="T785" s="189"/>
      <c r="U785" s="194"/>
      <c r="V785" s="194"/>
      <c r="W785" s="194"/>
      <c r="X785" s="194"/>
      <c r="Y785" s="194"/>
      <c r="Z785" s="194"/>
      <c r="AA785" s="194"/>
    </row>
    <row r="786" ht="15.75" customHeight="1">
      <c r="A786" s="241"/>
      <c r="B786" s="224"/>
      <c r="C786" s="220"/>
      <c r="D786" s="221"/>
      <c r="E786" s="222"/>
      <c r="F786" s="223"/>
      <c r="G786" s="143"/>
      <c r="H786" s="143"/>
      <c r="I786" s="143"/>
      <c r="J786" s="143"/>
      <c r="K786" s="182"/>
      <c r="L786" s="143"/>
      <c r="M786" s="182"/>
      <c r="N786" s="149"/>
      <c r="O786" s="189"/>
      <c r="P786" s="149"/>
      <c r="Q786" s="149"/>
      <c r="R786" s="189"/>
      <c r="S786" s="149"/>
      <c r="T786" s="189"/>
      <c r="U786" s="194"/>
      <c r="V786" s="194"/>
      <c r="W786" s="194"/>
      <c r="X786" s="194"/>
      <c r="Y786" s="194"/>
      <c r="Z786" s="194"/>
      <c r="AA786" s="194"/>
    </row>
    <row r="787" ht="15.75" customHeight="1">
      <c r="A787" s="241"/>
      <c r="B787" s="224"/>
      <c r="C787" s="220"/>
      <c r="D787" s="221"/>
      <c r="E787" s="222"/>
      <c r="F787" s="223"/>
      <c r="G787" s="143"/>
      <c r="H787" s="143"/>
      <c r="I787" s="143"/>
      <c r="J787" s="143"/>
      <c r="K787" s="182"/>
      <c r="L787" s="143"/>
      <c r="M787" s="182"/>
      <c r="N787" s="149"/>
      <c r="O787" s="189"/>
      <c r="P787" s="149"/>
      <c r="Q787" s="149"/>
      <c r="R787" s="189"/>
      <c r="S787" s="149"/>
      <c r="T787" s="189"/>
      <c r="U787" s="194"/>
      <c r="V787" s="194"/>
      <c r="W787" s="194"/>
      <c r="X787" s="194"/>
      <c r="Y787" s="194"/>
      <c r="Z787" s="194"/>
      <c r="AA787" s="194"/>
    </row>
    <row r="788" ht="15.75" customHeight="1">
      <c r="A788" s="241"/>
      <c r="B788" s="224"/>
      <c r="C788" s="220"/>
      <c r="D788" s="221"/>
      <c r="E788" s="222"/>
      <c r="F788" s="223"/>
      <c r="G788" s="143"/>
      <c r="H788" s="143"/>
      <c r="I788" s="143"/>
      <c r="J788" s="143"/>
      <c r="K788" s="182"/>
      <c r="L788" s="143"/>
      <c r="M788" s="182"/>
      <c r="N788" s="149"/>
      <c r="O788" s="189"/>
      <c r="P788" s="149"/>
      <c r="Q788" s="149"/>
      <c r="R788" s="189"/>
      <c r="S788" s="149"/>
      <c r="T788" s="189"/>
      <c r="U788" s="194"/>
      <c r="V788" s="194"/>
      <c r="W788" s="194"/>
      <c r="X788" s="194"/>
      <c r="Y788" s="194"/>
      <c r="Z788" s="194"/>
      <c r="AA788" s="194"/>
    </row>
    <row r="789" ht="15.75" customHeight="1">
      <c r="A789" s="241"/>
      <c r="B789" s="224"/>
      <c r="C789" s="220"/>
      <c r="D789" s="221"/>
      <c r="E789" s="222"/>
      <c r="F789" s="223"/>
      <c r="G789" s="143"/>
      <c r="H789" s="143"/>
      <c r="I789" s="143"/>
      <c r="J789" s="143"/>
      <c r="K789" s="182"/>
      <c r="L789" s="143"/>
      <c r="M789" s="182"/>
      <c r="N789" s="149"/>
      <c r="O789" s="189"/>
      <c r="P789" s="149"/>
      <c r="Q789" s="149"/>
      <c r="R789" s="189"/>
      <c r="S789" s="149"/>
      <c r="T789" s="189"/>
      <c r="U789" s="194"/>
      <c r="V789" s="194"/>
      <c r="W789" s="194"/>
      <c r="X789" s="194"/>
      <c r="Y789" s="194"/>
      <c r="Z789" s="194"/>
      <c r="AA789" s="194"/>
    </row>
    <row r="790" ht="15.75" customHeight="1">
      <c r="A790" s="241"/>
      <c r="B790" s="224"/>
      <c r="C790" s="220"/>
      <c r="D790" s="221"/>
      <c r="E790" s="222"/>
      <c r="F790" s="223"/>
      <c r="G790" s="143"/>
      <c r="H790" s="143"/>
      <c r="I790" s="143"/>
      <c r="J790" s="143"/>
      <c r="K790" s="182"/>
      <c r="L790" s="143"/>
      <c r="M790" s="182"/>
      <c r="N790" s="149"/>
      <c r="O790" s="189"/>
      <c r="P790" s="149"/>
      <c r="Q790" s="149"/>
      <c r="R790" s="189"/>
      <c r="S790" s="149"/>
      <c r="T790" s="189"/>
      <c r="U790" s="194"/>
      <c r="V790" s="194"/>
      <c r="W790" s="194"/>
      <c r="X790" s="194"/>
      <c r="Y790" s="194"/>
      <c r="Z790" s="194"/>
      <c r="AA790" s="194"/>
    </row>
    <row r="791" ht="15.75" customHeight="1">
      <c r="A791" s="241"/>
      <c r="B791" s="224"/>
      <c r="C791" s="220"/>
      <c r="D791" s="221"/>
      <c r="E791" s="222"/>
      <c r="F791" s="223"/>
      <c r="G791" s="143"/>
      <c r="H791" s="143"/>
      <c r="I791" s="143"/>
      <c r="J791" s="143"/>
      <c r="K791" s="182"/>
      <c r="L791" s="143"/>
      <c r="M791" s="182"/>
      <c r="N791" s="149"/>
      <c r="O791" s="189"/>
      <c r="P791" s="149"/>
      <c r="Q791" s="149"/>
      <c r="R791" s="189"/>
      <c r="S791" s="149"/>
      <c r="T791" s="189"/>
      <c r="U791" s="194"/>
      <c r="V791" s="194"/>
      <c r="W791" s="194"/>
      <c r="X791" s="194"/>
      <c r="Y791" s="194"/>
      <c r="Z791" s="194"/>
      <c r="AA791" s="194"/>
    </row>
    <row r="792" ht="15.75" customHeight="1">
      <c r="A792" s="241"/>
      <c r="B792" s="224"/>
      <c r="C792" s="220"/>
      <c r="D792" s="221"/>
      <c r="E792" s="222"/>
      <c r="F792" s="223"/>
      <c r="G792" s="143"/>
      <c r="H792" s="143"/>
      <c r="I792" s="143"/>
      <c r="J792" s="143"/>
      <c r="K792" s="182"/>
      <c r="L792" s="143"/>
      <c r="M792" s="182"/>
      <c r="N792" s="149"/>
      <c r="O792" s="189"/>
      <c r="P792" s="149"/>
      <c r="Q792" s="149"/>
      <c r="R792" s="189"/>
      <c r="S792" s="149"/>
      <c r="T792" s="189"/>
      <c r="U792" s="194"/>
      <c r="V792" s="194"/>
      <c r="W792" s="194"/>
      <c r="X792" s="194"/>
      <c r="Y792" s="194"/>
      <c r="Z792" s="194"/>
      <c r="AA792" s="194"/>
    </row>
    <row r="793" ht="15.75" customHeight="1">
      <c r="A793" s="241"/>
      <c r="B793" s="224"/>
      <c r="C793" s="220"/>
      <c r="D793" s="221"/>
      <c r="E793" s="222"/>
      <c r="F793" s="223"/>
      <c r="G793" s="143"/>
      <c r="H793" s="143"/>
      <c r="I793" s="143"/>
      <c r="J793" s="143"/>
      <c r="K793" s="182"/>
      <c r="L793" s="143"/>
      <c r="M793" s="182"/>
      <c r="N793" s="149"/>
      <c r="O793" s="189"/>
      <c r="P793" s="149"/>
      <c r="Q793" s="149"/>
      <c r="R793" s="189"/>
      <c r="S793" s="149"/>
      <c r="T793" s="189"/>
      <c r="U793" s="194"/>
      <c r="V793" s="194"/>
      <c r="W793" s="194"/>
      <c r="X793" s="194"/>
      <c r="Y793" s="194"/>
      <c r="Z793" s="194"/>
      <c r="AA793" s="194"/>
    </row>
    <row r="794" ht="15.75" customHeight="1">
      <c r="A794" s="241"/>
      <c r="B794" s="224"/>
      <c r="C794" s="220"/>
      <c r="D794" s="221"/>
      <c r="E794" s="222"/>
      <c r="F794" s="223"/>
      <c r="G794" s="143"/>
      <c r="H794" s="143"/>
      <c r="I794" s="143"/>
      <c r="J794" s="143"/>
      <c r="K794" s="182"/>
      <c r="L794" s="143"/>
      <c r="M794" s="182"/>
      <c r="N794" s="149"/>
      <c r="O794" s="189"/>
      <c r="P794" s="149"/>
      <c r="Q794" s="149"/>
      <c r="R794" s="189"/>
      <c r="S794" s="149"/>
      <c r="T794" s="189"/>
      <c r="U794" s="194"/>
      <c r="V794" s="194"/>
      <c r="W794" s="194"/>
      <c r="X794" s="194"/>
      <c r="Y794" s="194"/>
      <c r="Z794" s="194"/>
      <c r="AA794" s="194"/>
    </row>
    <row r="795" ht="15.75" customHeight="1">
      <c r="A795" s="241"/>
      <c r="B795" s="224"/>
      <c r="C795" s="220"/>
      <c r="D795" s="221"/>
      <c r="E795" s="222"/>
      <c r="F795" s="223"/>
      <c r="G795" s="143"/>
      <c r="H795" s="143"/>
      <c r="I795" s="143"/>
      <c r="J795" s="143"/>
      <c r="K795" s="182"/>
      <c r="L795" s="143"/>
      <c r="M795" s="182"/>
      <c r="N795" s="149"/>
      <c r="O795" s="189"/>
      <c r="P795" s="149"/>
      <c r="Q795" s="149"/>
      <c r="R795" s="189"/>
      <c r="S795" s="149"/>
      <c r="T795" s="189"/>
      <c r="U795" s="194"/>
      <c r="V795" s="194"/>
      <c r="W795" s="194"/>
      <c r="X795" s="194"/>
      <c r="Y795" s="194"/>
      <c r="Z795" s="194"/>
      <c r="AA795" s="194"/>
    </row>
    <row r="796" ht="15.75" customHeight="1">
      <c r="A796" s="241"/>
      <c r="B796" s="224"/>
      <c r="C796" s="220"/>
      <c r="D796" s="221"/>
      <c r="E796" s="222"/>
      <c r="F796" s="223"/>
      <c r="G796" s="143"/>
      <c r="H796" s="143"/>
      <c r="I796" s="143"/>
      <c r="J796" s="143"/>
      <c r="K796" s="182"/>
      <c r="L796" s="143"/>
      <c r="M796" s="182"/>
      <c r="N796" s="149"/>
      <c r="O796" s="189"/>
      <c r="P796" s="149"/>
      <c r="Q796" s="149"/>
      <c r="R796" s="189"/>
      <c r="S796" s="149"/>
      <c r="T796" s="189"/>
      <c r="U796" s="194"/>
      <c r="V796" s="194"/>
      <c r="W796" s="194"/>
      <c r="X796" s="194"/>
      <c r="Y796" s="194"/>
      <c r="Z796" s="194"/>
      <c r="AA796" s="194"/>
    </row>
    <row r="797" ht="15.75" customHeight="1">
      <c r="A797" s="241"/>
      <c r="B797" s="224"/>
      <c r="C797" s="220"/>
      <c r="D797" s="221"/>
      <c r="E797" s="222"/>
      <c r="F797" s="223"/>
      <c r="G797" s="143"/>
      <c r="H797" s="143"/>
      <c r="I797" s="143"/>
      <c r="J797" s="143"/>
      <c r="K797" s="182"/>
      <c r="L797" s="143"/>
      <c r="M797" s="182"/>
      <c r="N797" s="149"/>
      <c r="O797" s="189"/>
      <c r="P797" s="149"/>
      <c r="Q797" s="149"/>
      <c r="R797" s="189"/>
      <c r="S797" s="149"/>
      <c r="T797" s="189"/>
      <c r="U797" s="194"/>
      <c r="V797" s="194"/>
      <c r="W797" s="194"/>
      <c r="X797" s="194"/>
      <c r="Y797" s="194"/>
      <c r="Z797" s="194"/>
      <c r="AA797" s="194"/>
    </row>
    <row r="798" ht="15.75" customHeight="1">
      <c r="A798" s="241"/>
      <c r="B798" s="224"/>
      <c r="C798" s="220"/>
      <c r="D798" s="221"/>
      <c r="E798" s="222"/>
      <c r="F798" s="223"/>
      <c r="G798" s="143"/>
      <c r="H798" s="143"/>
      <c r="I798" s="143"/>
      <c r="J798" s="143"/>
      <c r="K798" s="182"/>
      <c r="L798" s="143"/>
      <c r="M798" s="182"/>
      <c r="N798" s="149"/>
      <c r="O798" s="189"/>
      <c r="P798" s="149"/>
      <c r="Q798" s="149"/>
      <c r="R798" s="189"/>
      <c r="S798" s="149"/>
      <c r="T798" s="189"/>
      <c r="U798" s="194"/>
      <c r="V798" s="194"/>
      <c r="W798" s="194"/>
      <c r="X798" s="194"/>
      <c r="Y798" s="194"/>
      <c r="Z798" s="194"/>
      <c r="AA798" s="194"/>
    </row>
    <row r="799" ht="15.75" customHeight="1">
      <c r="A799" s="241"/>
      <c r="B799" s="224"/>
      <c r="C799" s="220"/>
      <c r="D799" s="221"/>
      <c r="E799" s="222"/>
      <c r="F799" s="223"/>
      <c r="G799" s="143"/>
      <c r="H799" s="143"/>
      <c r="I799" s="143"/>
      <c r="J799" s="143"/>
      <c r="K799" s="182"/>
      <c r="L799" s="143"/>
      <c r="M799" s="182"/>
      <c r="N799" s="149"/>
      <c r="O799" s="189"/>
      <c r="P799" s="149"/>
      <c r="Q799" s="149"/>
      <c r="R799" s="189"/>
      <c r="S799" s="149"/>
      <c r="T799" s="189"/>
      <c r="U799" s="194"/>
      <c r="V799" s="194"/>
      <c r="W799" s="194"/>
      <c r="X799" s="194"/>
      <c r="Y799" s="194"/>
      <c r="Z799" s="194"/>
      <c r="AA799" s="194"/>
    </row>
    <row r="800" ht="15.75" customHeight="1">
      <c r="A800" s="241"/>
      <c r="B800" s="224"/>
      <c r="C800" s="220"/>
      <c r="D800" s="221"/>
      <c r="E800" s="222"/>
      <c r="F800" s="223"/>
      <c r="G800" s="143"/>
      <c r="H800" s="143"/>
      <c r="I800" s="143"/>
      <c r="J800" s="143"/>
      <c r="K800" s="182"/>
      <c r="L800" s="143"/>
      <c r="M800" s="182"/>
      <c r="N800" s="149"/>
      <c r="O800" s="189"/>
      <c r="P800" s="149"/>
      <c r="Q800" s="149"/>
      <c r="R800" s="189"/>
      <c r="S800" s="149"/>
      <c r="T800" s="189"/>
      <c r="U800" s="194"/>
      <c r="V800" s="194"/>
      <c r="W800" s="194"/>
      <c r="X800" s="194"/>
      <c r="Y800" s="194"/>
      <c r="Z800" s="194"/>
      <c r="AA800" s="194"/>
    </row>
    <row r="801" ht="15.75" customHeight="1">
      <c r="A801" s="241"/>
      <c r="B801" s="224"/>
      <c r="C801" s="220"/>
      <c r="D801" s="221"/>
      <c r="E801" s="222"/>
      <c r="F801" s="223"/>
      <c r="G801" s="143"/>
      <c r="H801" s="143"/>
      <c r="I801" s="143"/>
      <c r="J801" s="143"/>
      <c r="K801" s="182"/>
      <c r="L801" s="143"/>
      <c r="M801" s="182"/>
      <c r="N801" s="149"/>
      <c r="O801" s="189"/>
      <c r="P801" s="149"/>
      <c r="Q801" s="149"/>
      <c r="R801" s="189"/>
      <c r="S801" s="149"/>
      <c r="T801" s="189"/>
      <c r="U801" s="194"/>
      <c r="V801" s="194"/>
      <c r="W801" s="194"/>
      <c r="X801" s="194"/>
      <c r="Y801" s="194"/>
      <c r="Z801" s="194"/>
      <c r="AA801" s="194"/>
    </row>
    <row r="802" ht="15.75" customHeight="1">
      <c r="A802" s="241"/>
      <c r="B802" s="224"/>
      <c r="C802" s="220"/>
      <c r="D802" s="221"/>
      <c r="E802" s="222"/>
      <c r="F802" s="223"/>
      <c r="G802" s="143"/>
      <c r="H802" s="143"/>
      <c r="I802" s="143"/>
      <c r="J802" s="143"/>
      <c r="K802" s="182"/>
      <c r="L802" s="143"/>
      <c r="M802" s="182"/>
      <c r="N802" s="149"/>
      <c r="O802" s="189"/>
      <c r="P802" s="149"/>
      <c r="Q802" s="149"/>
      <c r="R802" s="189"/>
      <c r="S802" s="149"/>
      <c r="T802" s="189"/>
      <c r="U802" s="194"/>
      <c r="V802" s="194"/>
      <c r="W802" s="194"/>
      <c r="X802" s="194"/>
      <c r="Y802" s="194"/>
      <c r="Z802" s="194"/>
      <c r="AA802" s="194"/>
    </row>
    <row r="803" ht="15.75" customHeight="1">
      <c r="A803" s="241"/>
      <c r="B803" s="224"/>
      <c r="C803" s="220"/>
      <c r="D803" s="221"/>
      <c r="E803" s="222"/>
      <c r="F803" s="223"/>
      <c r="G803" s="143"/>
      <c r="H803" s="143"/>
      <c r="I803" s="143"/>
      <c r="J803" s="143"/>
      <c r="K803" s="182"/>
      <c r="L803" s="143"/>
      <c r="M803" s="182"/>
      <c r="N803" s="149"/>
      <c r="O803" s="189"/>
      <c r="P803" s="149"/>
      <c r="Q803" s="149"/>
      <c r="R803" s="189"/>
      <c r="S803" s="149"/>
      <c r="T803" s="189"/>
      <c r="U803" s="194"/>
      <c r="V803" s="194"/>
      <c r="W803" s="194"/>
      <c r="X803" s="194"/>
      <c r="Y803" s="194"/>
      <c r="Z803" s="194"/>
      <c r="AA803" s="194"/>
    </row>
    <row r="804" ht="15.75" customHeight="1">
      <c r="A804" s="241"/>
      <c r="B804" s="224"/>
      <c r="C804" s="220"/>
      <c r="D804" s="221"/>
      <c r="E804" s="222"/>
      <c r="F804" s="223"/>
      <c r="G804" s="143"/>
      <c r="H804" s="143"/>
      <c r="I804" s="143"/>
      <c r="J804" s="143"/>
      <c r="K804" s="182"/>
      <c r="L804" s="143"/>
      <c r="M804" s="182"/>
      <c r="N804" s="149"/>
      <c r="O804" s="189"/>
      <c r="P804" s="149"/>
      <c r="Q804" s="149"/>
      <c r="R804" s="189"/>
      <c r="S804" s="149"/>
      <c r="T804" s="189"/>
      <c r="U804" s="194"/>
      <c r="V804" s="194"/>
      <c r="W804" s="194"/>
      <c r="X804" s="194"/>
      <c r="Y804" s="194"/>
      <c r="Z804" s="194"/>
      <c r="AA804" s="194"/>
    </row>
    <row r="805" ht="15.75" customHeight="1">
      <c r="A805" s="241"/>
      <c r="B805" s="224"/>
      <c r="C805" s="220"/>
      <c r="D805" s="221"/>
      <c r="E805" s="222"/>
      <c r="F805" s="223"/>
      <c r="G805" s="143"/>
      <c r="H805" s="143"/>
      <c r="I805" s="143"/>
      <c r="J805" s="143"/>
      <c r="K805" s="182"/>
      <c r="L805" s="143"/>
      <c r="M805" s="182"/>
      <c r="N805" s="149"/>
      <c r="O805" s="189"/>
      <c r="P805" s="149"/>
      <c r="Q805" s="149"/>
      <c r="R805" s="189"/>
      <c r="S805" s="149"/>
      <c r="T805" s="189"/>
      <c r="U805" s="194"/>
      <c r="V805" s="194"/>
      <c r="W805" s="194"/>
      <c r="X805" s="194"/>
      <c r="Y805" s="194"/>
      <c r="Z805" s="194"/>
      <c r="AA805" s="194"/>
    </row>
    <row r="806" ht="15.75" customHeight="1">
      <c r="A806" s="241"/>
      <c r="B806" s="224"/>
      <c r="C806" s="220"/>
      <c r="D806" s="221"/>
      <c r="E806" s="222"/>
      <c r="F806" s="223"/>
      <c r="G806" s="143"/>
      <c r="H806" s="143"/>
      <c r="I806" s="143"/>
      <c r="J806" s="143"/>
      <c r="K806" s="182"/>
      <c r="L806" s="143"/>
      <c r="M806" s="182"/>
      <c r="N806" s="149"/>
      <c r="O806" s="189"/>
      <c r="P806" s="149"/>
      <c r="Q806" s="149"/>
      <c r="R806" s="189"/>
      <c r="S806" s="149"/>
      <c r="T806" s="189"/>
      <c r="U806" s="194"/>
      <c r="V806" s="194"/>
      <c r="W806" s="194"/>
      <c r="X806" s="194"/>
      <c r="Y806" s="194"/>
      <c r="Z806" s="194"/>
      <c r="AA806" s="194"/>
    </row>
    <row r="807" ht="15.75" customHeight="1">
      <c r="A807" s="241"/>
      <c r="B807" s="224"/>
      <c r="C807" s="220"/>
      <c r="D807" s="221"/>
      <c r="E807" s="222"/>
      <c r="F807" s="223"/>
      <c r="G807" s="143"/>
      <c r="H807" s="143"/>
      <c r="I807" s="143"/>
      <c r="J807" s="143"/>
      <c r="K807" s="182"/>
      <c r="L807" s="143"/>
      <c r="M807" s="182"/>
      <c r="N807" s="149"/>
      <c r="O807" s="189"/>
      <c r="P807" s="149"/>
      <c r="Q807" s="149"/>
      <c r="R807" s="189"/>
      <c r="S807" s="149"/>
      <c r="T807" s="189"/>
      <c r="U807" s="194"/>
      <c r="V807" s="194"/>
      <c r="W807" s="194"/>
      <c r="X807" s="194"/>
      <c r="Y807" s="194"/>
      <c r="Z807" s="194"/>
      <c r="AA807" s="194"/>
    </row>
    <row r="808" ht="15.75" customHeight="1">
      <c r="A808" s="241"/>
      <c r="B808" s="224"/>
      <c r="C808" s="220"/>
      <c r="D808" s="221"/>
      <c r="E808" s="222"/>
      <c r="F808" s="223"/>
      <c r="G808" s="143"/>
      <c r="H808" s="143"/>
      <c r="I808" s="143"/>
      <c r="J808" s="143"/>
      <c r="K808" s="182"/>
      <c r="L808" s="143"/>
      <c r="M808" s="182"/>
      <c r="N808" s="149"/>
      <c r="O808" s="189"/>
      <c r="P808" s="149"/>
      <c r="Q808" s="149"/>
      <c r="R808" s="189"/>
      <c r="S808" s="149"/>
      <c r="T808" s="189"/>
      <c r="U808" s="194"/>
      <c r="V808" s="194"/>
      <c r="W808" s="194"/>
      <c r="X808" s="194"/>
      <c r="Y808" s="194"/>
      <c r="Z808" s="194"/>
      <c r="AA808" s="194"/>
    </row>
    <row r="809" ht="15.75" customHeight="1">
      <c r="A809" s="241"/>
      <c r="B809" s="224"/>
      <c r="C809" s="220"/>
      <c r="D809" s="221"/>
      <c r="E809" s="222"/>
      <c r="F809" s="223"/>
      <c r="G809" s="143"/>
      <c r="H809" s="143"/>
      <c r="I809" s="143"/>
      <c r="J809" s="143"/>
      <c r="K809" s="182"/>
      <c r="L809" s="143"/>
      <c r="M809" s="182"/>
      <c r="N809" s="149"/>
      <c r="O809" s="189"/>
      <c r="P809" s="149"/>
      <c r="Q809" s="149"/>
      <c r="R809" s="189"/>
      <c r="S809" s="149"/>
      <c r="T809" s="189"/>
      <c r="U809" s="194"/>
      <c r="V809" s="194"/>
      <c r="W809" s="194"/>
      <c r="X809" s="194"/>
      <c r="Y809" s="194"/>
      <c r="Z809" s="194"/>
      <c r="AA809" s="194"/>
    </row>
    <row r="810" ht="15.75" customHeight="1">
      <c r="A810" s="241"/>
      <c r="B810" s="224"/>
      <c r="C810" s="220"/>
      <c r="D810" s="221"/>
      <c r="E810" s="222"/>
      <c r="F810" s="223"/>
      <c r="G810" s="143"/>
      <c r="H810" s="143"/>
      <c r="I810" s="143"/>
      <c r="J810" s="143"/>
      <c r="K810" s="182"/>
      <c r="L810" s="143"/>
      <c r="M810" s="182"/>
      <c r="N810" s="149"/>
      <c r="O810" s="189"/>
      <c r="P810" s="149"/>
      <c r="Q810" s="149"/>
      <c r="R810" s="189"/>
      <c r="S810" s="149"/>
      <c r="T810" s="189"/>
      <c r="U810" s="194"/>
      <c r="V810" s="194"/>
      <c r="W810" s="194"/>
      <c r="X810" s="194"/>
      <c r="Y810" s="194"/>
      <c r="Z810" s="194"/>
      <c r="AA810" s="194"/>
    </row>
    <row r="811" ht="15.75" customHeight="1">
      <c r="A811" s="241"/>
      <c r="B811" s="224"/>
      <c r="C811" s="220"/>
      <c r="D811" s="221"/>
      <c r="E811" s="222"/>
      <c r="F811" s="223"/>
      <c r="G811" s="143"/>
      <c r="H811" s="143"/>
      <c r="I811" s="143"/>
      <c r="J811" s="143"/>
      <c r="K811" s="182"/>
      <c r="L811" s="143"/>
      <c r="M811" s="182"/>
      <c r="N811" s="149"/>
      <c r="O811" s="189"/>
      <c r="P811" s="149"/>
      <c r="Q811" s="149"/>
      <c r="R811" s="189"/>
      <c r="S811" s="149"/>
      <c r="T811" s="189"/>
      <c r="U811" s="194"/>
      <c r="V811" s="194"/>
      <c r="W811" s="194"/>
      <c r="X811" s="194"/>
      <c r="Y811" s="194"/>
      <c r="Z811" s="194"/>
      <c r="AA811" s="194"/>
    </row>
    <row r="812" ht="15.75" customHeight="1">
      <c r="A812" s="241"/>
      <c r="B812" s="224"/>
      <c r="C812" s="220"/>
      <c r="D812" s="221"/>
      <c r="E812" s="222"/>
      <c r="F812" s="223"/>
      <c r="G812" s="143"/>
      <c r="H812" s="143"/>
      <c r="I812" s="143"/>
      <c r="J812" s="143"/>
      <c r="K812" s="182"/>
      <c r="L812" s="143"/>
      <c r="M812" s="182"/>
      <c r="N812" s="149"/>
      <c r="O812" s="189"/>
      <c r="P812" s="149"/>
      <c r="Q812" s="149"/>
      <c r="R812" s="189"/>
      <c r="S812" s="149"/>
      <c r="T812" s="189"/>
      <c r="U812" s="194"/>
      <c r="V812" s="194"/>
      <c r="W812" s="194"/>
      <c r="X812" s="194"/>
      <c r="Y812" s="194"/>
      <c r="Z812" s="194"/>
      <c r="AA812" s="194"/>
    </row>
    <row r="813" ht="15.75" customHeight="1">
      <c r="A813" s="241"/>
      <c r="B813" s="224"/>
      <c r="C813" s="220"/>
      <c r="D813" s="221"/>
      <c r="E813" s="222"/>
      <c r="F813" s="223"/>
      <c r="G813" s="143"/>
      <c r="H813" s="143"/>
      <c r="I813" s="143"/>
      <c r="J813" s="143"/>
      <c r="K813" s="182"/>
      <c r="L813" s="143"/>
      <c r="M813" s="182"/>
      <c r="N813" s="149"/>
      <c r="O813" s="189"/>
      <c r="P813" s="149"/>
      <c r="Q813" s="149"/>
      <c r="R813" s="189"/>
      <c r="S813" s="149"/>
      <c r="T813" s="189"/>
      <c r="U813" s="194"/>
      <c r="V813" s="194"/>
      <c r="W813" s="194"/>
      <c r="X813" s="194"/>
      <c r="Y813" s="194"/>
      <c r="Z813" s="194"/>
      <c r="AA813" s="194"/>
    </row>
    <row r="814" ht="15.75" customHeight="1">
      <c r="A814" s="241"/>
      <c r="B814" s="224"/>
      <c r="C814" s="220"/>
      <c r="D814" s="221"/>
      <c r="E814" s="222"/>
      <c r="F814" s="223"/>
      <c r="G814" s="143"/>
      <c r="H814" s="143"/>
      <c r="I814" s="143"/>
      <c r="J814" s="143"/>
      <c r="K814" s="182"/>
      <c r="L814" s="143"/>
      <c r="M814" s="182"/>
      <c r="N814" s="149"/>
      <c r="O814" s="189"/>
      <c r="P814" s="149"/>
      <c r="Q814" s="149"/>
      <c r="R814" s="189"/>
      <c r="S814" s="149"/>
      <c r="T814" s="189"/>
      <c r="U814" s="194"/>
      <c r="V814" s="194"/>
      <c r="W814" s="194"/>
      <c r="X814" s="194"/>
      <c r="Y814" s="194"/>
      <c r="Z814" s="194"/>
      <c r="AA814" s="194"/>
    </row>
    <row r="815" ht="15.75" customHeight="1">
      <c r="A815" s="241"/>
      <c r="B815" s="224"/>
      <c r="C815" s="220"/>
      <c r="D815" s="221"/>
      <c r="E815" s="222"/>
      <c r="F815" s="223"/>
      <c r="G815" s="143"/>
      <c r="H815" s="143"/>
      <c r="I815" s="143"/>
      <c r="J815" s="143"/>
      <c r="K815" s="182"/>
      <c r="L815" s="143"/>
      <c r="M815" s="182"/>
      <c r="N815" s="149"/>
      <c r="O815" s="189"/>
      <c r="P815" s="149"/>
      <c r="Q815" s="149"/>
      <c r="R815" s="189"/>
      <c r="S815" s="149"/>
      <c r="T815" s="189"/>
      <c r="U815" s="194"/>
      <c r="V815" s="194"/>
      <c r="W815" s="194"/>
      <c r="X815" s="194"/>
      <c r="Y815" s="194"/>
      <c r="Z815" s="194"/>
      <c r="AA815" s="194"/>
    </row>
    <row r="816" ht="15.75" customHeight="1">
      <c r="A816" s="241"/>
      <c r="B816" s="224"/>
      <c r="C816" s="220"/>
      <c r="D816" s="221"/>
      <c r="E816" s="222"/>
      <c r="F816" s="223"/>
      <c r="G816" s="143"/>
      <c r="H816" s="143"/>
      <c r="I816" s="143"/>
      <c r="J816" s="143"/>
      <c r="K816" s="182"/>
      <c r="L816" s="143"/>
      <c r="M816" s="182"/>
      <c r="N816" s="149"/>
      <c r="O816" s="189"/>
      <c r="P816" s="149"/>
      <c r="Q816" s="149"/>
      <c r="R816" s="189"/>
      <c r="S816" s="149"/>
      <c r="T816" s="189"/>
      <c r="U816" s="194"/>
      <c r="V816" s="194"/>
      <c r="W816" s="194"/>
      <c r="X816" s="194"/>
      <c r="Y816" s="194"/>
      <c r="Z816" s="194"/>
      <c r="AA816" s="194"/>
    </row>
    <row r="817" ht="15.75" customHeight="1">
      <c r="A817" s="241"/>
      <c r="B817" s="224"/>
      <c r="C817" s="220"/>
      <c r="D817" s="221"/>
      <c r="E817" s="222"/>
      <c r="F817" s="223"/>
      <c r="G817" s="143"/>
      <c r="H817" s="143"/>
      <c r="I817" s="143"/>
      <c r="J817" s="143"/>
      <c r="K817" s="182"/>
      <c r="L817" s="143"/>
      <c r="M817" s="182"/>
      <c r="N817" s="149"/>
      <c r="O817" s="189"/>
      <c r="P817" s="149"/>
      <c r="Q817" s="149"/>
      <c r="R817" s="189"/>
      <c r="S817" s="149"/>
      <c r="T817" s="189"/>
      <c r="U817" s="194"/>
      <c r="V817" s="194"/>
      <c r="W817" s="194"/>
      <c r="X817" s="194"/>
      <c r="Y817" s="194"/>
      <c r="Z817" s="194"/>
      <c r="AA817" s="194"/>
    </row>
    <row r="818" ht="15.75" customHeight="1">
      <c r="A818" s="241"/>
      <c r="B818" s="224"/>
      <c r="C818" s="220"/>
      <c r="D818" s="221"/>
      <c r="E818" s="222"/>
      <c r="F818" s="223"/>
      <c r="G818" s="143"/>
      <c r="H818" s="143"/>
      <c r="I818" s="143"/>
      <c r="J818" s="143"/>
      <c r="K818" s="182"/>
      <c r="L818" s="143"/>
      <c r="M818" s="182"/>
      <c r="N818" s="149"/>
      <c r="O818" s="189"/>
      <c r="P818" s="149"/>
      <c r="Q818" s="149"/>
      <c r="R818" s="189"/>
      <c r="S818" s="149"/>
      <c r="T818" s="189"/>
      <c r="U818" s="194"/>
      <c r="V818" s="194"/>
      <c r="W818" s="194"/>
      <c r="X818" s="194"/>
      <c r="Y818" s="194"/>
      <c r="Z818" s="194"/>
      <c r="AA818" s="194"/>
    </row>
    <row r="819" ht="15.75" customHeight="1">
      <c r="A819" s="241"/>
      <c r="B819" s="224"/>
      <c r="C819" s="220"/>
      <c r="D819" s="221"/>
      <c r="E819" s="222"/>
      <c r="F819" s="223"/>
      <c r="G819" s="143"/>
      <c r="H819" s="143"/>
      <c r="I819" s="143"/>
      <c r="J819" s="143"/>
      <c r="K819" s="182"/>
      <c r="L819" s="143"/>
      <c r="M819" s="182"/>
      <c r="N819" s="149"/>
      <c r="O819" s="189"/>
      <c r="P819" s="149"/>
      <c r="Q819" s="149"/>
      <c r="R819" s="189"/>
      <c r="S819" s="149"/>
      <c r="T819" s="189"/>
      <c r="U819" s="194"/>
      <c r="V819" s="194"/>
      <c r="W819" s="194"/>
      <c r="X819" s="194"/>
      <c r="Y819" s="194"/>
      <c r="Z819" s="194"/>
      <c r="AA819" s="194"/>
    </row>
    <row r="820" ht="15.75" customHeight="1">
      <c r="A820" s="241"/>
      <c r="B820" s="224"/>
      <c r="C820" s="220"/>
      <c r="D820" s="221"/>
      <c r="E820" s="222"/>
      <c r="F820" s="223"/>
      <c r="G820" s="143"/>
      <c r="H820" s="143"/>
      <c r="I820" s="143"/>
      <c r="J820" s="143"/>
      <c r="K820" s="182"/>
      <c r="L820" s="143"/>
      <c r="M820" s="182"/>
      <c r="N820" s="149"/>
      <c r="O820" s="189"/>
      <c r="P820" s="149"/>
      <c r="Q820" s="149"/>
      <c r="R820" s="189"/>
      <c r="S820" s="149"/>
      <c r="T820" s="189"/>
      <c r="U820" s="194"/>
      <c r="V820" s="194"/>
      <c r="W820" s="194"/>
      <c r="X820" s="194"/>
      <c r="Y820" s="194"/>
      <c r="Z820" s="194"/>
      <c r="AA820" s="194"/>
    </row>
    <row r="821" ht="15.75" customHeight="1">
      <c r="A821" s="241"/>
      <c r="B821" s="224"/>
      <c r="C821" s="220"/>
      <c r="D821" s="221"/>
      <c r="E821" s="222"/>
      <c r="F821" s="223"/>
      <c r="G821" s="143"/>
      <c r="H821" s="143"/>
      <c r="I821" s="143"/>
      <c r="J821" s="143"/>
      <c r="K821" s="182"/>
      <c r="L821" s="143"/>
      <c r="M821" s="182"/>
      <c r="N821" s="149"/>
      <c r="O821" s="189"/>
      <c r="P821" s="149"/>
      <c r="Q821" s="149"/>
      <c r="R821" s="189"/>
      <c r="S821" s="149"/>
      <c r="T821" s="189"/>
      <c r="U821" s="194"/>
      <c r="V821" s="194"/>
      <c r="W821" s="194"/>
      <c r="X821" s="194"/>
      <c r="Y821" s="194"/>
      <c r="Z821" s="194"/>
      <c r="AA821" s="194"/>
    </row>
    <row r="822" ht="15.75" customHeight="1">
      <c r="A822" s="241"/>
      <c r="B822" s="224"/>
      <c r="C822" s="220"/>
      <c r="D822" s="221"/>
      <c r="E822" s="222"/>
      <c r="F822" s="223"/>
      <c r="G822" s="143"/>
      <c r="H822" s="143"/>
      <c r="I822" s="143"/>
      <c r="J822" s="143"/>
      <c r="K822" s="182"/>
      <c r="L822" s="143"/>
      <c r="M822" s="182"/>
      <c r="N822" s="149"/>
      <c r="O822" s="189"/>
      <c r="P822" s="149"/>
      <c r="Q822" s="149"/>
      <c r="R822" s="189"/>
      <c r="S822" s="149"/>
      <c r="T822" s="189"/>
      <c r="U822" s="194"/>
      <c r="V822" s="194"/>
      <c r="W822" s="194"/>
      <c r="X822" s="194"/>
      <c r="Y822" s="194"/>
      <c r="Z822" s="194"/>
      <c r="AA822" s="194"/>
    </row>
    <row r="823" ht="15.75" customHeight="1">
      <c r="A823" s="241"/>
      <c r="B823" s="224"/>
      <c r="C823" s="220"/>
      <c r="D823" s="221"/>
      <c r="E823" s="222"/>
      <c r="F823" s="223"/>
      <c r="G823" s="143"/>
      <c r="H823" s="143"/>
      <c r="I823" s="143"/>
      <c r="J823" s="143"/>
      <c r="K823" s="182"/>
      <c r="L823" s="143"/>
      <c r="M823" s="182"/>
      <c r="N823" s="149"/>
      <c r="O823" s="189"/>
      <c r="P823" s="149"/>
      <c r="Q823" s="149"/>
      <c r="R823" s="189"/>
      <c r="S823" s="149"/>
      <c r="T823" s="189"/>
      <c r="U823" s="194"/>
      <c r="V823" s="194"/>
      <c r="W823" s="194"/>
      <c r="X823" s="194"/>
      <c r="Y823" s="194"/>
      <c r="Z823" s="194"/>
      <c r="AA823" s="194"/>
    </row>
    <row r="824" ht="15.75" customHeight="1">
      <c r="A824" s="241"/>
      <c r="B824" s="224"/>
      <c r="C824" s="220"/>
      <c r="D824" s="221"/>
      <c r="E824" s="222"/>
      <c r="F824" s="223"/>
      <c r="G824" s="143"/>
      <c r="H824" s="143"/>
      <c r="I824" s="143"/>
      <c r="J824" s="143"/>
      <c r="K824" s="182"/>
      <c r="L824" s="143"/>
      <c r="M824" s="182"/>
      <c r="N824" s="149"/>
      <c r="O824" s="189"/>
      <c r="P824" s="149"/>
      <c r="Q824" s="149"/>
      <c r="R824" s="189"/>
      <c r="S824" s="149"/>
      <c r="T824" s="189"/>
      <c r="U824" s="194"/>
      <c r="V824" s="194"/>
      <c r="W824" s="194"/>
      <c r="X824" s="194"/>
      <c r="Y824" s="194"/>
      <c r="Z824" s="194"/>
      <c r="AA824" s="194"/>
    </row>
    <row r="825" ht="15.75" customHeight="1">
      <c r="A825" s="241"/>
      <c r="B825" s="224"/>
      <c r="C825" s="220"/>
      <c r="D825" s="221"/>
      <c r="E825" s="222"/>
      <c r="F825" s="223"/>
      <c r="G825" s="143"/>
      <c r="H825" s="143"/>
      <c r="I825" s="143"/>
      <c r="J825" s="143"/>
      <c r="K825" s="182"/>
      <c r="L825" s="143"/>
      <c r="M825" s="182"/>
      <c r="N825" s="149"/>
      <c r="O825" s="189"/>
      <c r="P825" s="149"/>
      <c r="Q825" s="149"/>
      <c r="R825" s="189"/>
      <c r="S825" s="149"/>
      <c r="T825" s="189"/>
      <c r="U825" s="194"/>
      <c r="V825" s="194"/>
      <c r="W825" s="194"/>
      <c r="X825" s="194"/>
      <c r="Y825" s="194"/>
      <c r="Z825" s="194"/>
      <c r="AA825" s="194"/>
    </row>
    <row r="826" ht="15.75" customHeight="1">
      <c r="A826" s="241"/>
      <c r="B826" s="224"/>
      <c r="C826" s="220"/>
      <c r="D826" s="221"/>
      <c r="E826" s="222"/>
      <c r="F826" s="223"/>
      <c r="G826" s="143"/>
      <c r="H826" s="143"/>
      <c r="I826" s="143"/>
      <c r="J826" s="143"/>
      <c r="K826" s="182"/>
      <c r="L826" s="143"/>
      <c r="M826" s="182"/>
      <c r="N826" s="149"/>
      <c r="O826" s="189"/>
      <c r="P826" s="149"/>
      <c r="Q826" s="149"/>
      <c r="R826" s="189"/>
      <c r="S826" s="149"/>
      <c r="T826" s="189"/>
      <c r="U826" s="194"/>
      <c r="V826" s="194"/>
      <c r="W826" s="194"/>
      <c r="X826" s="194"/>
      <c r="Y826" s="194"/>
      <c r="Z826" s="194"/>
      <c r="AA826" s="194"/>
    </row>
    <row r="827" ht="15.75" customHeight="1">
      <c r="A827" s="241"/>
      <c r="B827" s="224"/>
      <c r="C827" s="220"/>
      <c r="D827" s="221"/>
      <c r="E827" s="222"/>
      <c r="F827" s="223"/>
      <c r="G827" s="143"/>
      <c r="H827" s="143"/>
      <c r="I827" s="143"/>
      <c r="J827" s="143"/>
      <c r="K827" s="182"/>
      <c r="L827" s="143"/>
      <c r="M827" s="182"/>
      <c r="N827" s="149"/>
      <c r="O827" s="189"/>
      <c r="P827" s="149"/>
      <c r="Q827" s="149"/>
      <c r="R827" s="189"/>
      <c r="S827" s="149"/>
      <c r="T827" s="189"/>
      <c r="U827" s="194"/>
      <c r="V827" s="194"/>
      <c r="W827" s="194"/>
      <c r="X827" s="194"/>
      <c r="Y827" s="194"/>
      <c r="Z827" s="194"/>
      <c r="AA827" s="194"/>
    </row>
    <row r="828" ht="15.75" customHeight="1">
      <c r="A828" s="241"/>
      <c r="B828" s="224"/>
      <c r="C828" s="220"/>
      <c r="D828" s="221"/>
      <c r="E828" s="222"/>
      <c r="F828" s="223"/>
      <c r="G828" s="143"/>
      <c r="H828" s="143"/>
      <c r="I828" s="143"/>
      <c r="J828" s="143"/>
      <c r="K828" s="182"/>
      <c r="L828" s="143"/>
      <c r="M828" s="182"/>
      <c r="N828" s="149"/>
      <c r="O828" s="189"/>
      <c r="P828" s="149"/>
      <c r="Q828" s="149"/>
      <c r="R828" s="189"/>
      <c r="S828" s="149"/>
      <c r="T828" s="189"/>
      <c r="U828" s="194"/>
      <c r="V828" s="194"/>
      <c r="W828" s="194"/>
      <c r="X828" s="194"/>
      <c r="Y828" s="194"/>
      <c r="Z828" s="194"/>
      <c r="AA828" s="194"/>
    </row>
    <row r="829" ht="15.75" customHeight="1">
      <c r="A829" s="241"/>
      <c r="B829" s="224"/>
      <c r="C829" s="220"/>
      <c r="D829" s="221"/>
      <c r="E829" s="222"/>
      <c r="F829" s="223"/>
      <c r="G829" s="143"/>
      <c r="H829" s="143"/>
      <c r="I829" s="143"/>
      <c r="J829" s="143"/>
      <c r="K829" s="182"/>
      <c r="L829" s="143"/>
      <c r="M829" s="182"/>
      <c r="N829" s="149"/>
      <c r="O829" s="189"/>
      <c r="P829" s="149"/>
      <c r="Q829" s="149"/>
      <c r="R829" s="189"/>
      <c r="S829" s="149"/>
      <c r="T829" s="189"/>
      <c r="U829" s="194"/>
      <c r="V829" s="194"/>
      <c r="W829" s="194"/>
      <c r="X829" s="194"/>
      <c r="Y829" s="194"/>
      <c r="Z829" s="194"/>
      <c r="AA829" s="194"/>
    </row>
    <row r="830" ht="15.75" customHeight="1">
      <c r="A830" s="241"/>
      <c r="B830" s="224"/>
      <c r="C830" s="220"/>
      <c r="D830" s="221"/>
      <c r="E830" s="222"/>
      <c r="F830" s="223"/>
      <c r="G830" s="143"/>
      <c r="H830" s="143"/>
      <c r="I830" s="143"/>
      <c r="J830" s="143"/>
      <c r="K830" s="182"/>
      <c r="L830" s="143"/>
      <c r="M830" s="182"/>
      <c r="N830" s="149"/>
      <c r="O830" s="189"/>
      <c r="P830" s="149"/>
      <c r="Q830" s="149"/>
      <c r="R830" s="189"/>
      <c r="S830" s="149"/>
      <c r="T830" s="189"/>
      <c r="U830" s="194"/>
      <c r="V830" s="194"/>
      <c r="W830" s="194"/>
      <c r="X830" s="194"/>
      <c r="Y830" s="194"/>
      <c r="Z830" s="194"/>
      <c r="AA830" s="194"/>
    </row>
    <row r="831" ht="15.75" customHeight="1">
      <c r="A831" s="241"/>
      <c r="B831" s="224"/>
      <c r="C831" s="220"/>
      <c r="D831" s="221"/>
      <c r="E831" s="222"/>
      <c r="F831" s="223"/>
      <c r="G831" s="143"/>
      <c r="H831" s="143"/>
      <c r="I831" s="143"/>
      <c r="J831" s="143"/>
      <c r="K831" s="182"/>
      <c r="L831" s="143"/>
      <c r="M831" s="182"/>
      <c r="N831" s="149"/>
      <c r="O831" s="189"/>
      <c r="P831" s="149"/>
      <c r="Q831" s="149"/>
      <c r="R831" s="189"/>
      <c r="S831" s="149"/>
      <c r="T831" s="189"/>
      <c r="U831" s="194"/>
      <c r="V831" s="194"/>
      <c r="W831" s="194"/>
      <c r="X831" s="194"/>
      <c r="Y831" s="194"/>
      <c r="Z831" s="194"/>
      <c r="AA831" s="194"/>
    </row>
    <row r="832" ht="15.75" customHeight="1">
      <c r="A832" s="241"/>
      <c r="B832" s="224"/>
      <c r="C832" s="220"/>
      <c r="D832" s="221"/>
      <c r="E832" s="222"/>
      <c r="F832" s="223"/>
      <c r="G832" s="143"/>
      <c r="H832" s="143"/>
      <c r="I832" s="143"/>
      <c r="J832" s="143"/>
      <c r="K832" s="182"/>
      <c r="L832" s="143"/>
      <c r="M832" s="182"/>
      <c r="N832" s="149"/>
      <c r="O832" s="189"/>
      <c r="P832" s="149"/>
      <c r="Q832" s="149"/>
      <c r="R832" s="189"/>
      <c r="S832" s="149"/>
      <c r="T832" s="189"/>
      <c r="U832" s="194"/>
      <c r="V832" s="194"/>
      <c r="W832" s="194"/>
      <c r="X832" s="194"/>
      <c r="Y832" s="194"/>
      <c r="Z832" s="194"/>
      <c r="AA832" s="194"/>
    </row>
    <row r="833" ht="15.75" customHeight="1">
      <c r="A833" s="241"/>
      <c r="B833" s="224"/>
      <c r="C833" s="220"/>
      <c r="D833" s="221"/>
      <c r="E833" s="222"/>
      <c r="F833" s="223"/>
      <c r="G833" s="143"/>
      <c r="H833" s="143"/>
      <c r="I833" s="143"/>
      <c r="J833" s="143"/>
      <c r="K833" s="182"/>
      <c r="L833" s="143"/>
      <c r="M833" s="182"/>
      <c r="N833" s="149"/>
      <c r="O833" s="189"/>
      <c r="P833" s="149"/>
      <c r="Q833" s="149"/>
      <c r="R833" s="189"/>
      <c r="S833" s="149"/>
      <c r="T833" s="189"/>
      <c r="U833" s="194"/>
      <c r="V833" s="194"/>
      <c r="W833" s="194"/>
      <c r="X833" s="194"/>
      <c r="Y833" s="194"/>
      <c r="Z833" s="194"/>
      <c r="AA833" s="194"/>
    </row>
    <row r="834" ht="15.75" customHeight="1">
      <c r="A834" s="241"/>
      <c r="B834" s="224"/>
      <c r="C834" s="220"/>
      <c r="D834" s="221"/>
      <c r="E834" s="222"/>
      <c r="F834" s="223"/>
      <c r="G834" s="143"/>
      <c r="H834" s="143"/>
      <c r="I834" s="143"/>
      <c r="J834" s="143"/>
      <c r="K834" s="182"/>
      <c r="L834" s="143"/>
      <c r="M834" s="182"/>
      <c r="N834" s="149"/>
      <c r="O834" s="189"/>
      <c r="P834" s="149"/>
      <c r="Q834" s="149"/>
      <c r="R834" s="189"/>
      <c r="S834" s="149"/>
      <c r="T834" s="189"/>
      <c r="U834" s="194"/>
      <c r="V834" s="194"/>
      <c r="W834" s="194"/>
      <c r="X834" s="194"/>
      <c r="Y834" s="194"/>
      <c r="Z834" s="194"/>
      <c r="AA834" s="194"/>
    </row>
    <row r="835" ht="15.75" customHeight="1">
      <c r="A835" s="241"/>
      <c r="B835" s="224"/>
      <c r="C835" s="220"/>
      <c r="D835" s="221"/>
      <c r="E835" s="222"/>
      <c r="F835" s="223"/>
      <c r="G835" s="143"/>
      <c r="H835" s="143"/>
      <c r="I835" s="143"/>
      <c r="J835" s="143"/>
      <c r="K835" s="182"/>
      <c r="L835" s="143"/>
      <c r="M835" s="182"/>
      <c r="N835" s="149"/>
      <c r="O835" s="189"/>
      <c r="P835" s="149"/>
      <c r="Q835" s="149"/>
      <c r="R835" s="189"/>
      <c r="S835" s="149"/>
      <c r="T835" s="189"/>
      <c r="U835" s="194"/>
      <c r="V835" s="194"/>
      <c r="W835" s="194"/>
      <c r="X835" s="194"/>
      <c r="Y835" s="194"/>
      <c r="Z835" s="194"/>
      <c r="AA835" s="194"/>
    </row>
    <row r="836" ht="15.75" customHeight="1">
      <c r="A836" s="241"/>
      <c r="B836" s="224"/>
      <c r="C836" s="220"/>
      <c r="D836" s="221"/>
      <c r="E836" s="222"/>
      <c r="F836" s="223"/>
      <c r="G836" s="143"/>
      <c r="H836" s="143"/>
      <c r="I836" s="143"/>
      <c r="J836" s="143"/>
      <c r="K836" s="182"/>
      <c r="L836" s="143"/>
      <c r="M836" s="182"/>
      <c r="N836" s="149"/>
      <c r="O836" s="189"/>
      <c r="P836" s="149"/>
      <c r="Q836" s="149"/>
      <c r="R836" s="189"/>
      <c r="S836" s="149"/>
      <c r="T836" s="189"/>
      <c r="U836" s="194"/>
      <c r="V836" s="194"/>
      <c r="W836" s="194"/>
      <c r="X836" s="194"/>
      <c r="Y836" s="194"/>
      <c r="Z836" s="194"/>
      <c r="AA836" s="194"/>
    </row>
    <row r="837" ht="15.75" customHeight="1">
      <c r="A837" s="241"/>
      <c r="B837" s="224"/>
      <c r="C837" s="220"/>
      <c r="D837" s="221"/>
      <c r="E837" s="222"/>
      <c r="F837" s="223"/>
      <c r="G837" s="143"/>
      <c r="H837" s="143"/>
      <c r="I837" s="143"/>
      <c r="J837" s="143"/>
      <c r="K837" s="182"/>
      <c r="L837" s="143"/>
      <c r="M837" s="182"/>
      <c r="N837" s="149"/>
      <c r="O837" s="189"/>
      <c r="P837" s="149"/>
      <c r="Q837" s="149"/>
      <c r="R837" s="189"/>
      <c r="S837" s="149"/>
      <c r="T837" s="189"/>
      <c r="U837" s="194"/>
      <c r="V837" s="194"/>
      <c r="W837" s="194"/>
      <c r="X837" s="194"/>
      <c r="Y837" s="194"/>
      <c r="Z837" s="194"/>
      <c r="AA837" s="194"/>
    </row>
    <row r="838" ht="15.75" customHeight="1">
      <c r="A838" s="241"/>
      <c r="B838" s="224"/>
      <c r="C838" s="220"/>
      <c r="D838" s="221"/>
      <c r="E838" s="222"/>
      <c r="F838" s="223"/>
      <c r="G838" s="143"/>
      <c r="H838" s="143"/>
      <c r="I838" s="143"/>
      <c r="J838" s="143"/>
      <c r="K838" s="182"/>
      <c r="L838" s="143"/>
      <c r="M838" s="182"/>
      <c r="N838" s="149"/>
      <c r="O838" s="189"/>
      <c r="P838" s="149"/>
      <c r="Q838" s="149"/>
      <c r="R838" s="189"/>
      <c r="S838" s="149"/>
      <c r="T838" s="189"/>
      <c r="U838" s="194"/>
      <c r="V838" s="194"/>
      <c r="W838" s="194"/>
      <c r="X838" s="194"/>
      <c r="Y838" s="194"/>
      <c r="Z838" s="194"/>
      <c r="AA838" s="194"/>
    </row>
    <row r="839" ht="15.75" customHeight="1">
      <c r="A839" s="241"/>
      <c r="B839" s="224"/>
      <c r="C839" s="220"/>
      <c r="D839" s="221"/>
      <c r="E839" s="222"/>
      <c r="F839" s="223"/>
      <c r="G839" s="143"/>
      <c r="H839" s="143"/>
      <c r="I839" s="143"/>
      <c r="J839" s="143"/>
      <c r="K839" s="182"/>
      <c r="L839" s="143"/>
      <c r="M839" s="182"/>
      <c r="N839" s="149"/>
      <c r="O839" s="189"/>
      <c r="P839" s="149"/>
      <c r="Q839" s="149"/>
      <c r="R839" s="189"/>
      <c r="S839" s="149"/>
      <c r="T839" s="189"/>
      <c r="U839" s="194"/>
      <c r="V839" s="194"/>
      <c r="W839" s="194"/>
      <c r="X839" s="194"/>
      <c r="Y839" s="194"/>
      <c r="Z839" s="194"/>
      <c r="AA839" s="194"/>
    </row>
    <row r="840" ht="15.75" customHeight="1">
      <c r="A840" s="241"/>
      <c r="B840" s="224"/>
      <c r="C840" s="220"/>
      <c r="D840" s="221"/>
      <c r="E840" s="222"/>
      <c r="F840" s="223"/>
      <c r="G840" s="143"/>
      <c r="H840" s="143"/>
      <c r="I840" s="143"/>
      <c r="J840" s="143"/>
      <c r="K840" s="182"/>
      <c r="L840" s="143"/>
      <c r="M840" s="182"/>
      <c r="N840" s="149"/>
      <c r="O840" s="189"/>
      <c r="P840" s="149"/>
      <c r="Q840" s="149"/>
      <c r="R840" s="189"/>
      <c r="S840" s="149"/>
      <c r="T840" s="189"/>
      <c r="U840" s="194"/>
      <c r="V840" s="194"/>
      <c r="W840" s="194"/>
      <c r="X840" s="194"/>
      <c r="Y840" s="194"/>
      <c r="Z840" s="194"/>
      <c r="AA840" s="194"/>
    </row>
    <row r="841" ht="15.75" customHeight="1">
      <c r="A841" s="241"/>
      <c r="B841" s="224"/>
      <c r="C841" s="220"/>
      <c r="D841" s="221"/>
      <c r="E841" s="222"/>
      <c r="F841" s="223"/>
      <c r="G841" s="143"/>
      <c r="H841" s="143"/>
      <c r="I841" s="143"/>
      <c r="J841" s="143"/>
      <c r="K841" s="182"/>
      <c r="L841" s="143"/>
      <c r="M841" s="182"/>
      <c r="N841" s="149"/>
      <c r="O841" s="189"/>
      <c r="P841" s="149"/>
      <c r="Q841" s="149"/>
      <c r="R841" s="189"/>
      <c r="S841" s="149"/>
      <c r="T841" s="189"/>
      <c r="U841" s="194"/>
      <c r="V841" s="194"/>
      <c r="W841" s="194"/>
      <c r="X841" s="194"/>
      <c r="Y841" s="194"/>
      <c r="Z841" s="194"/>
      <c r="AA841" s="194"/>
    </row>
    <row r="842" ht="15.75" customHeight="1">
      <c r="A842" s="241"/>
      <c r="B842" s="224"/>
      <c r="C842" s="220"/>
      <c r="D842" s="221"/>
      <c r="E842" s="222"/>
      <c r="F842" s="223"/>
      <c r="G842" s="143"/>
      <c r="H842" s="143"/>
      <c r="I842" s="143"/>
      <c r="J842" s="143"/>
      <c r="K842" s="182"/>
      <c r="L842" s="143"/>
      <c r="M842" s="182"/>
      <c r="N842" s="149"/>
      <c r="O842" s="189"/>
      <c r="P842" s="149"/>
      <c r="Q842" s="149"/>
      <c r="R842" s="189"/>
      <c r="S842" s="149"/>
      <c r="T842" s="189"/>
      <c r="U842" s="194"/>
      <c r="V842" s="194"/>
      <c r="W842" s="194"/>
      <c r="X842" s="194"/>
      <c r="Y842" s="194"/>
      <c r="Z842" s="194"/>
      <c r="AA842" s="194"/>
    </row>
    <row r="843" ht="15.75" customHeight="1">
      <c r="A843" s="241"/>
      <c r="B843" s="224"/>
      <c r="C843" s="220"/>
      <c r="D843" s="221"/>
      <c r="E843" s="222"/>
      <c r="F843" s="223"/>
      <c r="G843" s="143"/>
      <c r="H843" s="143"/>
      <c r="I843" s="143"/>
      <c r="J843" s="143"/>
      <c r="K843" s="182"/>
      <c r="L843" s="143"/>
      <c r="M843" s="182"/>
      <c r="N843" s="149"/>
      <c r="O843" s="189"/>
      <c r="P843" s="149"/>
      <c r="Q843" s="149"/>
      <c r="R843" s="189"/>
      <c r="S843" s="149"/>
      <c r="T843" s="189"/>
      <c r="U843" s="194"/>
      <c r="V843" s="194"/>
      <c r="W843" s="194"/>
      <c r="X843" s="194"/>
      <c r="Y843" s="194"/>
      <c r="Z843" s="194"/>
      <c r="AA843" s="194"/>
    </row>
    <row r="844" ht="15.75" customHeight="1">
      <c r="A844" s="241"/>
      <c r="B844" s="224"/>
      <c r="C844" s="220"/>
      <c r="D844" s="221"/>
      <c r="E844" s="222"/>
      <c r="F844" s="223"/>
      <c r="G844" s="143"/>
      <c r="H844" s="143"/>
      <c r="I844" s="143"/>
      <c r="J844" s="143"/>
      <c r="K844" s="182"/>
      <c r="L844" s="143"/>
      <c r="M844" s="182"/>
      <c r="N844" s="149"/>
      <c r="O844" s="189"/>
      <c r="P844" s="149"/>
      <c r="Q844" s="149"/>
      <c r="R844" s="189"/>
      <c r="S844" s="149"/>
      <c r="T844" s="189"/>
      <c r="U844" s="194"/>
      <c r="V844" s="194"/>
      <c r="W844" s="194"/>
      <c r="X844" s="194"/>
      <c r="Y844" s="194"/>
      <c r="Z844" s="194"/>
      <c r="AA844" s="194"/>
    </row>
    <row r="845" ht="15.75" customHeight="1">
      <c r="A845" s="241"/>
      <c r="B845" s="224"/>
      <c r="C845" s="220"/>
      <c r="D845" s="221"/>
      <c r="E845" s="222"/>
      <c r="F845" s="223"/>
      <c r="G845" s="143"/>
      <c r="H845" s="143"/>
      <c r="I845" s="143"/>
      <c r="J845" s="143"/>
      <c r="K845" s="182"/>
      <c r="L845" s="143"/>
      <c r="M845" s="182"/>
      <c r="N845" s="149"/>
      <c r="O845" s="189"/>
      <c r="P845" s="149"/>
      <c r="Q845" s="149"/>
      <c r="R845" s="189"/>
      <c r="S845" s="149"/>
      <c r="T845" s="189"/>
      <c r="U845" s="194"/>
      <c r="V845" s="194"/>
      <c r="W845" s="194"/>
      <c r="X845" s="194"/>
      <c r="Y845" s="194"/>
      <c r="Z845" s="194"/>
      <c r="AA845" s="194"/>
    </row>
    <row r="846" ht="15.75" customHeight="1">
      <c r="A846" s="241"/>
      <c r="B846" s="224"/>
      <c r="C846" s="220"/>
      <c r="D846" s="221"/>
      <c r="E846" s="222"/>
      <c r="F846" s="223"/>
      <c r="G846" s="143"/>
      <c r="H846" s="143"/>
      <c r="I846" s="143"/>
      <c r="J846" s="143"/>
      <c r="K846" s="182"/>
      <c r="L846" s="143"/>
      <c r="M846" s="182"/>
      <c r="N846" s="149"/>
      <c r="O846" s="189"/>
      <c r="P846" s="149"/>
      <c r="Q846" s="149"/>
      <c r="R846" s="189"/>
      <c r="S846" s="149"/>
      <c r="T846" s="189"/>
      <c r="U846" s="194"/>
      <c r="V846" s="194"/>
      <c r="W846" s="194"/>
      <c r="X846" s="194"/>
      <c r="Y846" s="194"/>
      <c r="Z846" s="194"/>
      <c r="AA846" s="194"/>
    </row>
    <row r="847" ht="15.75" customHeight="1">
      <c r="A847" s="241"/>
      <c r="B847" s="224"/>
      <c r="C847" s="220"/>
      <c r="D847" s="221"/>
      <c r="E847" s="222"/>
      <c r="F847" s="223"/>
      <c r="G847" s="143"/>
      <c r="H847" s="143"/>
      <c r="I847" s="143"/>
      <c r="J847" s="143"/>
      <c r="K847" s="182"/>
      <c r="L847" s="143"/>
      <c r="M847" s="182"/>
      <c r="N847" s="149"/>
      <c r="O847" s="189"/>
      <c r="P847" s="149"/>
      <c r="Q847" s="149"/>
      <c r="R847" s="189"/>
      <c r="S847" s="149"/>
      <c r="T847" s="189"/>
      <c r="U847" s="194"/>
      <c r="V847" s="194"/>
      <c r="W847" s="194"/>
      <c r="X847" s="194"/>
      <c r="Y847" s="194"/>
      <c r="Z847" s="194"/>
      <c r="AA847" s="194"/>
    </row>
    <row r="848" ht="15.75" customHeight="1">
      <c r="A848" s="241"/>
      <c r="B848" s="224"/>
      <c r="C848" s="220"/>
      <c r="D848" s="221"/>
      <c r="E848" s="222"/>
      <c r="F848" s="223"/>
      <c r="G848" s="143"/>
      <c r="H848" s="143"/>
      <c r="I848" s="143"/>
      <c r="J848" s="143"/>
      <c r="K848" s="182"/>
      <c r="L848" s="143"/>
      <c r="M848" s="182"/>
      <c r="N848" s="149"/>
      <c r="O848" s="189"/>
      <c r="P848" s="149"/>
      <c r="Q848" s="149"/>
      <c r="R848" s="189"/>
      <c r="S848" s="149"/>
      <c r="T848" s="189"/>
      <c r="U848" s="194"/>
      <c r="V848" s="194"/>
      <c r="W848" s="194"/>
      <c r="X848" s="194"/>
      <c r="Y848" s="194"/>
      <c r="Z848" s="194"/>
      <c r="AA848" s="194"/>
    </row>
    <row r="849" ht="15.75" customHeight="1">
      <c r="A849" s="241"/>
      <c r="B849" s="224"/>
      <c r="C849" s="220"/>
      <c r="D849" s="221"/>
      <c r="E849" s="222"/>
      <c r="F849" s="223"/>
      <c r="G849" s="143"/>
      <c r="H849" s="143"/>
      <c r="I849" s="143"/>
      <c r="J849" s="143"/>
      <c r="K849" s="182"/>
      <c r="L849" s="143"/>
      <c r="M849" s="182"/>
      <c r="N849" s="149"/>
      <c r="O849" s="189"/>
      <c r="P849" s="149"/>
      <c r="Q849" s="149"/>
      <c r="R849" s="189"/>
      <c r="S849" s="149"/>
      <c r="T849" s="189"/>
      <c r="U849" s="194"/>
      <c r="V849" s="194"/>
      <c r="W849" s="194"/>
      <c r="X849" s="194"/>
      <c r="Y849" s="194"/>
      <c r="Z849" s="194"/>
      <c r="AA849" s="194"/>
    </row>
    <row r="850" ht="15.75" customHeight="1">
      <c r="A850" s="241"/>
      <c r="B850" s="224"/>
      <c r="C850" s="220"/>
      <c r="D850" s="221"/>
      <c r="E850" s="222"/>
      <c r="F850" s="223"/>
      <c r="G850" s="143"/>
      <c r="H850" s="143"/>
      <c r="I850" s="143"/>
      <c r="J850" s="143"/>
      <c r="K850" s="182"/>
      <c r="L850" s="143"/>
      <c r="M850" s="182"/>
      <c r="N850" s="149"/>
      <c r="O850" s="189"/>
      <c r="P850" s="149"/>
      <c r="Q850" s="149"/>
      <c r="R850" s="189"/>
      <c r="S850" s="149"/>
      <c r="T850" s="189"/>
      <c r="U850" s="194"/>
      <c r="V850" s="194"/>
      <c r="W850" s="194"/>
      <c r="X850" s="194"/>
      <c r="Y850" s="194"/>
      <c r="Z850" s="194"/>
      <c r="AA850" s="194"/>
    </row>
    <row r="851" ht="15.75" customHeight="1">
      <c r="A851" s="241"/>
      <c r="B851" s="224"/>
      <c r="C851" s="220"/>
      <c r="D851" s="221"/>
      <c r="E851" s="222"/>
      <c r="F851" s="223"/>
      <c r="G851" s="143"/>
      <c r="H851" s="143"/>
      <c r="I851" s="143"/>
      <c r="J851" s="143"/>
      <c r="K851" s="182"/>
      <c r="L851" s="143"/>
      <c r="M851" s="182"/>
      <c r="N851" s="149"/>
      <c r="O851" s="189"/>
      <c r="P851" s="149"/>
      <c r="Q851" s="149"/>
      <c r="R851" s="189"/>
      <c r="S851" s="149"/>
      <c r="T851" s="189"/>
      <c r="U851" s="194"/>
      <c r="V851" s="194"/>
      <c r="W851" s="194"/>
      <c r="X851" s="194"/>
      <c r="Y851" s="194"/>
      <c r="Z851" s="194"/>
      <c r="AA851" s="194"/>
    </row>
    <row r="852" ht="15.75" customHeight="1">
      <c r="A852" s="241"/>
      <c r="B852" s="224"/>
      <c r="C852" s="220"/>
      <c r="D852" s="221"/>
      <c r="E852" s="222"/>
      <c r="F852" s="223"/>
      <c r="G852" s="143"/>
      <c r="H852" s="143"/>
      <c r="I852" s="143"/>
      <c r="J852" s="143"/>
      <c r="K852" s="182"/>
      <c r="L852" s="143"/>
      <c r="M852" s="182"/>
      <c r="N852" s="149"/>
      <c r="O852" s="189"/>
      <c r="P852" s="149"/>
      <c r="Q852" s="149"/>
      <c r="R852" s="189"/>
      <c r="S852" s="149"/>
      <c r="T852" s="189"/>
      <c r="U852" s="194"/>
      <c r="V852" s="194"/>
      <c r="W852" s="194"/>
      <c r="X852" s="194"/>
      <c r="Y852" s="194"/>
      <c r="Z852" s="194"/>
      <c r="AA852" s="194"/>
    </row>
    <row r="853" ht="15.75" customHeight="1">
      <c r="A853" s="241"/>
      <c r="B853" s="224"/>
      <c r="C853" s="220"/>
      <c r="D853" s="221"/>
      <c r="E853" s="222"/>
      <c r="F853" s="223"/>
      <c r="G853" s="143"/>
      <c r="H853" s="143"/>
      <c r="I853" s="143"/>
      <c r="J853" s="143"/>
      <c r="K853" s="182"/>
      <c r="L853" s="143"/>
      <c r="M853" s="182"/>
      <c r="N853" s="149"/>
      <c r="O853" s="189"/>
      <c r="P853" s="149"/>
      <c r="Q853" s="149"/>
      <c r="R853" s="189"/>
      <c r="S853" s="149"/>
      <c r="T853" s="189"/>
      <c r="U853" s="194"/>
      <c r="V853" s="194"/>
      <c r="W853" s="194"/>
      <c r="X853" s="194"/>
      <c r="Y853" s="194"/>
      <c r="Z853" s="194"/>
      <c r="AA853" s="194"/>
    </row>
    <row r="854" ht="15.75" customHeight="1">
      <c r="A854" s="241"/>
      <c r="B854" s="224"/>
      <c r="C854" s="220"/>
      <c r="D854" s="221"/>
      <c r="E854" s="222"/>
      <c r="F854" s="223"/>
      <c r="G854" s="143"/>
      <c r="H854" s="143"/>
      <c r="I854" s="143"/>
      <c r="J854" s="143"/>
      <c r="K854" s="182"/>
      <c r="L854" s="143"/>
      <c r="M854" s="182"/>
      <c r="N854" s="149"/>
      <c r="O854" s="189"/>
      <c r="P854" s="149"/>
      <c r="Q854" s="149"/>
      <c r="R854" s="189"/>
      <c r="S854" s="149"/>
      <c r="T854" s="189"/>
      <c r="U854" s="194"/>
      <c r="V854" s="194"/>
      <c r="W854" s="194"/>
      <c r="X854" s="194"/>
      <c r="Y854" s="194"/>
      <c r="Z854" s="194"/>
      <c r="AA854" s="194"/>
    </row>
    <row r="855" ht="15.75" customHeight="1">
      <c r="A855" s="241"/>
      <c r="B855" s="224"/>
      <c r="C855" s="220"/>
      <c r="D855" s="221"/>
      <c r="E855" s="222"/>
      <c r="F855" s="223"/>
      <c r="G855" s="143"/>
      <c r="H855" s="143"/>
      <c r="I855" s="143"/>
      <c r="J855" s="143"/>
      <c r="K855" s="182"/>
      <c r="L855" s="143"/>
      <c r="M855" s="182"/>
      <c r="N855" s="149"/>
      <c r="O855" s="189"/>
      <c r="P855" s="149"/>
      <c r="Q855" s="149"/>
      <c r="R855" s="189"/>
      <c r="S855" s="149"/>
      <c r="T855" s="189"/>
      <c r="U855" s="194"/>
      <c r="V855" s="194"/>
      <c r="W855" s="194"/>
      <c r="X855" s="194"/>
      <c r="Y855" s="194"/>
      <c r="Z855" s="194"/>
      <c r="AA855" s="194"/>
    </row>
    <row r="856" ht="15.75" customHeight="1">
      <c r="A856" s="241"/>
      <c r="B856" s="224"/>
      <c r="C856" s="220"/>
      <c r="D856" s="221"/>
      <c r="E856" s="222"/>
      <c r="F856" s="223"/>
      <c r="G856" s="143"/>
      <c r="H856" s="143"/>
      <c r="I856" s="143"/>
      <c r="J856" s="143"/>
      <c r="K856" s="182"/>
      <c r="L856" s="143"/>
      <c r="M856" s="182"/>
      <c r="N856" s="149"/>
      <c r="O856" s="189"/>
      <c r="P856" s="149"/>
      <c r="Q856" s="149"/>
      <c r="R856" s="189"/>
      <c r="S856" s="149"/>
      <c r="T856" s="189"/>
      <c r="U856" s="194"/>
      <c r="V856" s="194"/>
      <c r="W856" s="194"/>
      <c r="X856" s="194"/>
      <c r="Y856" s="194"/>
      <c r="Z856" s="194"/>
      <c r="AA856" s="194"/>
    </row>
    <row r="857" ht="15.75" customHeight="1">
      <c r="A857" s="241"/>
      <c r="B857" s="224"/>
      <c r="C857" s="220"/>
      <c r="D857" s="221"/>
      <c r="E857" s="222"/>
      <c r="F857" s="223"/>
      <c r="G857" s="143"/>
      <c r="H857" s="143"/>
      <c r="I857" s="143"/>
      <c r="J857" s="143"/>
      <c r="K857" s="182"/>
      <c r="L857" s="143"/>
      <c r="M857" s="182"/>
      <c r="N857" s="149"/>
      <c r="O857" s="189"/>
      <c r="P857" s="149"/>
      <c r="Q857" s="149"/>
      <c r="R857" s="189"/>
      <c r="S857" s="149"/>
      <c r="T857" s="189"/>
      <c r="U857" s="194"/>
      <c r="V857" s="194"/>
      <c r="W857" s="194"/>
      <c r="X857" s="194"/>
      <c r="Y857" s="194"/>
      <c r="Z857" s="194"/>
      <c r="AA857" s="194"/>
    </row>
    <row r="858" ht="15.75" customHeight="1">
      <c r="A858" s="241"/>
      <c r="B858" s="224"/>
      <c r="C858" s="220"/>
      <c r="D858" s="221"/>
      <c r="E858" s="222"/>
      <c r="F858" s="223"/>
      <c r="G858" s="143"/>
      <c r="H858" s="143"/>
      <c r="I858" s="143"/>
      <c r="J858" s="143"/>
      <c r="K858" s="182"/>
      <c r="L858" s="143"/>
      <c r="M858" s="182"/>
      <c r="N858" s="149"/>
      <c r="O858" s="189"/>
      <c r="P858" s="149"/>
      <c r="Q858" s="149"/>
      <c r="R858" s="189"/>
      <c r="S858" s="149"/>
      <c r="T858" s="189"/>
      <c r="U858" s="194"/>
      <c r="V858" s="194"/>
      <c r="W858" s="194"/>
      <c r="X858" s="194"/>
      <c r="Y858" s="194"/>
      <c r="Z858" s="194"/>
      <c r="AA858" s="194"/>
    </row>
    <row r="859" ht="15.75" customHeight="1">
      <c r="A859" s="241"/>
      <c r="B859" s="224"/>
      <c r="C859" s="220"/>
      <c r="D859" s="221"/>
      <c r="E859" s="222"/>
      <c r="F859" s="223"/>
      <c r="G859" s="143"/>
      <c r="H859" s="143"/>
      <c r="I859" s="143"/>
      <c r="J859" s="143"/>
      <c r="K859" s="182"/>
      <c r="L859" s="143"/>
      <c r="M859" s="182"/>
      <c r="N859" s="149"/>
      <c r="O859" s="189"/>
      <c r="P859" s="149"/>
      <c r="Q859" s="149"/>
      <c r="R859" s="189"/>
      <c r="S859" s="149"/>
      <c r="T859" s="189"/>
      <c r="U859" s="194"/>
      <c r="V859" s="194"/>
      <c r="W859" s="194"/>
      <c r="X859" s="194"/>
      <c r="Y859" s="194"/>
      <c r="Z859" s="194"/>
      <c r="AA859" s="194"/>
    </row>
    <row r="860" ht="15.75" customHeight="1">
      <c r="A860" s="241"/>
      <c r="B860" s="224"/>
      <c r="C860" s="220"/>
      <c r="D860" s="221"/>
      <c r="E860" s="222"/>
      <c r="F860" s="223"/>
      <c r="G860" s="143"/>
      <c r="H860" s="143"/>
      <c r="I860" s="143"/>
      <c r="J860" s="143"/>
      <c r="K860" s="182"/>
      <c r="L860" s="143"/>
      <c r="M860" s="182"/>
      <c r="N860" s="149"/>
      <c r="O860" s="189"/>
      <c r="P860" s="149"/>
      <c r="Q860" s="149"/>
      <c r="R860" s="189"/>
      <c r="S860" s="149"/>
      <c r="T860" s="189"/>
      <c r="U860" s="194"/>
      <c r="V860" s="194"/>
      <c r="W860" s="194"/>
      <c r="X860" s="194"/>
      <c r="Y860" s="194"/>
      <c r="Z860" s="194"/>
      <c r="AA860" s="194"/>
    </row>
    <row r="861" ht="15.75" customHeight="1">
      <c r="A861" s="241"/>
      <c r="B861" s="224"/>
      <c r="C861" s="220"/>
      <c r="D861" s="221"/>
      <c r="E861" s="222"/>
      <c r="F861" s="223"/>
      <c r="G861" s="143"/>
      <c r="H861" s="143"/>
      <c r="I861" s="143"/>
      <c r="J861" s="143"/>
      <c r="K861" s="182"/>
      <c r="L861" s="143"/>
      <c r="M861" s="182"/>
      <c r="N861" s="149"/>
      <c r="O861" s="189"/>
      <c r="P861" s="149"/>
      <c r="Q861" s="149"/>
      <c r="R861" s="189"/>
      <c r="S861" s="149"/>
      <c r="T861" s="189"/>
      <c r="U861" s="194"/>
      <c r="V861" s="194"/>
      <c r="W861" s="194"/>
      <c r="X861" s="194"/>
      <c r="Y861" s="194"/>
      <c r="Z861" s="194"/>
      <c r="AA861" s="194"/>
    </row>
    <row r="862" ht="15.75" customHeight="1">
      <c r="A862" s="241"/>
      <c r="B862" s="224"/>
      <c r="C862" s="220"/>
      <c r="D862" s="221"/>
      <c r="E862" s="222"/>
      <c r="F862" s="223"/>
      <c r="G862" s="143"/>
      <c r="H862" s="143"/>
      <c r="I862" s="143"/>
      <c r="J862" s="143"/>
      <c r="K862" s="182"/>
      <c r="L862" s="143"/>
      <c r="M862" s="182"/>
      <c r="N862" s="149"/>
      <c r="O862" s="189"/>
      <c r="P862" s="149"/>
      <c r="Q862" s="149"/>
      <c r="R862" s="189"/>
      <c r="S862" s="149"/>
      <c r="T862" s="189"/>
      <c r="U862" s="194"/>
      <c r="V862" s="194"/>
      <c r="W862" s="194"/>
      <c r="X862" s="194"/>
      <c r="Y862" s="194"/>
      <c r="Z862" s="194"/>
      <c r="AA862" s="194"/>
    </row>
    <row r="863" ht="15.75" customHeight="1">
      <c r="A863" s="241"/>
      <c r="B863" s="224"/>
      <c r="C863" s="220"/>
      <c r="D863" s="221"/>
      <c r="E863" s="222"/>
      <c r="F863" s="223"/>
      <c r="G863" s="143"/>
      <c r="H863" s="143"/>
      <c r="I863" s="143"/>
      <c r="J863" s="143"/>
      <c r="K863" s="182"/>
      <c r="L863" s="143"/>
      <c r="M863" s="182"/>
      <c r="N863" s="149"/>
      <c r="O863" s="189"/>
      <c r="P863" s="149"/>
      <c r="Q863" s="149"/>
      <c r="R863" s="189"/>
      <c r="S863" s="149"/>
      <c r="T863" s="189"/>
      <c r="U863" s="194"/>
      <c r="V863" s="194"/>
      <c r="W863" s="194"/>
      <c r="X863" s="194"/>
      <c r="Y863" s="194"/>
      <c r="Z863" s="194"/>
      <c r="AA863" s="194"/>
    </row>
    <row r="864" ht="15.75" customHeight="1">
      <c r="A864" s="241"/>
      <c r="B864" s="224"/>
      <c r="C864" s="220"/>
      <c r="D864" s="221"/>
      <c r="E864" s="222"/>
      <c r="F864" s="223"/>
      <c r="G864" s="143"/>
      <c r="H864" s="143"/>
      <c r="I864" s="143"/>
      <c r="J864" s="143"/>
      <c r="K864" s="182"/>
      <c r="L864" s="143"/>
      <c r="M864" s="182"/>
      <c r="N864" s="149"/>
      <c r="O864" s="189"/>
      <c r="P864" s="149"/>
      <c r="Q864" s="149"/>
      <c r="R864" s="189"/>
      <c r="S864" s="149"/>
      <c r="T864" s="189"/>
      <c r="U864" s="194"/>
      <c r="V864" s="194"/>
      <c r="W864" s="194"/>
      <c r="X864" s="194"/>
      <c r="Y864" s="194"/>
      <c r="Z864" s="194"/>
      <c r="AA864" s="194"/>
    </row>
    <row r="865" ht="15.75" customHeight="1">
      <c r="A865" s="241"/>
      <c r="B865" s="224"/>
      <c r="C865" s="220"/>
      <c r="D865" s="221"/>
      <c r="E865" s="222"/>
      <c r="F865" s="223"/>
      <c r="G865" s="143"/>
      <c r="H865" s="143"/>
      <c r="I865" s="143"/>
      <c r="J865" s="143"/>
      <c r="K865" s="182"/>
      <c r="L865" s="143"/>
      <c r="M865" s="182"/>
      <c r="N865" s="149"/>
      <c r="O865" s="189"/>
      <c r="P865" s="149"/>
      <c r="Q865" s="149"/>
      <c r="R865" s="189"/>
      <c r="S865" s="149"/>
      <c r="T865" s="189"/>
      <c r="U865" s="194"/>
      <c r="V865" s="194"/>
      <c r="W865" s="194"/>
      <c r="X865" s="194"/>
      <c r="Y865" s="194"/>
      <c r="Z865" s="194"/>
      <c r="AA865" s="194"/>
    </row>
    <row r="866" ht="15.75" customHeight="1">
      <c r="A866" s="241"/>
      <c r="B866" s="224"/>
      <c r="C866" s="220"/>
      <c r="D866" s="221"/>
      <c r="E866" s="222"/>
      <c r="F866" s="223"/>
      <c r="G866" s="143"/>
      <c r="H866" s="143"/>
      <c r="I866" s="143"/>
      <c r="J866" s="143"/>
      <c r="K866" s="182"/>
      <c r="L866" s="143"/>
      <c r="M866" s="182"/>
      <c r="N866" s="149"/>
      <c r="O866" s="189"/>
      <c r="P866" s="149"/>
      <c r="Q866" s="149"/>
      <c r="R866" s="189"/>
      <c r="S866" s="149"/>
      <c r="T866" s="189"/>
      <c r="U866" s="194"/>
      <c r="V866" s="194"/>
      <c r="W866" s="194"/>
      <c r="X866" s="194"/>
      <c r="Y866" s="194"/>
      <c r="Z866" s="194"/>
      <c r="AA866" s="194"/>
    </row>
    <row r="867" ht="15.75" customHeight="1">
      <c r="A867" s="241"/>
      <c r="B867" s="224"/>
      <c r="C867" s="220"/>
      <c r="D867" s="221"/>
      <c r="E867" s="222"/>
      <c r="F867" s="223"/>
      <c r="G867" s="143"/>
      <c r="H867" s="143"/>
      <c r="I867" s="143"/>
      <c r="J867" s="143"/>
      <c r="K867" s="182"/>
      <c r="L867" s="143"/>
      <c r="M867" s="182"/>
      <c r="N867" s="149"/>
      <c r="O867" s="189"/>
      <c r="P867" s="149"/>
      <c r="Q867" s="149"/>
      <c r="R867" s="189"/>
      <c r="S867" s="149"/>
      <c r="T867" s="189"/>
      <c r="U867" s="194"/>
      <c r="V867" s="194"/>
      <c r="W867" s="194"/>
      <c r="X867" s="194"/>
      <c r="Y867" s="194"/>
      <c r="Z867" s="194"/>
      <c r="AA867" s="194"/>
    </row>
    <row r="868" ht="15.75" customHeight="1">
      <c r="A868" s="241"/>
      <c r="B868" s="224"/>
      <c r="C868" s="220"/>
      <c r="D868" s="221"/>
      <c r="E868" s="222"/>
      <c r="F868" s="223"/>
      <c r="G868" s="143"/>
      <c r="H868" s="143"/>
      <c r="I868" s="143"/>
      <c r="J868" s="143"/>
      <c r="K868" s="182"/>
      <c r="L868" s="143"/>
      <c r="M868" s="182"/>
      <c r="N868" s="149"/>
      <c r="O868" s="189"/>
      <c r="P868" s="149"/>
      <c r="Q868" s="149"/>
      <c r="R868" s="189"/>
      <c r="S868" s="149"/>
      <c r="T868" s="189"/>
      <c r="U868" s="194"/>
      <c r="V868" s="194"/>
      <c r="W868" s="194"/>
      <c r="X868" s="194"/>
      <c r="Y868" s="194"/>
      <c r="Z868" s="194"/>
      <c r="AA868" s="194"/>
    </row>
    <row r="869" ht="15.75" customHeight="1">
      <c r="A869" s="241"/>
      <c r="B869" s="224"/>
      <c r="C869" s="220"/>
      <c r="D869" s="221"/>
      <c r="E869" s="222"/>
      <c r="F869" s="223"/>
      <c r="G869" s="143"/>
      <c r="H869" s="143"/>
      <c r="I869" s="143"/>
      <c r="J869" s="143"/>
      <c r="K869" s="182"/>
      <c r="L869" s="143"/>
      <c r="M869" s="182"/>
      <c r="N869" s="149"/>
      <c r="O869" s="189"/>
      <c r="P869" s="149"/>
      <c r="Q869" s="149"/>
      <c r="R869" s="189"/>
      <c r="S869" s="149"/>
      <c r="T869" s="189"/>
      <c r="U869" s="194"/>
      <c r="V869" s="194"/>
      <c r="W869" s="194"/>
      <c r="X869" s="194"/>
      <c r="Y869" s="194"/>
      <c r="Z869" s="194"/>
      <c r="AA869" s="194"/>
    </row>
    <row r="870" ht="15.75" customHeight="1">
      <c r="A870" s="241"/>
      <c r="B870" s="224"/>
      <c r="C870" s="220"/>
      <c r="D870" s="221"/>
      <c r="E870" s="222"/>
      <c r="F870" s="223"/>
      <c r="G870" s="143"/>
      <c r="H870" s="143"/>
      <c r="I870" s="143"/>
      <c r="J870" s="143"/>
      <c r="K870" s="182"/>
      <c r="L870" s="143"/>
      <c r="M870" s="182"/>
      <c r="N870" s="149"/>
      <c r="O870" s="189"/>
      <c r="P870" s="149"/>
      <c r="Q870" s="149"/>
      <c r="R870" s="189"/>
      <c r="S870" s="149"/>
      <c r="T870" s="189"/>
      <c r="U870" s="194"/>
      <c r="V870" s="194"/>
      <c r="W870" s="194"/>
      <c r="X870" s="194"/>
      <c r="Y870" s="194"/>
      <c r="Z870" s="194"/>
      <c r="AA870" s="194"/>
    </row>
    <row r="871" ht="15.75" customHeight="1">
      <c r="A871" s="241"/>
      <c r="B871" s="224"/>
      <c r="C871" s="220"/>
      <c r="D871" s="221"/>
      <c r="E871" s="222"/>
      <c r="F871" s="223"/>
      <c r="G871" s="143"/>
      <c r="H871" s="143"/>
      <c r="I871" s="143"/>
      <c r="J871" s="143"/>
      <c r="K871" s="182"/>
      <c r="L871" s="143"/>
      <c r="M871" s="182"/>
      <c r="N871" s="149"/>
      <c r="O871" s="189"/>
      <c r="P871" s="149"/>
      <c r="Q871" s="149"/>
      <c r="R871" s="189"/>
      <c r="S871" s="149"/>
      <c r="T871" s="189"/>
      <c r="U871" s="194"/>
      <c r="V871" s="194"/>
      <c r="W871" s="194"/>
      <c r="X871" s="194"/>
      <c r="Y871" s="194"/>
      <c r="Z871" s="194"/>
      <c r="AA871" s="194"/>
    </row>
    <row r="872" ht="15.75" customHeight="1">
      <c r="A872" s="241"/>
      <c r="B872" s="224"/>
      <c r="C872" s="220"/>
      <c r="D872" s="221"/>
      <c r="E872" s="222"/>
      <c r="F872" s="223"/>
      <c r="G872" s="143"/>
      <c r="H872" s="143"/>
      <c r="I872" s="143"/>
      <c r="J872" s="143"/>
      <c r="K872" s="182"/>
      <c r="L872" s="143"/>
      <c r="M872" s="182"/>
      <c r="N872" s="149"/>
      <c r="O872" s="189"/>
      <c r="P872" s="149"/>
      <c r="Q872" s="149"/>
      <c r="R872" s="189"/>
      <c r="S872" s="149"/>
      <c r="T872" s="189"/>
      <c r="U872" s="194"/>
      <c r="V872" s="194"/>
      <c r="W872" s="194"/>
      <c r="X872" s="194"/>
      <c r="Y872" s="194"/>
      <c r="Z872" s="194"/>
      <c r="AA872" s="194"/>
    </row>
    <row r="873" ht="15.75" customHeight="1">
      <c r="A873" s="241"/>
      <c r="B873" s="224"/>
      <c r="C873" s="220"/>
      <c r="D873" s="221"/>
      <c r="E873" s="222"/>
      <c r="F873" s="223"/>
      <c r="G873" s="143"/>
      <c r="H873" s="143"/>
      <c r="I873" s="143"/>
      <c r="J873" s="143"/>
      <c r="K873" s="182"/>
      <c r="L873" s="143"/>
      <c r="M873" s="182"/>
      <c r="N873" s="149"/>
      <c r="O873" s="189"/>
      <c r="P873" s="149"/>
      <c r="Q873" s="149"/>
      <c r="R873" s="189"/>
      <c r="S873" s="149"/>
      <c r="T873" s="189"/>
      <c r="U873" s="194"/>
      <c r="V873" s="194"/>
      <c r="W873" s="194"/>
      <c r="X873" s="194"/>
      <c r="Y873" s="194"/>
      <c r="Z873" s="194"/>
      <c r="AA873" s="194"/>
    </row>
    <row r="874" ht="15.75" customHeight="1">
      <c r="A874" s="241"/>
      <c r="B874" s="224"/>
      <c r="C874" s="220"/>
      <c r="D874" s="221"/>
      <c r="E874" s="222"/>
      <c r="F874" s="223"/>
      <c r="G874" s="143"/>
      <c r="H874" s="143"/>
      <c r="I874" s="143"/>
      <c r="J874" s="143"/>
      <c r="K874" s="182"/>
      <c r="L874" s="143"/>
      <c r="M874" s="182"/>
      <c r="N874" s="149"/>
      <c r="O874" s="189"/>
      <c r="P874" s="149"/>
      <c r="Q874" s="149"/>
      <c r="R874" s="189"/>
      <c r="S874" s="149"/>
      <c r="T874" s="189"/>
      <c r="U874" s="194"/>
      <c r="V874" s="194"/>
      <c r="W874" s="194"/>
      <c r="X874" s="194"/>
      <c r="Y874" s="194"/>
      <c r="Z874" s="194"/>
      <c r="AA874" s="194"/>
    </row>
    <row r="875" ht="15.75" customHeight="1">
      <c r="A875" s="241"/>
      <c r="B875" s="224"/>
      <c r="C875" s="220"/>
      <c r="D875" s="221"/>
      <c r="E875" s="222"/>
      <c r="F875" s="223"/>
      <c r="G875" s="143"/>
      <c r="H875" s="143"/>
      <c r="I875" s="143"/>
      <c r="J875" s="143"/>
      <c r="K875" s="182"/>
      <c r="L875" s="143"/>
      <c r="M875" s="182"/>
      <c r="N875" s="149"/>
      <c r="O875" s="189"/>
      <c r="P875" s="149"/>
      <c r="Q875" s="149"/>
      <c r="R875" s="189"/>
      <c r="S875" s="149"/>
      <c r="T875" s="189"/>
      <c r="U875" s="194"/>
      <c r="V875" s="194"/>
      <c r="W875" s="194"/>
      <c r="X875" s="194"/>
      <c r="Y875" s="194"/>
      <c r="Z875" s="194"/>
      <c r="AA875" s="194"/>
    </row>
    <row r="876" ht="15.75" customHeight="1">
      <c r="A876" s="241"/>
      <c r="B876" s="224"/>
      <c r="C876" s="220"/>
      <c r="D876" s="221"/>
      <c r="E876" s="222"/>
      <c r="F876" s="223"/>
      <c r="G876" s="143"/>
      <c r="H876" s="143"/>
      <c r="I876" s="143"/>
      <c r="J876" s="143"/>
      <c r="K876" s="182"/>
      <c r="L876" s="143"/>
      <c r="M876" s="182"/>
      <c r="N876" s="149"/>
      <c r="O876" s="189"/>
      <c r="P876" s="149"/>
      <c r="Q876" s="149"/>
      <c r="R876" s="189"/>
      <c r="S876" s="149"/>
      <c r="T876" s="189"/>
      <c r="U876" s="194"/>
      <c r="V876" s="194"/>
      <c r="W876" s="194"/>
      <c r="X876" s="194"/>
      <c r="Y876" s="194"/>
      <c r="Z876" s="194"/>
      <c r="AA876" s="194"/>
    </row>
    <row r="877" ht="15.75" customHeight="1">
      <c r="A877" s="241"/>
      <c r="B877" s="224"/>
      <c r="C877" s="220"/>
      <c r="D877" s="221"/>
      <c r="E877" s="222"/>
      <c r="F877" s="223"/>
      <c r="G877" s="143"/>
      <c r="H877" s="143"/>
      <c r="I877" s="143"/>
      <c r="J877" s="143"/>
      <c r="K877" s="182"/>
      <c r="L877" s="143"/>
      <c r="M877" s="182"/>
      <c r="N877" s="149"/>
      <c r="O877" s="189"/>
      <c r="P877" s="149"/>
      <c r="Q877" s="149"/>
      <c r="R877" s="189"/>
      <c r="S877" s="149"/>
      <c r="T877" s="189"/>
      <c r="U877" s="194"/>
      <c r="V877" s="194"/>
      <c r="W877" s="194"/>
      <c r="X877" s="194"/>
      <c r="Y877" s="194"/>
      <c r="Z877" s="194"/>
      <c r="AA877" s="194"/>
    </row>
    <row r="878" ht="15.75" customHeight="1">
      <c r="A878" s="241"/>
      <c r="B878" s="224"/>
      <c r="C878" s="220"/>
      <c r="D878" s="221"/>
      <c r="E878" s="222"/>
      <c r="F878" s="223"/>
      <c r="G878" s="143"/>
      <c r="H878" s="143"/>
      <c r="I878" s="143"/>
      <c r="J878" s="143"/>
      <c r="K878" s="182"/>
      <c r="L878" s="143"/>
      <c r="M878" s="182"/>
      <c r="N878" s="149"/>
      <c r="O878" s="189"/>
      <c r="P878" s="149"/>
      <c r="Q878" s="149"/>
      <c r="R878" s="189"/>
      <c r="S878" s="149"/>
      <c r="T878" s="189"/>
      <c r="U878" s="194"/>
      <c r="V878" s="194"/>
      <c r="W878" s="194"/>
      <c r="X878" s="194"/>
      <c r="Y878" s="194"/>
      <c r="Z878" s="194"/>
      <c r="AA878" s="194"/>
    </row>
    <row r="879" ht="15.75" customHeight="1">
      <c r="A879" s="241"/>
      <c r="B879" s="224"/>
      <c r="C879" s="220"/>
      <c r="D879" s="221"/>
      <c r="E879" s="222"/>
      <c r="F879" s="223"/>
      <c r="G879" s="143"/>
      <c r="H879" s="143"/>
      <c r="I879" s="143"/>
      <c r="J879" s="143"/>
      <c r="K879" s="182"/>
      <c r="L879" s="143"/>
      <c r="M879" s="182"/>
      <c r="N879" s="149"/>
      <c r="O879" s="189"/>
      <c r="P879" s="149"/>
      <c r="Q879" s="149"/>
      <c r="R879" s="189"/>
      <c r="S879" s="149"/>
      <c r="T879" s="189"/>
      <c r="U879" s="194"/>
      <c r="V879" s="194"/>
      <c r="W879" s="194"/>
      <c r="X879" s="194"/>
      <c r="Y879" s="194"/>
      <c r="Z879" s="194"/>
      <c r="AA879" s="194"/>
    </row>
    <row r="880" ht="15.75" customHeight="1">
      <c r="A880" s="241"/>
      <c r="B880" s="224"/>
      <c r="C880" s="220"/>
      <c r="D880" s="221"/>
      <c r="E880" s="222"/>
      <c r="F880" s="223"/>
      <c r="G880" s="143"/>
      <c r="H880" s="143"/>
      <c r="I880" s="143"/>
      <c r="J880" s="143"/>
      <c r="K880" s="182"/>
      <c r="L880" s="143"/>
      <c r="M880" s="182"/>
      <c r="N880" s="149"/>
      <c r="O880" s="189"/>
      <c r="P880" s="149"/>
      <c r="Q880" s="149"/>
      <c r="R880" s="189"/>
      <c r="S880" s="149"/>
      <c r="T880" s="189"/>
      <c r="U880" s="194"/>
      <c r="V880" s="194"/>
      <c r="W880" s="194"/>
      <c r="X880" s="194"/>
      <c r="Y880" s="194"/>
      <c r="Z880" s="194"/>
      <c r="AA880" s="194"/>
    </row>
    <row r="881" ht="15.75" customHeight="1">
      <c r="A881" s="241"/>
      <c r="B881" s="224"/>
      <c r="C881" s="220"/>
      <c r="D881" s="221"/>
      <c r="E881" s="222"/>
      <c r="F881" s="223"/>
      <c r="G881" s="143"/>
      <c r="H881" s="143"/>
      <c r="I881" s="143"/>
      <c r="J881" s="143"/>
      <c r="K881" s="182"/>
      <c r="L881" s="143"/>
      <c r="M881" s="182"/>
      <c r="N881" s="149"/>
      <c r="O881" s="189"/>
      <c r="P881" s="149"/>
      <c r="Q881" s="149"/>
      <c r="R881" s="189"/>
      <c r="S881" s="149"/>
      <c r="T881" s="189"/>
      <c r="U881" s="194"/>
      <c r="V881" s="194"/>
      <c r="W881" s="194"/>
      <c r="X881" s="194"/>
      <c r="Y881" s="194"/>
      <c r="Z881" s="194"/>
      <c r="AA881" s="194"/>
    </row>
    <row r="882" ht="15.75" customHeight="1">
      <c r="A882" s="241"/>
      <c r="B882" s="224"/>
      <c r="C882" s="220"/>
      <c r="D882" s="221"/>
      <c r="E882" s="222"/>
      <c r="F882" s="223"/>
      <c r="G882" s="143"/>
      <c r="H882" s="143"/>
      <c r="I882" s="143"/>
      <c r="J882" s="143"/>
      <c r="K882" s="182"/>
      <c r="L882" s="143"/>
      <c r="M882" s="182"/>
      <c r="N882" s="149"/>
      <c r="O882" s="189"/>
      <c r="P882" s="149"/>
      <c r="Q882" s="149"/>
      <c r="R882" s="189"/>
      <c r="S882" s="149"/>
      <c r="T882" s="189"/>
      <c r="U882" s="194"/>
      <c r="V882" s="194"/>
      <c r="W882" s="194"/>
      <c r="X882" s="194"/>
      <c r="Y882" s="194"/>
      <c r="Z882" s="194"/>
      <c r="AA882" s="194"/>
    </row>
    <row r="883" ht="15.75" customHeight="1">
      <c r="A883" s="241"/>
      <c r="B883" s="224"/>
      <c r="C883" s="220"/>
      <c r="D883" s="221"/>
      <c r="E883" s="222"/>
      <c r="F883" s="223"/>
      <c r="G883" s="143"/>
      <c r="H883" s="143"/>
      <c r="I883" s="143"/>
      <c r="J883" s="143"/>
      <c r="K883" s="182"/>
      <c r="L883" s="143"/>
      <c r="M883" s="182"/>
      <c r="N883" s="149"/>
      <c r="O883" s="189"/>
      <c r="P883" s="149"/>
      <c r="Q883" s="149"/>
      <c r="R883" s="189"/>
      <c r="S883" s="149"/>
      <c r="T883" s="189"/>
      <c r="U883" s="194"/>
      <c r="V883" s="194"/>
      <c r="W883" s="194"/>
      <c r="X883" s="194"/>
      <c r="Y883" s="194"/>
      <c r="Z883" s="194"/>
      <c r="AA883" s="194"/>
    </row>
    <row r="884" ht="15.75" customHeight="1">
      <c r="A884" s="241"/>
      <c r="B884" s="224"/>
      <c r="C884" s="220"/>
      <c r="D884" s="221"/>
      <c r="E884" s="222"/>
      <c r="F884" s="223"/>
      <c r="G884" s="143"/>
      <c r="H884" s="143"/>
      <c r="I884" s="143"/>
      <c r="J884" s="143"/>
      <c r="K884" s="182"/>
      <c r="L884" s="143"/>
      <c r="M884" s="182"/>
      <c r="N884" s="149"/>
      <c r="O884" s="189"/>
      <c r="P884" s="149"/>
      <c r="Q884" s="149"/>
      <c r="R884" s="189"/>
      <c r="S884" s="149"/>
      <c r="T884" s="189"/>
      <c r="U884" s="194"/>
      <c r="V884" s="194"/>
      <c r="W884" s="194"/>
      <c r="X884" s="194"/>
      <c r="Y884" s="194"/>
      <c r="Z884" s="194"/>
      <c r="AA884" s="194"/>
    </row>
    <row r="885" ht="15.75" customHeight="1">
      <c r="A885" s="241"/>
      <c r="B885" s="224"/>
      <c r="C885" s="220"/>
      <c r="D885" s="221"/>
      <c r="E885" s="222"/>
      <c r="F885" s="223"/>
      <c r="G885" s="143"/>
      <c r="H885" s="143"/>
      <c r="I885" s="143"/>
      <c r="J885" s="143"/>
      <c r="K885" s="182"/>
      <c r="L885" s="143"/>
      <c r="M885" s="182"/>
      <c r="N885" s="149"/>
      <c r="O885" s="189"/>
      <c r="P885" s="149"/>
      <c r="Q885" s="149"/>
      <c r="R885" s="189"/>
      <c r="S885" s="149"/>
      <c r="T885" s="189"/>
      <c r="U885" s="194"/>
      <c r="V885" s="194"/>
      <c r="W885" s="194"/>
      <c r="X885" s="194"/>
      <c r="Y885" s="194"/>
      <c r="Z885" s="194"/>
      <c r="AA885" s="194"/>
    </row>
    <row r="886" ht="15.75" customHeight="1">
      <c r="A886" s="241"/>
      <c r="B886" s="224"/>
      <c r="C886" s="220"/>
      <c r="D886" s="221"/>
      <c r="E886" s="222"/>
      <c r="F886" s="223"/>
      <c r="G886" s="143"/>
      <c r="H886" s="143"/>
      <c r="I886" s="143"/>
      <c r="J886" s="143"/>
      <c r="K886" s="182"/>
      <c r="L886" s="143"/>
      <c r="M886" s="182"/>
      <c r="N886" s="149"/>
      <c r="O886" s="189"/>
      <c r="P886" s="149"/>
      <c r="Q886" s="149"/>
      <c r="R886" s="189"/>
      <c r="S886" s="149"/>
      <c r="T886" s="189"/>
      <c r="U886" s="194"/>
      <c r="V886" s="194"/>
      <c r="W886" s="194"/>
      <c r="X886" s="194"/>
      <c r="Y886" s="194"/>
      <c r="Z886" s="194"/>
      <c r="AA886" s="194"/>
    </row>
    <row r="887" ht="15.75" customHeight="1">
      <c r="A887" s="241"/>
      <c r="B887" s="224"/>
      <c r="C887" s="220"/>
      <c r="D887" s="221"/>
      <c r="E887" s="222"/>
      <c r="F887" s="223"/>
      <c r="G887" s="143"/>
      <c r="H887" s="143"/>
      <c r="I887" s="143"/>
      <c r="J887" s="143"/>
      <c r="K887" s="182"/>
      <c r="L887" s="143"/>
      <c r="M887" s="182"/>
      <c r="N887" s="149"/>
      <c r="O887" s="189"/>
      <c r="P887" s="149"/>
      <c r="Q887" s="149"/>
      <c r="R887" s="189"/>
      <c r="S887" s="149"/>
      <c r="T887" s="189"/>
      <c r="U887" s="194"/>
      <c r="V887" s="194"/>
      <c r="W887" s="194"/>
      <c r="X887" s="194"/>
      <c r="Y887" s="194"/>
      <c r="Z887" s="194"/>
      <c r="AA887" s="194"/>
    </row>
    <row r="888" ht="15.75" customHeight="1">
      <c r="A888" s="241"/>
      <c r="B888" s="224"/>
      <c r="C888" s="220"/>
      <c r="D888" s="221"/>
      <c r="E888" s="222"/>
      <c r="F888" s="223"/>
      <c r="G888" s="143"/>
      <c r="H888" s="143"/>
      <c r="I888" s="143"/>
      <c r="J888" s="143"/>
      <c r="K888" s="182"/>
      <c r="L888" s="143"/>
      <c r="M888" s="182"/>
      <c r="N888" s="149"/>
      <c r="O888" s="189"/>
      <c r="P888" s="149"/>
      <c r="Q888" s="149"/>
      <c r="R888" s="189"/>
      <c r="S888" s="149"/>
      <c r="T888" s="189"/>
      <c r="U888" s="194"/>
      <c r="V888" s="194"/>
      <c r="W888" s="194"/>
      <c r="X888" s="194"/>
      <c r="Y888" s="194"/>
      <c r="Z888" s="194"/>
      <c r="AA888" s="194"/>
    </row>
    <row r="889" ht="15.75" customHeight="1">
      <c r="A889" s="241"/>
      <c r="B889" s="224"/>
      <c r="C889" s="220"/>
      <c r="D889" s="221"/>
      <c r="E889" s="222"/>
      <c r="F889" s="223"/>
      <c r="G889" s="143"/>
      <c r="H889" s="143"/>
      <c r="I889" s="143"/>
      <c r="J889" s="143"/>
      <c r="K889" s="182"/>
      <c r="L889" s="143"/>
      <c r="M889" s="182"/>
      <c r="N889" s="149"/>
      <c r="O889" s="189"/>
      <c r="P889" s="149"/>
      <c r="Q889" s="149"/>
      <c r="R889" s="189"/>
      <c r="S889" s="149"/>
      <c r="T889" s="189"/>
      <c r="U889" s="194"/>
      <c r="V889" s="194"/>
      <c r="W889" s="194"/>
      <c r="X889" s="194"/>
      <c r="Y889" s="194"/>
      <c r="Z889" s="194"/>
      <c r="AA889" s="194"/>
    </row>
    <row r="890" ht="15.75" customHeight="1">
      <c r="A890" s="241"/>
      <c r="B890" s="224"/>
      <c r="C890" s="220"/>
      <c r="D890" s="221"/>
      <c r="E890" s="222"/>
      <c r="F890" s="223"/>
      <c r="G890" s="143"/>
      <c r="H890" s="143"/>
      <c r="I890" s="143"/>
      <c r="J890" s="143"/>
      <c r="K890" s="182"/>
      <c r="L890" s="143"/>
      <c r="M890" s="182"/>
      <c r="N890" s="149"/>
      <c r="O890" s="189"/>
      <c r="P890" s="149"/>
      <c r="Q890" s="149"/>
      <c r="R890" s="189"/>
      <c r="S890" s="149"/>
      <c r="T890" s="189"/>
      <c r="U890" s="194"/>
      <c r="V890" s="194"/>
      <c r="W890" s="194"/>
      <c r="X890" s="194"/>
      <c r="Y890" s="194"/>
      <c r="Z890" s="194"/>
      <c r="AA890" s="194"/>
    </row>
    <row r="891" ht="15.75" customHeight="1">
      <c r="A891" s="241"/>
      <c r="B891" s="224"/>
      <c r="C891" s="220"/>
      <c r="D891" s="221"/>
      <c r="E891" s="222"/>
      <c r="F891" s="223"/>
      <c r="G891" s="143"/>
      <c r="H891" s="143"/>
      <c r="I891" s="143"/>
      <c r="J891" s="143"/>
      <c r="K891" s="182"/>
      <c r="L891" s="143"/>
      <c r="M891" s="182"/>
      <c r="N891" s="149"/>
      <c r="O891" s="189"/>
      <c r="P891" s="149"/>
      <c r="Q891" s="149"/>
      <c r="R891" s="189"/>
      <c r="S891" s="149"/>
      <c r="T891" s="189"/>
      <c r="U891" s="194"/>
      <c r="V891" s="194"/>
      <c r="W891" s="194"/>
      <c r="X891" s="194"/>
      <c r="Y891" s="194"/>
      <c r="Z891" s="194"/>
      <c r="AA891" s="194"/>
    </row>
    <row r="892" ht="15.75" customHeight="1">
      <c r="A892" s="241"/>
      <c r="B892" s="224"/>
      <c r="C892" s="220"/>
      <c r="D892" s="221"/>
      <c r="E892" s="222"/>
      <c r="F892" s="223"/>
      <c r="G892" s="143"/>
      <c r="H892" s="143"/>
      <c r="I892" s="143"/>
      <c r="J892" s="143"/>
      <c r="K892" s="182"/>
      <c r="L892" s="143"/>
      <c r="M892" s="182"/>
      <c r="N892" s="149"/>
      <c r="O892" s="189"/>
      <c r="P892" s="149"/>
      <c r="Q892" s="149"/>
      <c r="R892" s="189"/>
      <c r="S892" s="149"/>
      <c r="T892" s="189"/>
      <c r="U892" s="194"/>
      <c r="V892" s="194"/>
      <c r="W892" s="194"/>
      <c r="X892" s="194"/>
      <c r="Y892" s="194"/>
      <c r="Z892" s="194"/>
      <c r="AA892" s="194"/>
    </row>
    <row r="893" ht="15.75" customHeight="1">
      <c r="A893" s="241"/>
      <c r="B893" s="224"/>
      <c r="C893" s="220"/>
      <c r="D893" s="221"/>
      <c r="E893" s="222"/>
      <c r="F893" s="223"/>
      <c r="G893" s="143"/>
      <c r="H893" s="143"/>
      <c r="I893" s="143"/>
      <c r="J893" s="143"/>
      <c r="K893" s="182"/>
      <c r="L893" s="143"/>
      <c r="M893" s="182"/>
      <c r="N893" s="149"/>
      <c r="O893" s="189"/>
      <c r="P893" s="149"/>
      <c r="Q893" s="149"/>
      <c r="R893" s="189"/>
      <c r="S893" s="149"/>
      <c r="T893" s="189"/>
      <c r="U893" s="194"/>
      <c r="V893" s="194"/>
      <c r="W893" s="194"/>
      <c r="X893" s="194"/>
      <c r="Y893" s="194"/>
      <c r="Z893" s="194"/>
      <c r="AA893" s="194"/>
    </row>
    <row r="894" ht="15.75" customHeight="1">
      <c r="A894" s="241"/>
      <c r="B894" s="224"/>
      <c r="C894" s="220"/>
      <c r="D894" s="221"/>
      <c r="E894" s="222"/>
      <c r="F894" s="223"/>
      <c r="G894" s="143"/>
      <c r="H894" s="143"/>
      <c r="I894" s="143"/>
      <c r="J894" s="143"/>
      <c r="K894" s="182"/>
      <c r="L894" s="143"/>
      <c r="M894" s="182"/>
      <c r="N894" s="149"/>
      <c r="O894" s="189"/>
      <c r="P894" s="149"/>
      <c r="Q894" s="149"/>
      <c r="R894" s="189"/>
      <c r="S894" s="149"/>
      <c r="T894" s="189"/>
      <c r="U894" s="194"/>
      <c r="V894" s="194"/>
      <c r="W894" s="194"/>
      <c r="X894" s="194"/>
      <c r="Y894" s="194"/>
      <c r="Z894" s="194"/>
      <c r="AA894" s="194"/>
    </row>
    <row r="895" ht="15.75" customHeight="1">
      <c r="A895" s="241"/>
      <c r="B895" s="224"/>
      <c r="C895" s="220"/>
      <c r="D895" s="221"/>
      <c r="E895" s="222"/>
      <c r="F895" s="223"/>
      <c r="G895" s="143"/>
      <c r="H895" s="143"/>
      <c r="I895" s="143"/>
      <c r="J895" s="143"/>
      <c r="K895" s="182"/>
      <c r="L895" s="143"/>
      <c r="M895" s="182"/>
      <c r="N895" s="149"/>
      <c r="O895" s="189"/>
      <c r="P895" s="149"/>
      <c r="Q895" s="149"/>
      <c r="R895" s="189"/>
      <c r="S895" s="149"/>
      <c r="T895" s="189"/>
      <c r="U895" s="194"/>
      <c r="V895" s="194"/>
      <c r="W895" s="194"/>
      <c r="X895" s="194"/>
      <c r="Y895" s="194"/>
      <c r="Z895" s="194"/>
      <c r="AA895" s="194"/>
    </row>
    <row r="896" ht="15.75" customHeight="1">
      <c r="A896" s="241"/>
      <c r="B896" s="224"/>
      <c r="C896" s="220"/>
      <c r="D896" s="221"/>
      <c r="E896" s="222"/>
      <c r="F896" s="223"/>
      <c r="G896" s="143"/>
      <c r="H896" s="143"/>
      <c r="I896" s="143"/>
      <c r="J896" s="143"/>
      <c r="K896" s="182"/>
      <c r="L896" s="143"/>
      <c r="M896" s="182"/>
      <c r="N896" s="149"/>
      <c r="O896" s="189"/>
      <c r="P896" s="149"/>
      <c r="Q896" s="149"/>
      <c r="R896" s="189"/>
      <c r="S896" s="149"/>
      <c r="T896" s="189"/>
      <c r="U896" s="194"/>
      <c r="V896" s="194"/>
      <c r="W896" s="194"/>
      <c r="X896" s="194"/>
      <c r="Y896" s="194"/>
      <c r="Z896" s="194"/>
      <c r="AA896" s="194"/>
    </row>
    <row r="897" ht="15.75" customHeight="1">
      <c r="A897" s="241"/>
      <c r="B897" s="224"/>
      <c r="C897" s="220"/>
      <c r="D897" s="221"/>
      <c r="E897" s="222"/>
      <c r="F897" s="223"/>
      <c r="G897" s="143"/>
      <c r="H897" s="143"/>
      <c r="I897" s="143"/>
      <c r="J897" s="143"/>
      <c r="K897" s="182"/>
      <c r="L897" s="143"/>
      <c r="M897" s="182"/>
      <c r="N897" s="149"/>
      <c r="O897" s="189"/>
      <c r="P897" s="149"/>
      <c r="Q897" s="149"/>
      <c r="R897" s="189"/>
      <c r="S897" s="149"/>
      <c r="T897" s="189"/>
      <c r="U897" s="194"/>
      <c r="V897" s="194"/>
      <c r="W897" s="194"/>
      <c r="X897" s="194"/>
      <c r="Y897" s="194"/>
      <c r="Z897" s="194"/>
      <c r="AA897" s="194"/>
    </row>
    <row r="898" ht="15.75" customHeight="1">
      <c r="A898" s="241"/>
      <c r="B898" s="224"/>
      <c r="C898" s="220"/>
      <c r="D898" s="221"/>
      <c r="E898" s="222"/>
      <c r="F898" s="223"/>
      <c r="G898" s="143"/>
      <c r="H898" s="143"/>
      <c r="I898" s="143"/>
      <c r="J898" s="143"/>
      <c r="K898" s="182"/>
      <c r="L898" s="143"/>
      <c r="M898" s="182"/>
      <c r="N898" s="149"/>
      <c r="O898" s="189"/>
      <c r="P898" s="149"/>
      <c r="Q898" s="149"/>
      <c r="R898" s="189"/>
      <c r="S898" s="149"/>
      <c r="T898" s="189"/>
      <c r="U898" s="194"/>
      <c r="V898" s="194"/>
      <c r="W898" s="194"/>
      <c r="X898" s="194"/>
      <c r="Y898" s="194"/>
      <c r="Z898" s="194"/>
      <c r="AA898" s="194"/>
    </row>
    <row r="899" ht="15.75" customHeight="1">
      <c r="A899" s="241"/>
      <c r="B899" s="224"/>
      <c r="C899" s="220"/>
      <c r="D899" s="221"/>
      <c r="E899" s="222"/>
      <c r="F899" s="223"/>
      <c r="G899" s="143"/>
      <c r="H899" s="143"/>
      <c r="I899" s="143"/>
      <c r="J899" s="143"/>
      <c r="K899" s="182"/>
      <c r="L899" s="143"/>
      <c r="M899" s="182"/>
      <c r="N899" s="149"/>
      <c r="O899" s="189"/>
      <c r="P899" s="149"/>
      <c r="Q899" s="149"/>
      <c r="R899" s="189"/>
      <c r="S899" s="149"/>
      <c r="T899" s="189"/>
      <c r="U899" s="194"/>
      <c r="V899" s="194"/>
      <c r="W899" s="194"/>
      <c r="X899" s="194"/>
      <c r="Y899" s="194"/>
      <c r="Z899" s="194"/>
      <c r="AA899" s="194"/>
    </row>
    <row r="900" ht="15.75" customHeight="1">
      <c r="A900" s="241"/>
      <c r="B900" s="224"/>
      <c r="C900" s="220"/>
      <c r="D900" s="221"/>
      <c r="E900" s="222"/>
      <c r="F900" s="223"/>
      <c r="G900" s="143"/>
      <c r="H900" s="143"/>
      <c r="I900" s="143"/>
      <c r="J900" s="143"/>
      <c r="K900" s="182"/>
      <c r="L900" s="143"/>
      <c r="M900" s="182"/>
      <c r="N900" s="149"/>
      <c r="O900" s="189"/>
      <c r="P900" s="149"/>
      <c r="Q900" s="149"/>
      <c r="R900" s="189"/>
      <c r="S900" s="149"/>
      <c r="T900" s="189"/>
      <c r="U900" s="194"/>
      <c r="V900" s="194"/>
      <c r="W900" s="194"/>
      <c r="X900" s="194"/>
      <c r="Y900" s="194"/>
      <c r="Z900" s="194"/>
      <c r="AA900" s="194"/>
    </row>
    <row r="901" ht="15.75" customHeight="1">
      <c r="A901" s="241"/>
      <c r="B901" s="224"/>
      <c r="C901" s="220"/>
      <c r="D901" s="221"/>
      <c r="E901" s="222"/>
      <c r="F901" s="223"/>
      <c r="G901" s="143"/>
      <c r="H901" s="143"/>
      <c r="I901" s="143"/>
      <c r="J901" s="143"/>
      <c r="K901" s="182"/>
      <c r="L901" s="143"/>
      <c r="M901" s="182"/>
      <c r="N901" s="149"/>
      <c r="O901" s="189"/>
      <c r="P901" s="149"/>
      <c r="Q901" s="149"/>
      <c r="R901" s="189"/>
      <c r="S901" s="149"/>
      <c r="T901" s="189"/>
      <c r="U901" s="194"/>
      <c r="V901" s="194"/>
      <c r="W901" s="194"/>
      <c r="X901" s="194"/>
      <c r="Y901" s="194"/>
      <c r="Z901" s="194"/>
      <c r="AA901" s="194"/>
    </row>
    <row r="902" ht="15.75" customHeight="1">
      <c r="A902" s="241"/>
      <c r="B902" s="224"/>
      <c r="C902" s="220"/>
      <c r="D902" s="221"/>
      <c r="E902" s="222"/>
      <c r="F902" s="223"/>
      <c r="G902" s="143"/>
      <c r="H902" s="143"/>
      <c r="I902" s="143"/>
      <c r="J902" s="143"/>
      <c r="K902" s="182"/>
      <c r="L902" s="143"/>
      <c r="M902" s="182"/>
      <c r="N902" s="149"/>
      <c r="O902" s="189"/>
      <c r="P902" s="149"/>
      <c r="Q902" s="149"/>
      <c r="R902" s="189"/>
      <c r="S902" s="149"/>
      <c r="T902" s="189"/>
      <c r="U902" s="194"/>
      <c r="V902" s="194"/>
      <c r="W902" s="194"/>
      <c r="X902" s="194"/>
      <c r="Y902" s="194"/>
      <c r="Z902" s="194"/>
      <c r="AA902" s="194"/>
    </row>
    <row r="903" ht="15.75" customHeight="1">
      <c r="A903" s="241"/>
      <c r="B903" s="224"/>
      <c r="C903" s="220"/>
      <c r="D903" s="221"/>
      <c r="E903" s="222"/>
      <c r="F903" s="223"/>
      <c r="G903" s="143"/>
      <c r="H903" s="143"/>
      <c r="I903" s="143"/>
      <c r="J903" s="143"/>
      <c r="K903" s="182"/>
      <c r="L903" s="143"/>
      <c r="M903" s="182"/>
      <c r="N903" s="149"/>
      <c r="O903" s="189"/>
      <c r="P903" s="149"/>
      <c r="Q903" s="149"/>
      <c r="R903" s="189"/>
      <c r="S903" s="149"/>
      <c r="T903" s="189"/>
      <c r="U903" s="194"/>
      <c r="V903" s="194"/>
      <c r="W903" s="194"/>
      <c r="X903" s="194"/>
      <c r="Y903" s="194"/>
      <c r="Z903" s="194"/>
      <c r="AA903" s="194"/>
    </row>
    <row r="904" ht="15.75" customHeight="1">
      <c r="A904" s="241"/>
      <c r="B904" s="224"/>
      <c r="C904" s="220"/>
      <c r="D904" s="221"/>
      <c r="E904" s="222"/>
      <c r="F904" s="223"/>
      <c r="G904" s="143"/>
      <c r="H904" s="143"/>
      <c r="I904" s="143"/>
      <c r="J904" s="143"/>
      <c r="K904" s="182"/>
      <c r="L904" s="143"/>
      <c r="M904" s="182"/>
      <c r="N904" s="149"/>
      <c r="O904" s="189"/>
      <c r="P904" s="149"/>
      <c r="Q904" s="149"/>
      <c r="R904" s="189"/>
      <c r="S904" s="149"/>
      <c r="T904" s="189"/>
      <c r="U904" s="194"/>
      <c r="V904" s="194"/>
      <c r="W904" s="194"/>
      <c r="X904" s="194"/>
      <c r="Y904" s="194"/>
      <c r="Z904" s="194"/>
      <c r="AA904" s="194"/>
    </row>
    <row r="905" ht="15.75" customHeight="1">
      <c r="A905" s="241"/>
      <c r="B905" s="224"/>
      <c r="C905" s="220"/>
      <c r="D905" s="221"/>
      <c r="E905" s="222"/>
      <c r="F905" s="223"/>
      <c r="G905" s="143"/>
      <c r="H905" s="143"/>
      <c r="I905" s="143"/>
      <c r="J905" s="143"/>
      <c r="K905" s="182"/>
      <c r="L905" s="143"/>
      <c r="M905" s="182"/>
      <c r="N905" s="149"/>
      <c r="O905" s="189"/>
      <c r="P905" s="149"/>
      <c r="Q905" s="149"/>
      <c r="R905" s="189"/>
      <c r="S905" s="149"/>
      <c r="T905" s="189"/>
      <c r="U905" s="194"/>
      <c r="V905" s="194"/>
      <c r="W905" s="194"/>
      <c r="X905" s="194"/>
      <c r="Y905" s="194"/>
      <c r="Z905" s="194"/>
      <c r="AA905" s="194"/>
    </row>
    <row r="906" ht="15.75" customHeight="1">
      <c r="A906" s="241"/>
      <c r="B906" s="224"/>
      <c r="C906" s="220"/>
      <c r="D906" s="221"/>
      <c r="E906" s="222"/>
      <c r="F906" s="223"/>
      <c r="G906" s="143"/>
      <c r="H906" s="143"/>
      <c r="I906" s="143"/>
      <c r="J906" s="143"/>
      <c r="K906" s="182"/>
      <c r="L906" s="143"/>
      <c r="M906" s="182"/>
      <c r="N906" s="149"/>
      <c r="O906" s="189"/>
      <c r="P906" s="149"/>
      <c r="Q906" s="149"/>
      <c r="R906" s="189"/>
      <c r="S906" s="149"/>
      <c r="T906" s="189"/>
      <c r="U906" s="194"/>
      <c r="V906" s="194"/>
      <c r="W906" s="194"/>
      <c r="X906" s="194"/>
      <c r="Y906" s="194"/>
      <c r="Z906" s="194"/>
      <c r="AA906" s="194"/>
    </row>
    <row r="907" ht="15.75" customHeight="1">
      <c r="A907" s="241"/>
      <c r="B907" s="224"/>
      <c r="C907" s="220"/>
      <c r="D907" s="221"/>
      <c r="E907" s="222"/>
      <c r="F907" s="223"/>
      <c r="G907" s="143"/>
      <c r="H907" s="143"/>
      <c r="I907" s="143"/>
      <c r="J907" s="143"/>
      <c r="K907" s="182"/>
      <c r="L907" s="143"/>
      <c r="M907" s="182"/>
      <c r="N907" s="149"/>
      <c r="O907" s="189"/>
      <c r="P907" s="149"/>
      <c r="Q907" s="149"/>
      <c r="R907" s="189"/>
      <c r="S907" s="149"/>
      <c r="T907" s="189"/>
      <c r="U907" s="194"/>
      <c r="V907" s="194"/>
      <c r="W907" s="194"/>
      <c r="X907" s="194"/>
      <c r="Y907" s="194"/>
      <c r="Z907" s="194"/>
      <c r="AA907" s="194"/>
    </row>
    <row r="908" ht="15.75" customHeight="1">
      <c r="A908" s="241"/>
      <c r="B908" s="224"/>
      <c r="C908" s="220"/>
      <c r="D908" s="221"/>
      <c r="E908" s="222"/>
      <c r="F908" s="223"/>
      <c r="G908" s="143"/>
      <c r="H908" s="143"/>
      <c r="I908" s="143"/>
      <c r="J908" s="143"/>
      <c r="K908" s="182"/>
      <c r="L908" s="143"/>
      <c r="M908" s="182"/>
      <c r="N908" s="149"/>
      <c r="O908" s="189"/>
      <c r="P908" s="149"/>
      <c r="Q908" s="149"/>
      <c r="R908" s="189"/>
      <c r="S908" s="149"/>
      <c r="T908" s="189"/>
      <c r="U908" s="194"/>
      <c r="V908" s="194"/>
      <c r="W908" s="194"/>
      <c r="X908" s="194"/>
      <c r="Y908" s="194"/>
      <c r="Z908" s="194"/>
      <c r="AA908" s="194"/>
    </row>
    <row r="909" ht="15.75" customHeight="1">
      <c r="A909" s="241"/>
      <c r="B909" s="224"/>
      <c r="C909" s="220"/>
      <c r="D909" s="221"/>
      <c r="E909" s="222"/>
      <c r="F909" s="223"/>
      <c r="G909" s="143"/>
      <c r="H909" s="143"/>
      <c r="I909" s="143"/>
      <c r="J909" s="143"/>
      <c r="K909" s="182"/>
      <c r="L909" s="143"/>
      <c r="M909" s="182"/>
      <c r="N909" s="149"/>
      <c r="O909" s="189"/>
      <c r="P909" s="149"/>
      <c r="Q909" s="149"/>
      <c r="R909" s="189"/>
      <c r="S909" s="149"/>
      <c r="T909" s="189"/>
      <c r="U909" s="194"/>
      <c r="V909" s="194"/>
      <c r="W909" s="194"/>
      <c r="X909" s="194"/>
      <c r="Y909" s="194"/>
      <c r="Z909" s="194"/>
      <c r="AA909" s="194"/>
    </row>
    <row r="910" ht="15.75" customHeight="1">
      <c r="A910" s="241"/>
      <c r="B910" s="224"/>
      <c r="C910" s="220"/>
      <c r="D910" s="221"/>
      <c r="E910" s="222"/>
      <c r="F910" s="223"/>
      <c r="G910" s="143"/>
      <c r="H910" s="143"/>
      <c r="I910" s="143"/>
      <c r="J910" s="143"/>
      <c r="K910" s="182"/>
      <c r="L910" s="143"/>
      <c r="M910" s="182"/>
      <c r="N910" s="149"/>
      <c r="O910" s="189"/>
      <c r="P910" s="149"/>
      <c r="Q910" s="149"/>
      <c r="R910" s="189"/>
      <c r="S910" s="149"/>
      <c r="T910" s="189"/>
      <c r="U910" s="194"/>
      <c r="V910" s="194"/>
      <c r="W910" s="194"/>
      <c r="X910" s="194"/>
      <c r="Y910" s="194"/>
      <c r="Z910" s="194"/>
      <c r="AA910" s="194"/>
    </row>
    <row r="911" ht="15.75" customHeight="1">
      <c r="A911" s="241"/>
      <c r="B911" s="224"/>
      <c r="C911" s="220"/>
      <c r="D911" s="221"/>
      <c r="E911" s="222"/>
      <c r="F911" s="223"/>
      <c r="G911" s="143"/>
      <c r="H911" s="143"/>
      <c r="I911" s="143"/>
      <c r="J911" s="143"/>
      <c r="K911" s="182"/>
      <c r="L911" s="143"/>
      <c r="M911" s="182"/>
      <c r="N911" s="149"/>
      <c r="O911" s="189"/>
      <c r="P911" s="149"/>
      <c r="Q911" s="149"/>
      <c r="R911" s="189"/>
      <c r="S911" s="149"/>
      <c r="T911" s="189"/>
      <c r="U911" s="194"/>
      <c r="V911" s="194"/>
      <c r="W911" s="194"/>
      <c r="X911" s="194"/>
      <c r="Y911" s="194"/>
      <c r="Z911" s="194"/>
      <c r="AA911" s="194"/>
    </row>
    <row r="912" ht="15.75" customHeight="1">
      <c r="A912" s="241"/>
      <c r="B912" s="224"/>
      <c r="C912" s="220"/>
      <c r="D912" s="221"/>
      <c r="E912" s="222"/>
      <c r="F912" s="223"/>
      <c r="G912" s="143"/>
      <c r="H912" s="143"/>
      <c r="I912" s="143"/>
      <c r="J912" s="143"/>
      <c r="K912" s="182"/>
      <c r="L912" s="143"/>
      <c r="M912" s="182"/>
      <c r="N912" s="149"/>
      <c r="O912" s="189"/>
      <c r="P912" s="149"/>
      <c r="Q912" s="149"/>
      <c r="R912" s="189"/>
      <c r="S912" s="149"/>
      <c r="T912" s="189"/>
      <c r="U912" s="194"/>
      <c r="V912" s="194"/>
      <c r="W912" s="194"/>
      <c r="X912" s="194"/>
      <c r="Y912" s="194"/>
      <c r="Z912" s="194"/>
      <c r="AA912" s="194"/>
    </row>
    <row r="913" ht="15.75" customHeight="1">
      <c r="A913" s="241"/>
      <c r="B913" s="224"/>
      <c r="C913" s="220"/>
      <c r="D913" s="221"/>
      <c r="E913" s="222"/>
      <c r="F913" s="223"/>
      <c r="G913" s="143"/>
      <c r="H913" s="143"/>
      <c r="I913" s="143"/>
      <c r="J913" s="143"/>
      <c r="K913" s="182"/>
      <c r="L913" s="143"/>
      <c r="M913" s="182"/>
      <c r="N913" s="149"/>
      <c r="O913" s="189"/>
      <c r="P913" s="149"/>
      <c r="Q913" s="149"/>
      <c r="R913" s="189"/>
      <c r="S913" s="149"/>
      <c r="T913" s="189"/>
      <c r="U913" s="194"/>
      <c r="V913" s="194"/>
      <c r="W913" s="194"/>
      <c r="X913" s="194"/>
      <c r="Y913" s="194"/>
      <c r="Z913" s="194"/>
      <c r="AA913" s="194"/>
    </row>
    <row r="914" ht="15.75" customHeight="1">
      <c r="A914" s="241"/>
      <c r="B914" s="224"/>
      <c r="C914" s="220"/>
      <c r="D914" s="221"/>
      <c r="E914" s="222"/>
      <c r="F914" s="223"/>
      <c r="G914" s="143"/>
      <c r="H914" s="143"/>
      <c r="I914" s="143"/>
      <c r="J914" s="143"/>
      <c r="K914" s="182"/>
      <c r="L914" s="143"/>
      <c r="M914" s="182"/>
      <c r="N914" s="149"/>
      <c r="O914" s="189"/>
      <c r="P914" s="149"/>
      <c r="Q914" s="149"/>
      <c r="R914" s="189"/>
      <c r="S914" s="149"/>
      <c r="T914" s="189"/>
      <c r="U914" s="194"/>
      <c r="V914" s="194"/>
      <c r="W914" s="194"/>
      <c r="X914" s="194"/>
      <c r="Y914" s="194"/>
      <c r="Z914" s="194"/>
      <c r="AA914" s="194"/>
    </row>
    <row r="915" ht="15.75" customHeight="1">
      <c r="A915" s="241"/>
      <c r="B915" s="224"/>
      <c r="C915" s="220"/>
      <c r="D915" s="221"/>
      <c r="E915" s="222"/>
      <c r="F915" s="223"/>
      <c r="G915" s="143"/>
      <c r="H915" s="143"/>
      <c r="I915" s="143"/>
      <c r="J915" s="143"/>
      <c r="K915" s="182"/>
      <c r="L915" s="143"/>
      <c r="M915" s="182"/>
      <c r="N915" s="149"/>
      <c r="O915" s="189"/>
      <c r="P915" s="149"/>
      <c r="Q915" s="149"/>
      <c r="R915" s="189"/>
      <c r="S915" s="149"/>
      <c r="T915" s="189"/>
      <c r="U915" s="194"/>
      <c r="V915" s="194"/>
      <c r="W915" s="194"/>
      <c r="X915" s="194"/>
      <c r="Y915" s="194"/>
      <c r="Z915" s="194"/>
      <c r="AA915" s="194"/>
    </row>
    <row r="916" ht="15.75" customHeight="1">
      <c r="A916" s="241"/>
      <c r="B916" s="224"/>
      <c r="C916" s="220"/>
      <c r="D916" s="221"/>
      <c r="E916" s="222"/>
      <c r="F916" s="223"/>
      <c r="G916" s="143"/>
      <c r="H916" s="143"/>
      <c r="I916" s="143"/>
      <c r="J916" s="143"/>
      <c r="K916" s="182"/>
      <c r="L916" s="143"/>
      <c r="M916" s="182"/>
      <c r="N916" s="149"/>
      <c r="O916" s="189"/>
      <c r="P916" s="149"/>
      <c r="Q916" s="149"/>
      <c r="R916" s="189"/>
      <c r="S916" s="149"/>
      <c r="T916" s="189"/>
      <c r="U916" s="194"/>
      <c r="V916" s="194"/>
      <c r="W916" s="194"/>
      <c r="X916" s="194"/>
      <c r="Y916" s="194"/>
      <c r="Z916" s="194"/>
      <c r="AA916" s="194"/>
    </row>
    <row r="917" ht="15.75" customHeight="1">
      <c r="A917" s="241"/>
      <c r="B917" s="224"/>
      <c r="C917" s="220"/>
      <c r="D917" s="221"/>
      <c r="E917" s="222"/>
      <c r="F917" s="223"/>
      <c r="G917" s="143"/>
      <c r="H917" s="143"/>
      <c r="I917" s="143"/>
      <c r="J917" s="143"/>
      <c r="K917" s="182"/>
      <c r="L917" s="143"/>
      <c r="M917" s="182"/>
      <c r="N917" s="149"/>
      <c r="O917" s="189"/>
      <c r="P917" s="149"/>
      <c r="Q917" s="149"/>
      <c r="R917" s="189"/>
      <c r="S917" s="149"/>
      <c r="T917" s="189"/>
      <c r="U917" s="194"/>
      <c r="V917" s="194"/>
      <c r="W917" s="194"/>
      <c r="X917" s="194"/>
      <c r="Y917" s="194"/>
      <c r="Z917" s="194"/>
      <c r="AA917" s="194"/>
    </row>
    <row r="918" ht="15.75" customHeight="1">
      <c r="A918" s="241"/>
      <c r="B918" s="224"/>
      <c r="C918" s="220"/>
      <c r="D918" s="221"/>
      <c r="E918" s="222"/>
      <c r="F918" s="223"/>
      <c r="G918" s="143"/>
      <c r="H918" s="143"/>
      <c r="I918" s="143"/>
      <c r="J918" s="143"/>
      <c r="K918" s="182"/>
      <c r="L918" s="143"/>
      <c r="M918" s="182"/>
      <c r="N918" s="149"/>
      <c r="O918" s="189"/>
      <c r="P918" s="149"/>
      <c r="Q918" s="149"/>
      <c r="R918" s="189"/>
      <c r="S918" s="149"/>
      <c r="T918" s="189"/>
      <c r="U918" s="194"/>
      <c r="V918" s="194"/>
      <c r="W918" s="194"/>
      <c r="X918" s="194"/>
      <c r="Y918" s="194"/>
      <c r="Z918" s="194"/>
      <c r="AA918" s="194"/>
    </row>
    <row r="919" ht="15.75" customHeight="1">
      <c r="A919" s="241"/>
      <c r="B919" s="224"/>
      <c r="C919" s="220"/>
      <c r="D919" s="221"/>
      <c r="E919" s="222"/>
      <c r="F919" s="223"/>
      <c r="G919" s="143"/>
      <c r="H919" s="143"/>
      <c r="I919" s="143"/>
      <c r="J919" s="143"/>
      <c r="K919" s="182"/>
      <c r="L919" s="143"/>
      <c r="M919" s="182"/>
      <c r="N919" s="149"/>
      <c r="O919" s="189"/>
      <c r="P919" s="149"/>
      <c r="Q919" s="149"/>
      <c r="R919" s="189"/>
      <c r="S919" s="149"/>
      <c r="T919" s="189"/>
      <c r="U919" s="194"/>
      <c r="V919" s="194"/>
      <c r="W919" s="194"/>
      <c r="X919" s="194"/>
      <c r="Y919" s="194"/>
      <c r="Z919" s="194"/>
      <c r="AA919" s="194"/>
    </row>
    <row r="920" ht="15.75" customHeight="1">
      <c r="A920" s="241"/>
      <c r="B920" s="224"/>
      <c r="C920" s="220"/>
      <c r="D920" s="221"/>
      <c r="E920" s="222"/>
      <c r="F920" s="223"/>
      <c r="G920" s="143"/>
      <c r="H920" s="143"/>
      <c r="I920" s="143"/>
      <c r="J920" s="143"/>
      <c r="K920" s="182"/>
      <c r="L920" s="143"/>
      <c r="M920" s="182"/>
      <c r="N920" s="149"/>
      <c r="O920" s="189"/>
      <c r="P920" s="149"/>
      <c r="Q920" s="149"/>
      <c r="R920" s="189"/>
      <c r="S920" s="149"/>
      <c r="T920" s="189"/>
      <c r="U920" s="194"/>
      <c r="V920" s="194"/>
      <c r="W920" s="194"/>
      <c r="X920" s="194"/>
      <c r="Y920" s="194"/>
      <c r="Z920" s="194"/>
      <c r="AA920" s="194"/>
    </row>
    <row r="921" ht="15.75" customHeight="1">
      <c r="A921" s="241"/>
      <c r="B921" s="224"/>
      <c r="C921" s="220"/>
      <c r="D921" s="221"/>
      <c r="E921" s="222"/>
      <c r="F921" s="223"/>
      <c r="G921" s="143"/>
      <c r="H921" s="143"/>
      <c r="I921" s="143"/>
      <c r="J921" s="143"/>
      <c r="K921" s="182"/>
      <c r="L921" s="143"/>
      <c r="M921" s="182"/>
      <c r="N921" s="149"/>
      <c r="O921" s="189"/>
      <c r="P921" s="149"/>
      <c r="Q921" s="149"/>
      <c r="R921" s="189"/>
      <c r="S921" s="149"/>
      <c r="T921" s="189"/>
      <c r="U921" s="194"/>
      <c r="V921" s="194"/>
      <c r="W921" s="194"/>
      <c r="X921" s="194"/>
      <c r="Y921" s="194"/>
      <c r="Z921" s="194"/>
      <c r="AA921" s="194"/>
    </row>
    <row r="922" ht="15.75" customHeight="1">
      <c r="A922" s="241"/>
      <c r="B922" s="224"/>
      <c r="C922" s="220"/>
      <c r="D922" s="221"/>
      <c r="E922" s="222"/>
      <c r="F922" s="223"/>
      <c r="G922" s="143"/>
      <c r="H922" s="143"/>
      <c r="I922" s="143"/>
      <c r="J922" s="143"/>
      <c r="K922" s="182"/>
      <c r="L922" s="143"/>
      <c r="M922" s="182"/>
      <c r="N922" s="149"/>
      <c r="O922" s="189"/>
      <c r="P922" s="149"/>
      <c r="Q922" s="149"/>
      <c r="R922" s="189"/>
      <c r="S922" s="149"/>
      <c r="T922" s="189"/>
      <c r="U922" s="194"/>
      <c r="V922" s="194"/>
      <c r="W922" s="194"/>
      <c r="X922" s="194"/>
      <c r="Y922" s="194"/>
      <c r="Z922" s="194"/>
      <c r="AA922" s="194"/>
    </row>
    <row r="923" ht="15.75" customHeight="1">
      <c r="A923" s="241"/>
      <c r="B923" s="224"/>
      <c r="C923" s="220"/>
      <c r="D923" s="221"/>
      <c r="E923" s="222"/>
      <c r="F923" s="223"/>
      <c r="G923" s="143"/>
      <c r="H923" s="143"/>
      <c r="I923" s="143"/>
      <c r="J923" s="143"/>
      <c r="K923" s="182"/>
      <c r="L923" s="143"/>
      <c r="M923" s="182"/>
      <c r="N923" s="149"/>
      <c r="O923" s="189"/>
      <c r="P923" s="149"/>
      <c r="Q923" s="149"/>
      <c r="R923" s="189"/>
      <c r="S923" s="149"/>
      <c r="T923" s="189"/>
      <c r="U923" s="194"/>
      <c r="V923" s="194"/>
      <c r="W923" s="194"/>
      <c r="X923" s="194"/>
      <c r="Y923" s="194"/>
      <c r="Z923" s="194"/>
      <c r="AA923" s="194"/>
    </row>
    <row r="924" ht="15.75" customHeight="1">
      <c r="A924" s="241"/>
      <c r="B924" s="224"/>
      <c r="C924" s="220"/>
      <c r="D924" s="221"/>
      <c r="E924" s="222"/>
      <c r="F924" s="223"/>
      <c r="G924" s="143"/>
      <c r="H924" s="143"/>
      <c r="I924" s="143"/>
      <c r="J924" s="143"/>
      <c r="K924" s="182"/>
      <c r="L924" s="143"/>
      <c r="M924" s="182"/>
      <c r="N924" s="149"/>
      <c r="O924" s="189"/>
      <c r="P924" s="149"/>
      <c r="Q924" s="149"/>
      <c r="R924" s="189"/>
      <c r="S924" s="149"/>
      <c r="T924" s="189"/>
      <c r="U924" s="194"/>
      <c r="V924" s="194"/>
      <c r="W924" s="194"/>
      <c r="X924" s="194"/>
      <c r="Y924" s="194"/>
      <c r="Z924" s="194"/>
      <c r="AA924" s="194"/>
    </row>
    <row r="925" ht="15.75" customHeight="1">
      <c r="A925" s="241"/>
      <c r="B925" s="224"/>
      <c r="C925" s="220"/>
      <c r="D925" s="221"/>
      <c r="E925" s="222"/>
      <c r="F925" s="223"/>
      <c r="G925" s="143"/>
      <c r="H925" s="143"/>
      <c r="I925" s="143"/>
      <c r="J925" s="143"/>
      <c r="K925" s="182"/>
      <c r="L925" s="143"/>
      <c r="M925" s="182"/>
      <c r="N925" s="149"/>
      <c r="O925" s="189"/>
      <c r="P925" s="149"/>
      <c r="Q925" s="149"/>
      <c r="R925" s="189"/>
      <c r="S925" s="149"/>
      <c r="T925" s="189"/>
      <c r="U925" s="194"/>
      <c r="V925" s="194"/>
      <c r="W925" s="194"/>
      <c r="X925" s="194"/>
      <c r="Y925" s="194"/>
      <c r="Z925" s="194"/>
      <c r="AA925" s="194"/>
    </row>
    <row r="926" ht="15.75" customHeight="1">
      <c r="A926" s="241"/>
      <c r="B926" s="224"/>
      <c r="C926" s="220"/>
      <c r="D926" s="221"/>
      <c r="E926" s="222"/>
      <c r="F926" s="223"/>
      <c r="G926" s="143"/>
      <c r="H926" s="143"/>
      <c r="I926" s="143"/>
      <c r="J926" s="143"/>
      <c r="K926" s="182"/>
      <c r="L926" s="143"/>
      <c r="M926" s="182"/>
      <c r="N926" s="149"/>
      <c r="O926" s="189"/>
      <c r="P926" s="149"/>
      <c r="Q926" s="149"/>
      <c r="R926" s="189"/>
      <c r="S926" s="149"/>
      <c r="T926" s="189"/>
      <c r="U926" s="194"/>
      <c r="V926" s="194"/>
      <c r="W926" s="194"/>
      <c r="X926" s="194"/>
      <c r="Y926" s="194"/>
      <c r="Z926" s="194"/>
      <c r="AA926" s="194"/>
    </row>
    <row r="927" ht="15.75" customHeight="1">
      <c r="A927" s="241"/>
      <c r="B927" s="224"/>
      <c r="C927" s="220"/>
      <c r="D927" s="221"/>
      <c r="E927" s="222"/>
      <c r="F927" s="223"/>
      <c r="G927" s="143"/>
      <c r="H927" s="143"/>
      <c r="I927" s="143"/>
      <c r="J927" s="143"/>
      <c r="K927" s="182"/>
      <c r="L927" s="143"/>
      <c r="M927" s="182"/>
      <c r="N927" s="149"/>
      <c r="O927" s="189"/>
      <c r="P927" s="149"/>
      <c r="Q927" s="149"/>
      <c r="R927" s="189"/>
      <c r="S927" s="149"/>
      <c r="T927" s="189"/>
      <c r="U927" s="194"/>
      <c r="V927" s="194"/>
      <c r="W927" s="194"/>
      <c r="X927" s="194"/>
      <c r="Y927" s="194"/>
      <c r="Z927" s="194"/>
      <c r="AA927" s="194"/>
    </row>
    <row r="928" ht="15.75" customHeight="1">
      <c r="A928" s="241"/>
      <c r="B928" s="224"/>
      <c r="C928" s="220"/>
      <c r="D928" s="221"/>
      <c r="E928" s="222"/>
      <c r="F928" s="223"/>
      <c r="G928" s="143"/>
      <c r="H928" s="143"/>
      <c r="I928" s="143"/>
      <c r="J928" s="143"/>
      <c r="K928" s="182"/>
      <c r="L928" s="143"/>
      <c r="M928" s="182"/>
      <c r="N928" s="149"/>
      <c r="O928" s="189"/>
      <c r="P928" s="149"/>
      <c r="Q928" s="149"/>
      <c r="R928" s="189"/>
      <c r="S928" s="149"/>
      <c r="T928" s="189"/>
      <c r="U928" s="194"/>
      <c r="V928" s="194"/>
      <c r="W928" s="194"/>
      <c r="X928" s="194"/>
      <c r="Y928" s="194"/>
      <c r="Z928" s="194"/>
      <c r="AA928" s="194"/>
    </row>
    <row r="929" ht="15.75" customHeight="1">
      <c r="A929" s="241"/>
      <c r="B929" s="224"/>
      <c r="C929" s="220"/>
      <c r="D929" s="221"/>
      <c r="E929" s="222"/>
      <c r="F929" s="223"/>
      <c r="G929" s="143"/>
      <c r="H929" s="143"/>
      <c r="I929" s="143"/>
      <c r="J929" s="143"/>
      <c r="K929" s="182"/>
      <c r="L929" s="143"/>
      <c r="M929" s="182"/>
      <c r="N929" s="149"/>
      <c r="O929" s="189"/>
      <c r="P929" s="149"/>
      <c r="Q929" s="149"/>
      <c r="R929" s="189"/>
      <c r="S929" s="149"/>
      <c r="T929" s="189"/>
      <c r="U929" s="194"/>
      <c r="V929" s="194"/>
      <c r="W929" s="194"/>
      <c r="X929" s="194"/>
      <c r="Y929" s="194"/>
      <c r="Z929" s="194"/>
      <c r="AA929" s="194"/>
    </row>
    <row r="930" ht="15.75" customHeight="1">
      <c r="A930" s="241"/>
      <c r="B930" s="224"/>
      <c r="C930" s="220"/>
      <c r="D930" s="221"/>
      <c r="E930" s="222"/>
      <c r="F930" s="223"/>
      <c r="G930" s="143"/>
      <c r="H930" s="143"/>
      <c r="I930" s="143"/>
      <c r="J930" s="143"/>
      <c r="K930" s="182"/>
      <c r="L930" s="143"/>
      <c r="M930" s="182"/>
      <c r="N930" s="149"/>
      <c r="O930" s="189"/>
      <c r="P930" s="149"/>
      <c r="Q930" s="149"/>
      <c r="R930" s="189"/>
      <c r="S930" s="149"/>
      <c r="T930" s="189"/>
      <c r="U930" s="194"/>
      <c r="V930" s="194"/>
      <c r="W930" s="194"/>
      <c r="X930" s="194"/>
      <c r="Y930" s="194"/>
      <c r="Z930" s="194"/>
      <c r="AA930" s="194"/>
    </row>
    <row r="931" ht="15.75" customHeight="1">
      <c r="A931" s="241"/>
      <c r="B931" s="224"/>
      <c r="C931" s="220"/>
      <c r="D931" s="221"/>
      <c r="E931" s="222"/>
      <c r="F931" s="223"/>
      <c r="G931" s="143"/>
      <c r="H931" s="143"/>
      <c r="I931" s="143"/>
      <c r="J931" s="143"/>
      <c r="K931" s="182"/>
      <c r="L931" s="143"/>
      <c r="M931" s="182"/>
      <c r="N931" s="149"/>
      <c r="O931" s="189"/>
      <c r="P931" s="149"/>
      <c r="Q931" s="149"/>
      <c r="R931" s="189"/>
      <c r="S931" s="149"/>
      <c r="T931" s="189"/>
      <c r="U931" s="194"/>
      <c r="V931" s="194"/>
      <c r="W931" s="194"/>
      <c r="X931" s="194"/>
      <c r="Y931" s="194"/>
      <c r="Z931" s="194"/>
      <c r="AA931" s="194"/>
    </row>
    <row r="932" ht="15.75" customHeight="1">
      <c r="A932" s="241"/>
      <c r="B932" s="224"/>
      <c r="C932" s="220"/>
      <c r="D932" s="221"/>
      <c r="E932" s="222"/>
      <c r="F932" s="223"/>
      <c r="G932" s="143"/>
      <c r="H932" s="143"/>
      <c r="I932" s="143"/>
      <c r="J932" s="143"/>
      <c r="K932" s="182"/>
      <c r="L932" s="143"/>
      <c r="M932" s="182"/>
      <c r="N932" s="149"/>
      <c r="O932" s="189"/>
      <c r="P932" s="149"/>
      <c r="Q932" s="149"/>
      <c r="R932" s="189"/>
      <c r="S932" s="149"/>
      <c r="T932" s="189"/>
      <c r="U932" s="194"/>
      <c r="V932" s="194"/>
      <c r="W932" s="194"/>
      <c r="X932" s="194"/>
      <c r="Y932" s="194"/>
      <c r="Z932" s="194"/>
      <c r="AA932" s="194"/>
    </row>
    <row r="933" ht="15.75" customHeight="1">
      <c r="A933" s="241"/>
      <c r="B933" s="224"/>
      <c r="C933" s="220"/>
      <c r="D933" s="221"/>
      <c r="E933" s="222"/>
      <c r="F933" s="223"/>
      <c r="G933" s="143"/>
      <c r="H933" s="143"/>
      <c r="I933" s="143"/>
      <c r="J933" s="143"/>
      <c r="K933" s="182"/>
      <c r="L933" s="143"/>
      <c r="M933" s="182"/>
      <c r="N933" s="149"/>
      <c r="O933" s="189"/>
      <c r="P933" s="149"/>
      <c r="Q933" s="149"/>
      <c r="R933" s="189"/>
      <c r="S933" s="149"/>
      <c r="T933" s="189"/>
      <c r="U933" s="194"/>
      <c r="V933" s="194"/>
      <c r="W933" s="194"/>
      <c r="X933" s="194"/>
      <c r="Y933" s="194"/>
      <c r="Z933" s="194"/>
      <c r="AA933" s="194"/>
    </row>
    <row r="934" ht="15.75" customHeight="1">
      <c r="A934" s="241"/>
      <c r="B934" s="224"/>
      <c r="C934" s="220"/>
      <c r="D934" s="221"/>
      <c r="E934" s="222"/>
      <c r="F934" s="223"/>
      <c r="G934" s="143"/>
      <c r="H934" s="143"/>
      <c r="I934" s="143"/>
      <c r="J934" s="143"/>
      <c r="K934" s="182"/>
      <c r="L934" s="143"/>
      <c r="M934" s="182"/>
      <c r="N934" s="149"/>
      <c r="O934" s="189"/>
      <c r="P934" s="149"/>
      <c r="Q934" s="149"/>
      <c r="R934" s="189"/>
      <c r="S934" s="149"/>
      <c r="T934" s="189"/>
      <c r="U934" s="194"/>
      <c r="V934" s="194"/>
      <c r="W934" s="194"/>
      <c r="X934" s="194"/>
      <c r="Y934" s="194"/>
      <c r="Z934" s="194"/>
      <c r="AA934" s="194"/>
    </row>
    <row r="935" ht="15.75" customHeight="1">
      <c r="A935" s="241"/>
      <c r="B935" s="224"/>
      <c r="C935" s="220"/>
      <c r="D935" s="221"/>
      <c r="E935" s="222"/>
      <c r="F935" s="223"/>
      <c r="G935" s="143"/>
      <c r="H935" s="143"/>
      <c r="I935" s="143"/>
      <c r="J935" s="143"/>
      <c r="K935" s="182"/>
      <c r="L935" s="143"/>
      <c r="M935" s="182"/>
      <c r="N935" s="149"/>
      <c r="O935" s="189"/>
      <c r="P935" s="149"/>
      <c r="Q935" s="149"/>
      <c r="R935" s="189"/>
      <c r="S935" s="149"/>
      <c r="T935" s="189"/>
      <c r="U935" s="194"/>
      <c r="V935" s="194"/>
      <c r="W935" s="194"/>
      <c r="X935" s="194"/>
      <c r="Y935" s="194"/>
      <c r="Z935" s="194"/>
      <c r="AA935" s="194"/>
    </row>
    <row r="936" ht="15.75" customHeight="1">
      <c r="A936" s="241"/>
      <c r="B936" s="224"/>
      <c r="C936" s="220"/>
      <c r="D936" s="221"/>
      <c r="E936" s="222"/>
      <c r="F936" s="223"/>
      <c r="G936" s="143"/>
      <c r="H936" s="143"/>
      <c r="I936" s="143"/>
      <c r="J936" s="143"/>
      <c r="K936" s="182"/>
      <c r="L936" s="143"/>
      <c r="M936" s="182"/>
      <c r="N936" s="149"/>
      <c r="O936" s="189"/>
      <c r="P936" s="149"/>
      <c r="Q936" s="149"/>
      <c r="R936" s="189"/>
      <c r="S936" s="149"/>
      <c r="T936" s="189"/>
      <c r="U936" s="194"/>
      <c r="V936" s="194"/>
      <c r="W936" s="194"/>
      <c r="X936" s="194"/>
      <c r="Y936" s="194"/>
      <c r="Z936" s="194"/>
      <c r="AA936" s="194"/>
    </row>
    <row r="937" ht="15.75" customHeight="1">
      <c r="A937" s="241"/>
      <c r="B937" s="224"/>
      <c r="C937" s="220"/>
      <c r="D937" s="221"/>
      <c r="E937" s="222"/>
      <c r="F937" s="223"/>
      <c r="G937" s="143"/>
      <c r="H937" s="143"/>
      <c r="I937" s="143"/>
      <c r="J937" s="143"/>
      <c r="K937" s="182"/>
      <c r="L937" s="143"/>
      <c r="M937" s="182"/>
      <c r="N937" s="149"/>
      <c r="O937" s="189"/>
      <c r="P937" s="149"/>
      <c r="Q937" s="149"/>
      <c r="R937" s="189"/>
      <c r="S937" s="149"/>
      <c r="T937" s="189"/>
      <c r="U937" s="194"/>
      <c r="V937" s="194"/>
      <c r="W937" s="194"/>
      <c r="X937" s="194"/>
      <c r="Y937" s="194"/>
      <c r="Z937" s="194"/>
      <c r="AA937" s="194"/>
    </row>
    <row r="938" ht="15.75" customHeight="1">
      <c r="A938" s="241"/>
      <c r="B938" s="224"/>
      <c r="C938" s="220"/>
      <c r="D938" s="221"/>
      <c r="E938" s="222"/>
      <c r="F938" s="223"/>
      <c r="G938" s="143"/>
      <c r="H938" s="143"/>
      <c r="I938" s="143"/>
      <c r="J938" s="143"/>
      <c r="K938" s="182"/>
      <c r="L938" s="143"/>
      <c r="M938" s="182"/>
      <c r="N938" s="149"/>
      <c r="O938" s="189"/>
      <c r="P938" s="149"/>
      <c r="Q938" s="149"/>
      <c r="R938" s="189"/>
      <c r="S938" s="149"/>
      <c r="T938" s="189"/>
      <c r="U938" s="194"/>
      <c r="V938" s="194"/>
      <c r="W938" s="194"/>
      <c r="X938" s="194"/>
      <c r="Y938" s="194"/>
      <c r="Z938" s="194"/>
      <c r="AA938" s="194"/>
    </row>
    <row r="939" ht="15.75" customHeight="1">
      <c r="A939" s="241"/>
      <c r="B939" s="224"/>
      <c r="C939" s="220"/>
      <c r="D939" s="221"/>
      <c r="E939" s="222"/>
      <c r="F939" s="223"/>
      <c r="G939" s="143"/>
      <c r="H939" s="143"/>
      <c r="I939" s="143"/>
      <c r="J939" s="143"/>
      <c r="K939" s="182"/>
      <c r="L939" s="143"/>
      <c r="M939" s="182"/>
      <c r="N939" s="149"/>
      <c r="O939" s="189"/>
      <c r="P939" s="149"/>
      <c r="Q939" s="149"/>
      <c r="R939" s="189"/>
      <c r="S939" s="149"/>
      <c r="T939" s="189"/>
      <c r="U939" s="194"/>
      <c r="V939" s="194"/>
      <c r="W939" s="194"/>
      <c r="X939" s="194"/>
      <c r="Y939" s="194"/>
      <c r="Z939" s="194"/>
      <c r="AA939" s="194"/>
    </row>
    <row r="940" ht="15.75" customHeight="1">
      <c r="A940" s="241"/>
      <c r="B940" s="224"/>
      <c r="C940" s="220"/>
      <c r="D940" s="221"/>
      <c r="E940" s="222"/>
      <c r="F940" s="223"/>
      <c r="G940" s="143"/>
      <c r="H940" s="143"/>
      <c r="I940" s="143"/>
      <c r="J940" s="143"/>
      <c r="K940" s="182"/>
      <c r="L940" s="143"/>
      <c r="M940" s="182"/>
      <c r="N940" s="149"/>
      <c r="O940" s="189"/>
      <c r="P940" s="149"/>
      <c r="Q940" s="149"/>
      <c r="R940" s="189"/>
      <c r="S940" s="149"/>
      <c r="T940" s="189"/>
      <c r="U940" s="194"/>
      <c r="V940" s="194"/>
      <c r="W940" s="194"/>
      <c r="X940" s="194"/>
      <c r="Y940" s="194"/>
      <c r="Z940" s="194"/>
      <c r="AA940" s="194"/>
    </row>
    <row r="941" ht="15.75" customHeight="1">
      <c r="A941" s="241"/>
      <c r="B941" s="224"/>
      <c r="C941" s="220"/>
      <c r="D941" s="221"/>
      <c r="E941" s="222"/>
      <c r="F941" s="223"/>
      <c r="G941" s="143"/>
      <c r="H941" s="143"/>
      <c r="I941" s="143"/>
      <c r="J941" s="143"/>
      <c r="K941" s="182"/>
      <c r="L941" s="143"/>
      <c r="M941" s="182"/>
      <c r="N941" s="149"/>
      <c r="O941" s="189"/>
      <c r="P941" s="149"/>
      <c r="Q941" s="149"/>
      <c r="R941" s="189"/>
      <c r="S941" s="149"/>
      <c r="T941" s="189"/>
      <c r="U941" s="194"/>
      <c r="V941" s="194"/>
      <c r="W941" s="194"/>
      <c r="X941" s="194"/>
      <c r="Y941" s="194"/>
      <c r="Z941" s="194"/>
      <c r="AA941" s="194"/>
    </row>
    <row r="942" ht="15.75" customHeight="1">
      <c r="A942" s="241"/>
      <c r="B942" s="224"/>
      <c r="C942" s="220"/>
      <c r="D942" s="221"/>
      <c r="E942" s="222"/>
      <c r="F942" s="223"/>
      <c r="G942" s="143"/>
      <c r="H942" s="143"/>
      <c r="I942" s="143"/>
      <c r="J942" s="143"/>
      <c r="K942" s="182"/>
      <c r="L942" s="143"/>
      <c r="M942" s="182"/>
      <c r="N942" s="149"/>
      <c r="O942" s="189"/>
      <c r="P942" s="149"/>
      <c r="Q942" s="149"/>
      <c r="R942" s="189"/>
      <c r="S942" s="149"/>
      <c r="T942" s="189"/>
      <c r="U942" s="194"/>
      <c r="V942" s="194"/>
      <c r="W942" s="194"/>
      <c r="X942" s="194"/>
      <c r="Y942" s="194"/>
      <c r="Z942" s="194"/>
      <c r="AA942" s="194"/>
    </row>
    <row r="943" ht="15.75" customHeight="1">
      <c r="A943" s="241"/>
      <c r="B943" s="224"/>
      <c r="C943" s="220"/>
      <c r="D943" s="221"/>
      <c r="E943" s="222"/>
      <c r="F943" s="223"/>
      <c r="G943" s="143"/>
      <c r="H943" s="143"/>
      <c r="I943" s="143"/>
      <c r="J943" s="143"/>
      <c r="K943" s="182"/>
      <c r="L943" s="143"/>
      <c r="M943" s="182"/>
      <c r="N943" s="149"/>
      <c r="O943" s="189"/>
      <c r="P943" s="149"/>
      <c r="Q943" s="149"/>
      <c r="R943" s="189"/>
      <c r="S943" s="149"/>
      <c r="T943" s="189"/>
      <c r="U943" s="194"/>
      <c r="V943" s="194"/>
      <c r="W943" s="194"/>
      <c r="X943" s="194"/>
      <c r="Y943" s="194"/>
      <c r="Z943" s="194"/>
      <c r="AA943" s="194"/>
    </row>
    <row r="944" ht="15.75" customHeight="1">
      <c r="A944" s="241"/>
      <c r="B944" s="224"/>
      <c r="C944" s="220"/>
      <c r="D944" s="221"/>
      <c r="E944" s="222"/>
      <c r="F944" s="223"/>
      <c r="G944" s="143"/>
      <c r="H944" s="143"/>
      <c r="I944" s="143"/>
      <c r="J944" s="143"/>
      <c r="K944" s="182"/>
      <c r="L944" s="143"/>
      <c r="M944" s="182"/>
      <c r="N944" s="149"/>
      <c r="O944" s="189"/>
      <c r="P944" s="149"/>
      <c r="Q944" s="149"/>
      <c r="R944" s="189"/>
      <c r="S944" s="149"/>
      <c r="T944" s="189"/>
      <c r="U944" s="194"/>
      <c r="V944" s="194"/>
      <c r="W944" s="194"/>
      <c r="X944" s="194"/>
      <c r="Y944" s="194"/>
      <c r="Z944" s="194"/>
      <c r="AA944" s="194"/>
    </row>
    <row r="945" ht="15.75" customHeight="1">
      <c r="A945" s="241"/>
      <c r="B945" s="224"/>
      <c r="C945" s="220"/>
      <c r="D945" s="221"/>
      <c r="E945" s="222"/>
      <c r="F945" s="223"/>
      <c r="G945" s="143"/>
      <c r="H945" s="143"/>
      <c r="I945" s="143"/>
      <c r="J945" s="143"/>
      <c r="K945" s="182"/>
      <c r="L945" s="143"/>
      <c r="M945" s="182"/>
      <c r="N945" s="149"/>
      <c r="O945" s="189"/>
      <c r="P945" s="149"/>
      <c r="Q945" s="149"/>
      <c r="R945" s="189"/>
      <c r="S945" s="149"/>
      <c r="T945" s="189"/>
      <c r="U945" s="194"/>
      <c r="V945" s="194"/>
      <c r="W945" s="194"/>
      <c r="X945" s="194"/>
      <c r="Y945" s="194"/>
      <c r="Z945" s="194"/>
      <c r="AA945" s="194"/>
    </row>
    <row r="946" ht="15.75" customHeight="1">
      <c r="A946" s="241"/>
      <c r="B946" s="224"/>
      <c r="C946" s="220"/>
      <c r="D946" s="221"/>
      <c r="E946" s="222"/>
      <c r="F946" s="223"/>
      <c r="G946" s="143"/>
      <c r="H946" s="143"/>
      <c r="I946" s="143"/>
      <c r="J946" s="143"/>
      <c r="K946" s="182"/>
      <c r="L946" s="143"/>
      <c r="M946" s="182"/>
      <c r="N946" s="149"/>
      <c r="O946" s="189"/>
      <c r="P946" s="149"/>
      <c r="Q946" s="149"/>
      <c r="R946" s="189"/>
      <c r="S946" s="149"/>
      <c r="T946" s="189"/>
      <c r="U946" s="194"/>
      <c r="V946" s="194"/>
      <c r="W946" s="194"/>
      <c r="X946" s="194"/>
      <c r="Y946" s="194"/>
      <c r="Z946" s="194"/>
      <c r="AA946" s="194"/>
    </row>
    <row r="947" ht="15.75" customHeight="1">
      <c r="A947" s="241"/>
      <c r="B947" s="224"/>
      <c r="C947" s="220"/>
      <c r="D947" s="221"/>
      <c r="E947" s="222"/>
      <c r="F947" s="223"/>
      <c r="G947" s="143"/>
      <c r="H947" s="143"/>
      <c r="I947" s="143"/>
      <c r="J947" s="143"/>
      <c r="K947" s="182"/>
      <c r="L947" s="143"/>
      <c r="M947" s="182"/>
      <c r="N947" s="149"/>
      <c r="O947" s="189"/>
      <c r="P947" s="149"/>
      <c r="Q947" s="149"/>
      <c r="R947" s="189"/>
      <c r="S947" s="149"/>
      <c r="T947" s="189"/>
      <c r="U947" s="194"/>
      <c r="V947" s="194"/>
      <c r="W947" s="194"/>
      <c r="X947" s="194"/>
      <c r="Y947" s="194"/>
      <c r="Z947" s="194"/>
      <c r="AA947" s="194"/>
    </row>
    <row r="948" ht="15.75" customHeight="1">
      <c r="A948" s="241"/>
      <c r="B948" s="224"/>
      <c r="C948" s="220"/>
      <c r="D948" s="221"/>
      <c r="E948" s="222"/>
      <c r="F948" s="223"/>
      <c r="G948" s="143"/>
      <c r="H948" s="143"/>
      <c r="I948" s="143"/>
      <c r="J948" s="143"/>
      <c r="K948" s="182"/>
      <c r="L948" s="143"/>
      <c r="M948" s="182"/>
      <c r="N948" s="149"/>
      <c r="O948" s="189"/>
      <c r="P948" s="149"/>
      <c r="Q948" s="149"/>
      <c r="R948" s="189"/>
      <c r="S948" s="149"/>
      <c r="T948" s="189"/>
      <c r="U948" s="194"/>
      <c r="V948" s="194"/>
      <c r="W948" s="194"/>
      <c r="X948" s="194"/>
      <c r="Y948" s="194"/>
      <c r="Z948" s="194"/>
      <c r="AA948" s="194"/>
    </row>
    <row r="949" ht="15.75" customHeight="1">
      <c r="A949" s="241"/>
      <c r="B949" s="224"/>
      <c r="C949" s="220"/>
      <c r="D949" s="221"/>
      <c r="E949" s="222"/>
      <c r="F949" s="223"/>
      <c r="G949" s="143"/>
      <c r="H949" s="143"/>
      <c r="I949" s="143"/>
      <c r="J949" s="143"/>
      <c r="K949" s="182"/>
      <c r="L949" s="143"/>
      <c r="M949" s="182"/>
      <c r="N949" s="149"/>
      <c r="O949" s="189"/>
      <c r="P949" s="149"/>
      <c r="Q949" s="149"/>
      <c r="R949" s="189"/>
      <c r="S949" s="149"/>
      <c r="T949" s="189"/>
      <c r="U949" s="194"/>
      <c r="V949" s="194"/>
      <c r="W949" s="194"/>
      <c r="X949" s="194"/>
      <c r="Y949" s="194"/>
      <c r="Z949" s="194"/>
      <c r="AA949" s="194"/>
    </row>
    <row r="950" ht="15.75" customHeight="1">
      <c r="A950" s="241"/>
      <c r="B950" s="224"/>
      <c r="C950" s="220"/>
      <c r="D950" s="221"/>
      <c r="E950" s="222"/>
      <c r="F950" s="223"/>
      <c r="G950" s="143"/>
      <c r="H950" s="143"/>
      <c r="I950" s="143"/>
      <c r="J950" s="143"/>
      <c r="K950" s="182"/>
      <c r="L950" s="143"/>
      <c r="M950" s="182"/>
      <c r="N950" s="149"/>
      <c r="O950" s="189"/>
      <c r="P950" s="149"/>
      <c r="Q950" s="149"/>
      <c r="R950" s="189"/>
      <c r="S950" s="149"/>
      <c r="T950" s="189"/>
      <c r="U950" s="194"/>
      <c r="V950" s="194"/>
      <c r="W950" s="194"/>
      <c r="X950" s="194"/>
      <c r="Y950" s="194"/>
      <c r="Z950" s="194"/>
      <c r="AA950" s="194"/>
    </row>
    <row r="951" ht="15.75" customHeight="1">
      <c r="A951" s="241"/>
      <c r="B951" s="224"/>
      <c r="C951" s="220"/>
      <c r="D951" s="221"/>
      <c r="E951" s="222"/>
      <c r="F951" s="223"/>
      <c r="G951" s="143"/>
      <c r="H951" s="143"/>
      <c r="I951" s="143"/>
      <c r="J951" s="143"/>
      <c r="K951" s="182"/>
      <c r="L951" s="143"/>
      <c r="M951" s="182"/>
      <c r="N951" s="149"/>
      <c r="O951" s="189"/>
      <c r="P951" s="149"/>
      <c r="Q951" s="149"/>
      <c r="R951" s="189"/>
      <c r="S951" s="149"/>
      <c r="T951" s="189"/>
      <c r="U951" s="194"/>
      <c r="V951" s="194"/>
      <c r="W951" s="194"/>
      <c r="X951" s="194"/>
      <c r="Y951" s="194"/>
      <c r="Z951" s="194"/>
      <c r="AA951" s="194"/>
    </row>
    <row r="952" ht="15.75" customHeight="1">
      <c r="A952" s="241"/>
      <c r="B952" s="224"/>
      <c r="C952" s="220"/>
      <c r="D952" s="221"/>
      <c r="E952" s="222"/>
      <c r="F952" s="223"/>
      <c r="G952" s="143"/>
      <c r="H952" s="143"/>
      <c r="I952" s="143"/>
      <c r="J952" s="143"/>
      <c r="K952" s="182"/>
      <c r="L952" s="143"/>
      <c r="M952" s="182"/>
      <c r="N952" s="149"/>
      <c r="O952" s="189"/>
      <c r="P952" s="149"/>
      <c r="Q952" s="149"/>
      <c r="R952" s="189"/>
      <c r="S952" s="149"/>
      <c r="T952" s="189"/>
      <c r="U952" s="194"/>
      <c r="V952" s="194"/>
      <c r="W952" s="194"/>
      <c r="X952" s="194"/>
      <c r="Y952" s="194"/>
      <c r="Z952" s="194"/>
      <c r="AA952" s="194"/>
    </row>
    <row r="953" ht="15.75" customHeight="1">
      <c r="A953" s="241"/>
      <c r="B953" s="224"/>
      <c r="C953" s="220"/>
      <c r="D953" s="221"/>
      <c r="E953" s="222"/>
      <c r="F953" s="223"/>
      <c r="G953" s="143"/>
      <c r="H953" s="143"/>
      <c r="I953" s="143"/>
      <c r="J953" s="143"/>
      <c r="K953" s="182"/>
      <c r="L953" s="143"/>
      <c r="M953" s="182"/>
      <c r="N953" s="149"/>
      <c r="O953" s="189"/>
      <c r="P953" s="149"/>
      <c r="Q953" s="149"/>
      <c r="R953" s="189"/>
      <c r="S953" s="149"/>
      <c r="T953" s="189"/>
      <c r="U953" s="194"/>
      <c r="V953" s="194"/>
      <c r="W953" s="194"/>
      <c r="X953" s="194"/>
      <c r="Y953" s="194"/>
      <c r="Z953" s="194"/>
      <c r="AA953" s="194"/>
    </row>
    <row r="954" ht="15.75" customHeight="1">
      <c r="A954" s="241"/>
      <c r="B954" s="224"/>
      <c r="C954" s="220"/>
      <c r="D954" s="221"/>
      <c r="E954" s="222"/>
      <c r="F954" s="223"/>
      <c r="G954" s="143"/>
      <c r="H954" s="143"/>
      <c r="I954" s="143"/>
      <c r="J954" s="143"/>
      <c r="K954" s="182"/>
      <c r="L954" s="143"/>
      <c r="M954" s="182"/>
      <c r="N954" s="149"/>
      <c r="O954" s="189"/>
      <c r="P954" s="149"/>
      <c r="Q954" s="149"/>
      <c r="R954" s="189"/>
      <c r="S954" s="149"/>
      <c r="T954" s="189"/>
      <c r="U954" s="194"/>
      <c r="V954" s="194"/>
      <c r="W954" s="194"/>
      <c r="X954" s="194"/>
      <c r="Y954" s="194"/>
      <c r="Z954" s="194"/>
      <c r="AA954" s="194"/>
    </row>
    <row r="955" ht="15.75" customHeight="1">
      <c r="A955" s="241"/>
      <c r="B955" s="224"/>
      <c r="C955" s="220"/>
      <c r="D955" s="221"/>
      <c r="E955" s="222"/>
      <c r="F955" s="223"/>
      <c r="G955" s="143"/>
      <c r="H955" s="143"/>
      <c r="I955" s="143"/>
      <c r="J955" s="143"/>
      <c r="K955" s="182"/>
      <c r="L955" s="143"/>
      <c r="M955" s="182"/>
      <c r="N955" s="149"/>
      <c r="O955" s="189"/>
      <c r="P955" s="149"/>
      <c r="Q955" s="149"/>
      <c r="R955" s="189"/>
      <c r="S955" s="149"/>
      <c r="T955" s="189"/>
      <c r="U955" s="194"/>
      <c r="V955" s="194"/>
      <c r="W955" s="194"/>
      <c r="X955" s="194"/>
      <c r="Y955" s="194"/>
      <c r="Z955" s="194"/>
      <c r="AA955" s="194"/>
    </row>
    <row r="956" ht="15.75" customHeight="1">
      <c r="A956" s="241"/>
      <c r="B956" s="224"/>
      <c r="C956" s="220"/>
      <c r="D956" s="221"/>
      <c r="E956" s="222"/>
      <c r="F956" s="223"/>
      <c r="G956" s="143"/>
      <c r="H956" s="143"/>
      <c r="I956" s="143"/>
      <c r="J956" s="143"/>
      <c r="K956" s="182"/>
      <c r="L956" s="143"/>
      <c r="M956" s="182"/>
      <c r="N956" s="149"/>
      <c r="O956" s="189"/>
      <c r="P956" s="149"/>
      <c r="Q956" s="149"/>
      <c r="R956" s="189"/>
      <c r="S956" s="149"/>
      <c r="T956" s="189"/>
      <c r="U956" s="194"/>
      <c r="V956" s="194"/>
      <c r="W956" s="194"/>
      <c r="X956" s="194"/>
      <c r="Y956" s="194"/>
      <c r="Z956" s="194"/>
      <c r="AA956" s="194"/>
    </row>
    <row r="957" ht="15.75" customHeight="1">
      <c r="A957" s="241"/>
      <c r="B957" s="224"/>
      <c r="C957" s="220"/>
      <c r="D957" s="221"/>
      <c r="E957" s="222"/>
      <c r="F957" s="223"/>
      <c r="G957" s="143"/>
      <c r="H957" s="143"/>
      <c r="I957" s="143"/>
      <c r="J957" s="143"/>
      <c r="K957" s="182"/>
      <c r="L957" s="143"/>
      <c r="M957" s="182"/>
      <c r="N957" s="149"/>
      <c r="O957" s="189"/>
      <c r="P957" s="149"/>
      <c r="Q957" s="149"/>
      <c r="R957" s="189"/>
      <c r="S957" s="149"/>
      <c r="T957" s="189"/>
      <c r="U957" s="194"/>
      <c r="V957" s="194"/>
      <c r="W957" s="194"/>
      <c r="X957" s="194"/>
      <c r="Y957" s="194"/>
      <c r="Z957" s="194"/>
      <c r="AA957" s="194"/>
    </row>
    <row r="958" ht="15.75" customHeight="1">
      <c r="A958" s="241"/>
      <c r="B958" s="224"/>
      <c r="C958" s="220"/>
      <c r="D958" s="221"/>
      <c r="E958" s="222"/>
      <c r="F958" s="223"/>
      <c r="G958" s="143"/>
      <c r="H958" s="143"/>
      <c r="I958" s="143"/>
      <c r="J958" s="143"/>
      <c r="K958" s="182"/>
      <c r="L958" s="143"/>
      <c r="M958" s="182"/>
      <c r="N958" s="149"/>
      <c r="O958" s="189"/>
      <c r="P958" s="149"/>
      <c r="Q958" s="149"/>
      <c r="R958" s="189"/>
      <c r="S958" s="149"/>
      <c r="T958" s="189"/>
      <c r="U958" s="194"/>
      <c r="V958" s="194"/>
      <c r="W958" s="194"/>
      <c r="X958" s="194"/>
      <c r="Y958" s="194"/>
      <c r="Z958" s="194"/>
      <c r="AA958" s="194"/>
    </row>
    <row r="959" ht="15.75" customHeight="1">
      <c r="A959" s="241"/>
      <c r="B959" s="224"/>
      <c r="C959" s="220"/>
      <c r="D959" s="221"/>
      <c r="E959" s="222"/>
      <c r="F959" s="223"/>
      <c r="G959" s="143"/>
      <c r="H959" s="143"/>
      <c r="I959" s="143"/>
      <c r="J959" s="143"/>
      <c r="K959" s="182"/>
      <c r="L959" s="143"/>
      <c r="M959" s="182"/>
      <c r="N959" s="149"/>
      <c r="O959" s="189"/>
      <c r="P959" s="149"/>
      <c r="Q959" s="149"/>
      <c r="R959" s="189"/>
      <c r="S959" s="149"/>
      <c r="T959" s="189"/>
      <c r="U959" s="194"/>
      <c r="V959" s="194"/>
      <c r="W959" s="194"/>
      <c r="X959" s="194"/>
      <c r="Y959" s="194"/>
      <c r="Z959" s="194"/>
      <c r="AA959" s="194"/>
    </row>
    <row r="960" ht="15.75" customHeight="1">
      <c r="A960" s="241"/>
      <c r="B960" s="224"/>
      <c r="C960" s="220"/>
      <c r="D960" s="221"/>
      <c r="E960" s="222"/>
      <c r="F960" s="223"/>
      <c r="G960" s="143"/>
      <c r="H960" s="143"/>
      <c r="I960" s="143"/>
      <c r="J960" s="143"/>
      <c r="K960" s="182"/>
      <c r="L960" s="143"/>
      <c r="M960" s="182"/>
      <c r="N960" s="149"/>
      <c r="O960" s="189"/>
      <c r="P960" s="149"/>
      <c r="Q960" s="149"/>
      <c r="R960" s="189"/>
      <c r="S960" s="149"/>
      <c r="T960" s="189"/>
      <c r="U960" s="194"/>
      <c r="V960" s="194"/>
      <c r="W960" s="194"/>
      <c r="X960" s="194"/>
      <c r="Y960" s="194"/>
      <c r="Z960" s="194"/>
      <c r="AA960" s="194"/>
    </row>
    <row r="961" ht="15.75" customHeight="1">
      <c r="A961" s="241"/>
      <c r="B961" s="224"/>
      <c r="C961" s="220"/>
      <c r="D961" s="221"/>
      <c r="E961" s="222"/>
      <c r="F961" s="223"/>
      <c r="G961" s="143"/>
      <c r="H961" s="143"/>
      <c r="I961" s="143"/>
      <c r="J961" s="143"/>
      <c r="K961" s="182"/>
      <c r="L961" s="143"/>
      <c r="M961" s="182"/>
      <c r="N961" s="149"/>
      <c r="O961" s="189"/>
      <c r="P961" s="149"/>
      <c r="Q961" s="149"/>
      <c r="R961" s="189"/>
      <c r="S961" s="149"/>
      <c r="T961" s="189"/>
      <c r="U961" s="194"/>
      <c r="V961" s="194"/>
      <c r="W961" s="194"/>
      <c r="X961" s="194"/>
      <c r="Y961" s="194"/>
      <c r="Z961" s="194"/>
      <c r="AA961" s="194"/>
    </row>
    <row r="962" ht="15.75" customHeight="1">
      <c r="A962" s="241"/>
      <c r="B962" s="224"/>
      <c r="C962" s="220"/>
      <c r="D962" s="221"/>
      <c r="E962" s="222"/>
      <c r="F962" s="223"/>
      <c r="G962" s="143"/>
      <c r="H962" s="143"/>
      <c r="I962" s="143"/>
      <c r="J962" s="143"/>
      <c r="K962" s="182"/>
      <c r="L962" s="143"/>
      <c r="M962" s="182"/>
      <c r="N962" s="149"/>
      <c r="O962" s="189"/>
      <c r="P962" s="149"/>
      <c r="Q962" s="149"/>
      <c r="R962" s="189"/>
      <c r="S962" s="149"/>
      <c r="T962" s="189"/>
      <c r="U962" s="194"/>
      <c r="V962" s="194"/>
      <c r="W962" s="194"/>
      <c r="X962" s="194"/>
      <c r="Y962" s="194"/>
      <c r="Z962" s="194"/>
      <c r="AA962" s="194"/>
    </row>
    <row r="963" ht="15.75" customHeight="1">
      <c r="A963" s="241"/>
      <c r="B963" s="224"/>
      <c r="C963" s="220"/>
      <c r="D963" s="221"/>
      <c r="E963" s="222"/>
      <c r="F963" s="223"/>
      <c r="G963" s="143"/>
      <c r="H963" s="143"/>
      <c r="I963" s="143"/>
      <c r="J963" s="143"/>
      <c r="K963" s="182"/>
      <c r="L963" s="143"/>
      <c r="M963" s="182"/>
      <c r="N963" s="149"/>
      <c r="O963" s="189"/>
      <c r="P963" s="149"/>
      <c r="Q963" s="149"/>
      <c r="R963" s="189"/>
      <c r="S963" s="149"/>
      <c r="T963" s="189"/>
      <c r="U963" s="194"/>
      <c r="V963" s="194"/>
      <c r="W963" s="194"/>
      <c r="X963" s="194"/>
      <c r="Y963" s="194"/>
      <c r="Z963" s="194"/>
      <c r="AA963" s="194"/>
    </row>
    <row r="964" ht="15.75" customHeight="1">
      <c r="A964" s="241"/>
      <c r="B964" s="224"/>
      <c r="C964" s="220"/>
      <c r="D964" s="221"/>
      <c r="E964" s="222"/>
      <c r="F964" s="223"/>
      <c r="G964" s="143"/>
      <c r="H964" s="143"/>
      <c r="I964" s="143"/>
      <c r="J964" s="143"/>
      <c r="K964" s="182"/>
      <c r="L964" s="143"/>
      <c r="M964" s="182"/>
      <c r="N964" s="149"/>
      <c r="O964" s="189"/>
      <c r="P964" s="149"/>
      <c r="Q964" s="149"/>
      <c r="R964" s="189"/>
      <c r="S964" s="149"/>
      <c r="T964" s="189"/>
      <c r="U964" s="194"/>
      <c r="V964" s="194"/>
      <c r="W964" s="194"/>
      <c r="X964" s="194"/>
      <c r="Y964" s="194"/>
      <c r="Z964" s="194"/>
      <c r="AA964" s="194"/>
    </row>
    <row r="965" ht="15.75" customHeight="1">
      <c r="A965" s="241"/>
      <c r="B965" s="224"/>
      <c r="C965" s="220"/>
      <c r="D965" s="221"/>
      <c r="E965" s="222"/>
      <c r="F965" s="223"/>
      <c r="G965" s="143"/>
      <c r="H965" s="143"/>
      <c r="I965" s="143"/>
      <c r="J965" s="143"/>
      <c r="K965" s="182"/>
      <c r="L965" s="143"/>
      <c r="M965" s="182"/>
      <c r="N965" s="149"/>
      <c r="O965" s="189"/>
      <c r="P965" s="149"/>
      <c r="Q965" s="149"/>
      <c r="R965" s="189"/>
      <c r="S965" s="149"/>
      <c r="T965" s="189"/>
      <c r="U965" s="194"/>
      <c r="V965" s="194"/>
      <c r="W965" s="194"/>
      <c r="X965" s="194"/>
      <c r="Y965" s="194"/>
      <c r="Z965" s="194"/>
      <c r="AA965" s="194"/>
    </row>
    <row r="966" ht="15.75" customHeight="1">
      <c r="A966" s="241"/>
      <c r="B966" s="224"/>
      <c r="C966" s="220"/>
      <c r="D966" s="221"/>
      <c r="E966" s="222"/>
      <c r="F966" s="223"/>
      <c r="G966" s="143"/>
      <c r="H966" s="143"/>
      <c r="I966" s="143"/>
      <c r="J966" s="143"/>
      <c r="K966" s="182"/>
      <c r="L966" s="143"/>
      <c r="M966" s="182"/>
      <c r="N966" s="149"/>
      <c r="O966" s="189"/>
      <c r="P966" s="149"/>
      <c r="Q966" s="149"/>
      <c r="R966" s="189"/>
      <c r="S966" s="149"/>
      <c r="T966" s="189"/>
      <c r="U966" s="194"/>
      <c r="V966" s="194"/>
      <c r="W966" s="194"/>
      <c r="X966" s="194"/>
      <c r="Y966" s="194"/>
      <c r="Z966" s="194"/>
      <c r="AA966" s="194"/>
    </row>
    <row r="967" ht="15.75" customHeight="1">
      <c r="A967" s="241"/>
      <c r="B967" s="224"/>
      <c r="C967" s="220"/>
      <c r="D967" s="221"/>
      <c r="E967" s="222"/>
      <c r="F967" s="223"/>
      <c r="G967" s="143"/>
      <c r="H967" s="143"/>
      <c r="I967" s="143"/>
      <c r="J967" s="143"/>
      <c r="K967" s="182"/>
      <c r="L967" s="143"/>
      <c r="M967" s="182"/>
      <c r="N967" s="149"/>
      <c r="O967" s="189"/>
      <c r="P967" s="149"/>
      <c r="Q967" s="149"/>
      <c r="R967" s="189"/>
      <c r="S967" s="149"/>
      <c r="T967" s="189"/>
      <c r="U967" s="194"/>
      <c r="V967" s="194"/>
      <c r="W967" s="194"/>
      <c r="X967" s="194"/>
      <c r="Y967" s="194"/>
      <c r="Z967" s="194"/>
      <c r="AA967" s="194"/>
    </row>
    <row r="968" ht="15.75" customHeight="1">
      <c r="A968" s="241"/>
      <c r="B968" s="224"/>
      <c r="C968" s="220"/>
      <c r="D968" s="221"/>
      <c r="E968" s="222"/>
      <c r="F968" s="223"/>
      <c r="G968" s="143"/>
      <c r="H968" s="143"/>
      <c r="I968" s="143"/>
      <c r="J968" s="143"/>
      <c r="K968" s="182"/>
      <c r="L968" s="143"/>
      <c r="M968" s="182"/>
      <c r="N968" s="149"/>
      <c r="O968" s="189"/>
      <c r="P968" s="149"/>
      <c r="Q968" s="149"/>
      <c r="R968" s="189"/>
      <c r="S968" s="149"/>
      <c r="T968" s="189"/>
      <c r="U968" s="194"/>
      <c r="V968" s="194"/>
      <c r="W968" s="194"/>
      <c r="X968" s="194"/>
      <c r="Y968" s="194"/>
      <c r="Z968" s="194"/>
      <c r="AA968" s="194"/>
    </row>
    <row r="969" ht="15.75" customHeight="1">
      <c r="A969" s="241"/>
      <c r="B969" s="224"/>
      <c r="C969" s="220"/>
      <c r="D969" s="221"/>
      <c r="E969" s="222"/>
      <c r="F969" s="223"/>
      <c r="G969" s="143"/>
      <c r="H969" s="143"/>
      <c r="I969" s="143"/>
      <c r="J969" s="143"/>
      <c r="K969" s="182"/>
      <c r="L969" s="143"/>
      <c r="M969" s="182"/>
      <c r="N969" s="149"/>
      <c r="O969" s="189"/>
      <c r="P969" s="149"/>
      <c r="Q969" s="149"/>
      <c r="R969" s="189"/>
      <c r="S969" s="149"/>
      <c r="T969" s="189"/>
      <c r="U969" s="194"/>
      <c r="V969" s="194"/>
      <c r="W969" s="194"/>
      <c r="X969" s="194"/>
      <c r="Y969" s="194"/>
      <c r="Z969" s="194"/>
      <c r="AA969" s="194"/>
    </row>
    <row r="970" ht="15.75" customHeight="1">
      <c r="A970" s="241"/>
      <c r="B970" s="224"/>
      <c r="C970" s="220"/>
      <c r="D970" s="221"/>
      <c r="E970" s="222"/>
      <c r="F970" s="223"/>
      <c r="G970" s="143"/>
      <c r="H970" s="143"/>
      <c r="I970" s="143"/>
      <c r="J970" s="143"/>
      <c r="K970" s="182"/>
      <c r="L970" s="143"/>
      <c r="M970" s="182"/>
      <c r="N970" s="149"/>
      <c r="O970" s="189"/>
      <c r="P970" s="149"/>
      <c r="Q970" s="149"/>
      <c r="R970" s="189"/>
      <c r="S970" s="149"/>
      <c r="T970" s="189"/>
      <c r="U970" s="194"/>
      <c r="V970" s="194"/>
      <c r="W970" s="194"/>
      <c r="X970" s="194"/>
      <c r="Y970" s="194"/>
      <c r="Z970" s="194"/>
      <c r="AA970" s="194"/>
    </row>
    <row r="971" ht="15.75" customHeight="1">
      <c r="A971" s="241"/>
      <c r="B971" s="224"/>
      <c r="C971" s="220"/>
      <c r="D971" s="221"/>
      <c r="E971" s="222"/>
      <c r="F971" s="223"/>
      <c r="G971" s="143"/>
      <c r="H971" s="143"/>
      <c r="I971" s="143"/>
      <c r="J971" s="143"/>
      <c r="K971" s="182"/>
      <c r="L971" s="143"/>
      <c r="M971" s="182"/>
      <c r="N971" s="149"/>
      <c r="O971" s="189"/>
      <c r="P971" s="149"/>
      <c r="Q971" s="149"/>
      <c r="R971" s="189"/>
      <c r="S971" s="149"/>
      <c r="T971" s="189"/>
      <c r="U971" s="194"/>
      <c r="V971" s="194"/>
      <c r="W971" s="194"/>
      <c r="X971" s="194"/>
      <c r="Y971" s="194"/>
      <c r="Z971" s="194"/>
      <c r="AA971" s="194"/>
    </row>
    <row r="972" ht="15.75" customHeight="1">
      <c r="A972" s="241"/>
      <c r="B972" s="224"/>
      <c r="C972" s="220"/>
      <c r="D972" s="221"/>
      <c r="E972" s="222"/>
      <c r="F972" s="223"/>
      <c r="G972" s="143"/>
      <c r="H972" s="143"/>
      <c r="I972" s="143"/>
      <c r="J972" s="143"/>
      <c r="K972" s="182"/>
      <c r="L972" s="143"/>
      <c r="M972" s="182"/>
      <c r="N972" s="149"/>
      <c r="O972" s="189"/>
      <c r="P972" s="149"/>
      <c r="Q972" s="149"/>
      <c r="R972" s="189"/>
      <c r="S972" s="149"/>
      <c r="T972" s="189"/>
      <c r="U972" s="194"/>
      <c r="V972" s="194"/>
      <c r="W972" s="194"/>
      <c r="X972" s="194"/>
      <c r="Y972" s="194"/>
      <c r="Z972" s="194"/>
      <c r="AA972" s="194"/>
    </row>
    <row r="973" ht="15.75" customHeight="1">
      <c r="A973" s="241"/>
      <c r="B973" s="224"/>
      <c r="C973" s="220"/>
      <c r="D973" s="221"/>
      <c r="E973" s="222"/>
      <c r="F973" s="223"/>
      <c r="G973" s="143"/>
      <c r="H973" s="143"/>
      <c r="I973" s="143"/>
      <c r="J973" s="143"/>
      <c r="K973" s="182"/>
      <c r="L973" s="143"/>
      <c r="M973" s="182"/>
      <c r="N973" s="149"/>
      <c r="O973" s="189"/>
      <c r="P973" s="149"/>
      <c r="Q973" s="149"/>
      <c r="R973" s="189"/>
      <c r="S973" s="149"/>
      <c r="T973" s="189"/>
      <c r="U973" s="194"/>
      <c r="V973" s="194"/>
      <c r="W973" s="194"/>
      <c r="X973" s="194"/>
      <c r="Y973" s="194"/>
      <c r="Z973" s="194"/>
      <c r="AA973" s="194"/>
    </row>
    <row r="974" ht="15.75" customHeight="1">
      <c r="A974" s="241"/>
      <c r="B974" s="224"/>
      <c r="C974" s="220"/>
      <c r="D974" s="221"/>
      <c r="E974" s="222"/>
      <c r="F974" s="223"/>
      <c r="G974" s="143"/>
      <c r="H974" s="143"/>
      <c r="I974" s="143"/>
      <c r="J974" s="143"/>
      <c r="K974" s="182"/>
      <c r="L974" s="143"/>
      <c r="M974" s="182"/>
      <c r="N974" s="149"/>
      <c r="O974" s="189"/>
      <c r="P974" s="149"/>
      <c r="Q974" s="149"/>
      <c r="R974" s="189"/>
      <c r="S974" s="149"/>
      <c r="T974" s="189"/>
      <c r="U974" s="194"/>
      <c r="V974" s="194"/>
      <c r="W974" s="194"/>
      <c r="X974" s="194"/>
      <c r="Y974" s="194"/>
      <c r="Z974" s="194"/>
      <c r="AA974" s="194"/>
    </row>
    <row r="975" ht="15.75" customHeight="1">
      <c r="A975" s="241"/>
      <c r="B975" s="224"/>
      <c r="C975" s="220"/>
      <c r="D975" s="221"/>
      <c r="E975" s="222"/>
      <c r="F975" s="223"/>
      <c r="G975" s="143"/>
      <c r="H975" s="143"/>
      <c r="I975" s="143"/>
      <c r="J975" s="143"/>
      <c r="K975" s="182"/>
      <c r="L975" s="143"/>
      <c r="M975" s="182"/>
      <c r="N975" s="149"/>
      <c r="O975" s="189"/>
      <c r="P975" s="149"/>
      <c r="Q975" s="149"/>
      <c r="R975" s="189"/>
      <c r="S975" s="149"/>
      <c r="T975" s="189"/>
      <c r="U975" s="194"/>
      <c r="V975" s="194"/>
      <c r="W975" s="194"/>
      <c r="X975" s="194"/>
      <c r="Y975" s="194"/>
      <c r="Z975" s="194"/>
      <c r="AA975" s="194"/>
    </row>
    <row r="976" ht="15.75" customHeight="1">
      <c r="A976" s="241"/>
      <c r="B976" s="224"/>
      <c r="C976" s="220"/>
      <c r="D976" s="221"/>
      <c r="E976" s="222"/>
      <c r="F976" s="223"/>
      <c r="G976" s="143"/>
      <c r="H976" s="143"/>
      <c r="I976" s="143"/>
      <c r="J976" s="143"/>
      <c r="K976" s="182"/>
      <c r="L976" s="143"/>
      <c r="M976" s="182"/>
      <c r="N976" s="149"/>
      <c r="O976" s="189"/>
      <c r="P976" s="149"/>
      <c r="Q976" s="149"/>
      <c r="R976" s="189"/>
      <c r="S976" s="149"/>
      <c r="T976" s="189"/>
      <c r="U976" s="194"/>
      <c r="V976" s="194"/>
      <c r="W976" s="194"/>
      <c r="X976" s="194"/>
      <c r="Y976" s="194"/>
      <c r="Z976" s="194"/>
      <c r="AA976" s="194"/>
    </row>
    <row r="977" ht="15.75" customHeight="1">
      <c r="A977" s="241"/>
      <c r="B977" s="224"/>
      <c r="C977" s="220"/>
      <c r="D977" s="221"/>
      <c r="E977" s="222"/>
      <c r="F977" s="223"/>
      <c r="G977" s="143"/>
      <c r="H977" s="143"/>
      <c r="I977" s="143"/>
      <c r="J977" s="143"/>
      <c r="K977" s="182"/>
      <c r="L977" s="143"/>
      <c r="M977" s="182"/>
      <c r="N977" s="149"/>
      <c r="O977" s="189"/>
      <c r="P977" s="149"/>
      <c r="Q977" s="149"/>
      <c r="R977" s="189"/>
      <c r="S977" s="149"/>
      <c r="T977" s="189"/>
      <c r="U977" s="194"/>
      <c r="V977" s="194"/>
      <c r="W977" s="194"/>
      <c r="X977" s="194"/>
      <c r="Y977" s="194"/>
      <c r="Z977" s="194"/>
      <c r="AA977" s="194"/>
    </row>
    <row r="978" ht="15.75" customHeight="1">
      <c r="A978" s="241"/>
      <c r="B978" s="224"/>
      <c r="C978" s="220"/>
      <c r="D978" s="221"/>
      <c r="E978" s="222"/>
      <c r="F978" s="223"/>
      <c r="G978" s="143"/>
      <c r="H978" s="143"/>
      <c r="I978" s="143"/>
      <c r="J978" s="143"/>
      <c r="K978" s="182"/>
      <c r="L978" s="143"/>
      <c r="M978" s="182"/>
      <c r="N978" s="149"/>
      <c r="O978" s="189"/>
      <c r="P978" s="149"/>
      <c r="Q978" s="149"/>
      <c r="R978" s="189"/>
      <c r="S978" s="149"/>
      <c r="T978" s="189"/>
      <c r="U978" s="194"/>
      <c r="V978" s="194"/>
      <c r="W978" s="194"/>
      <c r="X978" s="194"/>
      <c r="Y978" s="194"/>
      <c r="Z978" s="194"/>
      <c r="AA978" s="194"/>
    </row>
    <row r="979" ht="15.75" customHeight="1">
      <c r="A979" s="241"/>
      <c r="B979" s="224"/>
      <c r="C979" s="220"/>
      <c r="D979" s="221"/>
      <c r="E979" s="222"/>
      <c r="F979" s="223"/>
      <c r="G979" s="143"/>
      <c r="H979" s="143"/>
      <c r="I979" s="143"/>
      <c r="J979" s="143"/>
      <c r="K979" s="182"/>
      <c r="L979" s="143"/>
      <c r="M979" s="182"/>
      <c r="N979" s="149"/>
      <c r="O979" s="189"/>
      <c r="P979" s="149"/>
      <c r="Q979" s="149"/>
      <c r="R979" s="189"/>
      <c r="S979" s="149"/>
      <c r="T979" s="189"/>
      <c r="U979" s="194"/>
      <c r="V979" s="194"/>
      <c r="W979" s="194"/>
      <c r="X979" s="194"/>
      <c r="Y979" s="194"/>
      <c r="Z979" s="194"/>
      <c r="AA979" s="194"/>
    </row>
    <row r="980" ht="15.75" customHeight="1">
      <c r="A980" s="241"/>
      <c r="B980" s="224"/>
      <c r="C980" s="220"/>
      <c r="D980" s="221"/>
      <c r="E980" s="222"/>
      <c r="F980" s="223"/>
      <c r="G980" s="143"/>
      <c r="H980" s="143"/>
      <c r="I980" s="143"/>
      <c r="J980" s="143"/>
      <c r="K980" s="182"/>
      <c r="L980" s="143"/>
      <c r="M980" s="182"/>
      <c r="N980" s="149"/>
      <c r="O980" s="189"/>
      <c r="P980" s="149"/>
      <c r="Q980" s="149"/>
      <c r="R980" s="189"/>
      <c r="S980" s="149"/>
      <c r="T980" s="189"/>
      <c r="U980" s="194"/>
      <c r="V980" s="194"/>
      <c r="W980" s="194"/>
      <c r="X980" s="194"/>
      <c r="Y980" s="194"/>
      <c r="Z980" s="194"/>
      <c r="AA980" s="194"/>
    </row>
    <row r="981" ht="15.75" customHeight="1">
      <c r="A981" s="241"/>
      <c r="B981" s="224"/>
      <c r="C981" s="220"/>
      <c r="D981" s="221"/>
      <c r="E981" s="222"/>
      <c r="F981" s="223"/>
      <c r="G981" s="143"/>
      <c r="H981" s="143"/>
      <c r="I981" s="143"/>
      <c r="J981" s="143"/>
      <c r="K981" s="182"/>
      <c r="L981" s="143"/>
      <c r="M981" s="182"/>
      <c r="N981" s="149"/>
      <c r="O981" s="189"/>
      <c r="P981" s="149"/>
      <c r="Q981" s="149"/>
      <c r="R981" s="189"/>
      <c r="S981" s="149"/>
      <c r="T981" s="189"/>
      <c r="U981" s="194"/>
      <c r="V981" s="194"/>
      <c r="W981" s="194"/>
      <c r="X981" s="194"/>
      <c r="Y981" s="194"/>
      <c r="Z981" s="194"/>
      <c r="AA981" s="194"/>
    </row>
    <row r="982" ht="15.75" customHeight="1">
      <c r="A982" s="241"/>
      <c r="B982" s="224"/>
      <c r="C982" s="220"/>
      <c r="D982" s="221"/>
      <c r="E982" s="222"/>
      <c r="F982" s="223"/>
      <c r="G982" s="143"/>
      <c r="H982" s="143"/>
      <c r="I982" s="143"/>
      <c r="J982" s="143"/>
      <c r="K982" s="182"/>
      <c r="L982" s="143"/>
      <c r="M982" s="182"/>
      <c r="N982" s="149"/>
      <c r="O982" s="189"/>
      <c r="P982" s="149"/>
      <c r="Q982" s="149"/>
      <c r="R982" s="189"/>
      <c r="S982" s="149"/>
      <c r="T982" s="189"/>
      <c r="U982" s="194"/>
      <c r="V982" s="194"/>
      <c r="W982" s="194"/>
      <c r="X982" s="194"/>
      <c r="Y982" s="194"/>
      <c r="Z982" s="194"/>
      <c r="AA982" s="194"/>
    </row>
    <row r="983" ht="15.75" customHeight="1">
      <c r="A983" s="241"/>
      <c r="B983" s="224"/>
      <c r="C983" s="220"/>
      <c r="D983" s="221"/>
      <c r="E983" s="222"/>
      <c r="F983" s="223"/>
      <c r="G983" s="143"/>
      <c r="H983" s="143"/>
      <c r="I983" s="143"/>
      <c r="J983" s="143"/>
      <c r="K983" s="182"/>
      <c r="L983" s="143"/>
      <c r="M983" s="182"/>
      <c r="N983" s="149"/>
      <c r="O983" s="189"/>
      <c r="P983" s="149"/>
      <c r="Q983" s="149"/>
      <c r="R983" s="189"/>
      <c r="S983" s="149"/>
      <c r="T983" s="189"/>
      <c r="U983" s="194"/>
      <c r="V983" s="194"/>
      <c r="W983" s="194"/>
      <c r="X983" s="194"/>
      <c r="Y983" s="194"/>
      <c r="Z983" s="194"/>
      <c r="AA983" s="194"/>
    </row>
    <row r="984" ht="15.75" customHeight="1">
      <c r="A984" s="241"/>
      <c r="B984" s="224"/>
      <c r="C984" s="220"/>
      <c r="D984" s="221"/>
      <c r="E984" s="222"/>
      <c r="F984" s="223"/>
      <c r="G984" s="143"/>
      <c r="H984" s="143"/>
      <c r="I984" s="143"/>
      <c r="J984" s="143"/>
      <c r="K984" s="182"/>
      <c r="L984" s="143"/>
      <c r="M984" s="182"/>
      <c r="N984" s="149"/>
      <c r="O984" s="189"/>
      <c r="P984" s="149"/>
      <c r="Q984" s="149"/>
      <c r="R984" s="189"/>
      <c r="S984" s="149"/>
      <c r="T984" s="189"/>
      <c r="U984" s="194"/>
      <c r="V984" s="194"/>
      <c r="W984" s="194"/>
      <c r="X984" s="194"/>
      <c r="Y984" s="194"/>
      <c r="Z984" s="194"/>
      <c r="AA984" s="194"/>
    </row>
    <row r="985" ht="15.75" customHeight="1">
      <c r="A985" s="241"/>
      <c r="B985" s="224"/>
      <c r="C985" s="220"/>
      <c r="D985" s="221"/>
      <c r="E985" s="222"/>
      <c r="F985" s="223"/>
      <c r="G985" s="143"/>
      <c r="H985" s="143"/>
      <c r="I985" s="143"/>
      <c r="J985" s="143"/>
      <c r="K985" s="182"/>
      <c r="L985" s="143"/>
      <c r="M985" s="182"/>
      <c r="N985" s="149"/>
      <c r="O985" s="189"/>
      <c r="P985" s="149"/>
      <c r="Q985" s="149"/>
      <c r="R985" s="189"/>
      <c r="S985" s="149"/>
      <c r="T985" s="189"/>
      <c r="U985" s="194"/>
      <c r="V985" s="194"/>
      <c r="W985" s="194"/>
      <c r="X985" s="194"/>
      <c r="Y985" s="194"/>
      <c r="Z985" s="194"/>
      <c r="AA985" s="194"/>
    </row>
    <row r="986" ht="15.75" customHeight="1">
      <c r="A986" s="241"/>
      <c r="B986" s="224"/>
      <c r="C986" s="220"/>
      <c r="D986" s="221"/>
      <c r="E986" s="222"/>
      <c r="F986" s="223"/>
      <c r="G986" s="143"/>
      <c r="H986" s="143"/>
      <c r="I986" s="143"/>
      <c r="J986" s="143"/>
      <c r="K986" s="182"/>
      <c r="L986" s="143"/>
      <c r="M986" s="182"/>
      <c r="N986" s="149"/>
      <c r="O986" s="189"/>
      <c r="P986" s="149"/>
      <c r="Q986" s="149"/>
      <c r="R986" s="189"/>
      <c r="S986" s="149"/>
      <c r="T986" s="189"/>
      <c r="U986" s="194"/>
      <c r="V986" s="194"/>
      <c r="W986" s="194"/>
      <c r="X986" s="194"/>
      <c r="Y986" s="194"/>
      <c r="Z986" s="194"/>
      <c r="AA986" s="194"/>
    </row>
    <row r="987" ht="15.75" customHeight="1">
      <c r="A987" s="241"/>
      <c r="B987" s="224"/>
      <c r="C987" s="220"/>
      <c r="D987" s="221"/>
      <c r="E987" s="222"/>
      <c r="F987" s="223"/>
      <c r="G987" s="143"/>
      <c r="H987" s="143"/>
      <c r="I987" s="143"/>
      <c r="J987" s="143"/>
      <c r="K987" s="182"/>
      <c r="L987" s="143"/>
      <c r="M987" s="182"/>
      <c r="N987" s="149"/>
      <c r="O987" s="189"/>
      <c r="P987" s="149"/>
      <c r="Q987" s="149"/>
      <c r="R987" s="189"/>
      <c r="S987" s="149"/>
      <c r="T987" s="189"/>
      <c r="U987" s="194"/>
      <c r="V987" s="194"/>
      <c r="W987" s="194"/>
      <c r="X987" s="194"/>
      <c r="Y987" s="194"/>
      <c r="Z987" s="194"/>
      <c r="AA987" s="194"/>
    </row>
    <row r="988" ht="15.75" customHeight="1">
      <c r="A988" s="241"/>
      <c r="B988" s="224"/>
      <c r="C988" s="220"/>
      <c r="D988" s="221"/>
      <c r="E988" s="222"/>
      <c r="F988" s="223"/>
      <c r="G988" s="143"/>
      <c r="H988" s="143"/>
      <c r="I988" s="143"/>
      <c r="J988" s="143"/>
      <c r="K988" s="182"/>
      <c r="L988" s="143"/>
      <c r="M988" s="182"/>
      <c r="N988" s="149"/>
      <c r="O988" s="189"/>
      <c r="P988" s="149"/>
      <c r="Q988" s="149"/>
      <c r="R988" s="189"/>
      <c r="S988" s="149"/>
      <c r="T988" s="189"/>
      <c r="U988" s="194"/>
      <c r="V988" s="194"/>
      <c r="W988" s="194"/>
      <c r="X988" s="194"/>
      <c r="Y988" s="194"/>
      <c r="Z988" s="194"/>
      <c r="AA988" s="194"/>
    </row>
    <row r="989" ht="15.75" customHeight="1">
      <c r="A989" s="241"/>
      <c r="B989" s="224"/>
      <c r="C989" s="220"/>
      <c r="D989" s="221"/>
      <c r="E989" s="222"/>
      <c r="F989" s="223"/>
      <c r="G989" s="143"/>
      <c r="H989" s="143"/>
      <c r="I989" s="143"/>
      <c r="J989" s="143"/>
      <c r="K989" s="182"/>
      <c r="L989" s="143"/>
      <c r="M989" s="182"/>
      <c r="N989" s="149"/>
      <c r="O989" s="189"/>
      <c r="P989" s="149"/>
      <c r="Q989" s="149"/>
      <c r="R989" s="189"/>
      <c r="S989" s="149"/>
      <c r="T989" s="189"/>
      <c r="U989" s="194"/>
      <c r="V989" s="194"/>
      <c r="W989" s="194"/>
      <c r="X989" s="194"/>
      <c r="Y989" s="194"/>
      <c r="Z989" s="194"/>
      <c r="AA989" s="194"/>
    </row>
    <row r="990" ht="15.75" customHeight="1">
      <c r="A990" s="241"/>
      <c r="B990" s="224"/>
      <c r="C990" s="220"/>
      <c r="D990" s="221"/>
      <c r="E990" s="222"/>
      <c r="F990" s="223"/>
      <c r="G990" s="143"/>
      <c r="H990" s="143"/>
      <c r="I990" s="143"/>
      <c r="J990" s="143"/>
      <c r="K990" s="182"/>
      <c r="L990" s="143"/>
      <c r="M990" s="182"/>
      <c r="N990" s="149"/>
      <c r="O990" s="189"/>
      <c r="P990" s="149"/>
      <c r="Q990" s="149"/>
      <c r="R990" s="189"/>
      <c r="S990" s="149"/>
      <c r="T990" s="189"/>
      <c r="U990" s="194"/>
      <c r="V990" s="194"/>
      <c r="W990" s="194"/>
      <c r="X990" s="194"/>
      <c r="Y990" s="194"/>
      <c r="Z990" s="194"/>
      <c r="AA990" s="194"/>
    </row>
    <row r="991" ht="15.75" customHeight="1">
      <c r="A991" s="241"/>
      <c r="B991" s="224"/>
      <c r="C991" s="220"/>
      <c r="D991" s="221"/>
      <c r="E991" s="222"/>
      <c r="F991" s="223"/>
      <c r="G991" s="143"/>
      <c r="H991" s="143"/>
      <c r="I991" s="143"/>
      <c r="J991" s="143"/>
      <c r="K991" s="182"/>
      <c r="L991" s="143"/>
      <c r="M991" s="182"/>
      <c r="N991" s="149"/>
      <c r="O991" s="189"/>
      <c r="P991" s="149"/>
      <c r="Q991" s="149"/>
      <c r="R991" s="189"/>
      <c r="S991" s="149"/>
      <c r="T991" s="189"/>
      <c r="U991" s="194"/>
      <c r="V991" s="194"/>
      <c r="W991" s="194"/>
      <c r="X991" s="194"/>
      <c r="Y991" s="194"/>
      <c r="Z991" s="194"/>
      <c r="AA991" s="194"/>
    </row>
    <row r="992" ht="15.75" customHeight="1">
      <c r="A992" s="241"/>
      <c r="B992" s="224"/>
      <c r="C992" s="220"/>
      <c r="D992" s="221"/>
      <c r="E992" s="222"/>
      <c r="F992" s="223"/>
      <c r="G992" s="143"/>
      <c r="H992" s="143"/>
      <c r="I992" s="143"/>
      <c r="J992" s="143"/>
      <c r="K992" s="182"/>
      <c r="L992" s="143"/>
      <c r="M992" s="182"/>
      <c r="N992" s="149"/>
      <c r="O992" s="189"/>
      <c r="P992" s="149"/>
      <c r="Q992" s="149"/>
      <c r="R992" s="189"/>
      <c r="S992" s="149"/>
      <c r="T992" s="189"/>
      <c r="U992" s="194"/>
      <c r="V992" s="194"/>
      <c r="W992" s="194"/>
      <c r="X992" s="194"/>
      <c r="Y992" s="194"/>
      <c r="Z992" s="194"/>
      <c r="AA992" s="194"/>
    </row>
    <row r="993" ht="15.75" customHeight="1">
      <c r="A993" s="241"/>
      <c r="B993" s="224"/>
      <c r="C993" s="220"/>
      <c r="D993" s="221"/>
      <c r="E993" s="222"/>
      <c r="F993" s="223"/>
      <c r="G993" s="143"/>
      <c r="H993" s="143"/>
      <c r="I993" s="143"/>
      <c r="J993" s="143"/>
      <c r="K993" s="182"/>
      <c r="L993" s="143"/>
      <c r="M993" s="182"/>
      <c r="N993" s="149"/>
      <c r="O993" s="189"/>
      <c r="P993" s="149"/>
      <c r="Q993" s="149"/>
      <c r="R993" s="189"/>
      <c r="S993" s="149"/>
      <c r="T993" s="189"/>
      <c r="U993" s="194"/>
      <c r="V993" s="194"/>
      <c r="W993" s="194"/>
      <c r="X993" s="194"/>
      <c r="Y993" s="194"/>
      <c r="Z993" s="194"/>
      <c r="AA993" s="194"/>
    </row>
    <row r="994" ht="15.75" customHeight="1">
      <c r="A994" s="241"/>
      <c r="B994" s="224"/>
      <c r="C994" s="220"/>
      <c r="D994" s="221"/>
      <c r="E994" s="222"/>
      <c r="F994" s="223"/>
      <c r="G994" s="143"/>
      <c r="H994" s="143"/>
      <c r="I994" s="143"/>
      <c r="J994" s="143"/>
      <c r="K994" s="182"/>
      <c r="L994" s="143"/>
      <c r="M994" s="182"/>
      <c r="N994" s="149"/>
      <c r="O994" s="189"/>
      <c r="P994" s="149"/>
      <c r="Q994" s="149"/>
      <c r="R994" s="189"/>
      <c r="S994" s="149"/>
      <c r="T994" s="189"/>
      <c r="U994" s="194"/>
      <c r="V994" s="194"/>
      <c r="W994" s="194"/>
      <c r="X994" s="194"/>
      <c r="Y994" s="194"/>
      <c r="Z994" s="194"/>
      <c r="AA994" s="194"/>
    </row>
    <row r="995" ht="15.75" customHeight="1">
      <c r="A995" s="241"/>
      <c r="B995" s="224"/>
      <c r="C995" s="220"/>
      <c r="D995" s="221"/>
      <c r="E995" s="222"/>
      <c r="F995" s="223"/>
      <c r="G995" s="143"/>
      <c r="H995" s="143"/>
      <c r="I995" s="143"/>
      <c r="J995" s="143"/>
      <c r="K995" s="182"/>
      <c r="L995" s="143"/>
      <c r="M995" s="182"/>
      <c r="N995" s="149"/>
      <c r="O995" s="189"/>
      <c r="P995" s="149"/>
      <c r="Q995" s="149"/>
      <c r="R995" s="189"/>
      <c r="S995" s="149"/>
      <c r="T995" s="189"/>
      <c r="U995" s="194"/>
      <c r="V995" s="194"/>
      <c r="W995" s="194"/>
      <c r="X995" s="194"/>
      <c r="Y995" s="194"/>
      <c r="Z995" s="194"/>
      <c r="AA995" s="194"/>
    </row>
    <row r="996" ht="15.75" customHeight="1">
      <c r="A996" s="241"/>
      <c r="B996" s="224"/>
      <c r="C996" s="220"/>
      <c r="D996" s="221"/>
      <c r="E996" s="222"/>
      <c r="F996" s="223"/>
      <c r="G996" s="143"/>
      <c r="H996" s="143"/>
      <c r="I996" s="143"/>
      <c r="J996" s="143"/>
      <c r="K996" s="182"/>
      <c r="L996" s="143"/>
      <c r="M996" s="182"/>
      <c r="N996" s="149"/>
      <c r="O996" s="189"/>
      <c r="P996" s="149"/>
      <c r="Q996" s="149"/>
      <c r="R996" s="189"/>
      <c r="S996" s="149"/>
      <c r="T996" s="189"/>
      <c r="U996" s="194"/>
      <c r="V996" s="194"/>
      <c r="W996" s="194"/>
      <c r="X996" s="194"/>
      <c r="Y996" s="194"/>
      <c r="Z996" s="194"/>
      <c r="AA996" s="194"/>
    </row>
    <row r="997" ht="15.75" customHeight="1">
      <c r="A997" s="241"/>
      <c r="B997" s="224"/>
      <c r="C997" s="220"/>
      <c r="D997" s="221"/>
      <c r="E997" s="222"/>
      <c r="F997" s="223"/>
      <c r="G997" s="143"/>
      <c r="H997" s="143"/>
      <c r="I997" s="143"/>
      <c r="J997" s="143"/>
      <c r="K997" s="182"/>
      <c r="L997" s="143"/>
      <c r="M997" s="182"/>
      <c r="N997" s="149"/>
      <c r="O997" s="189"/>
      <c r="P997" s="149"/>
      <c r="Q997" s="149"/>
      <c r="R997" s="189"/>
      <c r="S997" s="149"/>
      <c r="T997" s="189"/>
      <c r="U997" s="194"/>
      <c r="V997" s="194"/>
      <c r="W997" s="194"/>
      <c r="X997" s="194"/>
      <c r="Y997" s="194"/>
      <c r="Z997" s="194"/>
      <c r="AA997" s="194"/>
    </row>
    <row r="998" ht="15.75" customHeight="1">
      <c r="A998" s="241"/>
      <c r="B998" s="224"/>
      <c r="C998" s="220"/>
      <c r="D998" s="221"/>
      <c r="E998" s="222"/>
      <c r="F998" s="223"/>
      <c r="G998" s="143"/>
      <c r="H998" s="143"/>
      <c r="I998" s="143"/>
      <c r="J998" s="143"/>
      <c r="K998" s="182"/>
      <c r="L998" s="143"/>
      <c r="M998" s="182"/>
      <c r="N998" s="149"/>
      <c r="O998" s="189"/>
      <c r="P998" s="149"/>
      <c r="Q998" s="149"/>
      <c r="R998" s="189"/>
      <c r="S998" s="149"/>
      <c r="T998" s="189"/>
      <c r="U998" s="194"/>
      <c r="V998" s="194"/>
      <c r="W998" s="194"/>
      <c r="X998" s="194"/>
      <c r="Y998" s="194"/>
      <c r="Z998" s="194"/>
      <c r="AA998" s="194"/>
    </row>
    <row r="999" ht="15.75" customHeight="1">
      <c r="A999" s="241"/>
      <c r="B999" s="224"/>
      <c r="C999" s="220"/>
      <c r="D999" s="221"/>
      <c r="E999" s="222"/>
      <c r="F999" s="223"/>
      <c r="G999" s="143"/>
      <c r="H999" s="143"/>
      <c r="I999" s="143"/>
      <c r="J999" s="143"/>
      <c r="K999" s="182"/>
      <c r="L999" s="143"/>
      <c r="M999" s="182"/>
      <c r="N999" s="149"/>
      <c r="O999" s="189"/>
      <c r="P999" s="149"/>
      <c r="Q999" s="149"/>
      <c r="R999" s="189"/>
      <c r="S999" s="149"/>
      <c r="T999" s="189"/>
      <c r="U999" s="194"/>
      <c r="V999" s="194"/>
      <c r="W999" s="194"/>
      <c r="X999" s="194"/>
      <c r="Y999" s="194"/>
      <c r="Z999" s="194"/>
      <c r="AA999" s="194"/>
    </row>
    <row r="1000" ht="15.75" customHeight="1">
      <c r="A1000" s="241"/>
      <c r="B1000" s="224"/>
      <c r="C1000" s="220"/>
      <c r="D1000" s="221"/>
      <c r="E1000" s="222"/>
      <c r="F1000" s="223"/>
      <c r="G1000" s="143"/>
      <c r="H1000" s="143"/>
      <c r="I1000" s="143"/>
      <c r="J1000" s="143"/>
      <c r="K1000" s="182"/>
      <c r="L1000" s="143"/>
      <c r="M1000" s="182"/>
      <c r="N1000" s="149"/>
      <c r="O1000" s="189"/>
      <c r="P1000" s="149"/>
      <c r="Q1000" s="149"/>
      <c r="R1000" s="189"/>
      <c r="S1000" s="149"/>
      <c r="T1000" s="189"/>
      <c r="U1000" s="194"/>
      <c r="V1000" s="194"/>
      <c r="W1000" s="194"/>
      <c r="X1000" s="194"/>
      <c r="Y1000" s="194"/>
      <c r="Z1000" s="194"/>
      <c r="AA1000" s="194"/>
    </row>
  </sheetData>
  <customSheetViews>
    <customSheetView guid="{0647DFF8-23B6-403F-86D4-CBD5AFE7C53F}" filter="1" showAutoFilter="1">
      <autoFilter ref="$A$2:$AA$1000">
        <filterColumn colId="3">
          <filters>
            <filter val="Especializado"/>
            <filter val="Gestão própria"/>
          </filters>
        </filterColumn>
      </autoFilter>
    </customSheetView>
    <customSheetView guid="{09549009-DDA2-40E2-A258-491072C3BE75}" filter="1" showAutoFilter="1">
      <autoFilter ref="$A$2:$T$32">
        <filterColumn colId="3">
          <filters blank="1">
            <filter val="Especializado"/>
            <filter val="OSS"/>
          </filters>
        </filterColumn>
      </autoFilter>
    </customSheetView>
  </customSheetViews>
  <dataValidations>
    <dataValidation type="list" allowBlank="1" showErrorMessage="1" sqref="D3:D31">
      <formula1>"OS,Gestão própria,OSS,Sem informaçao,Especializado"</formula1>
    </dataValidation>
    <dataValidation type="list" allowBlank="1" showErrorMessage="1" sqref="E3:E31">
      <formula1>"I,II,III,IV,V,VI,VII,VII,VIII,IX,X,XI,XII,Sem informação"</formula1>
    </dataValidation>
  </dataValidations>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0"/>
  <cols>
    <col customWidth="1" min="1" max="1" width="1.25"/>
    <col customWidth="1" min="2" max="2" width="25.25"/>
    <col customWidth="1" min="3" max="3" width="26.38"/>
    <col customWidth="1" min="4" max="4" width="28.0"/>
    <col customWidth="1" min="5" max="5" width="13.75"/>
    <col customWidth="1" min="6" max="8" width="12.75"/>
    <col customWidth="1" min="9" max="9" width="61.13"/>
    <col customWidth="1" min="10" max="10" width="20.13"/>
    <col customWidth="1" min="11" max="11" width="19.25"/>
    <col customWidth="1" min="12" max="12" width="17.13"/>
    <col customWidth="1" min="13" max="14" width="19.13"/>
    <col customWidth="1" min="15" max="15" width="13.38"/>
    <col customWidth="1" min="16" max="16" width="19.13"/>
    <col customWidth="1" min="17" max="18" width="56.13"/>
    <col customWidth="1" min="19" max="24" width="14.75"/>
    <col customWidth="1" min="25" max="26" width="16.5"/>
  </cols>
  <sheetData>
    <row r="1" ht="89.25" customHeight="1">
      <c r="A1" s="2"/>
      <c r="B1" s="4"/>
      <c r="C1" s="11"/>
      <c r="D1" s="7"/>
      <c r="E1" s="6"/>
      <c r="F1" s="6"/>
      <c r="G1" s="6"/>
      <c r="H1" s="6"/>
      <c r="I1" s="13"/>
      <c r="J1" s="6"/>
      <c r="K1" s="11"/>
      <c r="L1" s="14"/>
      <c r="M1" s="12"/>
      <c r="N1" s="12"/>
      <c r="O1" s="12"/>
      <c r="P1" s="12"/>
      <c r="Q1" s="12"/>
      <c r="R1" s="12"/>
      <c r="S1" s="12"/>
      <c r="T1" s="12"/>
      <c r="U1" s="12"/>
      <c r="V1" s="12"/>
      <c r="W1" s="12"/>
      <c r="X1" s="12"/>
      <c r="Y1" s="12"/>
      <c r="Z1" s="12"/>
    </row>
    <row r="2" ht="36.75" customHeight="1">
      <c r="A2" s="16"/>
      <c r="B2" s="23" t="s">
        <v>1</v>
      </c>
      <c r="C2" s="25" t="s">
        <v>5</v>
      </c>
      <c r="D2" s="26" t="s">
        <v>2</v>
      </c>
      <c r="E2" s="30" t="s">
        <v>8</v>
      </c>
      <c r="F2" s="30" t="s">
        <v>15</v>
      </c>
      <c r="G2" s="30" t="s">
        <v>16</v>
      </c>
      <c r="H2" s="30" t="s">
        <v>17</v>
      </c>
      <c r="I2" s="30" t="s">
        <v>9</v>
      </c>
      <c r="J2" s="30" t="s">
        <v>11</v>
      </c>
      <c r="K2" s="30" t="s">
        <v>19</v>
      </c>
      <c r="L2" s="30" t="s">
        <v>21</v>
      </c>
      <c r="M2" s="30" t="s">
        <v>22</v>
      </c>
      <c r="N2" s="30" t="s">
        <v>24</v>
      </c>
      <c r="O2" s="30" t="s">
        <v>26</v>
      </c>
      <c r="P2" s="30" t="s">
        <v>29</v>
      </c>
      <c r="Q2" s="37" t="s">
        <v>31</v>
      </c>
      <c r="R2" s="39" t="s">
        <v>33</v>
      </c>
      <c r="S2" s="44" t="s">
        <v>20</v>
      </c>
      <c r="T2" s="30" t="s">
        <v>40</v>
      </c>
      <c r="U2" s="30" t="s">
        <v>23</v>
      </c>
      <c r="V2" s="30" t="s">
        <v>25</v>
      </c>
      <c r="W2" s="30" t="s">
        <v>27</v>
      </c>
      <c r="X2" s="30" t="s">
        <v>28</v>
      </c>
      <c r="Y2" s="30" t="s">
        <v>42</v>
      </c>
      <c r="Z2" s="47" t="s">
        <v>45</v>
      </c>
    </row>
    <row r="3" ht="180.0" customHeight="1">
      <c r="A3" s="48"/>
      <c r="B3" s="49" t="s">
        <v>47</v>
      </c>
      <c r="C3" s="86" t="s">
        <v>49</v>
      </c>
      <c r="D3" s="89" t="s">
        <v>79</v>
      </c>
      <c r="E3" s="93">
        <v>382.0</v>
      </c>
      <c r="F3" s="93" t="s">
        <v>32</v>
      </c>
      <c r="G3" s="93" t="s">
        <v>32</v>
      </c>
      <c r="H3" s="93">
        <v>38.0</v>
      </c>
      <c r="I3" s="93" t="s">
        <v>87</v>
      </c>
      <c r="J3" s="96">
        <v>3408.0</v>
      </c>
      <c r="K3" s="96">
        <v>968.0</v>
      </c>
      <c r="L3" s="97">
        <v>1.063867703E7</v>
      </c>
      <c r="M3" s="98">
        <v>5.169331391E7</v>
      </c>
      <c r="N3" s="98">
        <v>6.766050429E7</v>
      </c>
      <c r="O3" s="104">
        <f t="shared" ref="O3:O8" si="1">(N3-M3)/M3</f>
        <v>0.308883087</v>
      </c>
      <c r="P3" s="105">
        <v>1.0319005533E8</v>
      </c>
      <c r="Q3" s="93" t="s">
        <v>106</v>
      </c>
      <c r="R3" s="93" t="s">
        <v>124</v>
      </c>
      <c r="S3" s="59">
        <v>2189.0</v>
      </c>
      <c r="T3" s="59"/>
      <c r="U3" s="59"/>
      <c r="V3" s="59"/>
      <c r="W3" s="59">
        <v>580.0</v>
      </c>
      <c r="X3" s="59"/>
      <c r="Y3" s="117">
        <v>639.0</v>
      </c>
      <c r="Z3" s="121"/>
    </row>
    <row r="4" ht="193.5" customHeight="1">
      <c r="A4" s="123"/>
      <c r="B4" s="125" t="s">
        <v>136</v>
      </c>
      <c r="C4" s="86" t="s">
        <v>49</v>
      </c>
      <c r="D4" s="89" t="s">
        <v>145</v>
      </c>
      <c r="E4" s="86">
        <v>830.0</v>
      </c>
      <c r="F4" s="93" t="s">
        <v>32</v>
      </c>
      <c r="G4" s="93" t="s">
        <v>32</v>
      </c>
      <c r="H4" s="86" t="s">
        <v>32</v>
      </c>
      <c r="I4" s="93" t="s">
        <v>150</v>
      </c>
      <c r="J4" s="96">
        <v>5510.0</v>
      </c>
      <c r="K4" s="96">
        <v>2206.0</v>
      </c>
      <c r="L4" s="134">
        <v>1.302062423E7</v>
      </c>
      <c r="M4" s="98">
        <v>1.2215394479E8</v>
      </c>
      <c r="N4" s="98">
        <v>1.5592776346E8</v>
      </c>
      <c r="O4" s="104">
        <f t="shared" si="1"/>
        <v>0.2764856978</v>
      </c>
      <c r="P4" s="105">
        <v>1.7657382534E8</v>
      </c>
      <c r="Q4" s="93" t="s">
        <v>158</v>
      </c>
      <c r="R4" s="93" t="s">
        <v>160</v>
      </c>
      <c r="S4" s="59">
        <v>2965.0</v>
      </c>
      <c r="T4" s="59"/>
      <c r="U4" s="59"/>
      <c r="V4" s="59"/>
      <c r="W4" s="59">
        <v>982.0</v>
      </c>
      <c r="X4" s="59"/>
      <c r="Y4" s="117">
        <v>1563.0</v>
      </c>
      <c r="Z4" s="117"/>
    </row>
    <row r="5" ht="148.5" customHeight="1">
      <c r="A5" s="123"/>
      <c r="B5" s="125" t="s">
        <v>167</v>
      </c>
      <c r="C5" s="86" t="s">
        <v>49</v>
      </c>
      <c r="D5" s="89" t="s">
        <v>168</v>
      </c>
      <c r="E5" s="86">
        <v>311.0</v>
      </c>
      <c r="F5" s="86">
        <v>10.0</v>
      </c>
      <c r="G5" s="86" t="s">
        <v>169</v>
      </c>
      <c r="H5" s="86">
        <v>71.0</v>
      </c>
      <c r="I5" s="93" t="s">
        <v>170</v>
      </c>
      <c r="J5" s="96">
        <v>3154.0</v>
      </c>
      <c r="K5" s="152">
        <v>1272.0</v>
      </c>
      <c r="L5" s="134">
        <v>7677188.16</v>
      </c>
      <c r="M5" s="154">
        <v>4.534676427E7</v>
      </c>
      <c r="N5" s="154">
        <v>8.485525519E7</v>
      </c>
      <c r="O5" s="104">
        <f t="shared" si="1"/>
        <v>0.8712527025</v>
      </c>
      <c r="P5" s="105">
        <v>1.3476118499E8</v>
      </c>
      <c r="Q5" s="157" t="s">
        <v>174</v>
      </c>
      <c r="R5" s="159" t="s">
        <v>178</v>
      </c>
      <c r="S5" s="59">
        <v>1971.0</v>
      </c>
      <c r="T5" s="59">
        <v>6.0</v>
      </c>
      <c r="U5" s="59"/>
      <c r="V5" s="59"/>
      <c r="W5" s="59">
        <v>262.0</v>
      </c>
      <c r="X5" s="59"/>
      <c r="Y5" s="117">
        <v>857.0</v>
      </c>
      <c r="Z5" s="121">
        <v>58.0</v>
      </c>
    </row>
    <row r="6" ht="142.5" customHeight="1">
      <c r="A6" s="123"/>
      <c r="B6" s="125" t="s">
        <v>182</v>
      </c>
      <c r="C6" s="86" t="s">
        <v>49</v>
      </c>
      <c r="D6" s="89" t="s">
        <v>183</v>
      </c>
      <c r="E6" s="86">
        <v>415.0</v>
      </c>
      <c r="F6" s="86" t="s">
        <v>32</v>
      </c>
      <c r="G6" s="86" t="s">
        <v>32</v>
      </c>
      <c r="H6" s="86" t="s">
        <v>32</v>
      </c>
      <c r="I6" s="93" t="s">
        <v>187</v>
      </c>
      <c r="J6" s="96">
        <v>2853.0</v>
      </c>
      <c r="K6" s="152">
        <v>925.0</v>
      </c>
      <c r="L6" s="134">
        <v>6804023.74</v>
      </c>
      <c r="M6" s="154">
        <v>5.839664023E7</v>
      </c>
      <c r="N6" s="154">
        <v>7.154786016E7</v>
      </c>
      <c r="O6" s="104">
        <f t="shared" si="1"/>
        <v>0.2252050782</v>
      </c>
      <c r="P6" s="105">
        <v>7.79384042E7</v>
      </c>
      <c r="Q6" s="93" t="s">
        <v>191</v>
      </c>
      <c r="R6" s="93" t="s">
        <v>192</v>
      </c>
      <c r="S6" s="59">
        <v>1798.0</v>
      </c>
      <c r="T6" s="59"/>
      <c r="U6" s="59"/>
      <c r="V6" s="59"/>
      <c r="W6" s="59">
        <v>380.0</v>
      </c>
      <c r="X6" s="59"/>
      <c r="Y6" s="117">
        <v>675.0</v>
      </c>
      <c r="Z6" s="121"/>
    </row>
    <row r="7" ht="155.25" customHeight="1">
      <c r="A7" s="123"/>
      <c r="B7" s="125" t="s">
        <v>197</v>
      </c>
      <c r="C7" s="86" t="s">
        <v>49</v>
      </c>
      <c r="D7" s="89" t="s">
        <v>199</v>
      </c>
      <c r="E7" s="86">
        <v>564.0</v>
      </c>
      <c r="F7" s="86">
        <v>20.0</v>
      </c>
      <c r="G7" s="93" t="s">
        <v>200</v>
      </c>
      <c r="H7" s="93">
        <v>146.0</v>
      </c>
      <c r="I7" s="93" t="s">
        <v>203</v>
      </c>
      <c r="J7" s="96">
        <v>3275.0</v>
      </c>
      <c r="K7" s="152">
        <v>1221.0</v>
      </c>
      <c r="L7" s="134">
        <v>1.089971343E7</v>
      </c>
      <c r="M7" s="154">
        <v>5.766677934E7</v>
      </c>
      <c r="N7" s="154">
        <v>1.1845326357E8</v>
      </c>
      <c r="O7" s="104">
        <f t="shared" si="1"/>
        <v>1.054098823</v>
      </c>
      <c r="P7" s="105">
        <v>1.6657634914E8</v>
      </c>
      <c r="Q7" s="93" t="s">
        <v>204</v>
      </c>
      <c r="R7" s="93" t="s">
        <v>208</v>
      </c>
      <c r="S7" s="59">
        <v>1785.0</v>
      </c>
      <c r="T7" s="59"/>
      <c r="U7" s="59"/>
      <c r="V7" s="59"/>
      <c r="W7" s="59">
        <v>532.0</v>
      </c>
      <c r="X7" s="59"/>
      <c r="Y7" s="117">
        <v>958.0</v>
      </c>
      <c r="Z7" s="121"/>
    </row>
    <row r="8" ht="146.25" customHeight="1">
      <c r="A8" s="123"/>
      <c r="B8" s="125" t="s">
        <v>212</v>
      </c>
      <c r="C8" s="86" t="s">
        <v>49</v>
      </c>
      <c r="D8" s="89" t="s">
        <v>214</v>
      </c>
      <c r="E8" s="86">
        <v>250.0</v>
      </c>
      <c r="F8" s="86" t="s">
        <v>32</v>
      </c>
      <c r="G8" s="86" t="s">
        <v>32</v>
      </c>
      <c r="H8" s="86">
        <v>288.0</v>
      </c>
      <c r="I8" s="93" t="s">
        <v>217</v>
      </c>
      <c r="J8" s="96">
        <v>1786.0</v>
      </c>
      <c r="K8" s="96">
        <v>367.0</v>
      </c>
      <c r="L8" s="97">
        <v>8509986.37</v>
      </c>
      <c r="M8" s="154">
        <v>4.714932149E7</v>
      </c>
      <c r="N8" s="154">
        <v>5.220581304E7</v>
      </c>
      <c r="O8" s="104">
        <f t="shared" si="1"/>
        <v>0.1072442061</v>
      </c>
      <c r="P8" s="105">
        <v>1.5341273237E8</v>
      </c>
      <c r="Q8" s="93" t="s">
        <v>221</v>
      </c>
      <c r="R8" s="93" t="s">
        <v>223</v>
      </c>
      <c r="S8" s="59">
        <v>1166.0</v>
      </c>
      <c r="T8" s="59"/>
      <c r="U8" s="59"/>
      <c r="V8" s="59"/>
      <c r="W8" s="59">
        <v>393.0</v>
      </c>
      <c r="X8" s="59"/>
      <c r="Y8" s="117">
        <v>227.0</v>
      </c>
      <c r="Z8" s="121"/>
    </row>
    <row r="9" ht="19.5" customHeight="1">
      <c r="A9" s="123"/>
      <c r="B9" s="125"/>
      <c r="C9" s="86"/>
      <c r="D9" s="142"/>
      <c r="E9" s="150"/>
      <c r="F9" s="150"/>
      <c r="G9" s="150"/>
      <c r="H9" s="150"/>
      <c r="I9" s="149"/>
      <c r="J9" s="167"/>
      <c r="K9" s="150"/>
      <c r="L9" s="150"/>
      <c r="M9" s="150"/>
      <c r="N9" s="150"/>
      <c r="O9" s="150"/>
      <c r="P9" s="150"/>
      <c r="Q9" s="150"/>
      <c r="R9" s="155"/>
      <c r="S9" s="155"/>
      <c r="T9" s="155"/>
      <c r="U9" s="155"/>
      <c r="V9" s="155"/>
      <c r="W9" s="155"/>
      <c r="X9" s="155"/>
      <c r="Y9" s="155"/>
      <c r="Z9" s="155"/>
    </row>
    <row r="10" ht="19.5" customHeight="1">
      <c r="A10" s="123"/>
      <c r="B10" s="169" t="s">
        <v>235</v>
      </c>
      <c r="C10" s="86"/>
      <c r="D10" s="142"/>
      <c r="E10" s="144"/>
      <c r="F10" s="144"/>
      <c r="G10" s="144"/>
      <c r="H10" s="144"/>
      <c r="I10" s="143"/>
      <c r="J10" s="144"/>
      <c r="K10" s="144"/>
      <c r="L10" s="150"/>
      <c r="M10" s="150"/>
      <c r="N10" s="150"/>
      <c r="O10" s="150"/>
      <c r="P10" s="150"/>
      <c r="Q10" s="150"/>
      <c r="R10" s="155"/>
      <c r="S10" s="155"/>
      <c r="T10" s="155"/>
      <c r="U10" s="155"/>
      <c r="V10" s="155"/>
      <c r="W10" s="155"/>
      <c r="X10" s="155"/>
      <c r="Y10" s="155"/>
      <c r="Z10" s="155"/>
    </row>
    <row r="11" ht="19.5" customHeight="1">
      <c r="A11" s="123"/>
      <c r="B11" s="125"/>
      <c r="C11" s="139"/>
      <c r="D11" s="142"/>
      <c r="E11" s="150"/>
      <c r="F11" s="150"/>
      <c r="G11" s="150"/>
      <c r="H11" s="150"/>
      <c r="I11" s="149"/>
      <c r="J11" s="150"/>
      <c r="K11" s="150"/>
      <c r="L11" s="150"/>
      <c r="M11" s="150"/>
      <c r="N11" s="150"/>
      <c r="O11" s="150"/>
      <c r="P11" s="150"/>
      <c r="Q11" s="86"/>
      <c r="R11" s="139"/>
      <c r="S11" s="139"/>
      <c r="T11" s="139"/>
      <c r="U11" s="139"/>
      <c r="V11" s="139"/>
      <c r="W11" s="139"/>
      <c r="X11" s="139"/>
      <c r="Y11" s="139"/>
      <c r="Z11" s="139"/>
    </row>
    <row r="12" ht="19.5" customHeight="1">
      <c r="A12" s="123"/>
      <c r="B12" s="125"/>
      <c r="C12" s="139"/>
      <c r="D12" s="142"/>
      <c r="E12" s="144"/>
      <c r="F12" s="144"/>
      <c r="G12" s="144"/>
      <c r="H12" s="144"/>
      <c r="I12" s="143"/>
      <c r="J12" s="144"/>
      <c r="K12" s="144"/>
      <c r="L12" s="150"/>
      <c r="M12" s="150"/>
      <c r="N12" s="150"/>
      <c r="O12" s="150"/>
      <c r="P12" s="150"/>
      <c r="Q12" s="150"/>
      <c r="R12" s="155"/>
      <c r="S12" s="155"/>
      <c r="T12" s="155"/>
      <c r="U12" s="155"/>
      <c r="V12" s="155"/>
      <c r="W12" s="155"/>
      <c r="X12" s="155"/>
      <c r="Y12" s="155"/>
      <c r="Z12" s="155"/>
    </row>
    <row r="13" ht="19.5" customHeight="1">
      <c r="A13" s="123"/>
      <c r="B13" s="125"/>
      <c r="C13" s="139"/>
      <c r="D13" s="142"/>
      <c r="E13" s="150"/>
      <c r="F13" s="150"/>
      <c r="G13" s="150"/>
      <c r="H13" s="150"/>
      <c r="I13" s="149"/>
      <c r="J13" s="150"/>
      <c r="K13" s="150"/>
      <c r="L13" s="150"/>
      <c r="M13" s="150"/>
      <c r="N13" s="150"/>
      <c r="O13" s="150"/>
      <c r="P13" s="150"/>
      <c r="Q13" s="86"/>
      <c r="R13" s="139"/>
      <c r="S13" s="139"/>
      <c r="T13" s="139"/>
      <c r="U13" s="139"/>
      <c r="V13" s="139"/>
      <c r="W13" s="139"/>
      <c r="X13" s="139"/>
      <c r="Y13" s="139"/>
      <c r="Z13" s="139"/>
    </row>
    <row r="14" ht="19.5" customHeight="1">
      <c r="A14" s="123"/>
      <c r="B14" s="125"/>
      <c r="C14" s="139"/>
      <c r="D14" s="142"/>
      <c r="E14" s="150"/>
      <c r="F14" s="150"/>
      <c r="G14" s="150"/>
      <c r="H14" s="150"/>
      <c r="I14" s="149"/>
      <c r="J14" s="150"/>
      <c r="K14" s="150"/>
      <c r="L14" s="150"/>
      <c r="M14" s="150"/>
      <c r="N14" s="150"/>
      <c r="O14" s="150"/>
      <c r="P14" s="150"/>
      <c r="Q14" s="150"/>
      <c r="R14" s="155"/>
      <c r="S14" s="155"/>
      <c r="T14" s="155"/>
      <c r="U14" s="155"/>
      <c r="V14" s="155"/>
      <c r="W14" s="155"/>
      <c r="X14" s="155"/>
      <c r="Y14" s="155"/>
      <c r="Z14" s="155"/>
    </row>
    <row r="15" ht="19.5" customHeight="1">
      <c r="A15" s="123"/>
      <c r="B15" s="164"/>
      <c r="C15" s="155"/>
      <c r="D15" s="142"/>
      <c r="E15" s="150"/>
      <c r="F15" s="150"/>
      <c r="G15" s="150"/>
      <c r="H15" s="150"/>
      <c r="I15" s="149"/>
      <c r="J15" s="150"/>
      <c r="K15" s="150"/>
      <c r="L15" s="150"/>
      <c r="M15" s="150"/>
      <c r="N15" s="150"/>
      <c r="O15" s="150"/>
      <c r="P15" s="150"/>
      <c r="Q15" s="86"/>
      <c r="R15" s="139"/>
      <c r="S15" s="139"/>
      <c r="T15" s="139"/>
      <c r="U15" s="139"/>
      <c r="V15" s="139"/>
      <c r="W15" s="139"/>
      <c r="X15" s="139"/>
      <c r="Y15" s="139"/>
      <c r="Z15" s="139"/>
    </row>
    <row r="16" ht="19.5" customHeight="1">
      <c r="A16" s="123"/>
      <c r="B16" s="164"/>
      <c r="C16" s="155"/>
      <c r="D16" s="142"/>
      <c r="E16" s="150"/>
      <c r="F16" s="150"/>
      <c r="G16" s="150"/>
      <c r="H16" s="150"/>
      <c r="I16" s="149"/>
      <c r="J16" s="150"/>
      <c r="K16" s="150"/>
      <c r="L16" s="150"/>
      <c r="M16" s="150"/>
      <c r="N16" s="150"/>
      <c r="O16" s="150"/>
      <c r="P16" s="150"/>
      <c r="Q16" s="150"/>
      <c r="R16" s="155"/>
      <c r="S16" s="155"/>
      <c r="T16" s="155"/>
      <c r="U16" s="155"/>
      <c r="V16" s="155"/>
      <c r="W16" s="155"/>
      <c r="X16" s="155"/>
      <c r="Y16" s="155"/>
      <c r="Z16" s="155"/>
    </row>
    <row r="17" ht="19.5" customHeight="1">
      <c r="A17" s="123"/>
      <c r="B17" s="164"/>
      <c r="C17" s="155"/>
      <c r="D17" s="142"/>
      <c r="E17" s="150"/>
      <c r="F17" s="150"/>
      <c r="G17" s="150"/>
      <c r="H17" s="150"/>
      <c r="I17" s="149"/>
      <c r="J17" s="150"/>
      <c r="K17" s="150"/>
      <c r="L17" s="150"/>
      <c r="M17" s="150"/>
      <c r="N17" s="150"/>
      <c r="O17" s="150"/>
      <c r="P17" s="150"/>
      <c r="Q17" s="86"/>
      <c r="R17" s="139"/>
      <c r="S17" s="139"/>
      <c r="T17" s="139"/>
      <c r="U17" s="139"/>
      <c r="V17" s="139"/>
      <c r="W17" s="139"/>
      <c r="X17" s="139"/>
      <c r="Y17" s="139"/>
      <c r="Z17" s="139"/>
    </row>
    <row r="18" ht="19.5" customHeight="1">
      <c r="A18" s="123"/>
      <c r="B18" s="164"/>
      <c r="C18" s="155"/>
      <c r="D18" s="142"/>
      <c r="E18" s="150"/>
      <c r="F18" s="150"/>
      <c r="G18" s="150"/>
      <c r="H18" s="150"/>
      <c r="I18" s="149"/>
      <c r="J18" s="150"/>
      <c r="K18" s="150"/>
      <c r="L18" s="150"/>
      <c r="M18" s="150"/>
      <c r="N18" s="150"/>
      <c r="O18" s="150"/>
      <c r="P18" s="150"/>
      <c r="Q18" s="150"/>
      <c r="R18" s="155"/>
      <c r="S18" s="155"/>
      <c r="T18" s="155"/>
      <c r="U18" s="155"/>
      <c r="V18" s="155"/>
      <c r="W18" s="155"/>
      <c r="X18" s="155"/>
      <c r="Y18" s="155"/>
      <c r="Z18" s="155"/>
    </row>
    <row r="19" ht="19.5" customHeight="1">
      <c r="A19" s="123"/>
      <c r="B19" s="165"/>
      <c r="C19" s="162"/>
      <c r="D19" s="142"/>
      <c r="E19" s="144"/>
      <c r="F19" s="144"/>
      <c r="G19" s="144"/>
      <c r="H19" s="144"/>
      <c r="I19" s="182"/>
      <c r="J19" s="144"/>
      <c r="K19" s="145"/>
      <c r="L19" s="150"/>
      <c r="M19" s="146"/>
      <c r="N19" s="146"/>
      <c r="O19" s="146"/>
      <c r="P19" s="146"/>
      <c r="Q19" s="185"/>
      <c r="R19" s="187"/>
      <c r="S19" s="187"/>
      <c r="T19" s="187"/>
      <c r="U19" s="187"/>
      <c r="V19" s="187"/>
      <c r="W19" s="187"/>
      <c r="X19" s="187"/>
      <c r="Y19" s="187"/>
      <c r="Z19" s="187"/>
    </row>
    <row r="20" ht="19.5" customHeight="1">
      <c r="A20" s="123"/>
      <c r="B20" s="164"/>
      <c r="C20" s="155"/>
      <c r="D20" s="142"/>
      <c r="E20" s="150"/>
      <c r="F20" s="150"/>
      <c r="G20" s="150"/>
      <c r="H20" s="150"/>
      <c r="I20" s="189"/>
      <c r="J20" s="150"/>
      <c r="K20" s="146"/>
      <c r="L20" s="150"/>
      <c r="M20" s="146"/>
      <c r="N20" s="146"/>
      <c r="O20" s="146"/>
      <c r="P20" s="146"/>
      <c r="Q20" s="146"/>
      <c r="R20" s="190"/>
      <c r="S20" s="190"/>
      <c r="T20" s="190"/>
      <c r="U20" s="190"/>
      <c r="V20" s="190"/>
      <c r="W20" s="190"/>
      <c r="X20" s="190"/>
      <c r="Y20" s="190"/>
      <c r="Z20" s="190"/>
    </row>
    <row r="21" ht="19.5" customHeight="1">
      <c r="A21" s="123"/>
      <c r="B21" s="164"/>
      <c r="C21" s="155"/>
      <c r="D21" s="142"/>
      <c r="E21" s="150"/>
      <c r="F21" s="150"/>
      <c r="G21" s="150"/>
      <c r="H21" s="150"/>
      <c r="I21" s="189"/>
      <c r="J21" s="150"/>
      <c r="K21" s="146"/>
      <c r="L21" s="150"/>
      <c r="M21" s="146"/>
      <c r="N21" s="146"/>
      <c r="O21" s="146"/>
      <c r="P21" s="146"/>
      <c r="Q21" s="185"/>
      <c r="R21" s="187"/>
      <c r="S21" s="187"/>
      <c r="T21" s="187"/>
      <c r="U21" s="187"/>
      <c r="V21" s="187"/>
      <c r="W21" s="187"/>
      <c r="X21" s="187"/>
      <c r="Y21" s="187"/>
      <c r="Z21" s="187"/>
    </row>
    <row r="22" ht="19.5" customHeight="1">
      <c r="A22" s="123"/>
      <c r="B22" s="164"/>
      <c r="C22" s="155"/>
      <c r="D22" s="142"/>
      <c r="E22" s="150"/>
      <c r="F22" s="150"/>
      <c r="G22" s="150"/>
      <c r="H22" s="150"/>
      <c r="I22" s="189"/>
      <c r="J22" s="150"/>
      <c r="K22" s="146"/>
      <c r="L22" s="150"/>
      <c r="M22" s="146"/>
      <c r="N22" s="146"/>
      <c r="O22" s="146"/>
      <c r="P22" s="146"/>
      <c r="Q22" s="146"/>
      <c r="R22" s="190"/>
      <c r="S22" s="190"/>
      <c r="T22" s="190"/>
      <c r="U22" s="190"/>
      <c r="V22" s="190"/>
      <c r="W22" s="190"/>
      <c r="X22" s="190"/>
      <c r="Y22" s="190"/>
      <c r="Z22" s="190"/>
    </row>
    <row r="23" ht="19.5" customHeight="1">
      <c r="A23" s="123"/>
      <c r="B23" s="164"/>
      <c r="C23" s="155"/>
      <c r="D23" s="142"/>
      <c r="E23" s="150"/>
      <c r="F23" s="150"/>
      <c r="G23" s="150"/>
      <c r="H23" s="150"/>
      <c r="I23" s="189"/>
      <c r="J23" s="150"/>
      <c r="K23" s="146"/>
      <c r="L23" s="150"/>
      <c r="M23" s="146"/>
      <c r="N23" s="146"/>
      <c r="O23" s="146"/>
      <c r="P23" s="146"/>
      <c r="Q23" s="146"/>
      <c r="R23" s="190"/>
      <c r="S23" s="190"/>
      <c r="T23" s="190"/>
      <c r="U23" s="190"/>
      <c r="V23" s="190"/>
      <c r="W23" s="190"/>
      <c r="X23" s="190"/>
      <c r="Y23" s="190"/>
      <c r="Z23" s="190"/>
    </row>
    <row r="24" ht="19.5" customHeight="1">
      <c r="A24" s="123"/>
      <c r="B24" s="164"/>
      <c r="C24" s="155"/>
      <c r="D24" s="142"/>
      <c r="E24" s="150"/>
      <c r="F24" s="150"/>
      <c r="G24" s="150"/>
      <c r="H24" s="150"/>
      <c r="I24" s="189"/>
      <c r="J24" s="150"/>
      <c r="K24" s="146"/>
      <c r="L24" s="150"/>
      <c r="M24" s="146"/>
      <c r="N24" s="146"/>
      <c r="O24" s="146"/>
      <c r="P24" s="146"/>
      <c r="Q24" s="185"/>
      <c r="R24" s="187"/>
      <c r="S24" s="187"/>
      <c r="T24" s="187"/>
      <c r="U24" s="187"/>
      <c r="V24" s="187"/>
      <c r="W24" s="187"/>
      <c r="X24" s="187"/>
      <c r="Y24" s="187"/>
      <c r="Z24" s="187"/>
    </row>
    <row r="25" ht="19.5" customHeight="1">
      <c r="A25" s="123"/>
      <c r="B25" s="164"/>
      <c r="C25" s="155"/>
      <c r="D25" s="142"/>
      <c r="E25" s="150"/>
      <c r="F25" s="150"/>
      <c r="G25" s="150"/>
      <c r="H25" s="150"/>
      <c r="I25" s="189"/>
      <c r="J25" s="150"/>
      <c r="K25" s="146"/>
      <c r="L25" s="150"/>
      <c r="M25" s="146"/>
      <c r="N25" s="146"/>
      <c r="O25" s="146"/>
      <c r="P25" s="146"/>
      <c r="Q25" s="146"/>
      <c r="R25" s="190"/>
      <c r="S25" s="190"/>
      <c r="T25" s="190"/>
      <c r="U25" s="190"/>
      <c r="V25" s="190"/>
      <c r="W25" s="190"/>
      <c r="X25" s="190"/>
      <c r="Y25" s="190"/>
      <c r="Z25" s="190"/>
    </row>
    <row r="26" ht="19.5" customHeight="1">
      <c r="A26" s="123"/>
      <c r="B26" s="164"/>
      <c r="C26" s="155"/>
      <c r="D26" s="142"/>
      <c r="E26" s="150"/>
      <c r="F26" s="150"/>
      <c r="G26" s="150"/>
      <c r="H26" s="150"/>
      <c r="I26" s="189"/>
      <c r="J26" s="150"/>
      <c r="K26" s="146"/>
      <c r="L26" s="150"/>
      <c r="M26" s="146"/>
      <c r="N26" s="146"/>
      <c r="O26" s="146"/>
      <c r="P26" s="146"/>
      <c r="Q26" s="146"/>
      <c r="R26" s="190"/>
      <c r="S26" s="190"/>
      <c r="T26" s="190"/>
      <c r="U26" s="190"/>
      <c r="V26" s="190"/>
      <c r="W26" s="190"/>
      <c r="X26" s="190"/>
      <c r="Y26" s="190"/>
      <c r="Z26" s="190"/>
    </row>
    <row r="27" ht="19.5" customHeight="1">
      <c r="A27" s="123"/>
      <c r="B27" s="164"/>
      <c r="C27" s="155"/>
      <c r="D27" s="142"/>
      <c r="E27" s="150"/>
      <c r="F27" s="150"/>
      <c r="G27" s="150"/>
      <c r="H27" s="150"/>
      <c r="I27" s="189"/>
      <c r="J27" s="150"/>
      <c r="K27" s="146"/>
      <c r="L27" s="150"/>
      <c r="M27" s="146"/>
      <c r="N27" s="146"/>
      <c r="O27" s="146"/>
      <c r="P27" s="146"/>
      <c r="Q27" s="185"/>
      <c r="R27" s="187"/>
      <c r="S27" s="187"/>
      <c r="T27" s="187"/>
      <c r="U27" s="187"/>
      <c r="V27" s="187"/>
      <c r="W27" s="187"/>
      <c r="X27" s="187"/>
      <c r="Y27" s="187"/>
      <c r="Z27" s="187"/>
    </row>
    <row r="28" ht="19.5" customHeight="1">
      <c r="A28" s="123"/>
      <c r="B28" s="164"/>
      <c r="C28" s="155"/>
      <c r="D28" s="142"/>
      <c r="E28" s="150"/>
      <c r="F28" s="150"/>
      <c r="G28" s="150"/>
      <c r="H28" s="150"/>
      <c r="I28" s="189"/>
      <c r="J28" s="150"/>
      <c r="K28" s="146"/>
      <c r="L28" s="150"/>
      <c r="M28" s="146"/>
      <c r="N28" s="146"/>
      <c r="O28" s="146"/>
      <c r="P28" s="146"/>
      <c r="Q28" s="185"/>
      <c r="R28" s="187"/>
      <c r="S28" s="187"/>
      <c r="T28" s="187"/>
      <c r="U28" s="187"/>
      <c r="V28" s="187"/>
      <c r="W28" s="187"/>
      <c r="X28" s="187"/>
      <c r="Y28" s="187"/>
      <c r="Z28" s="187"/>
    </row>
    <row r="29" ht="19.5" customHeight="1">
      <c r="A29" s="123"/>
      <c r="B29" s="164"/>
      <c r="C29" s="155"/>
      <c r="D29" s="142"/>
      <c r="E29" s="150"/>
      <c r="F29" s="150"/>
      <c r="G29" s="150"/>
      <c r="H29" s="150"/>
      <c r="I29" s="189"/>
      <c r="J29" s="150"/>
      <c r="K29" s="146"/>
      <c r="L29" s="150"/>
      <c r="M29" s="146"/>
      <c r="N29" s="146"/>
      <c r="O29" s="146"/>
      <c r="P29" s="146"/>
      <c r="Q29" s="185"/>
      <c r="R29" s="187"/>
      <c r="S29" s="187"/>
      <c r="T29" s="187"/>
      <c r="U29" s="187"/>
      <c r="V29" s="187"/>
      <c r="W29" s="187"/>
      <c r="X29" s="187"/>
      <c r="Y29" s="187"/>
      <c r="Z29" s="187"/>
    </row>
    <row r="30" ht="19.5" customHeight="1">
      <c r="A30" s="123"/>
      <c r="B30" s="164"/>
      <c r="C30" s="155"/>
      <c r="D30" s="142"/>
      <c r="E30" s="150"/>
      <c r="F30" s="150"/>
      <c r="G30" s="150"/>
      <c r="H30" s="150"/>
      <c r="I30" s="189"/>
      <c r="J30" s="150"/>
      <c r="K30" s="146"/>
      <c r="L30" s="150"/>
      <c r="M30" s="146"/>
      <c r="N30" s="146"/>
      <c r="O30" s="146"/>
      <c r="P30" s="146"/>
      <c r="Q30" s="185"/>
      <c r="R30" s="187"/>
      <c r="S30" s="187"/>
      <c r="T30" s="187"/>
      <c r="U30" s="187"/>
      <c r="V30" s="187"/>
      <c r="W30" s="187"/>
      <c r="X30" s="187"/>
      <c r="Y30" s="187"/>
      <c r="Z30" s="187"/>
    </row>
    <row r="31" ht="19.5" customHeight="1">
      <c r="A31" s="123"/>
      <c r="B31" s="164"/>
      <c r="C31" s="155"/>
      <c r="D31" s="142"/>
      <c r="E31" s="150"/>
      <c r="F31" s="150"/>
      <c r="G31" s="150"/>
      <c r="H31" s="150"/>
      <c r="I31" s="189"/>
      <c r="J31" s="150"/>
      <c r="K31" s="146"/>
      <c r="L31" s="150"/>
      <c r="M31" s="146"/>
      <c r="N31" s="146"/>
      <c r="O31" s="146"/>
      <c r="P31" s="146"/>
      <c r="Q31" s="185"/>
      <c r="R31" s="187"/>
      <c r="S31" s="187"/>
      <c r="T31" s="187"/>
      <c r="U31" s="187"/>
      <c r="V31" s="187"/>
      <c r="W31" s="187"/>
      <c r="X31" s="187"/>
      <c r="Y31" s="187"/>
      <c r="Z31" s="187"/>
    </row>
    <row r="32" ht="19.5" customHeight="1">
      <c r="A32" s="123"/>
      <c r="B32" s="165"/>
      <c r="C32" s="162"/>
      <c r="D32" s="142"/>
      <c r="E32" s="144"/>
      <c r="F32" s="144"/>
      <c r="G32" s="144"/>
      <c r="H32" s="144"/>
      <c r="I32" s="182"/>
      <c r="J32" s="144"/>
      <c r="K32" s="145"/>
      <c r="L32" s="150"/>
      <c r="M32" s="146"/>
      <c r="N32" s="146"/>
      <c r="O32" s="146"/>
      <c r="P32" s="146"/>
      <c r="Q32" s="185"/>
      <c r="R32" s="187"/>
      <c r="S32" s="187"/>
      <c r="T32" s="187"/>
      <c r="U32" s="187"/>
      <c r="V32" s="187"/>
      <c r="W32" s="187"/>
      <c r="X32" s="187"/>
      <c r="Y32" s="187"/>
      <c r="Z32" s="187"/>
    </row>
    <row r="33" ht="19.5" customHeight="1">
      <c r="A33" s="123"/>
      <c r="B33" s="164"/>
      <c r="C33" s="155"/>
      <c r="D33" s="142"/>
      <c r="E33" s="150"/>
      <c r="F33" s="150"/>
      <c r="G33" s="150"/>
      <c r="H33" s="150"/>
      <c r="I33" s="189"/>
      <c r="J33" s="150"/>
      <c r="K33" s="146"/>
      <c r="L33" s="150"/>
      <c r="M33" s="146"/>
      <c r="N33" s="146"/>
      <c r="O33" s="146"/>
      <c r="P33" s="146"/>
      <c r="Q33" s="185"/>
      <c r="R33" s="187"/>
      <c r="S33" s="187"/>
      <c r="T33" s="187"/>
      <c r="U33" s="187"/>
      <c r="V33" s="187"/>
      <c r="W33" s="187"/>
      <c r="X33" s="187"/>
      <c r="Y33" s="187"/>
      <c r="Z33" s="187"/>
    </row>
    <row r="34" ht="19.5" customHeight="1">
      <c r="A34" s="123"/>
      <c r="B34" s="165"/>
      <c r="C34" s="162"/>
      <c r="D34" s="142"/>
      <c r="E34" s="144"/>
      <c r="F34" s="144"/>
      <c r="G34" s="144"/>
      <c r="H34" s="144"/>
      <c r="I34" s="182"/>
      <c r="J34" s="144"/>
      <c r="K34" s="145"/>
      <c r="L34" s="150"/>
      <c r="M34" s="146"/>
      <c r="N34" s="146"/>
      <c r="O34" s="146"/>
      <c r="P34" s="146"/>
      <c r="Q34" s="146"/>
      <c r="R34" s="190"/>
      <c r="S34" s="190"/>
      <c r="T34" s="190"/>
      <c r="U34" s="190"/>
      <c r="V34" s="190"/>
      <c r="W34" s="190"/>
      <c r="X34" s="190"/>
      <c r="Y34" s="190"/>
      <c r="Z34" s="190"/>
    </row>
    <row r="35" ht="19.5" customHeight="1">
      <c r="A35" s="123"/>
      <c r="B35" s="164"/>
      <c r="C35" s="155"/>
      <c r="D35" s="142"/>
      <c r="E35" s="150"/>
      <c r="F35" s="150"/>
      <c r="G35" s="150"/>
      <c r="H35" s="150"/>
      <c r="I35" s="189"/>
      <c r="J35" s="150"/>
      <c r="K35" s="146"/>
      <c r="L35" s="150"/>
      <c r="M35" s="146"/>
      <c r="N35" s="146"/>
      <c r="O35" s="146"/>
      <c r="P35" s="146"/>
      <c r="Q35" s="146"/>
      <c r="R35" s="190"/>
      <c r="S35" s="190"/>
      <c r="T35" s="190"/>
      <c r="U35" s="190"/>
      <c r="V35" s="190"/>
      <c r="W35" s="190"/>
      <c r="X35" s="190"/>
      <c r="Y35" s="190"/>
      <c r="Z35" s="190"/>
    </row>
    <row r="36" ht="19.5" customHeight="1">
      <c r="A36" s="123"/>
      <c r="B36" s="164"/>
      <c r="C36" s="155"/>
      <c r="D36" s="142"/>
      <c r="E36" s="150"/>
      <c r="F36" s="150"/>
      <c r="G36" s="150"/>
      <c r="H36" s="150"/>
      <c r="I36" s="189"/>
      <c r="J36" s="150"/>
      <c r="K36" s="146"/>
      <c r="L36" s="150"/>
      <c r="M36" s="146"/>
      <c r="N36" s="146"/>
      <c r="O36" s="146"/>
      <c r="P36" s="146"/>
      <c r="Q36" s="146"/>
      <c r="R36" s="190"/>
      <c r="S36" s="190"/>
      <c r="T36" s="190"/>
      <c r="U36" s="190"/>
      <c r="V36" s="190"/>
      <c r="W36" s="190"/>
      <c r="X36" s="190"/>
      <c r="Y36" s="190"/>
      <c r="Z36" s="190"/>
    </row>
    <row r="37" ht="19.5" customHeight="1">
      <c r="A37" s="123"/>
      <c r="B37" s="164"/>
      <c r="C37" s="155"/>
      <c r="D37" s="142"/>
      <c r="E37" s="150"/>
      <c r="F37" s="150"/>
      <c r="G37" s="150"/>
      <c r="H37" s="150"/>
      <c r="I37" s="189"/>
      <c r="J37" s="150"/>
      <c r="K37" s="146"/>
      <c r="L37" s="150"/>
      <c r="M37" s="146"/>
      <c r="N37" s="146"/>
      <c r="O37" s="146"/>
      <c r="P37" s="146"/>
      <c r="Q37" s="146"/>
      <c r="R37" s="190"/>
      <c r="S37" s="190"/>
      <c r="T37" s="190"/>
      <c r="U37" s="190"/>
      <c r="V37" s="190"/>
      <c r="W37" s="190"/>
      <c r="X37" s="190"/>
      <c r="Y37" s="190"/>
      <c r="Z37" s="190"/>
    </row>
    <row r="38" ht="19.5" customHeight="1">
      <c r="A38" s="123"/>
      <c r="B38" s="165"/>
      <c r="C38" s="162"/>
      <c r="D38" s="142"/>
      <c r="E38" s="144"/>
      <c r="F38" s="144"/>
      <c r="G38" s="144"/>
      <c r="H38" s="144"/>
      <c r="I38" s="182"/>
      <c r="J38" s="144"/>
      <c r="K38" s="145"/>
      <c r="L38" s="150"/>
      <c r="M38" s="146"/>
      <c r="N38" s="146"/>
      <c r="O38" s="146"/>
      <c r="P38" s="146"/>
      <c r="Q38" s="146"/>
      <c r="R38" s="190"/>
      <c r="S38" s="190"/>
      <c r="T38" s="190"/>
      <c r="U38" s="190"/>
      <c r="V38" s="190"/>
      <c r="W38" s="190"/>
      <c r="X38" s="190"/>
      <c r="Y38" s="190"/>
      <c r="Z38" s="190"/>
    </row>
    <row r="39" ht="19.5" customHeight="1">
      <c r="A39" s="123"/>
      <c r="B39" s="165"/>
      <c r="C39" s="162"/>
      <c r="D39" s="142"/>
      <c r="E39" s="144"/>
      <c r="F39" s="144"/>
      <c r="G39" s="144"/>
      <c r="H39" s="144"/>
      <c r="I39" s="182"/>
      <c r="J39" s="144"/>
      <c r="K39" s="145"/>
      <c r="L39" s="150"/>
      <c r="M39" s="146"/>
      <c r="N39" s="146"/>
      <c r="O39" s="146"/>
      <c r="P39" s="146"/>
      <c r="Q39" s="146"/>
      <c r="R39" s="190"/>
      <c r="S39" s="190"/>
      <c r="T39" s="190"/>
      <c r="U39" s="190"/>
      <c r="V39" s="190"/>
      <c r="W39" s="190"/>
      <c r="X39" s="190"/>
      <c r="Y39" s="190"/>
      <c r="Z39" s="190"/>
    </row>
    <row r="40" ht="19.5" customHeight="1">
      <c r="A40" s="123"/>
      <c r="B40" s="165"/>
      <c r="C40" s="162"/>
      <c r="D40" s="142"/>
      <c r="E40" s="144"/>
      <c r="F40" s="144"/>
      <c r="G40" s="144"/>
      <c r="H40" s="144"/>
      <c r="I40" s="182"/>
      <c r="J40" s="144"/>
      <c r="K40" s="145"/>
      <c r="L40" s="150"/>
      <c r="M40" s="146"/>
      <c r="N40" s="146"/>
      <c r="O40" s="146"/>
      <c r="P40" s="146"/>
      <c r="Q40" s="146"/>
      <c r="R40" s="190"/>
      <c r="S40" s="190"/>
      <c r="T40" s="190"/>
      <c r="U40" s="190"/>
      <c r="V40" s="190"/>
      <c r="W40" s="190"/>
      <c r="X40" s="190"/>
      <c r="Y40" s="190"/>
      <c r="Z40" s="190"/>
    </row>
    <row r="41" ht="19.5" customHeight="1">
      <c r="A41" s="123"/>
      <c r="B41" s="165"/>
      <c r="C41" s="162"/>
      <c r="D41" s="142"/>
      <c r="E41" s="144"/>
      <c r="F41" s="144"/>
      <c r="G41" s="144"/>
      <c r="H41" s="144"/>
      <c r="I41" s="182"/>
      <c r="J41" s="144"/>
      <c r="K41" s="145"/>
      <c r="L41" s="150"/>
      <c r="M41" s="146"/>
      <c r="N41" s="146"/>
      <c r="O41" s="146"/>
      <c r="P41" s="146"/>
      <c r="Q41" s="146"/>
      <c r="R41" s="190"/>
      <c r="S41" s="190"/>
      <c r="T41" s="190"/>
      <c r="U41" s="190"/>
      <c r="V41" s="190"/>
      <c r="W41" s="190"/>
      <c r="X41" s="190"/>
      <c r="Y41" s="190"/>
      <c r="Z41" s="190"/>
    </row>
    <row r="42" ht="19.5" customHeight="1">
      <c r="A42" s="123"/>
      <c r="B42" s="165"/>
      <c r="C42" s="162"/>
      <c r="D42" s="142"/>
      <c r="E42" s="144"/>
      <c r="F42" s="144"/>
      <c r="G42" s="144"/>
      <c r="H42" s="144"/>
      <c r="I42" s="182"/>
      <c r="J42" s="144"/>
      <c r="K42" s="145"/>
      <c r="L42" s="150"/>
      <c r="M42" s="146"/>
      <c r="N42" s="146"/>
      <c r="O42" s="146"/>
      <c r="P42" s="146"/>
      <c r="Q42" s="146"/>
      <c r="R42" s="190"/>
      <c r="S42" s="190"/>
      <c r="T42" s="190"/>
      <c r="U42" s="190"/>
      <c r="V42" s="190"/>
      <c r="W42" s="190"/>
      <c r="X42" s="190"/>
      <c r="Y42" s="190"/>
      <c r="Z42" s="190"/>
    </row>
    <row r="43" ht="19.5" customHeight="1">
      <c r="A43" s="123"/>
      <c r="B43" s="165"/>
      <c r="C43" s="162"/>
      <c r="D43" s="142"/>
      <c r="E43" s="144"/>
      <c r="F43" s="144"/>
      <c r="G43" s="144"/>
      <c r="H43" s="144"/>
      <c r="I43" s="182"/>
      <c r="J43" s="144"/>
      <c r="K43" s="145"/>
      <c r="L43" s="150"/>
      <c r="M43" s="146"/>
      <c r="N43" s="146"/>
      <c r="O43" s="146"/>
      <c r="P43" s="146"/>
      <c r="Q43" s="146"/>
      <c r="R43" s="190"/>
      <c r="S43" s="190"/>
      <c r="T43" s="190"/>
      <c r="U43" s="190"/>
      <c r="V43" s="190"/>
      <c r="W43" s="190"/>
      <c r="X43" s="190"/>
      <c r="Y43" s="190"/>
      <c r="Z43" s="190"/>
    </row>
    <row r="44" ht="19.5" customHeight="1">
      <c r="A44" s="123"/>
      <c r="B44" s="165"/>
      <c r="C44" s="162"/>
      <c r="D44" s="142"/>
      <c r="E44" s="144"/>
      <c r="F44" s="144"/>
      <c r="G44" s="144"/>
      <c r="H44" s="144"/>
      <c r="I44" s="182"/>
      <c r="J44" s="144"/>
      <c r="K44" s="145"/>
      <c r="L44" s="150"/>
      <c r="M44" s="146"/>
      <c r="N44" s="146"/>
      <c r="O44" s="146"/>
      <c r="P44" s="146"/>
      <c r="Q44" s="146"/>
      <c r="R44" s="190"/>
      <c r="S44" s="190"/>
      <c r="T44" s="190"/>
      <c r="U44" s="190"/>
      <c r="V44" s="190"/>
      <c r="W44" s="190"/>
      <c r="X44" s="190"/>
      <c r="Y44" s="190"/>
      <c r="Z44" s="190"/>
    </row>
    <row r="45" ht="19.5" customHeight="1">
      <c r="A45" s="123"/>
      <c r="B45" s="165"/>
      <c r="C45" s="162"/>
      <c r="D45" s="142"/>
      <c r="E45" s="144"/>
      <c r="F45" s="144"/>
      <c r="G45" s="144"/>
      <c r="H45" s="144"/>
      <c r="I45" s="182"/>
      <c r="J45" s="144"/>
      <c r="K45" s="145"/>
      <c r="L45" s="150"/>
      <c r="M45" s="146"/>
      <c r="N45" s="146"/>
      <c r="O45" s="146"/>
      <c r="P45" s="146"/>
      <c r="Q45" s="146"/>
      <c r="R45" s="190"/>
      <c r="S45" s="190"/>
      <c r="T45" s="190"/>
      <c r="U45" s="190"/>
      <c r="V45" s="190"/>
      <c r="W45" s="190"/>
      <c r="X45" s="190"/>
      <c r="Y45" s="190"/>
      <c r="Z45" s="190"/>
    </row>
    <row r="46" ht="19.5" customHeight="1">
      <c r="A46" s="123"/>
      <c r="B46" s="165"/>
      <c r="C46" s="162"/>
      <c r="D46" s="142"/>
      <c r="E46" s="144"/>
      <c r="F46" s="144"/>
      <c r="G46" s="144"/>
      <c r="H46" s="144"/>
      <c r="I46" s="182"/>
      <c r="J46" s="144"/>
      <c r="K46" s="145"/>
      <c r="L46" s="150"/>
      <c r="M46" s="146"/>
      <c r="N46" s="146"/>
      <c r="O46" s="146"/>
      <c r="P46" s="146"/>
      <c r="Q46" s="146"/>
      <c r="R46" s="190"/>
      <c r="S46" s="190"/>
      <c r="T46" s="190"/>
      <c r="U46" s="190"/>
      <c r="V46" s="190"/>
      <c r="W46" s="190"/>
      <c r="X46" s="190"/>
      <c r="Y46" s="190"/>
      <c r="Z46" s="190"/>
    </row>
    <row r="47" ht="19.5" customHeight="1">
      <c r="A47" s="123"/>
      <c r="B47" s="165"/>
      <c r="C47" s="162"/>
      <c r="D47" s="142"/>
      <c r="E47" s="144"/>
      <c r="F47" s="144"/>
      <c r="G47" s="144"/>
      <c r="H47" s="144"/>
      <c r="I47" s="182"/>
      <c r="J47" s="144"/>
      <c r="K47" s="145"/>
      <c r="L47" s="150"/>
      <c r="M47" s="146"/>
      <c r="N47" s="146"/>
      <c r="O47" s="146"/>
      <c r="P47" s="146"/>
      <c r="Q47" s="146"/>
      <c r="R47" s="190"/>
      <c r="S47" s="190"/>
      <c r="T47" s="190"/>
      <c r="U47" s="190"/>
      <c r="V47" s="190"/>
      <c r="W47" s="190"/>
      <c r="X47" s="190"/>
      <c r="Y47" s="190"/>
      <c r="Z47" s="190"/>
    </row>
    <row r="48" ht="19.5" customHeight="1">
      <c r="A48" s="123"/>
      <c r="B48" s="165"/>
      <c r="C48" s="162"/>
      <c r="D48" s="142"/>
      <c r="E48" s="144"/>
      <c r="F48" s="144"/>
      <c r="G48" s="144"/>
      <c r="H48" s="144"/>
      <c r="I48" s="182"/>
      <c r="J48" s="144"/>
      <c r="K48" s="145"/>
      <c r="L48" s="150"/>
      <c r="M48" s="146"/>
      <c r="N48" s="146"/>
      <c r="O48" s="146"/>
      <c r="P48" s="146"/>
      <c r="Q48" s="146"/>
      <c r="R48" s="190"/>
      <c r="S48" s="190"/>
      <c r="T48" s="190"/>
      <c r="U48" s="190"/>
      <c r="V48" s="190"/>
      <c r="W48" s="190"/>
      <c r="X48" s="190"/>
      <c r="Y48" s="190"/>
      <c r="Z48" s="190"/>
    </row>
    <row r="49" ht="19.5" customHeight="1">
      <c r="A49" s="123"/>
      <c r="B49" s="165"/>
      <c r="C49" s="162"/>
      <c r="D49" s="142"/>
      <c r="E49" s="144"/>
      <c r="F49" s="144"/>
      <c r="G49" s="144"/>
      <c r="H49" s="144"/>
      <c r="I49" s="182"/>
      <c r="J49" s="144"/>
      <c r="K49" s="145"/>
      <c r="L49" s="150"/>
      <c r="M49" s="146"/>
      <c r="N49" s="146"/>
      <c r="O49" s="146"/>
      <c r="P49" s="146"/>
      <c r="Q49" s="146"/>
      <c r="R49" s="190"/>
      <c r="S49" s="190"/>
      <c r="T49" s="190"/>
      <c r="U49" s="190"/>
      <c r="V49" s="190"/>
      <c r="W49" s="190"/>
      <c r="X49" s="190"/>
      <c r="Y49" s="190"/>
      <c r="Z49" s="190"/>
    </row>
    <row r="50" ht="19.5" customHeight="1">
      <c r="A50" s="123"/>
      <c r="B50" s="165"/>
      <c r="C50" s="162"/>
      <c r="D50" s="142"/>
      <c r="E50" s="144"/>
      <c r="F50" s="144"/>
      <c r="G50" s="144"/>
      <c r="H50" s="144"/>
      <c r="I50" s="182"/>
      <c r="J50" s="144"/>
      <c r="K50" s="145"/>
      <c r="L50" s="150"/>
      <c r="M50" s="146"/>
      <c r="N50" s="146"/>
      <c r="O50" s="146"/>
      <c r="P50" s="146"/>
      <c r="Q50" s="146"/>
      <c r="R50" s="190"/>
      <c r="S50" s="190"/>
      <c r="T50" s="190"/>
      <c r="U50" s="190"/>
      <c r="V50" s="190"/>
      <c r="W50" s="190"/>
      <c r="X50" s="190"/>
      <c r="Y50" s="190"/>
      <c r="Z50" s="190"/>
    </row>
    <row r="51" ht="19.5" customHeight="1">
      <c r="A51" s="123"/>
      <c r="B51" s="165"/>
      <c r="C51" s="162"/>
      <c r="D51" s="142"/>
      <c r="E51" s="144"/>
      <c r="F51" s="144"/>
      <c r="G51" s="144"/>
      <c r="H51" s="144"/>
      <c r="I51" s="182"/>
      <c r="J51" s="144"/>
      <c r="K51" s="145"/>
      <c r="L51" s="150"/>
      <c r="M51" s="146"/>
      <c r="N51" s="146"/>
      <c r="O51" s="146"/>
      <c r="P51" s="146"/>
      <c r="Q51" s="146"/>
      <c r="R51" s="190"/>
      <c r="S51" s="190"/>
      <c r="T51" s="190"/>
      <c r="U51" s="190"/>
      <c r="V51" s="190"/>
      <c r="W51" s="190"/>
      <c r="X51" s="190"/>
      <c r="Y51" s="190"/>
      <c r="Z51" s="190"/>
    </row>
    <row r="52" ht="19.5" customHeight="1">
      <c r="A52" s="123"/>
      <c r="B52" s="165"/>
      <c r="C52" s="162"/>
      <c r="D52" s="142"/>
      <c r="E52" s="144"/>
      <c r="F52" s="144"/>
      <c r="G52" s="144"/>
      <c r="H52" s="144"/>
      <c r="I52" s="182"/>
      <c r="J52" s="144"/>
      <c r="K52" s="145"/>
      <c r="L52" s="150"/>
      <c r="M52" s="146"/>
      <c r="N52" s="146"/>
      <c r="O52" s="146"/>
      <c r="P52" s="146"/>
      <c r="Q52" s="146"/>
      <c r="R52" s="190"/>
      <c r="S52" s="190"/>
      <c r="T52" s="190"/>
      <c r="U52" s="190"/>
      <c r="V52" s="190"/>
      <c r="W52" s="190"/>
      <c r="X52" s="190"/>
      <c r="Y52" s="190"/>
      <c r="Z52" s="190"/>
    </row>
    <row r="53" ht="19.5" customHeight="1">
      <c r="A53" s="123"/>
      <c r="B53" s="165"/>
      <c r="C53" s="162"/>
      <c r="D53" s="142"/>
      <c r="E53" s="144"/>
      <c r="F53" s="144"/>
      <c r="G53" s="144"/>
      <c r="H53" s="144"/>
      <c r="I53" s="182"/>
      <c r="J53" s="144"/>
      <c r="K53" s="145"/>
      <c r="L53" s="150"/>
      <c r="M53" s="146"/>
      <c r="N53" s="146"/>
      <c r="O53" s="146"/>
      <c r="P53" s="146"/>
      <c r="Q53" s="146"/>
      <c r="R53" s="190"/>
      <c r="S53" s="190"/>
      <c r="T53" s="190"/>
      <c r="U53" s="190"/>
      <c r="V53" s="190"/>
      <c r="W53" s="190"/>
      <c r="X53" s="190"/>
      <c r="Y53" s="190"/>
      <c r="Z53" s="190"/>
    </row>
    <row r="54" ht="19.5" customHeight="1">
      <c r="A54" s="123"/>
      <c r="B54" s="165"/>
      <c r="C54" s="162"/>
      <c r="D54" s="142"/>
      <c r="E54" s="144"/>
      <c r="F54" s="144"/>
      <c r="G54" s="144"/>
      <c r="H54" s="144"/>
      <c r="I54" s="182"/>
      <c r="J54" s="144"/>
      <c r="K54" s="145"/>
      <c r="L54" s="150"/>
      <c r="M54" s="146"/>
      <c r="N54" s="146"/>
      <c r="O54" s="146"/>
      <c r="P54" s="146"/>
      <c r="Q54" s="146"/>
      <c r="R54" s="190"/>
      <c r="S54" s="190"/>
      <c r="T54" s="190"/>
      <c r="U54" s="190"/>
      <c r="V54" s="190"/>
      <c r="W54" s="190"/>
      <c r="X54" s="190"/>
      <c r="Y54" s="190"/>
      <c r="Z54" s="190"/>
    </row>
    <row r="55" ht="19.5" customHeight="1">
      <c r="A55" s="123"/>
      <c r="B55" s="165"/>
      <c r="C55" s="162"/>
      <c r="D55" s="142"/>
      <c r="E55" s="144"/>
      <c r="F55" s="144"/>
      <c r="G55" s="144"/>
      <c r="H55" s="144"/>
      <c r="I55" s="182"/>
      <c r="J55" s="144"/>
      <c r="K55" s="145"/>
      <c r="L55" s="150"/>
      <c r="M55" s="146"/>
      <c r="N55" s="146"/>
      <c r="O55" s="146"/>
      <c r="P55" s="146"/>
      <c r="Q55" s="146"/>
      <c r="R55" s="190"/>
      <c r="S55" s="190"/>
      <c r="T55" s="190"/>
      <c r="U55" s="190"/>
      <c r="V55" s="190"/>
      <c r="W55" s="190"/>
      <c r="X55" s="190"/>
      <c r="Y55" s="190"/>
      <c r="Z55" s="190"/>
    </row>
    <row r="56" ht="19.5" customHeight="1">
      <c r="A56" s="123"/>
      <c r="B56" s="165"/>
      <c r="C56" s="162"/>
      <c r="D56" s="142"/>
      <c r="E56" s="144"/>
      <c r="F56" s="144"/>
      <c r="G56" s="144"/>
      <c r="H56" s="144"/>
      <c r="I56" s="182"/>
      <c r="J56" s="144"/>
      <c r="K56" s="145"/>
      <c r="L56" s="150"/>
      <c r="M56" s="146"/>
      <c r="N56" s="146"/>
      <c r="O56" s="146"/>
      <c r="P56" s="146"/>
      <c r="Q56" s="146"/>
      <c r="R56" s="190"/>
      <c r="S56" s="190"/>
      <c r="T56" s="190"/>
      <c r="U56" s="190"/>
      <c r="V56" s="190"/>
      <c r="W56" s="190"/>
      <c r="X56" s="190"/>
      <c r="Y56" s="190"/>
      <c r="Z56" s="190"/>
    </row>
    <row r="57" ht="19.5" customHeight="1">
      <c r="A57" s="123"/>
      <c r="B57" s="165"/>
      <c r="C57" s="162"/>
      <c r="D57" s="142"/>
      <c r="E57" s="144"/>
      <c r="F57" s="144"/>
      <c r="G57" s="144"/>
      <c r="H57" s="144"/>
      <c r="I57" s="182"/>
      <c r="J57" s="144"/>
      <c r="K57" s="145"/>
      <c r="L57" s="150"/>
      <c r="M57" s="146"/>
      <c r="N57" s="146"/>
      <c r="O57" s="146"/>
      <c r="P57" s="146"/>
      <c r="Q57" s="146"/>
      <c r="R57" s="190"/>
      <c r="S57" s="190"/>
      <c r="T57" s="190"/>
      <c r="U57" s="190"/>
      <c r="V57" s="190"/>
      <c r="W57" s="190"/>
      <c r="X57" s="190"/>
      <c r="Y57" s="190"/>
      <c r="Z57" s="190"/>
    </row>
    <row r="58" ht="19.5" customHeight="1">
      <c r="A58" s="123"/>
      <c r="B58" s="165"/>
      <c r="C58" s="162"/>
      <c r="D58" s="142"/>
      <c r="E58" s="144"/>
      <c r="F58" s="144"/>
      <c r="G58" s="144"/>
      <c r="H58" s="144"/>
      <c r="I58" s="182"/>
      <c r="J58" s="144"/>
      <c r="K58" s="145"/>
      <c r="L58" s="150"/>
      <c r="M58" s="146"/>
      <c r="N58" s="146"/>
      <c r="O58" s="146"/>
      <c r="P58" s="146"/>
      <c r="Q58" s="146"/>
      <c r="R58" s="190"/>
      <c r="S58" s="190"/>
      <c r="T58" s="190"/>
      <c r="U58" s="190"/>
      <c r="V58" s="190"/>
      <c r="W58" s="190"/>
      <c r="X58" s="190"/>
      <c r="Y58" s="190"/>
      <c r="Z58" s="190"/>
    </row>
    <row r="59" ht="19.5" customHeight="1">
      <c r="A59" s="123"/>
      <c r="B59" s="165"/>
      <c r="C59" s="162"/>
      <c r="D59" s="142"/>
      <c r="E59" s="144"/>
      <c r="F59" s="144"/>
      <c r="G59" s="144"/>
      <c r="H59" s="144"/>
      <c r="I59" s="182"/>
      <c r="J59" s="144"/>
      <c r="K59" s="145"/>
      <c r="L59" s="150"/>
      <c r="M59" s="146"/>
      <c r="N59" s="146"/>
      <c r="O59" s="146"/>
      <c r="P59" s="146"/>
      <c r="Q59" s="146"/>
      <c r="R59" s="190"/>
      <c r="S59" s="190"/>
      <c r="T59" s="190"/>
      <c r="U59" s="190"/>
      <c r="V59" s="190"/>
      <c r="W59" s="190"/>
      <c r="X59" s="190"/>
      <c r="Y59" s="190"/>
      <c r="Z59" s="190"/>
    </row>
    <row r="60" ht="19.5" customHeight="1">
      <c r="A60" s="123"/>
      <c r="B60" s="165"/>
      <c r="C60" s="162"/>
      <c r="D60" s="142"/>
      <c r="E60" s="144"/>
      <c r="F60" s="144"/>
      <c r="G60" s="144"/>
      <c r="H60" s="144"/>
      <c r="I60" s="182"/>
      <c r="J60" s="144"/>
      <c r="K60" s="145"/>
      <c r="L60" s="150"/>
      <c r="M60" s="146"/>
      <c r="N60" s="146"/>
      <c r="O60" s="146"/>
      <c r="P60" s="146"/>
      <c r="Q60" s="146"/>
      <c r="R60" s="190"/>
      <c r="S60" s="190"/>
      <c r="T60" s="190"/>
      <c r="U60" s="190"/>
      <c r="V60" s="190"/>
      <c r="W60" s="190"/>
      <c r="X60" s="190"/>
      <c r="Y60" s="190"/>
      <c r="Z60" s="190"/>
    </row>
    <row r="61" ht="19.5" customHeight="1">
      <c r="A61" s="123"/>
      <c r="B61" s="165"/>
      <c r="C61" s="162"/>
      <c r="D61" s="142"/>
      <c r="E61" s="144"/>
      <c r="F61" s="144"/>
      <c r="G61" s="144"/>
      <c r="H61" s="144"/>
      <c r="I61" s="182"/>
      <c r="J61" s="144"/>
      <c r="K61" s="145"/>
      <c r="L61" s="150"/>
      <c r="M61" s="146"/>
      <c r="N61" s="146"/>
      <c r="O61" s="146"/>
      <c r="P61" s="146"/>
      <c r="Q61" s="146"/>
      <c r="R61" s="190"/>
      <c r="S61" s="190"/>
      <c r="T61" s="190"/>
      <c r="U61" s="190"/>
      <c r="V61" s="190"/>
      <c r="W61" s="190"/>
      <c r="X61" s="190"/>
      <c r="Y61" s="190"/>
      <c r="Z61" s="190"/>
    </row>
    <row r="62" ht="19.5" customHeight="1">
      <c r="A62" s="123"/>
      <c r="B62" s="165"/>
      <c r="C62" s="162"/>
      <c r="D62" s="142"/>
      <c r="E62" s="144"/>
      <c r="F62" s="144"/>
      <c r="G62" s="144"/>
      <c r="H62" s="144"/>
      <c r="I62" s="182"/>
      <c r="J62" s="144"/>
      <c r="K62" s="145"/>
      <c r="L62" s="150"/>
      <c r="M62" s="146"/>
      <c r="N62" s="146"/>
      <c r="O62" s="146"/>
      <c r="P62" s="146"/>
      <c r="Q62" s="146"/>
      <c r="R62" s="190"/>
      <c r="S62" s="190"/>
      <c r="T62" s="190"/>
      <c r="U62" s="190"/>
      <c r="V62" s="190"/>
      <c r="W62" s="190"/>
      <c r="X62" s="190"/>
      <c r="Y62" s="190"/>
      <c r="Z62" s="190"/>
    </row>
    <row r="63" ht="19.5" customHeight="1">
      <c r="A63" s="123"/>
      <c r="B63" s="165"/>
      <c r="C63" s="162"/>
      <c r="D63" s="142"/>
      <c r="E63" s="144"/>
      <c r="F63" s="144"/>
      <c r="G63" s="144"/>
      <c r="H63" s="144"/>
      <c r="I63" s="182"/>
      <c r="J63" s="144"/>
      <c r="K63" s="145"/>
      <c r="L63" s="150"/>
      <c r="M63" s="146"/>
      <c r="N63" s="146"/>
      <c r="O63" s="146"/>
      <c r="P63" s="146"/>
      <c r="Q63" s="146"/>
      <c r="R63" s="190"/>
      <c r="S63" s="190"/>
      <c r="T63" s="190"/>
      <c r="U63" s="190"/>
      <c r="V63" s="190"/>
      <c r="W63" s="190"/>
      <c r="X63" s="190"/>
      <c r="Y63" s="190"/>
      <c r="Z63" s="190"/>
    </row>
    <row r="64" ht="19.5" customHeight="1">
      <c r="A64" s="123"/>
      <c r="B64" s="165"/>
      <c r="C64" s="162"/>
      <c r="D64" s="142"/>
      <c r="E64" s="144"/>
      <c r="F64" s="144"/>
      <c r="G64" s="144"/>
      <c r="H64" s="144"/>
      <c r="I64" s="182"/>
      <c r="J64" s="144"/>
      <c r="K64" s="145"/>
      <c r="L64" s="150"/>
      <c r="M64" s="146"/>
      <c r="N64" s="146"/>
      <c r="O64" s="146"/>
      <c r="P64" s="146"/>
      <c r="Q64" s="146"/>
      <c r="R64" s="190"/>
      <c r="S64" s="190"/>
      <c r="T64" s="190"/>
      <c r="U64" s="190"/>
      <c r="V64" s="190"/>
      <c r="W64" s="190"/>
      <c r="X64" s="190"/>
      <c r="Y64" s="190"/>
      <c r="Z64" s="190"/>
    </row>
    <row r="65" ht="19.5" customHeight="1">
      <c r="A65" s="123"/>
      <c r="B65" s="165"/>
      <c r="C65" s="162"/>
      <c r="D65" s="142"/>
      <c r="E65" s="144"/>
      <c r="F65" s="144"/>
      <c r="G65" s="144"/>
      <c r="H65" s="144"/>
      <c r="I65" s="182"/>
      <c r="J65" s="144"/>
      <c r="K65" s="145"/>
      <c r="L65" s="150"/>
      <c r="M65" s="146"/>
      <c r="N65" s="146"/>
      <c r="O65" s="146"/>
      <c r="P65" s="146"/>
      <c r="Q65" s="146"/>
      <c r="R65" s="190"/>
      <c r="S65" s="190"/>
      <c r="T65" s="190"/>
      <c r="U65" s="190"/>
      <c r="V65" s="190"/>
      <c r="W65" s="190"/>
      <c r="X65" s="190"/>
      <c r="Y65" s="190"/>
      <c r="Z65" s="190"/>
    </row>
    <row r="66" ht="19.5" customHeight="1">
      <c r="A66" s="123"/>
      <c r="B66" s="165"/>
      <c r="C66" s="162"/>
      <c r="D66" s="142"/>
      <c r="E66" s="144"/>
      <c r="F66" s="144"/>
      <c r="G66" s="144"/>
      <c r="H66" s="144"/>
      <c r="I66" s="182"/>
      <c r="J66" s="144"/>
      <c r="K66" s="145"/>
      <c r="L66" s="150"/>
      <c r="M66" s="146"/>
      <c r="N66" s="146"/>
      <c r="O66" s="146"/>
      <c r="P66" s="146"/>
      <c r="Q66" s="146"/>
      <c r="R66" s="190"/>
      <c r="S66" s="190"/>
      <c r="T66" s="190"/>
      <c r="U66" s="190"/>
      <c r="V66" s="190"/>
      <c r="W66" s="190"/>
      <c r="X66" s="190"/>
      <c r="Y66" s="190"/>
      <c r="Z66" s="190"/>
    </row>
    <row r="67" ht="19.5" customHeight="1">
      <c r="A67" s="123"/>
      <c r="B67" s="165"/>
      <c r="C67" s="162"/>
      <c r="D67" s="142"/>
      <c r="E67" s="144"/>
      <c r="F67" s="144"/>
      <c r="G67" s="144"/>
      <c r="H67" s="144"/>
      <c r="I67" s="182"/>
      <c r="J67" s="144"/>
      <c r="K67" s="145"/>
      <c r="L67" s="150"/>
      <c r="M67" s="146"/>
      <c r="N67" s="146"/>
      <c r="O67" s="146"/>
      <c r="P67" s="146"/>
      <c r="Q67" s="146"/>
      <c r="R67" s="190"/>
      <c r="S67" s="190"/>
      <c r="T67" s="190"/>
      <c r="U67" s="190"/>
      <c r="V67" s="190"/>
      <c r="W67" s="190"/>
      <c r="X67" s="190"/>
      <c r="Y67" s="190"/>
      <c r="Z67" s="190"/>
    </row>
    <row r="68" ht="19.5" customHeight="1">
      <c r="A68" s="123"/>
      <c r="B68" s="165"/>
      <c r="C68" s="162"/>
      <c r="D68" s="142"/>
      <c r="E68" s="144"/>
      <c r="F68" s="144"/>
      <c r="G68" s="144"/>
      <c r="H68" s="144"/>
      <c r="I68" s="182"/>
      <c r="J68" s="144"/>
      <c r="K68" s="145"/>
      <c r="L68" s="150"/>
      <c r="M68" s="146"/>
      <c r="N68" s="146"/>
      <c r="O68" s="146"/>
      <c r="P68" s="146"/>
      <c r="Q68" s="146"/>
      <c r="R68" s="190"/>
      <c r="S68" s="190"/>
      <c r="T68" s="190"/>
      <c r="U68" s="190"/>
      <c r="V68" s="190"/>
      <c r="W68" s="190"/>
      <c r="X68" s="190"/>
      <c r="Y68" s="190"/>
      <c r="Z68" s="190"/>
    </row>
    <row r="69" ht="19.5" customHeight="1">
      <c r="A69" s="123"/>
      <c r="B69" s="165"/>
      <c r="C69" s="162"/>
      <c r="D69" s="142"/>
      <c r="E69" s="144"/>
      <c r="F69" s="144"/>
      <c r="G69" s="144"/>
      <c r="H69" s="144"/>
      <c r="I69" s="182"/>
      <c r="J69" s="144"/>
      <c r="K69" s="145"/>
      <c r="L69" s="150"/>
      <c r="M69" s="146"/>
      <c r="N69" s="146"/>
      <c r="O69" s="146"/>
      <c r="P69" s="146"/>
      <c r="Q69" s="146"/>
      <c r="R69" s="190"/>
      <c r="S69" s="190"/>
      <c r="T69" s="190"/>
      <c r="U69" s="190"/>
      <c r="V69" s="190"/>
      <c r="W69" s="190"/>
      <c r="X69" s="190"/>
      <c r="Y69" s="190"/>
      <c r="Z69" s="190"/>
    </row>
    <row r="70" ht="19.5" customHeight="1">
      <c r="A70" s="123"/>
      <c r="B70" s="165"/>
      <c r="C70" s="162"/>
      <c r="D70" s="142"/>
      <c r="E70" s="144"/>
      <c r="F70" s="144"/>
      <c r="G70" s="144"/>
      <c r="H70" s="144"/>
      <c r="I70" s="182"/>
      <c r="J70" s="144"/>
      <c r="K70" s="145"/>
      <c r="L70" s="150"/>
      <c r="M70" s="146"/>
      <c r="N70" s="146"/>
      <c r="O70" s="146"/>
      <c r="P70" s="146"/>
      <c r="Q70" s="146"/>
      <c r="R70" s="190"/>
      <c r="S70" s="190"/>
      <c r="T70" s="190"/>
      <c r="U70" s="190"/>
      <c r="V70" s="190"/>
      <c r="W70" s="190"/>
      <c r="X70" s="190"/>
      <c r="Y70" s="190"/>
      <c r="Z70" s="190"/>
    </row>
    <row r="71" ht="19.5" customHeight="1">
      <c r="A71" s="123"/>
      <c r="B71" s="165"/>
      <c r="C71" s="162"/>
      <c r="D71" s="142"/>
      <c r="E71" s="144"/>
      <c r="F71" s="144"/>
      <c r="G71" s="144"/>
      <c r="H71" s="144"/>
      <c r="I71" s="182"/>
      <c r="J71" s="144"/>
      <c r="K71" s="145"/>
      <c r="L71" s="150"/>
      <c r="M71" s="146"/>
      <c r="N71" s="146"/>
      <c r="O71" s="146"/>
      <c r="P71" s="146"/>
      <c r="Q71" s="146"/>
      <c r="R71" s="190"/>
      <c r="S71" s="190"/>
      <c r="T71" s="190"/>
      <c r="U71" s="190"/>
      <c r="V71" s="190"/>
      <c r="W71" s="190"/>
      <c r="X71" s="190"/>
      <c r="Y71" s="190"/>
      <c r="Z71" s="190"/>
    </row>
    <row r="72" ht="19.5" customHeight="1">
      <c r="A72" s="123"/>
      <c r="B72" s="165"/>
      <c r="C72" s="162"/>
      <c r="D72" s="142"/>
      <c r="E72" s="144"/>
      <c r="F72" s="144"/>
      <c r="G72" s="144"/>
      <c r="H72" s="144"/>
      <c r="I72" s="182"/>
      <c r="J72" s="144"/>
      <c r="K72" s="145"/>
      <c r="L72" s="150"/>
      <c r="M72" s="146"/>
      <c r="N72" s="146"/>
      <c r="O72" s="146"/>
      <c r="P72" s="146"/>
      <c r="Q72" s="146"/>
      <c r="R72" s="190"/>
      <c r="S72" s="190"/>
      <c r="T72" s="190"/>
      <c r="U72" s="190"/>
      <c r="V72" s="190"/>
      <c r="W72" s="190"/>
      <c r="X72" s="190"/>
      <c r="Y72" s="190"/>
      <c r="Z72" s="190"/>
    </row>
    <row r="73" ht="19.5" customHeight="1">
      <c r="A73" s="123"/>
      <c r="B73" s="165"/>
      <c r="C73" s="162"/>
      <c r="D73" s="142"/>
      <c r="E73" s="144"/>
      <c r="F73" s="144"/>
      <c r="G73" s="144"/>
      <c r="H73" s="144"/>
      <c r="I73" s="182"/>
      <c r="J73" s="144"/>
      <c r="K73" s="145"/>
      <c r="L73" s="150"/>
      <c r="M73" s="146"/>
      <c r="N73" s="146"/>
      <c r="O73" s="146"/>
      <c r="P73" s="146"/>
      <c r="Q73" s="146"/>
      <c r="R73" s="190"/>
      <c r="S73" s="190"/>
      <c r="T73" s="190"/>
      <c r="U73" s="190"/>
      <c r="V73" s="190"/>
      <c r="W73" s="190"/>
      <c r="X73" s="190"/>
      <c r="Y73" s="190"/>
      <c r="Z73" s="190"/>
    </row>
    <row r="74" ht="19.5" customHeight="1">
      <c r="A74" s="123"/>
      <c r="B74" s="165"/>
      <c r="C74" s="162"/>
      <c r="D74" s="142"/>
      <c r="E74" s="144"/>
      <c r="F74" s="144"/>
      <c r="G74" s="144"/>
      <c r="H74" s="144"/>
      <c r="I74" s="182"/>
      <c r="J74" s="144"/>
      <c r="K74" s="145"/>
      <c r="L74" s="150"/>
      <c r="M74" s="146"/>
      <c r="N74" s="146"/>
      <c r="O74" s="146"/>
      <c r="P74" s="146"/>
      <c r="Q74" s="146"/>
      <c r="R74" s="190"/>
      <c r="S74" s="190"/>
      <c r="T74" s="190"/>
      <c r="U74" s="190"/>
      <c r="V74" s="190"/>
      <c r="W74" s="190"/>
      <c r="X74" s="190"/>
      <c r="Y74" s="190"/>
      <c r="Z74" s="190"/>
    </row>
    <row r="75" ht="19.5" customHeight="1">
      <c r="A75" s="123"/>
      <c r="B75" s="165"/>
      <c r="C75" s="162"/>
      <c r="D75" s="142"/>
      <c r="E75" s="144"/>
      <c r="F75" s="144"/>
      <c r="G75" s="144"/>
      <c r="H75" s="144"/>
      <c r="I75" s="182"/>
      <c r="J75" s="144"/>
      <c r="K75" s="145"/>
      <c r="L75" s="150"/>
      <c r="M75" s="146"/>
      <c r="N75" s="146"/>
      <c r="O75" s="146"/>
      <c r="P75" s="146"/>
      <c r="Q75" s="146"/>
      <c r="R75" s="190"/>
      <c r="S75" s="190"/>
      <c r="T75" s="190"/>
      <c r="U75" s="190"/>
      <c r="V75" s="190"/>
      <c r="W75" s="190"/>
      <c r="X75" s="190"/>
      <c r="Y75" s="190"/>
      <c r="Z75" s="190"/>
    </row>
    <row r="76" ht="19.5" customHeight="1">
      <c r="A76" s="123"/>
      <c r="B76" s="165"/>
      <c r="C76" s="162"/>
      <c r="D76" s="142"/>
      <c r="E76" s="144"/>
      <c r="F76" s="144"/>
      <c r="G76" s="144"/>
      <c r="H76" s="144"/>
      <c r="I76" s="182"/>
      <c r="J76" s="144"/>
      <c r="K76" s="145"/>
      <c r="L76" s="150"/>
      <c r="M76" s="146"/>
      <c r="N76" s="146"/>
      <c r="O76" s="146"/>
      <c r="P76" s="146"/>
      <c r="Q76" s="146"/>
      <c r="R76" s="190"/>
      <c r="S76" s="190"/>
      <c r="T76" s="190"/>
      <c r="U76" s="190"/>
      <c r="V76" s="190"/>
      <c r="W76" s="190"/>
      <c r="X76" s="190"/>
      <c r="Y76" s="190"/>
      <c r="Z76" s="190"/>
    </row>
    <row r="77" ht="19.5" customHeight="1">
      <c r="A77" s="123"/>
      <c r="B77" s="165"/>
      <c r="C77" s="162"/>
      <c r="D77" s="142"/>
      <c r="E77" s="144"/>
      <c r="F77" s="144"/>
      <c r="G77" s="144"/>
      <c r="H77" s="144"/>
      <c r="I77" s="182"/>
      <c r="J77" s="144"/>
      <c r="K77" s="145"/>
      <c r="L77" s="150"/>
      <c r="M77" s="146"/>
      <c r="N77" s="146"/>
      <c r="O77" s="146"/>
      <c r="P77" s="146"/>
      <c r="Q77" s="146"/>
      <c r="R77" s="190"/>
      <c r="S77" s="190"/>
      <c r="T77" s="190"/>
      <c r="U77" s="190"/>
      <c r="V77" s="190"/>
      <c r="W77" s="190"/>
      <c r="X77" s="190"/>
      <c r="Y77" s="190"/>
      <c r="Z77" s="190"/>
    </row>
    <row r="78" ht="19.5" customHeight="1">
      <c r="A78" s="123"/>
      <c r="B78" s="165"/>
      <c r="C78" s="162"/>
      <c r="D78" s="142"/>
      <c r="E78" s="144"/>
      <c r="F78" s="144"/>
      <c r="G78" s="144"/>
      <c r="H78" s="144"/>
      <c r="I78" s="182"/>
      <c r="J78" s="144"/>
      <c r="K78" s="145"/>
      <c r="L78" s="150"/>
      <c r="M78" s="146"/>
      <c r="N78" s="146"/>
      <c r="O78" s="146"/>
      <c r="P78" s="146"/>
      <c r="Q78" s="146"/>
      <c r="R78" s="190"/>
      <c r="S78" s="190"/>
      <c r="T78" s="190"/>
      <c r="U78" s="190"/>
      <c r="V78" s="190"/>
      <c r="W78" s="190"/>
      <c r="X78" s="190"/>
      <c r="Y78" s="190"/>
      <c r="Z78" s="190"/>
    </row>
    <row r="79" ht="19.5" customHeight="1">
      <c r="A79" s="123"/>
      <c r="B79" s="165"/>
      <c r="C79" s="162"/>
      <c r="D79" s="142"/>
      <c r="E79" s="144"/>
      <c r="F79" s="144"/>
      <c r="G79" s="144"/>
      <c r="H79" s="144"/>
      <c r="I79" s="182"/>
      <c r="J79" s="144"/>
      <c r="K79" s="145"/>
      <c r="L79" s="150"/>
      <c r="M79" s="146"/>
      <c r="N79" s="146"/>
      <c r="O79" s="146"/>
      <c r="P79" s="146"/>
      <c r="Q79" s="146"/>
      <c r="R79" s="190"/>
      <c r="S79" s="190"/>
      <c r="T79" s="190"/>
      <c r="U79" s="190"/>
      <c r="V79" s="190"/>
      <c r="W79" s="190"/>
      <c r="X79" s="190"/>
      <c r="Y79" s="190"/>
      <c r="Z79" s="190"/>
    </row>
    <row r="80" ht="19.5" customHeight="1">
      <c r="A80" s="123"/>
      <c r="B80" s="165"/>
      <c r="C80" s="162"/>
      <c r="D80" s="142"/>
      <c r="E80" s="144"/>
      <c r="F80" s="144"/>
      <c r="G80" s="144"/>
      <c r="H80" s="144"/>
      <c r="I80" s="182"/>
      <c r="J80" s="144"/>
      <c r="K80" s="145"/>
      <c r="L80" s="150"/>
      <c r="M80" s="146"/>
      <c r="N80" s="146"/>
      <c r="O80" s="146"/>
      <c r="P80" s="146"/>
      <c r="Q80" s="146"/>
      <c r="R80" s="190"/>
      <c r="S80" s="190"/>
      <c r="T80" s="190"/>
      <c r="U80" s="190"/>
      <c r="V80" s="190"/>
      <c r="W80" s="190"/>
      <c r="X80" s="190"/>
      <c r="Y80" s="190"/>
      <c r="Z80" s="190"/>
    </row>
    <row r="81" ht="19.5" customHeight="1">
      <c r="A81" s="123"/>
      <c r="B81" s="165"/>
      <c r="C81" s="162"/>
      <c r="D81" s="142"/>
      <c r="E81" s="144"/>
      <c r="F81" s="144"/>
      <c r="G81" s="144"/>
      <c r="H81" s="144"/>
      <c r="I81" s="182"/>
      <c r="J81" s="144"/>
      <c r="K81" s="145"/>
      <c r="L81" s="150"/>
      <c r="M81" s="146"/>
      <c r="N81" s="146"/>
      <c r="O81" s="146"/>
      <c r="P81" s="146"/>
      <c r="Q81" s="146"/>
      <c r="R81" s="190"/>
      <c r="S81" s="190"/>
      <c r="T81" s="190"/>
      <c r="U81" s="190"/>
      <c r="V81" s="190"/>
      <c r="W81" s="190"/>
      <c r="X81" s="190"/>
      <c r="Y81" s="190"/>
      <c r="Z81" s="190"/>
    </row>
    <row r="82" ht="19.5" customHeight="1">
      <c r="A82" s="123"/>
      <c r="B82" s="165"/>
      <c r="C82" s="162"/>
      <c r="D82" s="142"/>
      <c r="E82" s="144"/>
      <c r="F82" s="144"/>
      <c r="G82" s="144"/>
      <c r="H82" s="144"/>
      <c r="I82" s="182"/>
      <c r="J82" s="144"/>
      <c r="K82" s="145"/>
      <c r="L82" s="150"/>
      <c r="M82" s="146"/>
      <c r="N82" s="146"/>
      <c r="O82" s="146"/>
      <c r="P82" s="146"/>
      <c r="Q82" s="146"/>
      <c r="R82" s="190"/>
      <c r="S82" s="190"/>
      <c r="T82" s="190"/>
      <c r="U82" s="190"/>
      <c r="V82" s="190"/>
      <c r="W82" s="190"/>
      <c r="X82" s="190"/>
      <c r="Y82" s="190"/>
      <c r="Z82" s="190"/>
    </row>
    <row r="83" ht="19.5" customHeight="1">
      <c r="A83" s="123"/>
      <c r="B83" s="165"/>
      <c r="C83" s="162"/>
      <c r="D83" s="142"/>
      <c r="E83" s="144"/>
      <c r="F83" s="144"/>
      <c r="G83" s="144"/>
      <c r="H83" s="144"/>
      <c r="I83" s="182"/>
      <c r="J83" s="144"/>
      <c r="K83" s="145"/>
      <c r="L83" s="150"/>
      <c r="M83" s="146"/>
      <c r="N83" s="146"/>
      <c r="O83" s="146"/>
      <c r="P83" s="146"/>
      <c r="Q83" s="146"/>
      <c r="R83" s="190"/>
      <c r="S83" s="190"/>
      <c r="T83" s="190"/>
      <c r="U83" s="190"/>
      <c r="V83" s="190"/>
      <c r="W83" s="190"/>
      <c r="X83" s="190"/>
      <c r="Y83" s="190"/>
      <c r="Z83" s="190"/>
    </row>
    <row r="84" ht="19.5" customHeight="1">
      <c r="A84" s="123"/>
      <c r="B84" s="165"/>
      <c r="C84" s="162"/>
      <c r="D84" s="142"/>
      <c r="E84" s="144"/>
      <c r="F84" s="144"/>
      <c r="G84" s="144"/>
      <c r="H84" s="144"/>
      <c r="I84" s="182"/>
      <c r="J84" s="144"/>
      <c r="K84" s="145"/>
      <c r="L84" s="150"/>
      <c r="M84" s="146"/>
      <c r="N84" s="146"/>
      <c r="O84" s="146"/>
      <c r="P84" s="146"/>
      <c r="Q84" s="146"/>
      <c r="R84" s="190"/>
      <c r="S84" s="190"/>
      <c r="T84" s="190"/>
      <c r="U84" s="190"/>
      <c r="V84" s="190"/>
      <c r="W84" s="190"/>
      <c r="X84" s="190"/>
      <c r="Y84" s="190"/>
      <c r="Z84" s="190"/>
    </row>
    <row r="85" ht="19.5" customHeight="1">
      <c r="A85" s="123"/>
      <c r="B85" s="165"/>
      <c r="C85" s="162"/>
      <c r="D85" s="142"/>
      <c r="E85" s="144"/>
      <c r="F85" s="144"/>
      <c r="G85" s="144"/>
      <c r="H85" s="144"/>
      <c r="I85" s="182"/>
      <c r="J85" s="144"/>
      <c r="K85" s="145"/>
      <c r="L85" s="150"/>
      <c r="M85" s="146"/>
      <c r="N85" s="146"/>
      <c r="O85" s="146"/>
      <c r="P85" s="146"/>
      <c r="Q85" s="146"/>
      <c r="R85" s="190"/>
      <c r="S85" s="190"/>
      <c r="T85" s="190"/>
      <c r="U85" s="190"/>
      <c r="V85" s="190"/>
      <c r="W85" s="190"/>
      <c r="X85" s="190"/>
      <c r="Y85" s="190"/>
      <c r="Z85" s="190"/>
    </row>
    <row r="86" ht="19.5" customHeight="1">
      <c r="A86" s="123"/>
      <c r="B86" s="165"/>
      <c r="C86" s="162"/>
      <c r="D86" s="142"/>
      <c r="E86" s="144"/>
      <c r="F86" s="144"/>
      <c r="G86" s="144"/>
      <c r="H86" s="144"/>
      <c r="I86" s="182"/>
      <c r="J86" s="144"/>
      <c r="K86" s="145"/>
      <c r="L86" s="150"/>
      <c r="M86" s="146"/>
      <c r="N86" s="146"/>
      <c r="O86" s="146"/>
      <c r="P86" s="146"/>
      <c r="Q86" s="146"/>
      <c r="R86" s="190"/>
      <c r="S86" s="190"/>
      <c r="T86" s="190"/>
      <c r="U86" s="190"/>
      <c r="V86" s="190"/>
      <c r="W86" s="190"/>
      <c r="X86" s="190"/>
      <c r="Y86" s="190"/>
      <c r="Z86" s="190"/>
    </row>
    <row r="87" ht="19.5" customHeight="1">
      <c r="A87" s="123"/>
      <c r="B87" s="165"/>
      <c r="C87" s="162"/>
      <c r="D87" s="142"/>
      <c r="E87" s="144"/>
      <c r="F87" s="144"/>
      <c r="G87" s="144"/>
      <c r="H87" s="144"/>
      <c r="I87" s="182"/>
      <c r="J87" s="144"/>
      <c r="K87" s="145"/>
      <c r="L87" s="150"/>
      <c r="M87" s="146"/>
      <c r="N87" s="146"/>
      <c r="O87" s="146"/>
      <c r="P87" s="146"/>
      <c r="Q87" s="146"/>
      <c r="R87" s="190"/>
      <c r="S87" s="190"/>
      <c r="T87" s="190"/>
      <c r="U87" s="190"/>
      <c r="V87" s="190"/>
      <c r="W87" s="190"/>
      <c r="X87" s="190"/>
      <c r="Y87" s="190"/>
      <c r="Z87" s="190"/>
    </row>
    <row r="88" ht="19.5" customHeight="1">
      <c r="A88" s="123"/>
      <c r="B88" s="165"/>
      <c r="C88" s="162"/>
      <c r="D88" s="142"/>
      <c r="E88" s="144"/>
      <c r="F88" s="144"/>
      <c r="G88" s="144"/>
      <c r="H88" s="144"/>
      <c r="I88" s="182"/>
      <c r="J88" s="144"/>
      <c r="K88" s="145"/>
      <c r="L88" s="150"/>
      <c r="M88" s="146"/>
      <c r="N88" s="146"/>
      <c r="O88" s="146"/>
      <c r="P88" s="146"/>
      <c r="Q88" s="146"/>
      <c r="R88" s="190"/>
      <c r="S88" s="190"/>
      <c r="T88" s="190"/>
      <c r="U88" s="190"/>
      <c r="V88" s="190"/>
      <c r="W88" s="190"/>
      <c r="X88" s="190"/>
      <c r="Y88" s="190"/>
      <c r="Z88" s="190"/>
    </row>
    <row r="89" ht="19.5" customHeight="1">
      <c r="A89" s="123"/>
      <c r="B89" s="165"/>
      <c r="C89" s="162"/>
      <c r="D89" s="142"/>
      <c r="E89" s="144"/>
      <c r="F89" s="144"/>
      <c r="G89" s="144"/>
      <c r="H89" s="144"/>
      <c r="I89" s="182"/>
      <c r="J89" s="144"/>
      <c r="K89" s="145"/>
      <c r="L89" s="150"/>
      <c r="M89" s="146"/>
      <c r="N89" s="146"/>
      <c r="O89" s="146"/>
      <c r="P89" s="146"/>
      <c r="Q89" s="146"/>
      <c r="R89" s="190"/>
      <c r="S89" s="190"/>
      <c r="T89" s="190"/>
      <c r="U89" s="190"/>
      <c r="V89" s="190"/>
      <c r="W89" s="190"/>
      <c r="X89" s="190"/>
      <c r="Y89" s="190"/>
      <c r="Z89" s="190"/>
    </row>
    <row r="90" ht="19.5" customHeight="1">
      <c r="A90" s="123"/>
      <c r="B90" s="165"/>
      <c r="C90" s="162"/>
      <c r="D90" s="142"/>
      <c r="E90" s="144"/>
      <c r="F90" s="144"/>
      <c r="G90" s="144"/>
      <c r="H90" s="144"/>
      <c r="I90" s="182"/>
      <c r="J90" s="144"/>
      <c r="K90" s="145"/>
      <c r="L90" s="150"/>
      <c r="M90" s="146"/>
      <c r="N90" s="146"/>
      <c r="O90" s="146"/>
      <c r="P90" s="146"/>
      <c r="Q90" s="146"/>
      <c r="R90" s="190"/>
      <c r="S90" s="190"/>
      <c r="T90" s="190"/>
      <c r="U90" s="190"/>
      <c r="V90" s="190"/>
      <c r="W90" s="190"/>
      <c r="X90" s="190"/>
      <c r="Y90" s="190"/>
      <c r="Z90" s="190"/>
    </row>
    <row r="91" ht="19.5" customHeight="1">
      <c r="A91" s="123"/>
      <c r="B91" s="165"/>
      <c r="C91" s="162"/>
      <c r="D91" s="142"/>
      <c r="E91" s="144"/>
      <c r="F91" s="144"/>
      <c r="G91" s="144"/>
      <c r="H91" s="144"/>
      <c r="I91" s="182"/>
      <c r="J91" s="144"/>
      <c r="K91" s="145"/>
      <c r="L91" s="150"/>
      <c r="M91" s="146"/>
      <c r="N91" s="146"/>
      <c r="O91" s="146"/>
      <c r="P91" s="146"/>
      <c r="Q91" s="146"/>
      <c r="R91" s="190"/>
      <c r="S91" s="190"/>
      <c r="T91" s="190"/>
      <c r="U91" s="190"/>
      <c r="V91" s="190"/>
      <c r="W91" s="190"/>
      <c r="X91" s="190"/>
      <c r="Y91" s="190"/>
      <c r="Z91" s="190"/>
    </row>
    <row r="92" ht="19.5" customHeight="1">
      <c r="A92" s="123"/>
      <c r="B92" s="165"/>
      <c r="C92" s="162"/>
      <c r="D92" s="142"/>
      <c r="E92" s="144"/>
      <c r="F92" s="144"/>
      <c r="G92" s="144"/>
      <c r="H92" s="144"/>
      <c r="I92" s="182"/>
      <c r="J92" s="144"/>
      <c r="K92" s="145"/>
      <c r="L92" s="150"/>
      <c r="M92" s="146"/>
      <c r="N92" s="146"/>
      <c r="O92" s="146"/>
      <c r="P92" s="146"/>
      <c r="Q92" s="146"/>
      <c r="R92" s="190"/>
      <c r="S92" s="190"/>
      <c r="T92" s="190"/>
      <c r="U92" s="190"/>
      <c r="V92" s="190"/>
      <c r="W92" s="190"/>
      <c r="X92" s="190"/>
      <c r="Y92" s="190"/>
      <c r="Z92" s="190"/>
    </row>
    <row r="93" ht="19.5" customHeight="1">
      <c r="A93" s="123"/>
      <c r="B93" s="165"/>
      <c r="C93" s="162"/>
      <c r="D93" s="142"/>
      <c r="E93" s="144"/>
      <c r="F93" s="144"/>
      <c r="G93" s="144"/>
      <c r="H93" s="144"/>
      <c r="I93" s="182"/>
      <c r="J93" s="144"/>
      <c r="K93" s="145"/>
      <c r="L93" s="150"/>
      <c r="M93" s="146"/>
      <c r="N93" s="146"/>
      <c r="O93" s="146"/>
      <c r="P93" s="146"/>
      <c r="Q93" s="146"/>
      <c r="R93" s="190"/>
      <c r="S93" s="190"/>
      <c r="T93" s="190"/>
      <c r="U93" s="190"/>
      <c r="V93" s="190"/>
      <c r="W93" s="190"/>
      <c r="X93" s="190"/>
      <c r="Y93" s="190"/>
      <c r="Z93" s="190"/>
    </row>
    <row r="94" ht="19.5" customHeight="1">
      <c r="A94" s="123"/>
      <c r="B94" s="165"/>
      <c r="C94" s="162"/>
      <c r="D94" s="142"/>
      <c r="E94" s="144"/>
      <c r="F94" s="144"/>
      <c r="G94" s="144"/>
      <c r="H94" s="144"/>
      <c r="I94" s="182"/>
      <c r="J94" s="144"/>
      <c r="K94" s="145"/>
      <c r="L94" s="150"/>
      <c r="M94" s="146"/>
      <c r="N94" s="146"/>
      <c r="O94" s="146"/>
      <c r="P94" s="146"/>
      <c r="Q94" s="146"/>
      <c r="R94" s="190"/>
      <c r="S94" s="190"/>
      <c r="T94" s="190"/>
      <c r="U94" s="190"/>
      <c r="V94" s="190"/>
      <c r="W94" s="190"/>
      <c r="X94" s="190"/>
      <c r="Y94" s="190"/>
      <c r="Z94" s="190"/>
    </row>
    <row r="95" ht="19.5" customHeight="1">
      <c r="A95" s="123"/>
      <c r="B95" s="165"/>
      <c r="C95" s="162"/>
      <c r="D95" s="142"/>
      <c r="E95" s="144"/>
      <c r="F95" s="144"/>
      <c r="G95" s="144"/>
      <c r="H95" s="144"/>
      <c r="I95" s="182"/>
      <c r="J95" s="144"/>
      <c r="K95" s="145"/>
      <c r="L95" s="150"/>
      <c r="M95" s="146"/>
      <c r="N95" s="146"/>
      <c r="O95" s="146"/>
      <c r="P95" s="146"/>
      <c r="Q95" s="146"/>
      <c r="R95" s="190"/>
      <c r="S95" s="190"/>
      <c r="T95" s="190"/>
      <c r="U95" s="190"/>
      <c r="V95" s="190"/>
      <c r="W95" s="190"/>
      <c r="X95" s="190"/>
      <c r="Y95" s="190"/>
      <c r="Z95" s="190"/>
    </row>
    <row r="96" ht="19.5" customHeight="1">
      <c r="A96" s="123"/>
      <c r="B96" s="165"/>
      <c r="C96" s="162"/>
      <c r="D96" s="142"/>
      <c r="E96" s="144"/>
      <c r="F96" s="144"/>
      <c r="G96" s="144"/>
      <c r="H96" s="144"/>
      <c r="I96" s="182"/>
      <c r="J96" s="144"/>
      <c r="K96" s="145"/>
      <c r="L96" s="150"/>
      <c r="M96" s="146"/>
      <c r="N96" s="146"/>
      <c r="O96" s="146"/>
      <c r="P96" s="146"/>
      <c r="Q96" s="146"/>
      <c r="R96" s="190"/>
      <c r="S96" s="190"/>
      <c r="T96" s="190"/>
      <c r="U96" s="190"/>
      <c r="V96" s="190"/>
      <c r="W96" s="190"/>
      <c r="X96" s="190"/>
      <c r="Y96" s="190"/>
      <c r="Z96" s="190"/>
    </row>
    <row r="97" ht="19.5" customHeight="1">
      <c r="A97" s="123"/>
      <c r="B97" s="165"/>
      <c r="C97" s="162"/>
      <c r="D97" s="142"/>
      <c r="E97" s="144"/>
      <c r="F97" s="144"/>
      <c r="G97" s="144"/>
      <c r="H97" s="144"/>
      <c r="I97" s="182"/>
      <c r="J97" s="144"/>
      <c r="K97" s="145"/>
      <c r="L97" s="150"/>
      <c r="M97" s="146"/>
      <c r="N97" s="146"/>
      <c r="O97" s="146"/>
      <c r="P97" s="146"/>
      <c r="Q97" s="146"/>
      <c r="R97" s="190"/>
      <c r="S97" s="190"/>
      <c r="T97" s="190"/>
      <c r="U97" s="190"/>
      <c r="V97" s="190"/>
      <c r="W97" s="190"/>
      <c r="X97" s="190"/>
      <c r="Y97" s="190"/>
      <c r="Z97" s="190"/>
    </row>
    <row r="98" ht="19.5" customHeight="1">
      <c r="A98" s="123"/>
      <c r="B98" s="165"/>
      <c r="C98" s="162"/>
      <c r="D98" s="142"/>
      <c r="E98" s="144"/>
      <c r="F98" s="144"/>
      <c r="G98" s="144"/>
      <c r="H98" s="144"/>
      <c r="I98" s="182"/>
      <c r="J98" s="144"/>
      <c r="K98" s="145"/>
      <c r="L98" s="150"/>
      <c r="M98" s="146"/>
      <c r="N98" s="146"/>
      <c r="O98" s="146"/>
      <c r="P98" s="146"/>
      <c r="Q98" s="146"/>
      <c r="R98" s="190"/>
      <c r="S98" s="190"/>
      <c r="T98" s="190"/>
      <c r="U98" s="190"/>
      <c r="V98" s="190"/>
      <c r="W98" s="190"/>
      <c r="X98" s="190"/>
      <c r="Y98" s="190"/>
      <c r="Z98" s="190"/>
    </row>
    <row r="99" ht="19.5" customHeight="1">
      <c r="A99" s="123"/>
      <c r="B99" s="165"/>
      <c r="C99" s="162"/>
      <c r="D99" s="142"/>
      <c r="E99" s="144"/>
      <c r="F99" s="144"/>
      <c r="G99" s="144"/>
      <c r="H99" s="144"/>
      <c r="I99" s="182"/>
      <c r="J99" s="144"/>
      <c r="K99" s="145"/>
      <c r="L99" s="150"/>
      <c r="M99" s="146"/>
      <c r="N99" s="146"/>
      <c r="O99" s="146"/>
      <c r="P99" s="146"/>
      <c r="Q99" s="146"/>
      <c r="R99" s="190"/>
      <c r="S99" s="190"/>
      <c r="T99" s="190"/>
      <c r="U99" s="190"/>
      <c r="V99" s="190"/>
      <c r="W99" s="190"/>
      <c r="X99" s="190"/>
      <c r="Y99" s="190"/>
      <c r="Z99" s="190"/>
    </row>
    <row r="100" ht="19.5" customHeight="1">
      <c r="A100" s="123"/>
      <c r="B100" s="165"/>
      <c r="C100" s="162"/>
      <c r="D100" s="142"/>
      <c r="E100" s="144"/>
      <c r="F100" s="144"/>
      <c r="G100" s="144"/>
      <c r="H100" s="144"/>
      <c r="I100" s="182"/>
      <c r="J100" s="144"/>
      <c r="K100" s="145"/>
      <c r="L100" s="150"/>
      <c r="M100" s="146"/>
      <c r="N100" s="146"/>
      <c r="O100" s="146"/>
      <c r="P100" s="146"/>
      <c r="Q100" s="146"/>
      <c r="R100" s="190"/>
      <c r="S100" s="190"/>
      <c r="T100" s="190"/>
      <c r="U100" s="190"/>
      <c r="V100" s="190"/>
      <c r="W100" s="190"/>
      <c r="X100" s="190"/>
      <c r="Y100" s="190"/>
      <c r="Z100" s="190"/>
    </row>
    <row r="101" ht="19.5" customHeight="1">
      <c r="A101" s="123"/>
      <c r="B101" s="165"/>
      <c r="C101" s="162"/>
      <c r="D101" s="142"/>
      <c r="E101" s="144"/>
      <c r="F101" s="144"/>
      <c r="G101" s="144"/>
      <c r="H101" s="144"/>
      <c r="I101" s="182"/>
      <c r="J101" s="144"/>
      <c r="K101" s="145"/>
      <c r="L101" s="150"/>
      <c r="M101" s="146"/>
      <c r="N101" s="146"/>
      <c r="O101" s="146"/>
      <c r="P101" s="146"/>
      <c r="Q101" s="146"/>
      <c r="R101" s="190"/>
      <c r="S101" s="190"/>
      <c r="T101" s="190"/>
      <c r="U101" s="190"/>
      <c r="V101" s="190"/>
      <c r="W101" s="190"/>
      <c r="X101" s="190"/>
      <c r="Y101" s="190"/>
      <c r="Z101" s="190"/>
    </row>
    <row r="102" ht="19.5" customHeight="1">
      <c r="A102" s="123"/>
      <c r="B102" s="165"/>
      <c r="C102" s="162"/>
      <c r="D102" s="142"/>
      <c r="E102" s="144"/>
      <c r="F102" s="144"/>
      <c r="G102" s="144"/>
      <c r="H102" s="144"/>
      <c r="I102" s="182"/>
      <c r="J102" s="144"/>
      <c r="K102" s="145"/>
      <c r="L102" s="150"/>
      <c r="M102" s="146"/>
      <c r="N102" s="146"/>
      <c r="O102" s="146"/>
      <c r="P102" s="146"/>
      <c r="Q102" s="146"/>
      <c r="R102" s="190"/>
      <c r="S102" s="190"/>
      <c r="T102" s="190"/>
      <c r="U102" s="190"/>
      <c r="V102" s="190"/>
      <c r="W102" s="190"/>
      <c r="X102" s="190"/>
      <c r="Y102" s="190"/>
      <c r="Z102" s="190"/>
    </row>
    <row r="103" ht="19.5" customHeight="1">
      <c r="A103" s="123"/>
      <c r="B103" s="165"/>
      <c r="C103" s="162"/>
      <c r="D103" s="142"/>
      <c r="E103" s="144"/>
      <c r="F103" s="144"/>
      <c r="G103" s="144"/>
      <c r="H103" s="144"/>
      <c r="I103" s="182"/>
      <c r="J103" s="144"/>
      <c r="K103" s="145"/>
      <c r="L103" s="150"/>
      <c r="M103" s="146"/>
      <c r="N103" s="146"/>
      <c r="O103" s="146"/>
      <c r="P103" s="146"/>
      <c r="Q103" s="146"/>
      <c r="R103" s="190"/>
      <c r="S103" s="190"/>
      <c r="T103" s="190"/>
      <c r="U103" s="190"/>
      <c r="V103" s="190"/>
      <c r="W103" s="190"/>
      <c r="X103" s="190"/>
      <c r="Y103" s="190"/>
      <c r="Z103" s="190"/>
    </row>
    <row r="104" ht="19.5" customHeight="1">
      <c r="A104" s="123"/>
      <c r="B104" s="165"/>
      <c r="C104" s="162"/>
      <c r="D104" s="142"/>
      <c r="E104" s="144"/>
      <c r="F104" s="144"/>
      <c r="G104" s="144"/>
      <c r="H104" s="144"/>
      <c r="I104" s="182"/>
      <c r="J104" s="144"/>
      <c r="K104" s="145"/>
      <c r="L104" s="150"/>
      <c r="M104" s="146"/>
      <c r="N104" s="146"/>
      <c r="O104" s="146"/>
      <c r="P104" s="146"/>
      <c r="Q104" s="146"/>
      <c r="R104" s="190"/>
      <c r="S104" s="190"/>
      <c r="T104" s="190"/>
      <c r="U104" s="190"/>
      <c r="V104" s="190"/>
      <c r="W104" s="190"/>
      <c r="X104" s="190"/>
      <c r="Y104" s="190"/>
      <c r="Z104" s="190"/>
    </row>
    <row r="105" ht="19.5" customHeight="1">
      <c r="A105" s="123"/>
      <c r="B105" s="165"/>
      <c r="C105" s="162"/>
      <c r="D105" s="142"/>
      <c r="E105" s="144"/>
      <c r="F105" s="144"/>
      <c r="G105" s="144"/>
      <c r="H105" s="144"/>
      <c r="I105" s="182"/>
      <c r="J105" s="144"/>
      <c r="K105" s="145"/>
      <c r="L105" s="150"/>
      <c r="M105" s="146"/>
      <c r="N105" s="146"/>
      <c r="O105" s="146"/>
      <c r="P105" s="146"/>
      <c r="Q105" s="146"/>
      <c r="R105" s="190"/>
      <c r="S105" s="190"/>
      <c r="T105" s="190"/>
      <c r="U105" s="190"/>
      <c r="V105" s="190"/>
      <c r="W105" s="190"/>
      <c r="X105" s="190"/>
      <c r="Y105" s="190"/>
      <c r="Z105" s="190"/>
    </row>
    <row r="106" ht="19.5" customHeight="1">
      <c r="A106" s="123"/>
      <c r="B106" s="165"/>
      <c r="C106" s="162"/>
      <c r="D106" s="142"/>
      <c r="E106" s="144"/>
      <c r="F106" s="144"/>
      <c r="G106" s="144"/>
      <c r="H106" s="144"/>
      <c r="I106" s="182"/>
      <c r="J106" s="144"/>
      <c r="K106" s="145"/>
      <c r="L106" s="150"/>
      <c r="M106" s="146"/>
      <c r="N106" s="146"/>
      <c r="O106" s="146"/>
      <c r="P106" s="146"/>
      <c r="Q106" s="146"/>
      <c r="R106" s="190"/>
      <c r="S106" s="190"/>
      <c r="T106" s="190"/>
      <c r="U106" s="190"/>
      <c r="V106" s="190"/>
      <c r="W106" s="190"/>
      <c r="X106" s="190"/>
      <c r="Y106" s="190"/>
      <c r="Z106" s="190"/>
    </row>
    <row r="107" ht="19.5" customHeight="1">
      <c r="A107" s="123"/>
      <c r="B107" s="165"/>
      <c r="C107" s="162"/>
      <c r="D107" s="142"/>
      <c r="E107" s="144"/>
      <c r="F107" s="144"/>
      <c r="G107" s="144"/>
      <c r="H107" s="144"/>
      <c r="I107" s="182"/>
      <c r="J107" s="144"/>
      <c r="K107" s="145"/>
      <c r="L107" s="150"/>
      <c r="M107" s="146"/>
      <c r="N107" s="146"/>
      <c r="O107" s="146"/>
      <c r="P107" s="146"/>
      <c r="Q107" s="146"/>
      <c r="R107" s="190"/>
      <c r="S107" s="190"/>
      <c r="T107" s="190"/>
      <c r="U107" s="190"/>
      <c r="V107" s="190"/>
      <c r="W107" s="190"/>
      <c r="X107" s="190"/>
      <c r="Y107" s="190"/>
      <c r="Z107" s="190"/>
    </row>
    <row r="108" ht="19.5" customHeight="1">
      <c r="A108" s="123"/>
      <c r="B108" s="165"/>
      <c r="C108" s="162"/>
      <c r="D108" s="142"/>
      <c r="E108" s="144"/>
      <c r="F108" s="144"/>
      <c r="G108" s="144"/>
      <c r="H108" s="144"/>
      <c r="I108" s="182"/>
      <c r="J108" s="144"/>
      <c r="K108" s="145"/>
      <c r="L108" s="150"/>
      <c r="M108" s="146"/>
      <c r="N108" s="146"/>
      <c r="O108" s="146"/>
      <c r="P108" s="146"/>
      <c r="Q108" s="146"/>
      <c r="R108" s="190"/>
      <c r="S108" s="190"/>
      <c r="T108" s="190"/>
      <c r="U108" s="190"/>
      <c r="V108" s="190"/>
      <c r="W108" s="190"/>
      <c r="X108" s="190"/>
      <c r="Y108" s="190"/>
      <c r="Z108" s="190"/>
    </row>
    <row r="109" ht="19.5" customHeight="1">
      <c r="A109" s="123"/>
      <c r="B109" s="165"/>
      <c r="C109" s="162"/>
      <c r="D109" s="142"/>
      <c r="E109" s="144"/>
      <c r="F109" s="144"/>
      <c r="G109" s="144"/>
      <c r="H109" s="144"/>
      <c r="I109" s="182"/>
      <c r="J109" s="144"/>
      <c r="K109" s="145"/>
      <c r="L109" s="150"/>
      <c r="M109" s="146"/>
      <c r="N109" s="146"/>
      <c r="O109" s="146"/>
      <c r="P109" s="146"/>
      <c r="Q109" s="146"/>
      <c r="R109" s="190"/>
      <c r="S109" s="190"/>
      <c r="T109" s="190"/>
      <c r="U109" s="190"/>
      <c r="V109" s="190"/>
      <c r="W109" s="190"/>
      <c r="X109" s="190"/>
      <c r="Y109" s="190"/>
      <c r="Z109" s="190"/>
    </row>
    <row r="110" ht="19.5" customHeight="1">
      <c r="A110" s="123"/>
      <c r="B110" s="165"/>
      <c r="C110" s="162"/>
      <c r="D110" s="142"/>
      <c r="E110" s="144"/>
      <c r="F110" s="144"/>
      <c r="G110" s="144"/>
      <c r="H110" s="144"/>
      <c r="I110" s="182"/>
      <c r="J110" s="144"/>
      <c r="K110" s="145"/>
      <c r="L110" s="150"/>
      <c r="M110" s="146"/>
      <c r="N110" s="146"/>
      <c r="O110" s="146"/>
      <c r="P110" s="146"/>
      <c r="Q110" s="146"/>
      <c r="R110" s="190"/>
      <c r="S110" s="190"/>
      <c r="T110" s="190"/>
      <c r="U110" s="190"/>
      <c r="V110" s="190"/>
      <c r="W110" s="190"/>
      <c r="X110" s="190"/>
      <c r="Y110" s="190"/>
      <c r="Z110" s="190"/>
    </row>
    <row r="111" ht="19.5" customHeight="1">
      <c r="A111" s="123"/>
      <c r="B111" s="165"/>
      <c r="C111" s="162"/>
      <c r="D111" s="142"/>
      <c r="E111" s="144"/>
      <c r="F111" s="144"/>
      <c r="G111" s="144"/>
      <c r="H111" s="144"/>
      <c r="I111" s="182"/>
      <c r="J111" s="144"/>
      <c r="K111" s="145"/>
      <c r="L111" s="150"/>
      <c r="M111" s="146"/>
      <c r="N111" s="146"/>
      <c r="O111" s="146"/>
      <c r="P111" s="146"/>
      <c r="Q111" s="146"/>
      <c r="R111" s="190"/>
      <c r="S111" s="190"/>
      <c r="T111" s="190"/>
      <c r="U111" s="190"/>
      <c r="V111" s="190"/>
      <c r="W111" s="190"/>
      <c r="X111" s="190"/>
      <c r="Y111" s="190"/>
      <c r="Z111" s="190"/>
    </row>
    <row r="112" ht="19.5" customHeight="1">
      <c r="A112" s="123"/>
      <c r="B112" s="165"/>
      <c r="C112" s="162"/>
      <c r="D112" s="142"/>
      <c r="E112" s="144"/>
      <c r="F112" s="144"/>
      <c r="G112" s="144"/>
      <c r="H112" s="144"/>
      <c r="I112" s="182"/>
      <c r="J112" s="144"/>
      <c r="K112" s="145"/>
      <c r="L112" s="150"/>
      <c r="M112" s="146"/>
      <c r="N112" s="146"/>
      <c r="O112" s="146"/>
      <c r="P112" s="146"/>
      <c r="Q112" s="146"/>
      <c r="R112" s="190"/>
      <c r="S112" s="190"/>
      <c r="T112" s="190"/>
      <c r="U112" s="190"/>
      <c r="V112" s="190"/>
      <c r="W112" s="190"/>
      <c r="X112" s="190"/>
      <c r="Y112" s="190"/>
      <c r="Z112" s="190"/>
    </row>
    <row r="113" ht="19.5" customHeight="1">
      <c r="A113" s="123"/>
      <c r="B113" s="165"/>
      <c r="C113" s="162"/>
      <c r="D113" s="142"/>
      <c r="E113" s="144"/>
      <c r="F113" s="144"/>
      <c r="G113" s="144"/>
      <c r="H113" s="144"/>
      <c r="I113" s="182"/>
      <c r="J113" s="144"/>
      <c r="K113" s="145"/>
      <c r="L113" s="150"/>
      <c r="M113" s="146"/>
      <c r="N113" s="146"/>
      <c r="O113" s="146"/>
      <c r="P113" s="146"/>
      <c r="Q113" s="146"/>
      <c r="R113" s="190"/>
      <c r="S113" s="190"/>
      <c r="T113" s="190"/>
      <c r="U113" s="190"/>
      <c r="V113" s="190"/>
      <c r="W113" s="190"/>
      <c r="X113" s="190"/>
      <c r="Y113" s="190"/>
      <c r="Z113" s="190"/>
    </row>
    <row r="114" ht="19.5" customHeight="1">
      <c r="A114" s="123"/>
      <c r="B114" s="165"/>
      <c r="C114" s="162"/>
      <c r="D114" s="142"/>
      <c r="E114" s="144"/>
      <c r="F114" s="144"/>
      <c r="G114" s="144"/>
      <c r="H114" s="144"/>
      <c r="I114" s="182"/>
      <c r="J114" s="144"/>
      <c r="K114" s="145"/>
      <c r="L114" s="150"/>
      <c r="M114" s="146"/>
      <c r="N114" s="146"/>
      <c r="O114" s="146"/>
      <c r="P114" s="146"/>
      <c r="Q114" s="146"/>
      <c r="R114" s="190"/>
      <c r="S114" s="190"/>
      <c r="T114" s="190"/>
      <c r="U114" s="190"/>
      <c r="V114" s="190"/>
      <c r="W114" s="190"/>
      <c r="X114" s="190"/>
      <c r="Y114" s="190"/>
      <c r="Z114" s="190"/>
    </row>
    <row r="115" ht="19.5" customHeight="1">
      <c r="A115" s="123"/>
      <c r="B115" s="165"/>
      <c r="C115" s="162"/>
      <c r="D115" s="142"/>
      <c r="E115" s="144"/>
      <c r="F115" s="144"/>
      <c r="G115" s="144"/>
      <c r="H115" s="144"/>
      <c r="I115" s="182"/>
      <c r="J115" s="144"/>
      <c r="K115" s="145"/>
      <c r="L115" s="150"/>
      <c r="M115" s="146"/>
      <c r="N115" s="146"/>
      <c r="O115" s="146"/>
      <c r="P115" s="146"/>
      <c r="Q115" s="146"/>
      <c r="R115" s="190"/>
      <c r="S115" s="190"/>
      <c r="T115" s="190"/>
      <c r="U115" s="190"/>
      <c r="V115" s="190"/>
      <c r="W115" s="190"/>
      <c r="X115" s="190"/>
      <c r="Y115" s="190"/>
      <c r="Z115" s="190"/>
    </row>
    <row r="116" ht="19.5" customHeight="1">
      <c r="A116" s="123"/>
      <c r="B116" s="165"/>
      <c r="C116" s="162"/>
      <c r="D116" s="142"/>
      <c r="E116" s="144"/>
      <c r="F116" s="144"/>
      <c r="G116" s="144"/>
      <c r="H116" s="144"/>
      <c r="I116" s="182"/>
      <c r="J116" s="144"/>
      <c r="K116" s="145"/>
      <c r="L116" s="150"/>
      <c r="M116" s="146"/>
      <c r="N116" s="146"/>
      <c r="O116" s="146"/>
      <c r="P116" s="146"/>
      <c r="Q116" s="146"/>
      <c r="R116" s="190"/>
      <c r="S116" s="190"/>
      <c r="T116" s="190"/>
      <c r="U116" s="190"/>
      <c r="V116" s="190"/>
      <c r="W116" s="190"/>
      <c r="X116" s="190"/>
      <c r="Y116" s="190"/>
      <c r="Z116" s="190"/>
    </row>
    <row r="117" ht="19.5" customHeight="1">
      <c r="A117" s="123"/>
      <c r="B117" s="165"/>
      <c r="C117" s="162"/>
      <c r="D117" s="142"/>
      <c r="E117" s="144"/>
      <c r="F117" s="144"/>
      <c r="G117" s="144"/>
      <c r="H117" s="144"/>
      <c r="I117" s="182"/>
      <c r="J117" s="144"/>
      <c r="K117" s="145"/>
      <c r="L117" s="150"/>
      <c r="M117" s="146"/>
      <c r="N117" s="146"/>
      <c r="O117" s="146"/>
      <c r="P117" s="146"/>
      <c r="Q117" s="146"/>
      <c r="R117" s="190"/>
      <c r="S117" s="190"/>
      <c r="T117" s="190"/>
      <c r="U117" s="190"/>
      <c r="V117" s="190"/>
      <c r="W117" s="190"/>
      <c r="X117" s="190"/>
      <c r="Y117" s="190"/>
      <c r="Z117" s="190"/>
    </row>
    <row r="118" ht="19.5" customHeight="1">
      <c r="A118" s="123"/>
      <c r="B118" s="165"/>
      <c r="C118" s="162"/>
      <c r="D118" s="142"/>
      <c r="E118" s="144"/>
      <c r="F118" s="144"/>
      <c r="G118" s="144"/>
      <c r="H118" s="144"/>
      <c r="I118" s="182"/>
      <c r="J118" s="144"/>
      <c r="K118" s="145"/>
      <c r="L118" s="150"/>
      <c r="M118" s="146"/>
      <c r="N118" s="146"/>
      <c r="O118" s="146"/>
      <c r="P118" s="146"/>
      <c r="Q118" s="146"/>
      <c r="R118" s="190"/>
      <c r="S118" s="190"/>
      <c r="T118" s="190"/>
      <c r="U118" s="190"/>
      <c r="V118" s="190"/>
      <c r="W118" s="190"/>
      <c r="X118" s="190"/>
      <c r="Y118" s="190"/>
      <c r="Z118" s="190"/>
    </row>
    <row r="119" ht="19.5" customHeight="1">
      <c r="A119" s="123"/>
      <c r="B119" s="165"/>
      <c r="C119" s="162"/>
      <c r="D119" s="142"/>
      <c r="E119" s="144"/>
      <c r="F119" s="144"/>
      <c r="G119" s="144"/>
      <c r="H119" s="144"/>
      <c r="I119" s="182"/>
      <c r="J119" s="144"/>
      <c r="K119" s="145"/>
      <c r="L119" s="150"/>
      <c r="M119" s="146"/>
      <c r="N119" s="146"/>
      <c r="O119" s="146"/>
      <c r="P119" s="146"/>
      <c r="Q119" s="146"/>
      <c r="R119" s="190"/>
      <c r="S119" s="190"/>
      <c r="T119" s="190"/>
      <c r="U119" s="190"/>
      <c r="V119" s="190"/>
      <c r="W119" s="190"/>
      <c r="X119" s="190"/>
      <c r="Y119" s="190"/>
      <c r="Z119" s="190"/>
    </row>
    <row r="120" ht="19.5" customHeight="1">
      <c r="A120" s="123"/>
      <c r="B120" s="165"/>
      <c r="C120" s="162"/>
      <c r="D120" s="142"/>
      <c r="E120" s="144"/>
      <c r="F120" s="144"/>
      <c r="G120" s="144"/>
      <c r="H120" s="144"/>
      <c r="I120" s="182"/>
      <c r="J120" s="144"/>
      <c r="K120" s="145"/>
      <c r="L120" s="150"/>
      <c r="M120" s="146"/>
      <c r="N120" s="146"/>
      <c r="O120" s="146"/>
      <c r="P120" s="146"/>
      <c r="Q120" s="146"/>
      <c r="R120" s="190"/>
      <c r="S120" s="190"/>
      <c r="T120" s="190"/>
      <c r="U120" s="190"/>
      <c r="V120" s="190"/>
      <c r="W120" s="190"/>
      <c r="X120" s="190"/>
      <c r="Y120" s="190"/>
      <c r="Z120" s="190"/>
    </row>
    <row r="121" ht="19.5" customHeight="1">
      <c r="A121" s="123"/>
      <c r="B121" s="165"/>
      <c r="C121" s="162"/>
      <c r="D121" s="142"/>
      <c r="E121" s="144"/>
      <c r="F121" s="144"/>
      <c r="G121" s="144"/>
      <c r="H121" s="144"/>
      <c r="I121" s="182"/>
      <c r="J121" s="144"/>
      <c r="K121" s="145"/>
      <c r="L121" s="150"/>
      <c r="M121" s="146"/>
      <c r="N121" s="146"/>
      <c r="O121" s="146"/>
      <c r="P121" s="146"/>
      <c r="Q121" s="146"/>
      <c r="R121" s="190"/>
      <c r="S121" s="190"/>
      <c r="T121" s="190"/>
      <c r="U121" s="190"/>
      <c r="V121" s="190"/>
      <c r="W121" s="190"/>
      <c r="X121" s="190"/>
      <c r="Y121" s="190"/>
      <c r="Z121" s="190"/>
    </row>
    <row r="122" ht="19.5" customHeight="1">
      <c r="A122" s="123"/>
      <c r="B122" s="165"/>
      <c r="C122" s="162"/>
      <c r="D122" s="142"/>
      <c r="E122" s="144"/>
      <c r="F122" s="144"/>
      <c r="G122" s="144"/>
      <c r="H122" s="144"/>
      <c r="I122" s="182"/>
      <c r="J122" s="144"/>
      <c r="K122" s="145"/>
      <c r="L122" s="150"/>
      <c r="M122" s="146"/>
      <c r="N122" s="146"/>
      <c r="O122" s="146"/>
      <c r="P122" s="146"/>
      <c r="Q122" s="146"/>
      <c r="R122" s="190"/>
      <c r="S122" s="190"/>
      <c r="T122" s="190"/>
      <c r="U122" s="190"/>
      <c r="V122" s="190"/>
      <c r="W122" s="190"/>
      <c r="X122" s="190"/>
      <c r="Y122" s="190"/>
      <c r="Z122" s="190"/>
    </row>
    <row r="123" ht="19.5" customHeight="1">
      <c r="A123" s="123"/>
      <c r="B123" s="165"/>
      <c r="C123" s="162"/>
      <c r="D123" s="142"/>
      <c r="E123" s="144"/>
      <c r="F123" s="144"/>
      <c r="G123" s="144"/>
      <c r="H123" s="144"/>
      <c r="I123" s="182"/>
      <c r="J123" s="144"/>
      <c r="K123" s="145"/>
      <c r="L123" s="150"/>
      <c r="M123" s="146"/>
      <c r="N123" s="146"/>
      <c r="O123" s="146"/>
      <c r="P123" s="146"/>
      <c r="Q123" s="146"/>
      <c r="R123" s="190"/>
      <c r="S123" s="190"/>
      <c r="T123" s="190"/>
      <c r="U123" s="190"/>
      <c r="V123" s="190"/>
      <c r="W123" s="190"/>
      <c r="X123" s="190"/>
      <c r="Y123" s="190"/>
      <c r="Z123" s="190"/>
    </row>
    <row r="124" ht="19.5" customHeight="1">
      <c r="A124" s="123"/>
      <c r="B124" s="165"/>
      <c r="C124" s="162"/>
      <c r="D124" s="142"/>
      <c r="E124" s="144"/>
      <c r="F124" s="144"/>
      <c r="G124" s="144"/>
      <c r="H124" s="144"/>
      <c r="I124" s="182"/>
      <c r="J124" s="144"/>
      <c r="K124" s="145"/>
      <c r="L124" s="150"/>
      <c r="M124" s="146"/>
      <c r="N124" s="146"/>
      <c r="O124" s="146"/>
      <c r="P124" s="146"/>
      <c r="Q124" s="146"/>
      <c r="R124" s="190"/>
      <c r="S124" s="190"/>
      <c r="T124" s="190"/>
      <c r="U124" s="190"/>
      <c r="V124" s="190"/>
      <c r="W124" s="190"/>
      <c r="X124" s="190"/>
      <c r="Y124" s="190"/>
      <c r="Z124" s="190"/>
    </row>
    <row r="125" ht="19.5" customHeight="1">
      <c r="A125" s="123"/>
      <c r="B125" s="165"/>
      <c r="C125" s="162"/>
      <c r="D125" s="142"/>
      <c r="E125" s="144"/>
      <c r="F125" s="144"/>
      <c r="G125" s="144"/>
      <c r="H125" s="144"/>
      <c r="I125" s="182"/>
      <c r="J125" s="144"/>
      <c r="K125" s="145"/>
      <c r="L125" s="150"/>
      <c r="M125" s="146"/>
      <c r="N125" s="146"/>
      <c r="O125" s="146"/>
      <c r="P125" s="146"/>
      <c r="Q125" s="146"/>
      <c r="R125" s="190"/>
      <c r="S125" s="190"/>
      <c r="T125" s="190"/>
      <c r="U125" s="190"/>
      <c r="V125" s="190"/>
      <c r="W125" s="190"/>
      <c r="X125" s="190"/>
      <c r="Y125" s="190"/>
      <c r="Z125" s="190"/>
    </row>
    <row r="126" ht="19.5" customHeight="1">
      <c r="A126" s="123"/>
      <c r="B126" s="165"/>
      <c r="C126" s="162"/>
      <c r="D126" s="142"/>
      <c r="E126" s="144"/>
      <c r="F126" s="144"/>
      <c r="G126" s="144"/>
      <c r="H126" s="144"/>
      <c r="I126" s="182"/>
      <c r="J126" s="144"/>
      <c r="K126" s="145"/>
      <c r="L126" s="150"/>
      <c r="M126" s="146"/>
      <c r="N126" s="146"/>
      <c r="O126" s="146"/>
      <c r="P126" s="146"/>
      <c r="Q126" s="146"/>
      <c r="R126" s="190"/>
      <c r="S126" s="190"/>
      <c r="T126" s="190"/>
      <c r="U126" s="190"/>
      <c r="V126" s="190"/>
      <c r="W126" s="190"/>
      <c r="X126" s="190"/>
      <c r="Y126" s="190"/>
      <c r="Z126" s="190"/>
    </row>
    <row r="127" ht="19.5" customHeight="1">
      <c r="A127" s="123"/>
      <c r="B127" s="165"/>
      <c r="C127" s="162"/>
      <c r="D127" s="142"/>
      <c r="E127" s="144"/>
      <c r="F127" s="144"/>
      <c r="G127" s="144"/>
      <c r="H127" s="144"/>
      <c r="I127" s="182"/>
      <c r="J127" s="144"/>
      <c r="K127" s="145"/>
      <c r="L127" s="150"/>
      <c r="M127" s="146"/>
      <c r="N127" s="146"/>
      <c r="O127" s="146"/>
      <c r="P127" s="146"/>
      <c r="Q127" s="146"/>
      <c r="R127" s="190"/>
      <c r="S127" s="190"/>
      <c r="T127" s="190"/>
      <c r="U127" s="190"/>
      <c r="V127" s="190"/>
      <c r="W127" s="190"/>
      <c r="X127" s="190"/>
      <c r="Y127" s="190"/>
      <c r="Z127" s="190"/>
    </row>
    <row r="128" ht="19.5" customHeight="1">
      <c r="A128" s="123"/>
      <c r="B128" s="165"/>
      <c r="C128" s="162"/>
      <c r="D128" s="142"/>
      <c r="E128" s="144"/>
      <c r="F128" s="144"/>
      <c r="G128" s="144"/>
      <c r="H128" s="144"/>
      <c r="I128" s="182"/>
      <c r="J128" s="144"/>
      <c r="K128" s="145"/>
      <c r="L128" s="150"/>
      <c r="M128" s="146"/>
      <c r="N128" s="146"/>
      <c r="O128" s="146"/>
      <c r="P128" s="146"/>
      <c r="Q128" s="146"/>
      <c r="R128" s="190"/>
      <c r="S128" s="190"/>
      <c r="T128" s="190"/>
      <c r="U128" s="190"/>
      <c r="V128" s="190"/>
      <c r="W128" s="190"/>
      <c r="X128" s="190"/>
      <c r="Y128" s="190"/>
      <c r="Z128" s="190"/>
    </row>
    <row r="129" ht="19.5" customHeight="1">
      <c r="A129" s="123"/>
      <c r="B129" s="165"/>
      <c r="C129" s="162"/>
      <c r="D129" s="142"/>
      <c r="E129" s="144"/>
      <c r="F129" s="144"/>
      <c r="G129" s="144"/>
      <c r="H129" s="144"/>
      <c r="I129" s="182"/>
      <c r="J129" s="144"/>
      <c r="K129" s="145"/>
      <c r="L129" s="150"/>
      <c r="M129" s="146"/>
      <c r="N129" s="146"/>
      <c r="O129" s="146"/>
      <c r="P129" s="146"/>
      <c r="Q129" s="146"/>
      <c r="R129" s="190"/>
      <c r="S129" s="190"/>
      <c r="T129" s="190"/>
      <c r="U129" s="190"/>
      <c r="V129" s="190"/>
      <c r="W129" s="190"/>
      <c r="X129" s="190"/>
      <c r="Y129" s="190"/>
      <c r="Z129" s="190"/>
    </row>
    <row r="130" ht="19.5" customHeight="1">
      <c r="A130" s="123"/>
      <c r="B130" s="165"/>
      <c r="C130" s="162"/>
      <c r="D130" s="142"/>
      <c r="E130" s="144"/>
      <c r="F130" s="144"/>
      <c r="G130" s="144"/>
      <c r="H130" s="144"/>
      <c r="I130" s="182"/>
      <c r="J130" s="144"/>
      <c r="K130" s="145"/>
      <c r="L130" s="150"/>
      <c r="M130" s="146"/>
      <c r="N130" s="146"/>
      <c r="O130" s="146"/>
      <c r="P130" s="146"/>
      <c r="Q130" s="146"/>
      <c r="R130" s="190"/>
      <c r="S130" s="190"/>
      <c r="T130" s="190"/>
      <c r="U130" s="190"/>
      <c r="V130" s="190"/>
      <c r="W130" s="190"/>
      <c r="X130" s="190"/>
      <c r="Y130" s="190"/>
      <c r="Z130" s="190"/>
    </row>
    <row r="131" ht="19.5" customHeight="1">
      <c r="A131" s="123"/>
      <c r="B131" s="165"/>
      <c r="C131" s="162"/>
      <c r="D131" s="142"/>
      <c r="E131" s="144"/>
      <c r="F131" s="144"/>
      <c r="G131" s="144"/>
      <c r="H131" s="144"/>
      <c r="I131" s="182"/>
      <c r="J131" s="144"/>
      <c r="K131" s="145"/>
      <c r="L131" s="150"/>
      <c r="M131" s="146"/>
      <c r="N131" s="146"/>
      <c r="O131" s="146"/>
      <c r="P131" s="146"/>
      <c r="Q131" s="146"/>
      <c r="R131" s="190"/>
      <c r="S131" s="190"/>
      <c r="T131" s="190"/>
      <c r="U131" s="190"/>
      <c r="V131" s="190"/>
      <c r="W131" s="190"/>
      <c r="X131" s="190"/>
      <c r="Y131" s="190"/>
      <c r="Z131" s="190"/>
    </row>
    <row r="132" ht="19.5" customHeight="1">
      <c r="A132" s="123"/>
      <c r="B132" s="165"/>
      <c r="C132" s="162"/>
      <c r="D132" s="142"/>
      <c r="E132" s="144"/>
      <c r="F132" s="144"/>
      <c r="G132" s="144"/>
      <c r="H132" s="144"/>
      <c r="I132" s="182"/>
      <c r="J132" s="144"/>
      <c r="K132" s="145"/>
      <c r="L132" s="150"/>
      <c r="M132" s="146"/>
      <c r="N132" s="146"/>
      <c r="O132" s="146"/>
      <c r="P132" s="146"/>
      <c r="Q132" s="146"/>
      <c r="R132" s="190"/>
      <c r="S132" s="190"/>
      <c r="T132" s="190"/>
      <c r="U132" s="190"/>
      <c r="V132" s="190"/>
      <c r="W132" s="190"/>
      <c r="X132" s="190"/>
      <c r="Y132" s="190"/>
      <c r="Z132" s="190"/>
    </row>
    <row r="133" ht="19.5" customHeight="1">
      <c r="A133" s="123"/>
      <c r="B133" s="165"/>
      <c r="C133" s="162"/>
      <c r="D133" s="142"/>
      <c r="E133" s="144"/>
      <c r="F133" s="144"/>
      <c r="G133" s="144"/>
      <c r="H133" s="144"/>
      <c r="I133" s="182"/>
      <c r="J133" s="144"/>
      <c r="K133" s="145"/>
      <c r="L133" s="150"/>
      <c r="M133" s="146"/>
      <c r="N133" s="146"/>
      <c r="O133" s="146"/>
      <c r="P133" s="146"/>
      <c r="Q133" s="146"/>
      <c r="R133" s="190"/>
      <c r="S133" s="190"/>
      <c r="T133" s="190"/>
      <c r="U133" s="190"/>
      <c r="V133" s="190"/>
      <c r="W133" s="190"/>
      <c r="X133" s="190"/>
      <c r="Y133" s="190"/>
      <c r="Z133" s="190"/>
    </row>
    <row r="134" ht="19.5" customHeight="1">
      <c r="A134" s="123"/>
      <c r="B134" s="165"/>
      <c r="C134" s="162"/>
      <c r="D134" s="142"/>
      <c r="E134" s="144"/>
      <c r="F134" s="144"/>
      <c r="G134" s="144"/>
      <c r="H134" s="144"/>
      <c r="I134" s="182"/>
      <c r="J134" s="144"/>
      <c r="K134" s="145"/>
      <c r="L134" s="150"/>
      <c r="M134" s="146"/>
      <c r="N134" s="146"/>
      <c r="O134" s="146"/>
      <c r="P134" s="146"/>
      <c r="Q134" s="146"/>
      <c r="R134" s="190"/>
      <c r="S134" s="190"/>
      <c r="T134" s="190"/>
      <c r="U134" s="190"/>
      <c r="V134" s="190"/>
      <c r="W134" s="190"/>
      <c r="X134" s="190"/>
      <c r="Y134" s="190"/>
      <c r="Z134" s="190"/>
    </row>
    <row r="135" ht="19.5" customHeight="1">
      <c r="A135" s="123"/>
      <c r="B135" s="165"/>
      <c r="C135" s="162"/>
      <c r="D135" s="142"/>
      <c r="E135" s="144"/>
      <c r="F135" s="144"/>
      <c r="G135" s="144"/>
      <c r="H135" s="144"/>
      <c r="I135" s="182"/>
      <c r="J135" s="144"/>
      <c r="K135" s="145"/>
      <c r="L135" s="150"/>
      <c r="M135" s="146"/>
      <c r="N135" s="146"/>
      <c r="O135" s="146"/>
      <c r="P135" s="146"/>
      <c r="Q135" s="146"/>
      <c r="R135" s="190"/>
      <c r="S135" s="190"/>
      <c r="T135" s="190"/>
      <c r="U135" s="190"/>
      <c r="V135" s="190"/>
      <c r="W135" s="190"/>
      <c r="X135" s="190"/>
      <c r="Y135" s="190"/>
      <c r="Z135" s="190"/>
    </row>
    <row r="136" ht="19.5" customHeight="1">
      <c r="A136" s="123"/>
      <c r="B136" s="165"/>
      <c r="C136" s="162"/>
      <c r="D136" s="142"/>
      <c r="E136" s="144"/>
      <c r="F136" s="144"/>
      <c r="G136" s="144"/>
      <c r="H136" s="144"/>
      <c r="I136" s="182"/>
      <c r="J136" s="144"/>
      <c r="K136" s="145"/>
      <c r="L136" s="150"/>
      <c r="M136" s="146"/>
      <c r="N136" s="146"/>
      <c r="O136" s="146"/>
      <c r="P136" s="146"/>
      <c r="Q136" s="146"/>
      <c r="R136" s="190"/>
      <c r="S136" s="190"/>
      <c r="T136" s="190"/>
      <c r="U136" s="190"/>
      <c r="V136" s="190"/>
      <c r="W136" s="190"/>
      <c r="X136" s="190"/>
      <c r="Y136" s="190"/>
      <c r="Z136" s="190"/>
    </row>
    <row r="137" ht="19.5" customHeight="1">
      <c r="A137" s="123"/>
      <c r="B137" s="165"/>
      <c r="C137" s="162"/>
      <c r="D137" s="142"/>
      <c r="E137" s="144"/>
      <c r="F137" s="144"/>
      <c r="G137" s="144"/>
      <c r="H137" s="144"/>
      <c r="I137" s="182"/>
      <c r="J137" s="144"/>
      <c r="K137" s="145"/>
      <c r="L137" s="150"/>
      <c r="M137" s="146"/>
      <c r="N137" s="146"/>
      <c r="O137" s="146"/>
      <c r="P137" s="146"/>
      <c r="Q137" s="146"/>
      <c r="R137" s="190"/>
      <c r="S137" s="190"/>
      <c r="T137" s="190"/>
      <c r="U137" s="190"/>
      <c r="V137" s="190"/>
      <c r="W137" s="190"/>
      <c r="X137" s="190"/>
      <c r="Y137" s="190"/>
      <c r="Z137" s="190"/>
    </row>
    <row r="138" ht="19.5" customHeight="1">
      <c r="A138" s="123"/>
      <c r="B138" s="165"/>
      <c r="C138" s="162"/>
      <c r="D138" s="142"/>
      <c r="E138" s="144"/>
      <c r="F138" s="144"/>
      <c r="G138" s="144"/>
      <c r="H138" s="144"/>
      <c r="I138" s="182"/>
      <c r="J138" s="144"/>
      <c r="K138" s="145"/>
      <c r="L138" s="150"/>
      <c r="M138" s="146"/>
      <c r="N138" s="146"/>
      <c r="O138" s="146"/>
      <c r="P138" s="146"/>
      <c r="Q138" s="146"/>
      <c r="R138" s="190"/>
      <c r="S138" s="190"/>
      <c r="T138" s="190"/>
      <c r="U138" s="190"/>
      <c r="V138" s="190"/>
      <c r="W138" s="190"/>
      <c r="X138" s="190"/>
      <c r="Y138" s="190"/>
      <c r="Z138" s="190"/>
    </row>
    <row r="139" ht="19.5" customHeight="1">
      <c r="A139" s="123"/>
      <c r="B139" s="165"/>
      <c r="C139" s="162"/>
      <c r="D139" s="142"/>
      <c r="E139" s="144"/>
      <c r="F139" s="144"/>
      <c r="G139" s="144"/>
      <c r="H139" s="144"/>
      <c r="I139" s="182"/>
      <c r="J139" s="144"/>
      <c r="K139" s="145"/>
      <c r="L139" s="150"/>
      <c r="M139" s="146"/>
      <c r="N139" s="146"/>
      <c r="O139" s="146"/>
      <c r="P139" s="146"/>
      <c r="Q139" s="146"/>
      <c r="R139" s="190"/>
      <c r="S139" s="190"/>
      <c r="T139" s="190"/>
      <c r="U139" s="190"/>
      <c r="V139" s="190"/>
      <c r="W139" s="190"/>
      <c r="X139" s="190"/>
      <c r="Y139" s="190"/>
      <c r="Z139" s="190"/>
    </row>
    <row r="140" ht="19.5" customHeight="1">
      <c r="A140" s="123"/>
      <c r="B140" s="165"/>
      <c r="C140" s="162"/>
      <c r="D140" s="142"/>
      <c r="E140" s="144"/>
      <c r="F140" s="144"/>
      <c r="G140" s="144"/>
      <c r="H140" s="144"/>
      <c r="I140" s="182"/>
      <c r="J140" s="144"/>
      <c r="K140" s="145"/>
      <c r="L140" s="150"/>
      <c r="M140" s="146"/>
      <c r="N140" s="146"/>
      <c r="O140" s="146"/>
      <c r="P140" s="146"/>
      <c r="Q140" s="146"/>
      <c r="R140" s="190"/>
      <c r="S140" s="190"/>
      <c r="T140" s="190"/>
      <c r="U140" s="190"/>
      <c r="V140" s="190"/>
      <c r="W140" s="190"/>
      <c r="X140" s="190"/>
      <c r="Y140" s="190"/>
      <c r="Z140" s="190"/>
    </row>
    <row r="141" ht="19.5" customHeight="1">
      <c r="A141" s="123"/>
      <c r="B141" s="165"/>
      <c r="C141" s="162"/>
      <c r="D141" s="142"/>
      <c r="E141" s="144"/>
      <c r="F141" s="144"/>
      <c r="G141" s="144"/>
      <c r="H141" s="144"/>
      <c r="I141" s="182"/>
      <c r="J141" s="144"/>
      <c r="K141" s="145"/>
      <c r="L141" s="150"/>
      <c r="M141" s="146"/>
      <c r="N141" s="146"/>
      <c r="O141" s="146"/>
      <c r="P141" s="146"/>
      <c r="Q141" s="146"/>
      <c r="R141" s="190"/>
      <c r="S141" s="190"/>
      <c r="T141" s="190"/>
      <c r="U141" s="190"/>
      <c r="V141" s="190"/>
      <c r="W141" s="190"/>
      <c r="X141" s="190"/>
      <c r="Y141" s="190"/>
      <c r="Z141" s="190"/>
    </row>
    <row r="142" ht="19.5" customHeight="1">
      <c r="A142" s="123"/>
      <c r="B142" s="165"/>
      <c r="C142" s="162"/>
      <c r="D142" s="142"/>
      <c r="E142" s="144"/>
      <c r="F142" s="144"/>
      <c r="G142" s="144"/>
      <c r="H142" s="144"/>
      <c r="I142" s="182"/>
      <c r="J142" s="144"/>
      <c r="K142" s="145"/>
      <c r="L142" s="150"/>
      <c r="M142" s="146"/>
      <c r="N142" s="146"/>
      <c r="O142" s="146"/>
      <c r="P142" s="146"/>
      <c r="Q142" s="146"/>
      <c r="R142" s="190"/>
      <c r="S142" s="190"/>
      <c r="T142" s="190"/>
      <c r="U142" s="190"/>
      <c r="V142" s="190"/>
      <c r="W142" s="190"/>
      <c r="X142" s="190"/>
      <c r="Y142" s="190"/>
      <c r="Z142" s="190"/>
    </row>
    <row r="143" ht="19.5" customHeight="1">
      <c r="A143" s="123"/>
      <c r="B143" s="165"/>
      <c r="C143" s="162"/>
      <c r="D143" s="142"/>
      <c r="E143" s="144"/>
      <c r="F143" s="144"/>
      <c r="G143" s="144"/>
      <c r="H143" s="144"/>
      <c r="I143" s="182"/>
      <c r="J143" s="144"/>
      <c r="K143" s="145"/>
      <c r="L143" s="150"/>
      <c r="M143" s="146"/>
      <c r="N143" s="146"/>
      <c r="O143" s="146"/>
      <c r="P143" s="146"/>
      <c r="Q143" s="146"/>
      <c r="R143" s="190"/>
      <c r="S143" s="190"/>
      <c r="T143" s="190"/>
      <c r="U143" s="190"/>
      <c r="V143" s="190"/>
      <c r="W143" s="190"/>
      <c r="X143" s="190"/>
      <c r="Y143" s="190"/>
      <c r="Z143" s="190"/>
    </row>
    <row r="144" ht="19.5" customHeight="1">
      <c r="A144" s="123"/>
      <c r="B144" s="165"/>
      <c r="C144" s="162"/>
      <c r="D144" s="142"/>
      <c r="E144" s="144"/>
      <c r="F144" s="144"/>
      <c r="G144" s="144"/>
      <c r="H144" s="144"/>
      <c r="I144" s="182"/>
      <c r="J144" s="144"/>
      <c r="K144" s="145"/>
      <c r="L144" s="150"/>
      <c r="M144" s="146"/>
      <c r="N144" s="146"/>
      <c r="O144" s="146"/>
      <c r="P144" s="146"/>
      <c r="Q144" s="146"/>
      <c r="R144" s="190"/>
      <c r="S144" s="190"/>
      <c r="T144" s="190"/>
      <c r="U144" s="190"/>
      <c r="V144" s="190"/>
      <c r="W144" s="190"/>
      <c r="X144" s="190"/>
      <c r="Y144" s="190"/>
      <c r="Z144" s="190"/>
    </row>
    <row r="145" ht="19.5" customHeight="1">
      <c r="A145" s="123"/>
      <c r="B145" s="165"/>
      <c r="C145" s="162"/>
      <c r="D145" s="142"/>
      <c r="E145" s="144"/>
      <c r="F145" s="144"/>
      <c r="G145" s="144"/>
      <c r="H145" s="144"/>
      <c r="I145" s="182"/>
      <c r="J145" s="144"/>
      <c r="K145" s="145"/>
      <c r="L145" s="150"/>
      <c r="M145" s="146"/>
      <c r="N145" s="146"/>
      <c r="O145" s="146"/>
      <c r="P145" s="146"/>
      <c r="Q145" s="146"/>
      <c r="R145" s="190"/>
      <c r="S145" s="190"/>
      <c r="T145" s="190"/>
      <c r="U145" s="190"/>
      <c r="V145" s="190"/>
      <c r="W145" s="190"/>
      <c r="X145" s="190"/>
      <c r="Y145" s="190"/>
      <c r="Z145" s="190"/>
    </row>
    <row r="146" ht="19.5" customHeight="1">
      <c r="A146" s="123"/>
      <c r="B146" s="165"/>
      <c r="C146" s="162"/>
      <c r="D146" s="142"/>
      <c r="E146" s="144"/>
      <c r="F146" s="144"/>
      <c r="G146" s="144"/>
      <c r="H146" s="144"/>
      <c r="I146" s="182"/>
      <c r="J146" s="144"/>
      <c r="K146" s="145"/>
      <c r="L146" s="150"/>
      <c r="M146" s="146"/>
      <c r="N146" s="146"/>
      <c r="O146" s="146"/>
      <c r="P146" s="146"/>
      <c r="Q146" s="146"/>
      <c r="R146" s="190"/>
      <c r="S146" s="190"/>
      <c r="T146" s="190"/>
      <c r="U146" s="190"/>
      <c r="V146" s="190"/>
      <c r="W146" s="190"/>
      <c r="X146" s="190"/>
      <c r="Y146" s="190"/>
      <c r="Z146" s="190"/>
    </row>
    <row r="147" ht="19.5" customHeight="1">
      <c r="A147" s="123"/>
      <c r="B147" s="165"/>
      <c r="C147" s="162"/>
      <c r="D147" s="142"/>
      <c r="E147" s="144"/>
      <c r="F147" s="144"/>
      <c r="G147" s="144"/>
      <c r="H147" s="144"/>
      <c r="I147" s="182"/>
      <c r="J147" s="144"/>
      <c r="K147" s="145"/>
      <c r="L147" s="150"/>
      <c r="M147" s="146"/>
      <c r="N147" s="146"/>
      <c r="O147" s="146"/>
      <c r="P147" s="146"/>
      <c r="Q147" s="146"/>
      <c r="R147" s="190"/>
      <c r="S147" s="190"/>
      <c r="T147" s="190"/>
      <c r="U147" s="190"/>
      <c r="V147" s="190"/>
      <c r="W147" s="190"/>
      <c r="X147" s="190"/>
      <c r="Y147" s="190"/>
      <c r="Z147" s="190"/>
    </row>
    <row r="148" ht="19.5" customHeight="1">
      <c r="A148" s="123"/>
      <c r="B148" s="165"/>
      <c r="C148" s="162"/>
      <c r="D148" s="142"/>
      <c r="E148" s="144"/>
      <c r="F148" s="144"/>
      <c r="G148" s="144"/>
      <c r="H148" s="144"/>
      <c r="I148" s="182"/>
      <c r="J148" s="144"/>
      <c r="K148" s="145"/>
      <c r="L148" s="150"/>
      <c r="M148" s="146"/>
      <c r="N148" s="146"/>
      <c r="O148" s="146"/>
      <c r="P148" s="146"/>
      <c r="Q148" s="146"/>
      <c r="R148" s="190"/>
      <c r="S148" s="190"/>
      <c r="T148" s="190"/>
      <c r="U148" s="190"/>
      <c r="V148" s="190"/>
      <c r="W148" s="190"/>
      <c r="X148" s="190"/>
      <c r="Y148" s="190"/>
      <c r="Z148" s="190"/>
    </row>
    <row r="149" ht="19.5" customHeight="1">
      <c r="A149" s="123"/>
      <c r="B149" s="165"/>
      <c r="C149" s="162"/>
      <c r="D149" s="142"/>
      <c r="E149" s="144"/>
      <c r="F149" s="144"/>
      <c r="G149" s="144"/>
      <c r="H149" s="144"/>
      <c r="I149" s="182"/>
      <c r="J149" s="144"/>
      <c r="K149" s="145"/>
      <c r="L149" s="150"/>
      <c r="M149" s="146"/>
      <c r="N149" s="146"/>
      <c r="O149" s="146"/>
      <c r="P149" s="146"/>
      <c r="Q149" s="146"/>
      <c r="R149" s="190"/>
      <c r="S149" s="190"/>
      <c r="T149" s="190"/>
      <c r="U149" s="190"/>
      <c r="V149" s="190"/>
      <c r="W149" s="190"/>
      <c r="X149" s="190"/>
      <c r="Y149" s="190"/>
      <c r="Z149" s="190"/>
    </row>
    <row r="150" ht="19.5" customHeight="1">
      <c r="A150" s="123"/>
      <c r="B150" s="165"/>
      <c r="C150" s="162"/>
      <c r="D150" s="142"/>
      <c r="E150" s="144"/>
      <c r="F150" s="144"/>
      <c r="G150" s="144"/>
      <c r="H150" s="144"/>
      <c r="I150" s="182"/>
      <c r="J150" s="144"/>
      <c r="K150" s="145"/>
      <c r="L150" s="150"/>
      <c r="M150" s="146"/>
      <c r="N150" s="146"/>
      <c r="O150" s="146"/>
      <c r="P150" s="146"/>
      <c r="Q150" s="146"/>
      <c r="R150" s="190"/>
      <c r="S150" s="190"/>
      <c r="T150" s="190"/>
      <c r="U150" s="190"/>
      <c r="V150" s="190"/>
      <c r="W150" s="190"/>
      <c r="X150" s="190"/>
      <c r="Y150" s="190"/>
      <c r="Z150" s="190"/>
    </row>
    <row r="151" ht="19.5" customHeight="1">
      <c r="A151" s="123"/>
      <c r="B151" s="165"/>
      <c r="C151" s="162"/>
      <c r="D151" s="142"/>
      <c r="E151" s="144"/>
      <c r="F151" s="144"/>
      <c r="G151" s="144"/>
      <c r="H151" s="144"/>
      <c r="I151" s="182"/>
      <c r="J151" s="144"/>
      <c r="K151" s="145"/>
      <c r="L151" s="150"/>
      <c r="M151" s="146"/>
      <c r="N151" s="146"/>
      <c r="O151" s="146"/>
      <c r="P151" s="146"/>
      <c r="Q151" s="146"/>
      <c r="R151" s="190"/>
      <c r="S151" s="190"/>
      <c r="T151" s="190"/>
      <c r="U151" s="190"/>
      <c r="V151" s="190"/>
      <c r="W151" s="190"/>
      <c r="X151" s="190"/>
      <c r="Y151" s="190"/>
      <c r="Z151" s="190"/>
    </row>
    <row r="152" ht="19.5" customHeight="1">
      <c r="A152" s="123"/>
      <c r="B152" s="165"/>
      <c r="C152" s="162"/>
      <c r="D152" s="142"/>
      <c r="E152" s="144"/>
      <c r="F152" s="144"/>
      <c r="G152" s="144"/>
      <c r="H152" s="144"/>
      <c r="I152" s="182"/>
      <c r="J152" s="144"/>
      <c r="K152" s="145"/>
      <c r="L152" s="150"/>
      <c r="M152" s="146"/>
      <c r="N152" s="146"/>
      <c r="O152" s="146"/>
      <c r="P152" s="146"/>
      <c r="Q152" s="146"/>
      <c r="R152" s="190"/>
      <c r="S152" s="190"/>
      <c r="T152" s="190"/>
      <c r="U152" s="190"/>
      <c r="V152" s="190"/>
      <c r="W152" s="190"/>
      <c r="X152" s="190"/>
      <c r="Y152" s="190"/>
      <c r="Z152" s="190"/>
    </row>
    <row r="153" ht="19.5" customHeight="1">
      <c r="A153" s="123"/>
      <c r="B153" s="165"/>
      <c r="C153" s="162"/>
      <c r="D153" s="142"/>
      <c r="E153" s="144"/>
      <c r="F153" s="144"/>
      <c r="G153" s="144"/>
      <c r="H153" s="144"/>
      <c r="I153" s="182"/>
      <c r="J153" s="144"/>
      <c r="K153" s="145"/>
      <c r="L153" s="150"/>
      <c r="M153" s="146"/>
      <c r="N153" s="146"/>
      <c r="O153" s="146"/>
      <c r="P153" s="146"/>
      <c r="Q153" s="146"/>
      <c r="R153" s="190"/>
      <c r="S153" s="190"/>
      <c r="T153" s="190"/>
      <c r="U153" s="190"/>
      <c r="V153" s="190"/>
      <c r="W153" s="190"/>
      <c r="X153" s="190"/>
      <c r="Y153" s="190"/>
      <c r="Z153" s="190"/>
    </row>
    <row r="154" ht="19.5" customHeight="1">
      <c r="A154" s="123"/>
      <c r="B154" s="165"/>
      <c r="C154" s="162"/>
      <c r="D154" s="142"/>
      <c r="E154" s="144"/>
      <c r="F154" s="144"/>
      <c r="G154" s="144"/>
      <c r="H154" s="144"/>
      <c r="I154" s="182"/>
      <c r="J154" s="144"/>
      <c r="K154" s="145"/>
      <c r="L154" s="150"/>
      <c r="M154" s="146"/>
      <c r="N154" s="146"/>
      <c r="O154" s="146"/>
      <c r="P154" s="146"/>
      <c r="Q154" s="146"/>
      <c r="R154" s="190"/>
      <c r="S154" s="190"/>
      <c r="T154" s="190"/>
      <c r="U154" s="190"/>
      <c r="V154" s="190"/>
      <c r="W154" s="190"/>
      <c r="X154" s="190"/>
      <c r="Y154" s="190"/>
      <c r="Z154" s="190"/>
    </row>
    <row r="155" ht="19.5" customHeight="1">
      <c r="A155" s="123"/>
      <c r="B155" s="165"/>
      <c r="C155" s="162"/>
      <c r="D155" s="142"/>
      <c r="E155" s="144"/>
      <c r="F155" s="144"/>
      <c r="G155" s="144"/>
      <c r="H155" s="144"/>
      <c r="I155" s="182"/>
      <c r="J155" s="144"/>
      <c r="K155" s="145"/>
      <c r="L155" s="150"/>
      <c r="M155" s="146"/>
      <c r="N155" s="146"/>
      <c r="O155" s="146"/>
      <c r="P155" s="146"/>
      <c r="Q155" s="146"/>
      <c r="R155" s="190"/>
      <c r="S155" s="190"/>
      <c r="T155" s="190"/>
      <c r="U155" s="190"/>
      <c r="V155" s="190"/>
      <c r="W155" s="190"/>
      <c r="X155" s="190"/>
      <c r="Y155" s="190"/>
      <c r="Z155" s="190"/>
    </row>
    <row r="156" ht="19.5" customHeight="1">
      <c r="A156" s="123"/>
      <c r="B156" s="165"/>
      <c r="C156" s="162"/>
      <c r="D156" s="142"/>
      <c r="E156" s="144"/>
      <c r="F156" s="144"/>
      <c r="G156" s="144"/>
      <c r="H156" s="144"/>
      <c r="I156" s="182"/>
      <c r="J156" s="144"/>
      <c r="K156" s="145"/>
      <c r="L156" s="150"/>
      <c r="M156" s="146"/>
      <c r="N156" s="146"/>
      <c r="O156" s="146"/>
      <c r="P156" s="146"/>
      <c r="Q156" s="146"/>
      <c r="R156" s="190"/>
      <c r="S156" s="190"/>
      <c r="T156" s="190"/>
      <c r="U156" s="190"/>
      <c r="V156" s="190"/>
      <c r="W156" s="190"/>
      <c r="X156" s="190"/>
      <c r="Y156" s="190"/>
      <c r="Z156" s="190"/>
    </row>
    <row r="157" ht="19.5" customHeight="1">
      <c r="A157" s="123"/>
      <c r="B157" s="165"/>
      <c r="C157" s="162"/>
      <c r="D157" s="142"/>
      <c r="E157" s="144"/>
      <c r="F157" s="144"/>
      <c r="G157" s="144"/>
      <c r="H157" s="144"/>
      <c r="I157" s="182"/>
      <c r="J157" s="144"/>
      <c r="K157" s="145"/>
      <c r="L157" s="150"/>
      <c r="M157" s="146"/>
      <c r="N157" s="146"/>
      <c r="O157" s="146"/>
      <c r="P157" s="146"/>
      <c r="Q157" s="146"/>
      <c r="R157" s="190"/>
      <c r="S157" s="190"/>
      <c r="T157" s="190"/>
      <c r="U157" s="190"/>
      <c r="V157" s="190"/>
      <c r="W157" s="190"/>
      <c r="X157" s="190"/>
      <c r="Y157" s="190"/>
      <c r="Z157" s="190"/>
    </row>
    <row r="158" ht="19.5" customHeight="1">
      <c r="A158" s="123"/>
      <c r="B158" s="165"/>
      <c r="C158" s="162"/>
      <c r="D158" s="142"/>
      <c r="E158" s="144"/>
      <c r="F158" s="144"/>
      <c r="G158" s="144"/>
      <c r="H158" s="144"/>
      <c r="I158" s="182"/>
      <c r="J158" s="144"/>
      <c r="K158" s="145"/>
      <c r="L158" s="150"/>
      <c r="M158" s="146"/>
      <c r="N158" s="146"/>
      <c r="O158" s="146"/>
      <c r="P158" s="146"/>
      <c r="Q158" s="146"/>
      <c r="R158" s="190"/>
      <c r="S158" s="190"/>
      <c r="T158" s="190"/>
      <c r="U158" s="190"/>
      <c r="V158" s="190"/>
      <c r="W158" s="190"/>
      <c r="X158" s="190"/>
      <c r="Y158" s="190"/>
      <c r="Z158" s="190"/>
    </row>
    <row r="159" ht="19.5" customHeight="1">
      <c r="A159" s="123"/>
      <c r="B159" s="165"/>
      <c r="C159" s="162"/>
      <c r="D159" s="142"/>
      <c r="E159" s="144"/>
      <c r="F159" s="144"/>
      <c r="G159" s="144"/>
      <c r="H159" s="144"/>
      <c r="I159" s="182"/>
      <c r="J159" s="144"/>
      <c r="K159" s="145"/>
      <c r="L159" s="150"/>
      <c r="M159" s="146"/>
      <c r="N159" s="146"/>
      <c r="O159" s="146"/>
      <c r="P159" s="146"/>
      <c r="Q159" s="146"/>
      <c r="R159" s="190"/>
      <c r="S159" s="190"/>
      <c r="T159" s="190"/>
      <c r="U159" s="190"/>
      <c r="V159" s="190"/>
      <c r="W159" s="190"/>
      <c r="X159" s="190"/>
      <c r="Y159" s="190"/>
      <c r="Z159" s="190"/>
    </row>
    <row r="160" ht="19.5" customHeight="1">
      <c r="A160" s="123"/>
      <c r="B160" s="165"/>
      <c r="C160" s="162"/>
      <c r="D160" s="142"/>
      <c r="E160" s="144"/>
      <c r="F160" s="144"/>
      <c r="G160" s="144"/>
      <c r="H160" s="144"/>
      <c r="I160" s="182"/>
      <c r="J160" s="144"/>
      <c r="K160" s="145"/>
      <c r="L160" s="150"/>
      <c r="M160" s="146"/>
      <c r="N160" s="146"/>
      <c r="O160" s="146"/>
      <c r="P160" s="146"/>
      <c r="Q160" s="146"/>
      <c r="R160" s="190"/>
      <c r="S160" s="190"/>
      <c r="T160" s="190"/>
      <c r="U160" s="190"/>
      <c r="V160" s="190"/>
      <c r="W160" s="190"/>
      <c r="X160" s="190"/>
      <c r="Y160" s="190"/>
      <c r="Z160" s="190"/>
    </row>
    <row r="161" ht="19.5" customHeight="1">
      <c r="A161" s="123"/>
      <c r="B161" s="165"/>
      <c r="C161" s="162"/>
      <c r="D161" s="142"/>
      <c r="E161" s="144"/>
      <c r="F161" s="144"/>
      <c r="G161" s="144"/>
      <c r="H161" s="144"/>
      <c r="I161" s="182"/>
      <c r="J161" s="144"/>
      <c r="K161" s="145"/>
      <c r="L161" s="150"/>
      <c r="M161" s="146"/>
      <c r="N161" s="146"/>
      <c r="O161" s="146"/>
      <c r="P161" s="146"/>
      <c r="Q161" s="146"/>
      <c r="R161" s="190"/>
      <c r="S161" s="190"/>
      <c r="T161" s="190"/>
      <c r="U161" s="190"/>
      <c r="V161" s="190"/>
      <c r="W161" s="190"/>
      <c r="X161" s="190"/>
      <c r="Y161" s="190"/>
      <c r="Z161" s="190"/>
    </row>
    <row r="162" ht="19.5" customHeight="1">
      <c r="A162" s="123"/>
      <c r="B162" s="165"/>
      <c r="C162" s="162"/>
      <c r="D162" s="142"/>
      <c r="E162" s="144"/>
      <c r="F162" s="144"/>
      <c r="G162" s="144"/>
      <c r="H162" s="144"/>
      <c r="I162" s="182"/>
      <c r="J162" s="144"/>
      <c r="K162" s="145"/>
      <c r="L162" s="150"/>
      <c r="M162" s="146"/>
      <c r="N162" s="146"/>
      <c r="O162" s="146"/>
      <c r="P162" s="146"/>
      <c r="Q162" s="146"/>
      <c r="R162" s="190"/>
      <c r="S162" s="190"/>
      <c r="T162" s="190"/>
      <c r="U162" s="190"/>
      <c r="V162" s="190"/>
      <c r="W162" s="190"/>
      <c r="X162" s="190"/>
      <c r="Y162" s="190"/>
      <c r="Z162" s="190"/>
    </row>
    <row r="163" ht="19.5" customHeight="1">
      <c r="A163" s="123"/>
      <c r="B163" s="165"/>
      <c r="C163" s="162"/>
      <c r="D163" s="142"/>
      <c r="E163" s="144"/>
      <c r="F163" s="144"/>
      <c r="G163" s="144"/>
      <c r="H163" s="144"/>
      <c r="I163" s="182"/>
      <c r="J163" s="144"/>
      <c r="K163" s="145"/>
      <c r="L163" s="150"/>
      <c r="M163" s="146"/>
      <c r="N163" s="146"/>
      <c r="O163" s="146"/>
      <c r="P163" s="146"/>
      <c r="Q163" s="146"/>
      <c r="R163" s="190"/>
      <c r="S163" s="190"/>
      <c r="T163" s="190"/>
      <c r="U163" s="190"/>
      <c r="V163" s="190"/>
      <c r="W163" s="190"/>
      <c r="X163" s="190"/>
      <c r="Y163" s="190"/>
      <c r="Z163" s="190"/>
    </row>
    <row r="164" ht="19.5" customHeight="1">
      <c r="A164" s="123"/>
      <c r="B164" s="165"/>
      <c r="C164" s="162"/>
      <c r="D164" s="142"/>
      <c r="E164" s="144"/>
      <c r="F164" s="144"/>
      <c r="G164" s="144"/>
      <c r="H164" s="144"/>
      <c r="I164" s="182"/>
      <c r="J164" s="144"/>
      <c r="K164" s="145"/>
      <c r="L164" s="150"/>
      <c r="M164" s="146"/>
      <c r="N164" s="146"/>
      <c r="O164" s="146"/>
      <c r="P164" s="146"/>
      <c r="Q164" s="146"/>
      <c r="R164" s="190"/>
      <c r="S164" s="190"/>
      <c r="T164" s="190"/>
      <c r="U164" s="190"/>
      <c r="V164" s="190"/>
      <c r="W164" s="190"/>
      <c r="X164" s="190"/>
      <c r="Y164" s="190"/>
      <c r="Z164" s="190"/>
    </row>
    <row r="165" ht="19.5" customHeight="1">
      <c r="A165" s="123"/>
      <c r="B165" s="165"/>
      <c r="C165" s="162"/>
      <c r="D165" s="142"/>
      <c r="E165" s="144"/>
      <c r="F165" s="144"/>
      <c r="G165" s="144"/>
      <c r="H165" s="144"/>
      <c r="I165" s="182"/>
      <c r="J165" s="144"/>
      <c r="K165" s="145"/>
      <c r="L165" s="150"/>
      <c r="M165" s="146"/>
      <c r="N165" s="146"/>
      <c r="O165" s="146"/>
      <c r="P165" s="146"/>
      <c r="Q165" s="146"/>
      <c r="R165" s="190"/>
      <c r="S165" s="190"/>
      <c r="T165" s="190"/>
      <c r="U165" s="190"/>
      <c r="V165" s="190"/>
      <c r="W165" s="190"/>
      <c r="X165" s="190"/>
      <c r="Y165" s="190"/>
      <c r="Z165" s="190"/>
    </row>
    <row r="166" ht="19.5" customHeight="1">
      <c r="A166" s="123"/>
      <c r="B166" s="165"/>
      <c r="C166" s="162"/>
      <c r="D166" s="142"/>
      <c r="E166" s="144"/>
      <c r="F166" s="144"/>
      <c r="G166" s="144"/>
      <c r="H166" s="144"/>
      <c r="I166" s="182"/>
      <c r="J166" s="144"/>
      <c r="K166" s="145"/>
      <c r="L166" s="150"/>
      <c r="M166" s="146"/>
      <c r="N166" s="146"/>
      <c r="O166" s="146"/>
      <c r="P166" s="146"/>
      <c r="Q166" s="146"/>
      <c r="R166" s="190"/>
      <c r="S166" s="190"/>
      <c r="T166" s="190"/>
      <c r="U166" s="190"/>
      <c r="V166" s="190"/>
      <c r="W166" s="190"/>
      <c r="X166" s="190"/>
      <c r="Y166" s="190"/>
      <c r="Z166" s="190"/>
    </row>
    <row r="167" ht="19.5" customHeight="1">
      <c r="A167" s="123"/>
      <c r="B167" s="165"/>
      <c r="C167" s="162"/>
      <c r="D167" s="142"/>
      <c r="E167" s="144"/>
      <c r="F167" s="144"/>
      <c r="G167" s="144"/>
      <c r="H167" s="144"/>
      <c r="I167" s="182"/>
      <c r="J167" s="144"/>
      <c r="K167" s="145"/>
      <c r="L167" s="150"/>
      <c r="M167" s="146"/>
      <c r="N167" s="146"/>
      <c r="O167" s="146"/>
      <c r="P167" s="146"/>
      <c r="Q167" s="146"/>
      <c r="R167" s="190"/>
      <c r="S167" s="190"/>
      <c r="T167" s="190"/>
      <c r="U167" s="190"/>
      <c r="V167" s="190"/>
      <c r="W167" s="190"/>
      <c r="X167" s="190"/>
      <c r="Y167" s="190"/>
      <c r="Z167" s="190"/>
    </row>
    <row r="168" ht="19.5" customHeight="1">
      <c r="A168" s="123"/>
      <c r="B168" s="165"/>
      <c r="C168" s="162"/>
      <c r="D168" s="142"/>
      <c r="E168" s="144"/>
      <c r="F168" s="144"/>
      <c r="G168" s="144"/>
      <c r="H168" s="144"/>
      <c r="I168" s="182"/>
      <c r="J168" s="144"/>
      <c r="K168" s="145"/>
      <c r="L168" s="150"/>
      <c r="M168" s="146"/>
      <c r="N168" s="146"/>
      <c r="O168" s="146"/>
      <c r="P168" s="146"/>
      <c r="Q168" s="146"/>
      <c r="R168" s="190"/>
      <c r="S168" s="190"/>
      <c r="T168" s="190"/>
      <c r="U168" s="190"/>
      <c r="V168" s="190"/>
      <c r="W168" s="190"/>
      <c r="X168" s="190"/>
      <c r="Y168" s="190"/>
      <c r="Z168" s="190"/>
    </row>
    <row r="169" ht="19.5" customHeight="1">
      <c r="A169" s="123"/>
      <c r="B169" s="165"/>
      <c r="C169" s="162"/>
      <c r="D169" s="142"/>
      <c r="E169" s="144"/>
      <c r="F169" s="144"/>
      <c r="G169" s="144"/>
      <c r="H169" s="144"/>
      <c r="I169" s="182"/>
      <c r="J169" s="144"/>
      <c r="K169" s="145"/>
      <c r="L169" s="150"/>
      <c r="M169" s="146"/>
      <c r="N169" s="146"/>
      <c r="O169" s="146"/>
      <c r="P169" s="146"/>
      <c r="Q169" s="146"/>
      <c r="R169" s="190"/>
      <c r="S169" s="190"/>
      <c r="T169" s="190"/>
      <c r="U169" s="190"/>
      <c r="V169" s="190"/>
      <c r="W169" s="190"/>
      <c r="X169" s="190"/>
      <c r="Y169" s="190"/>
      <c r="Z169" s="190"/>
    </row>
    <row r="170" ht="19.5" customHeight="1">
      <c r="A170" s="123"/>
      <c r="B170" s="165"/>
      <c r="C170" s="162"/>
      <c r="D170" s="142"/>
      <c r="E170" s="144"/>
      <c r="F170" s="144"/>
      <c r="G170" s="144"/>
      <c r="H170" s="144"/>
      <c r="I170" s="182"/>
      <c r="J170" s="144"/>
      <c r="K170" s="145"/>
      <c r="L170" s="150"/>
      <c r="M170" s="146"/>
      <c r="N170" s="146"/>
      <c r="O170" s="146"/>
      <c r="P170" s="146"/>
      <c r="Q170" s="146"/>
      <c r="R170" s="190"/>
      <c r="S170" s="190"/>
      <c r="T170" s="190"/>
      <c r="U170" s="190"/>
      <c r="V170" s="190"/>
      <c r="W170" s="190"/>
      <c r="X170" s="190"/>
      <c r="Y170" s="190"/>
      <c r="Z170" s="190"/>
    </row>
    <row r="171" ht="19.5" customHeight="1">
      <c r="A171" s="123"/>
      <c r="B171" s="165"/>
      <c r="C171" s="162"/>
      <c r="D171" s="142"/>
      <c r="E171" s="144"/>
      <c r="F171" s="144"/>
      <c r="G171" s="144"/>
      <c r="H171" s="144"/>
      <c r="I171" s="182"/>
      <c r="J171" s="144"/>
      <c r="K171" s="145"/>
      <c r="L171" s="150"/>
      <c r="M171" s="146"/>
      <c r="N171" s="146"/>
      <c r="O171" s="146"/>
      <c r="P171" s="146"/>
      <c r="Q171" s="146"/>
      <c r="R171" s="190"/>
      <c r="S171" s="190"/>
      <c r="T171" s="190"/>
      <c r="U171" s="190"/>
      <c r="V171" s="190"/>
      <c r="W171" s="190"/>
      <c r="X171" s="190"/>
      <c r="Y171" s="190"/>
      <c r="Z171" s="190"/>
    </row>
    <row r="172" ht="19.5" customHeight="1">
      <c r="A172" s="123"/>
      <c r="B172" s="165"/>
      <c r="C172" s="162"/>
      <c r="D172" s="142"/>
      <c r="E172" s="144"/>
      <c r="F172" s="144"/>
      <c r="G172" s="144"/>
      <c r="H172" s="144"/>
      <c r="I172" s="182"/>
      <c r="J172" s="144"/>
      <c r="K172" s="145"/>
      <c r="L172" s="150"/>
      <c r="M172" s="146"/>
      <c r="N172" s="146"/>
      <c r="O172" s="146"/>
      <c r="P172" s="146"/>
      <c r="Q172" s="146"/>
      <c r="R172" s="190"/>
      <c r="S172" s="190"/>
      <c r="T172" s="190"/>
      <c r="U172" s="190"/>
      <c r="V172" s="190"/>
      <c r="W172" s="190"/>
      <c r="X172" s="190"/>
      <c r="Y172" s="190"/>
      <c r="Z172" s="190"/>
    </row>
    <row r="173" ht="19.5" customHeight="1">
      <c r="A173" s="123"/>
      <c r="B173" s="165"/>
      <c r="C173" s="162"/>
      <c r="D173" s="142"/>
      <c r="E173" s="144"/>
      <c r="F173" s="144"/>
      <c r="G173" s="144"/>
      <c r="H173" s="144"/>
      <c r="I173" s="182"/>
      <c r="J173" s="144"/>
      <c r="K173" s="145"/>
      <c r="L173" s="150"/>
      <c r="M173" s="146"/>
      <c r="N173" s="146"/>
      <c r="O173" s="146"/>
      <c r="P173" s="146"/>
      <c r="Q173" s="146"/>
      <c r="R173" s="190"/>
      <c r="S173" s="190"/>
      <c r="T173" s="190"/>
      <c r="U173" s="190"/>
      <c r="V173" s="190"/>
      <c r="W173" s="190"/>
      <c r="X173" s="190"/>
      <c r="Y173" s="190"/>
      <c r="Z173" s="190"/>
    </row>
    <row r="174" ht="19.5" customHeight="1">
      <c r="A174" s="123"/>
      <c r="B174" s="165"/>
      <c r="C174" s="162"/>
      <c r="D174" s="142"/>
      <c r="E174" s="144"/>
      <c r="F174" s="144"/>
      <c r="G174" s="144"/>
      <c r="H174" s="144"/>
      <c r="I174" s="182"/>
      <c r="J174" s="144"/>
      <c r="K174" s="145"/>
      <c r="L174" s="150"/>
      <c r="M174" s="146"/>
      <c r="N174" s="146"/>
      <c r="O174" s="146"/>
      <c r="P174" s="146"/>
      <c r="Q174" s="146"/>
      <c r="R174" s="190"/>
      <c r="S174" s="190"/>
      <c r="T174" s="190"/>
      <c r="U174" s="190"/>
      <c r="V174" s="190"/>
      <c r="W174" s="190"/>
      <c r="X174" s="190"/>
      <c r="Y174" s="190"/>
      <c r="Z174" s="190"/>
    </row>
    <row r="175" ht="19.5" customHeight="1">
      <c r="A175" s="123"/>
      <c r="B175" s="165"/>
      <c r="C175" s="162"/>
      <c r="D175" s="142"/>
      <c r="E175" s="144"/>
      <c r="F175" s="144"/>
      <c r="G175" s="144"/>
      <c r="H175" s="144"/>
      <c r="I175" s="182"/>
      <c r="J175" s="144"/>
      <c r="K175" s="145"/>
      <c r="L175" s="150"/>
      <c r="M175" s="146"/>
      <c r="N175" s="146"/>
      <c r="O175" s="146"/>
      <c r="P175" s="146"/>
      <c r="Q175" s="146"/>
      <c r="R175" s="190"/>
      <c r="S175" s="190"/>
      <c r="T175" s="190"/>
      <c r="U175" s="190"/>
      <c r="V175" s="190"/>
      <c r="W175" s="190"/>
      <c r="X175" s="190"/>
      <c r="Y175" s="190"/>
      <c r="Z175" s="190"/>
    </row>
    <row r="176" ht="19.5" customHeight="1">
      <c r="A176" s="123"/>
      <c r="B176" s="165"/>
      <c r="C176" s="162"/>
      <c r="D176" s="142"/>
      <c r="E176" s="144"/>
      <c r="F176" s="144"/>
      <c r="G176" s="144"/>
      <c r="H176" s="144"/>
      <c r="I176" s="182"/>
      <c r="J176" s="144"/>
      <c r="K176" s="145"/>
      <c r="L176" s="150"/>
      <c r="M176" s="146"/>
      <c r="N176" s="146"/>
      <c r="O176" s="146"/>
      <c r="P176" s="146"/>
      <c r="Q176" s="146"/>
      <c r="R176" s="190"/>
      <c r="S176" s="190"/>
      <c r="T176" s="190"/>
      <c r="U176" s="190"/>
      <c r="V176" s="190"/>
      <c r="W176" s="190"/>
      <c r="X176" s="190"/>
      <c r="Y176" s="190"/>
      <c r="Z176" s="190"/>
    </row>
    <row r="177" ht="19.5" customHeight="1">
      <c r="A177" s="123"/>
      <c r="B177" s="165"/>
      <c r="C177" s="162"/>
      <c r="D177" s="142"/>
      <c r="E177" s="144"/>
      <c r="F177" s="144"/>
      <c r="G177" s="144"/>
      <c r="H177" s="144"/>
      <c r="I177" s="182"/>
      <c r="J177" s="144"/>
      <c r="K177" s="145"/>
      <c r="L177" s="150"/>
      <c r="M177" s="146"/>
      <c r="N177" s="146"/>
      <c r="O177" s="146"/>
      <c r="P177" s="146"/>
      <c r="Q177" s="146"/>
      <c r="R177" s="190"/>
      <c r="S177" s="190"/>
      <c r="T177" s="190"/>
      <c r="U177" s="190"/>
      <c r="V177" s="190"/>
      <c r="W177" s="190"/>
      <c r="X177" s="190"/>
      <c r="Y177" s="190"/>
      <c r="Z177" s="190"/>
    </row>
    <row r="178" ht="19.5" customHeight="1">
      <c r="A178" s="123"/>
      <c r="B178" s="165"/>
      <c r="C178" s="162"/>
      <c r="D178" s="142"/>
      <c r="E178" s="144"/>
      <c r="F178" s="144"/>
      <c r="G178" s="144"/>
      <c r="H178" s="144"/>
      <c r="I178" s="182"/>
      <c r="J178" s="144"/>
      <c r="K178" s="145"/>
      <c r="L178" s="150"/>
      <c r="M178" s="146"/>
      <c r="N178" s="146"/>
      <c r="O178" s="146"/>
      <c r="P178" s="146"/>
      <c r="Q178" s="146"/>
      <c r="R178" s="190"/>
      <c r="S178" s="190"/>
      <c r="T178" s="190"/>
      <c r="U178" s="190"/>
      <c r="V178" s="190"/>
      <c r="W178" s="190"/>
      <c r="X178" s="190"/>
      <c r="Y178" s="190"/>
      <c r="Z178" s="190"/>
    </row>
    <row r="179" ht="19.5" customHeight="1">
      <c r="A179" s="123"/>
      <c r="B179" s="165"/>
      <c r="C179" s="162"/>
      <c r="D179" s="142"/>
      <c r="E179" s="144"/>
      <c r="F179" s="144"/>
      <c r="G179" s="144"/>
      <c r="H179" s="144"/>
      <c r="I179" s="182"/>
      <c r="J179" s="144"/>
      <c r="K179" s="145"/>
      <c r="L179" s="150"/>
      <c r="M179" s="146"/>
      <c r="N179" s="146"/>
      <c r="O179" s="146"/>
      <c r="P179" s="146"/>
      <c r="Q179" s="146"/>
      <c r="R179" s="190"/>
      <c r="S179" s="190"/>
      <c r="T179" s="190"/>
      <c r="U179" s="190"/>
      <c r="V179" s="190"/>
      <c r="W179" s="190"/>
      <c r="X179" s="190"/>
      <c r="Y179" s="190"/>
      <c r="Z179" s="190"/>
    </row>
    <row r="180" ht="19.5" customHeight="1">
      <c r="A180" s="123"/>
      <c r="B180" s="165"/>
      <c r="C180" s="162"/>
      <c r="D180" s="142"/>
      <c r="E180" s="144"/>
      <c r="F180" s="144"/>
      <c r="G180" s="144"/>
      <c r="H180" s="144"/>
      <c r="I180" s="182"/>
      <c r="J180" s="144"/>
      <c r="K180" s="145"/>
      <c r="L180" s="150"/>
      <c r="M180" s="146"/>
      <c r="N180" s="146"/>
      <c r="O180" s="146"/>
      <c r="P180" s="146"/>
      <c r="Q180" s="146"/>
      <c r="R180" s="190"/>
      <c r="S180" s="190"/>
      <c r="T180" s="190"/>
      <c r="U180" s="190"/>
      <c r="V180" s="190"/>
      <c r="W180" s="190"/>
      <c r="X180" s="190"/>
      <c r="Y180" s="190"/>
      <c r="Z180" s="190"/>
    </row>
    <row r="181" ht="19.5" customHeight="1">
      <c r="A181" s="123"/>
      <c r="B181" s="165"/>
      <c r="C181" s="162"/>
      <c r="D181" s="142"/>
      <c r="E181" s="144"/>
      <c r="F181" s="144"/>
      <c r="G181" s="144"/>
      <c r="H181" s="144"/>
      <c r="I181" s="182"/>
      <c r="J181" s="144"/>
      <c r="K181" s="145"/>
      <c r="L181" s="150"/>
      <c r="M181" s="146"/>
      <c r="N181" s="146"/>
      <c r="O181" s="146"/>
      <c r="P181" s="146"/>
      <c r="Q181" s="146"/>
      <c r="R181" s="190"/>
      <c r="S181" s="190"/>
      <c r="T181" s="190"/>
      <c r="U181" s="190"/>
      <c r="V181" s="190"/>
      <c r="W181" s="190"/>
      <c r="X181" s="190"/>
      <c r="Y181" s="190"/>
      <c r="Z181" s="190"/>
    </row>
    <row r="182" ht="19.5" customHeight="1">
      <c r="A182" s="123"/>
      <c r="B182" s="165"/>
      <c r="C182" s="162"/>
      <c r="D182" s="142"/>
      <c r="E182" s="144"/>
      <c r="F182" s="144"/>
      <c r="G182" s="144"/>
      <c r="H182" s="144"/>
      <c r="I182" s="182"/>
      <c r="J182" s="144"/>
      <c r="K182" s="145"/>
      <c r="L182" s="150"/>
      <c r="M182" s="146"/>
      <c r="N182" s="146"/>
      <c r="O182" s="146"/>
      <c r="P182" s="146"/>
      <c r="Q182" s="146"/>
      <c r="R182" s="190"/>
      <c r="S182" s="190"/>
      <c r="T182" s="190"/>
      <c r="U182" s="190"/>
      <c r="V182" s="190"/>
      <c r="W182" s="190"/>
      <c r="X182" s="190"/>
      <c r="Y182" s="190"/>
      <c r="Z182" s="190"/>
    </row>
    <row r="183" ht="19.5" customHeight="1">
      <c r="A183" s="123"/>
      <c r="B183" s="165"/>
      <c r="C183" s="162"/>
      <c r="D183" s="142"/>
      <c r="E183" s="144"/>
      <c r="F183" s="144"/>
      <c r="G183" s="144"/>
      <c r="H183" s="144"/>
      <c r="I183" s="182"/>
      <c r="J183" s="144"/>
      <c r="K183" s="145"/>
      <c r="L183" s="150"/>
      <c r="M183" s="146"/>
      <c r="N183" s="146"/>
      <c r="O183" s="146"/>
      <c r="P183" s="146"/>
      <c r="Q183" s="146"/>
      <c r="R183" s="190"/>
      <c r="S183" s="190"/>
      <c r="T183" s="190"/>
      <c r="U183" s="190"/>
      <c r="V183" s="190"/>
      <c r="W183" s="190"/>
      <c r="X183" s="190"/>
      <c r="Y183" s="190"/>
      <c r="Z183" s="190"/>
    </row>
    <row r="184" ht="19.5" customHeight="1">
      <c r="A184" s="123"/>
      <c r="B184" s="165"/>
      <c r="C184" s="162"/>
      <c r="D184" s="142"/>
      <c r="E184" s="144"/>
      <c r="F184" s="144"/>
      <c r="G184" s="144"/>
      <c r="H184" s="144"/>
      <c r="I184" s="182"/>
      <c r="J184" s="144"/>
      <c r="K184" s="145"/>
      <c r="L184" s="150"/>
      <c r="M184" s="146"/>
      <c r="N184" s="146"/>
      <c r="O184" s="146"/>
      <c r="P184" s="146"/>
      <c r="Q184" s="146"/>
      <c r="R184" s="190"/>
      <c r="S184" s="190"/>
      <c r="T184" s="190"/>
      <c r="U184" s="190"/>
      <c r="V184" s="190"/>
      <c r="W184" s="190"/>
      <c r="X184" s="190"/>
      <c r="Y184" s="190"/>
      <c r="Z184" s="190"/>
    </row>
    <row r="185" ht="19.5" customHeight="1">
      <c r="A185" s="123"/>
      <c r="B185" s="165"/>
      <c r="C185" s="162"/>
      <c r="D185" s="142"/>
      <c r="E185" s="144"/>
      <c r="F185" s="144"/>
      <c r="G185" s="144"/>
      <c r="H185" s="144"/>
      <c r="I185" s="182"/>
      <c r="J185" s="144"/>
      <c r="K185" s="145"/>
      <c r="L185" s="150"/>
      <c r="M185" s="146"/>
      <c r="N185" s="146"/>
      <c r="O185" s="146"/>
      <c r="P185" s="146"/>
      <c r="Q185" s="146"/>
      <c r="R185" s="190"/>
      <c r="S185" s="190"/>
      <c r="T185" s="190"/>
      <c r="U185" s="190"/>
      <c r="V185" s="190"/>
      <c r="W185" s="190"/>
      <c r="X185" s="190"/>
      <c r="Y185" s="190"/>
      <c r="Z185" s="190"/>
    </row>
    <row r="186" ht="19.5" customHeight="1">
      <c r="A186" s="123"/>
      <c r="B186" s="165"/>
      <c r="C186" s="162"/>
      <c r="D186" s="142"/>
      <c r="E186" s="144"/>
      <c r="F186" s="144"/>
      <c r="G186" s="144"/>
      <c r="H186" s="144"/>
      <c r="I186" s="182"/>
      <c r="J186" s="144"/>
      <c r="K186" s="145"/>
      <c r="L186" s="150"/>
      <c r="M186" s="146"/>
      <c r="N186" s="146"/>
      <c r="O186" s="146"/>
      <c r="P186" s="146"/>
      <c r="Q186" s="146"/>
      <c r="R186" s="190"/>
      <c r="S186" s="190"/>
      <c r="T186" s="190"/>
      <c r="U186" s="190"/>
      <c r="V186" s="190"/>
      <c r="W186" s="190"/>
      <c r="X186" s="190"/>
      <c r="Y186" s="190"/>
      <c r="Z186" s="190"/>
    </row>
    <row r="187" ht="19.5" customHeight="1">
      <c r="A187" s="123"/>
      <c r="B187" s="165"/>
      <c r="C187" s="162"/>
      <c r="D187" s="142"/>
      <c r="E187" s="144"/>
      <c r="F187" s="144"/>
      <c r="G187" s="144"/>
      <c r="H187" s="144"/>
      <c r="I187" s="182"/>
      <c r="J187" s="144"/>
      <c r="K187" s="145"/>
      <c r="L187" s="150"/>
      <c r="M187" s="146"/>
      <c r="N187" s="146"/>
      <c r="O187" s="146"/>
      <c r="P187" s="146"/>
      <c r="Q187" s="146"/>
      <c r="R187" s="190"/>
      <c r="S187" s="190"/>
      <c r="T187" s="190"/>
      <c r="U187" s="190"/>
      <c r="V187" s="190"/>
      <c r="W187" s="190"/>
      <c r="X187" s="190"/>
      <c r="Y187" s="190"/>
      <c r="Z187" s="190"/>
    </row>
    <row r="188" ht="19.5" customHeight="1">
      <c r="A188" s="123"/>
      <c r="B188" s="165"/>
      <c r="C188" s="162"/>
      <c r="D188" s="142"/>
      <c r="E188" s="144"/>
      <c r="F188" s="144"/>
      <c r="G188" s="144"/>
      <c r="H188" s="144"/>
      <c r="I188" s="182"/>
      <c r="J188" s="144"/>
      <c r="K188" s="145"/>
      <c r="L188" s="150"/>
      <c r="M188" s="146"/>
      <c r="N188" s="146"/>
      <c r="O188" s="146"/>
      <c r="P188" s="146"/>
      <c r="Q188" s="146"/>
      <c r="R188" s="190"/>
      <c r="S188" s="190"/>
      <c r="T188" s="190"/>
      <c r="U188" s="190"/>
      <c r="V188" s="190"/>
      <c r="W188" s="190"/>
      <c r="X188" s="190"/>
      <c r="Y188" s="190"/>
      <c r="Z188" s="190"/>
    </row>
    <row r="189" ht="19.5" customHeight="1">
      <c r="A189" s="123"/>
      <c r="B189" s="165"/>
      <c r="C189" s="162"/>
      <c r="D189" s="142"/>
      <c r="E189" s="144"/>
      <c r="F189" s="144"/>
      <c r="G189" s="144"/>
      <c r="H189" s="144"/>
      <c r="I189" s="182"/>
      <c r="J189" s="144"/>
      <c r="K189" s="145"/>
      <c r="L189" s="150"/>
      <c r="M189" s="146"/>
      <c r="N189" s="146"/>
      <c r="O189" s="146"/>
      <c r="P189" s="146"/>
      <c r="Q189" s="146"/>
      <c r="R189" s="190"/>
      <c r="S189" s="190"/>
      <c r="T189" s="190"/>
      <c r="U189" s="190"/>
      <c r="V189" s="190"/>
      <c r="W189" s="190"/>
      <c r="X189" s="190"/>
      <c r="Y189" s="190"/>
      <c r="Z189" s="190"/>
    </row>
    <row r="190" ht="19.5" customHeight="1">
      <c r="A190" s="123"/>
      <c r="B190" s="165"/>
      <c r="C190" s="162"/>
      <c r="D190" s="142"/>
      <c r="E190" s="144"/>
      <c r="F190" s="144"/>
      <c r="G190" s="144"/>
      <c r="H190" s="144"/>
      <c r="I190" s="182"/>
      <c r="J190" s="144"/>
      <c r="K190" s="145"/>
      <c r="L190" s="150"/>
      <c r="M190" s="146"/>
      <c r="N190" s="146"/>
      <c r="O190" s="146"/>
      <c r="P190" s="146"/>
      <c r="Q190" s="146"/>
      <c r="R190" s="190"/>
      <c r="S190" s="190"/>
      <c r="T190" s="190"/>
      <c r="U190" s="190"/>
      <c r="V190" s="190"/>
      <c r="W190" s="190"/>
      <c r="X190" s="190"/>
      <c r="Y190" s="190"/>
      <c r="Z190" s="190"/>
    </row>
    <row r="191" ht="19.5" customHeight="1">
      <c r="A191" s="123"/>
      <c r="B191" s="165"/>
      <c r="C191" s="162"/>
      <c r="D191" s="142"/>
      <c r="E191" s="144"/>
      <c r="F191" s="144"/>
      <c r="G191" s="144"/>
      <c r="H191" s="144"/>
      <c r="I191" s="182"/>
      <c r="J191" s="144"/>
      <c r="K191" s="145"/>
      <c r="L191" s="150"/>
      <c r="M191" s="146"/>
      <c r="N191" s="146"/>
      <c r="O191" s="146"/>
      <c r="P191" s="146"/>
      <c r="Q191" s="146"/>
      <c r="R191" s="190"/>
      <c r="S191" s="190"/>
      <c r="T191" s="190"/>
      <c r="U191" s="190"/>
      <c r="V191" s="190"/>
      <c r="W191" s="190"/>
      <c r="X191" s="190"/>
      <c r="Y191" s="190"/>
      <c r="Z191" s="190"/>
    </row>
    <row r="192" ht="19.5" customHeight="1">
      <c r="A192" s="123"/>
      <c r="B192" s="165"/>
      <c r="C192" s="162"/>
      <c r="D192" s="142"/>
      <c r="E192" s="144"/>
      <c r="F192" s="144"/>
      <c r="G192" s="144"/>
      <c r="H192" s="144"/>
      <c r="I192" s="182"/>
      <c r="J192" s="144"/>
      <c r="K192" s="145"/>
      <c r="L192" s="150"/>
      <c r="M192" s="146"/>
      <c r="N192" s="146"/>
      <c r="O192" s="146"/>
      <c r="P192" s="146"/>
      <c r="Q192" s="146"/>
      <c r="R192" s="190"/>
      <c r="S192" s="190"/>
      <c r="T192" s="190"/>
      <c r="U192" s="190"/>
      <c r="V192" s="190"/>
      <c r="W192" s="190"/>
      <c r="X192" s="190"/>
      <c r="Y192" s="190"/>
      <c r="Z192" s="190"/>
    </row>
    <row r="193" ht="19.5" customHeight="1">
      <c r="A193" s="123"/>
      <c r="B193" s="165"/>
      <c r="C193" s="162"/>
      <c r="D193" s="142"/>
      <c r="E193" s="144"/>
      <c r="F193" s="144"/>
      <c r="G193" s="144"/>
      <c r="H193" s="144"/>
      <c r="I193" s="182"/>
      <c r="J193" s="144"/>
      <c r="K193" s="145"/>
      <c r="L193" s="150"/>
      <c r="M193" s="146"/>
      <c r="N193" s="146"/>
      <c r="O193" s="146"/>
      <c r="P193" s="146"/>
      <c r="Q193" s="146"/>
      <c r="R193" s="190"/>
      <c r="S193" s="190"/>
      <c r="T193" s="190"/>
      <c r="U193" s="190"/>
      <c r="V193" s="190"/>
      <c r="W193" s="190"/>
      <c r="X193" s="190"/>
      <c r="Y193" s="190"/>
      <c r="Z193" s="190"/>
    </row>
    <row r="194" ht="19.5" customHeight="1">
      <c r="A194" s="123"/>
      <c r="B194" s="165"/>
      <c r="C194" s="162"/>
      <c r="D194" s="142"/>
      <c r="E194" s="144"/>
      <c r="F194" s="144"/>
      <c r="G194" s="144"/>
      <c r="H194" s="144"/>
      <c r="I194" s="182"/>
      <c r="J194" s="144"/>
      <c r="K194" s="145"/>
      <c r="L194" s="150"/>
      <c r="M194" s="146"/>
      <c r="N194" s="146"/>
      <c r="O194" s="146"/>
      <c r="P194" s="146"/>
      <c r="Q194" s="146"/>
      <c r="R194" s="190"/>
      <c r="S194" s="190"/>
      <c r="T194" s="190"/>
      <c r="U194" s="190"/>
      <c r="V194" s="190"/>
      <c r="W194" s="190"/>
      <c r="X194" s="190"/>
      <c r="Y194" s="190"/>
      <c r="Z194" s="190"/>
    </row>
    <row r="195" ht="19.5" customHeight="1">
      <c r="A195" s="123"/>
      <c r="B195" s="165"/>
      <c r="C195" s="162"/>
      <c r="D195" s="142"/>
      <c r="E195" s="144"/>
      <c r="F195" s="144"/>
      <c r="G195" s="144"/>
      <c r="H195" s="144"/>
      <c r="I195" s="182"/>
      <c r="J195" s="144"/>
      <c r="K195" s="145"/>
      <c r="L195" s="150"/>
      <c r="M195" s="146"/>
      <c r="N195" s="146"/>
      <c r="O195" s="146"/>
      <c r="P195" s="146"/>
      <c r="Q195" s="146"/>
      <c r="R195" s="190"/>
      <c r="S195" s="190"/>
      <c r="T195" s="190"/>
      <c r="U195" s="190"/>
      <c r="V195" s="190"/>
      <c r="W195" s="190"/>
      <c r="X195" s="190"/>
      <c r="Y195" s="190"/>
      <c r="Z195" s="190"/>
    </row>
    <row r="196" ht="19.5" customHeight="1">
      <c r="A196" s="123"/>
      <c r="B196" s="165"/>
      <c r="C196" s="162"/>
      <c r="D196" s="142"/>
      <c r="E196" s="144"/>
      <c r="F196" s="144"/>
      <c r="G196" s="144"/>
      <c r="H196" s="144"/>
      <c r="I196" s="182"/>
      <c r="J196" s="144"/>
      <c r="K196" s="145"/>
      <c r="L196" s="150"/>
      <c r="M196" s="146"/>
      <c r="N196" s="146"/>
      <c r="O196" s="146"/>
      <c r="P196" s="146"/>
      <c r="Q196" s="146"/>
      <c r="R196" s="190"/>
      <c r="S196" s="190"/>
      <c r="T196" s="190"/>
      <c r="U196" s="190"/>
      <c r="V196" s="190"/>
      <c r="W196" s="190"/>
      <c r="X196" s="190"/>
      <c r="Y196" s="190"/>
      <c r="Z196" s="190"/>
    </row>
    <row r="197" ht="19.5" customHeight="1">
      <c r="A197" s="123"/>
      <c r="B197" s="165"/>
      <c r="C197" s="162"/>
      <c r="D197" s="142"/>
      <c r="E197" s="144"/>
      <c r="F197" s="144"/>
      <c r="G197" s="144"/>
      <c r="H197" s="144"/>
      <c r="I197" s="182"/>
      <c r="J197" s="144"/>
      <c r="K197" s="145"/>
      <c r="L197" s="150"/>
      <c r="M197" s="146"/>
      <c r="N197" s="146"/>
      <c r="O197" s="146"/>
      <c r="P197" s="146"/>
      <c r="Q197" s="146"/>
      <c r="R197" s="190"/>
      <c r="S197" s="190"/>
      <c r="T197" s="190"/>
      <c r="U197" s="190"/>
      <c r="V197" s="190"/>
      <c r="W197" s="190"/>
      <c r="X197" s="190"/>
      <c r="Y197" s="190"/>
      <c r="Z197" s="190"/>
    </row>
    <row r="198" ht="19.5" customHeight="1">
      <c r="A198" s="123"/>
      <c r="B198" s="165"/>
      <c r="C198" s="162"/>
      <c r="D198" s="142"/>
      <c r="E198" s="144"/>
      <c r="F198" s="144"/>
      <c r="G198" s="144"/>
      <c r="H198" s="144"/>
      <c r="I198" s="182"/>
      <c r="J198" s="144"/>
      <c r="K198" s="145"/>
      <c r="L198" s="150"/>
      <c r="M198" s="146"/>
      <c r="N198" s="146"/>
      <c r="O198" s="146"/>
      <c r="P198" s="146"/>
      <c r="Q198" s="146"/>
      <c r="R198" s="190"/>
      <c r="S198" s="190"/>
      <c r="T198" s="190"/>
      <c r="U198" s="190"/>
      <c r="V198" s="190"/>
      <c r="W198" s="190"/>
      <c r="X198" s="190"/>
      <c r="Y198" s="190"/>
      <c r="Z198" s="190"/>
    </row>
    <row r="199" ht="19.5" customHeight="1">
      <c r="A199" s="123"/>
      <c r="B199" s="165"/>
      <c r="C199" s="162"/>
      <c r="D199" s="142"/>
      <c r="E199" s="144"/>
      <c r="F199" s="144"/>
      <c r="G199" s="144"/>
      <c r="H199" s="144"/>
      <c r="I199" s="182"/>
      <c r="J199" s="144"/>
      <c r="K199" s="145"/>
      <c r="L199" s="150"/>
      <c r="M199" s="146"/>
      <c r="N199" s="146"/>
      <c r="O199" s="146"/>
      <c r="P199" s="146"/>
      <c r="Q199" s="146"/>
      <c r="R199" s="190"/>
      <c r="S199" s="190"/>
      <c r="T199" s="190"/>
      <c r="U199" s="190"/>
      <c r="V199" s="190"/>
      <c r="W199" s="190"/>
      <c r="X199" s="190"/>
      <c r="Y199" s="190"/>
      <c r="Z199" s="190"/>
    </row>
    <row r="200" ht="19.5" customHeight="1">
      <c r="A200" s="123"/>
      <c r="B200" s="165"/>
      <c r="C200" s="162"/>
      <c r="D200" s="142"/>
      <c r="E200" s="144"/>
      <c r="F200" s="144"/>
      <c r="G200" s="144"/>
      <c r="H200" s="144"/>
      <c r="I200" s="182"/>
      <c r="J200" s="144"/>
      <c r="K200" s="145"/>
      <c r="L200" s="150"/>
      <c r="M200" s="146"/>
      <c r="N200" s="146"/>
      <c r="O200" s="146"/>
      <c r="P200" s="146"/>
      <c r="Q200" s="146"/>
      <c r="R200" s="190"/>
      <c r="S200" s="190"/>
      <c r="T200" s="190"/>
      <c r="U200" s="190"/>
      <c r="V200" s="190"/>
      <c r="W200" s="190"/>
      <c r="X200" s="190"/>
      <c r="Y200" s="190"/>
      <c r="Z200" s="190"/>
    </row>
    <row r="201" ht="19.5" customHeight="1">
      <c r="A201" s="123"/>
      <c r="B201" s="165"/>
      <c r="C201" s="162"/>
      <c r="D201" s="142"/>
      <c r="E201" s="144"/>
      <c r="F201" s="144"/>
      <c r="G201" s="144"/>
      <c r="H201" s="144"/>
      <c r="I201" s="182"/>
      <c r="J201" s="144"/>
      <c r="K201" s="145"/>
      <c r="L201" s="150"/>
      <c r="M201" s="146"/>
      <c r="N201" s="146"/>
      <c r="O201" s="146"/>
      <c r="P201" s="146"/>
      <c r="Q201" s="146"/>
      <c r="R201" s="190"/>
      <c r="S201" s="190"/>
      <c r="T201" s="190"/>
      <c r="U201" s="190"/>
      <c r="V201" s="190"/>
      <c r="W201" s="190"/>
      <c r="X201" s="190"/>
      <c r="Y201" s="190"/>
      <c r="Z201" s="190"/>
    </row>
    <row r="202" ht="19.5" customHeight="1">
      <c r="A202" s="123"/>
      <c r="B202" s="165"/>
      <c r="C202" s="162"/>
      <c r="D202" s="142"/>
      <c r="E202" s="144"/>
      <c r="F202" s="144"/>
      <c r="G202" s="144"/>
      <c r="H202" s="144"/>
      <c r="I202" s="182"/>
      <c r="J202" s="144"/>
      <c r="K202" s="145"/>
      <c r="L202" s="150"/>
      <c r="M202" s="146"/>
      <c r="N202" s="146"/>
      <c r="O202" s="146"/>
      <c r="P202" s="146"/>
      <c r="Q202" s="146"/>
      <c r="R202" s="190"/>
      <c r="S202" s="190"/>
      <c r="T202" s="190"/>
      <c r="U202" s="190"/>
      <c r="V202" s="190"/>
      <c r="W202" s="190"/>
      <c r="X202" s="190"/>
      <c r="Y202" s="190"/>
      <c r="Z202" s="190"/>
    </row>
    <row r="203" ht="19.5" customHeight="1">
      <c r="A203" s="123"/>
      <c r="B203" s="165"/>
      <c r="C203" s="162"/>
      <c r="D203" s="142"/>
      <c r="E203" s="144"/>
      <c r="F203" s="144"/>
      <c r="G203" s="144"/>
      <c r="H203" s="144"/>
      <c r="I203" s="182"/>
      <c r="J203" s="144"/>
      <c r="K203" s="145"/>
      <c r="L203" s="150"/>
      <c r="M203" s="146"/>
      <c r="N203" s="146"/>
      <c r="O203" s="146"/>
      <c r="P203" s="146"/>
      <c r="Q203" s="146"/>
      <c r="R203" s="190"/>
      <c r="S203" s="190"/>
      <c r="T203" s="190"/>
      <c r="U203" s="190"/>
      <c r="V203" s="190"/>
      <c r="W203" s="190"/>
      <c r="X203" s="190"/>
      <c r="Y203" s="190"/>
      <c r="Z203" s="190"/>
    </row>
    <row r="204" ht="19.5" customHeight="1">
      <c r="A204" s="123"/>
      <c r="B204" s="165"/>
      <c r="C204" s="162"/>
      <c r="D204" s="142"/>
      <c r="E204" s="144"/>
      <c r="F204" s="144"/>
      <c r="G204" s="144"/>
      <c r="H204" s="144"/>
      <c r="I204" s="182"/>
      <c r="J204" s="144"/>
      <c r="K204" s="145"/>
      <c r="L204" s="150"/>
      <c r="M204" s="146"/>
      <c r="N204" s="146"/>
      <c r="O204" s="146"/>
      <c r="P204" s="146"/>
      <c r="Q204" s="146"/>
      <c r="R204" s="190"/>
      <c r="S204" s="190"/>
      <c r="T204" s="190"/>
      <c r="U204" s="190"/>
      <c r="V204" s="190"/>
      <c r="W204" s="190"/>
      <c r="X204" s="190"/>
      <c r="Y204" s="190"/>
      <c r="Z204" s="190"/>
    </row>
    <row r="205" ht="19.5" customHeight="1">
      <c r="A205" s="123"/>
      <c r="B205" s="165"/>
      <c r="C205" s="162"/>
      <c r="D205" s="142"/>
      <c r="E205" s="144"/>
      <c r="F205" s="144"/>
      <c r="G205" s="144"/>
      <c r="H205" s="144"/>
      <c r="I205" s="182"/>
      <c r="J205" s="144"/>
      <c r="K205" s="145"/>
      <c r="L205" s="150"/>
      <c r="M205" s="146"/>
      <c r="N205" s="146"/>
      <c r="O205" s="146"/>
      <c r="P205" s="146"/>
      <c r="Q205" s="146"/>
      <c r="R205" s="190"/>
      <c r="S205" s="190"/>
      <c r="T205" s="190"/>
      <c r="U205" s="190"/>
      <c r="V205" s="190"/>
      <c r="W205" s="190"/>
      <c r="X205" s="190"/>
      <c r="Y205" s="190"/>
      <c r="Z205" s="190"/>
    </row>
    <row r="206" ht="19.5" customHeight="1">
      <c r="A206" s="123"/>
      <c r="B206" s="165"/>
      <c r="C206" s="162"/>
      <c r="D206" s="142"/>
      <c r="E206" s="144"/>
      <c r="F206" s="144"/>
      <c r="G206" s="144"/>
      <c r="H206" s="144"/>
      <c r="I206" s="182"/>
      <c r="J206" s="144"/>
      <c r="K206" s="145"/>
      <c r="L206" s="150"/>
      <c r="M206" s="146"/>
      <c r="N206" s="146"/>
      <c r="O206" s="146"/>
      <c r="P206" s="146"/>
      <c r="Q206" s="146"/>
      <c r="R206" s="190"/>
      <c r="S206" s="190"/>
      <c r="T206" s="190"/>
      <c r="U206" s="190"/>
      <c r="V206" s="190"/>
      <c r="W206" s="190"/>
      <c r="X206" s="190"/>
      <c r="Y206" s="190"/>
      <c r="Z206" s="190"/>
    </row>
    <row r="207" ht="19.5" customHeight="1">
      <c r="A207" s="123"/>
      <c r="B207" s="165"/>
      <c r="C207" s="162"/>
      <c r="D207" s="142"/>
      <c r="E207" s="144"/>
      <c r="F207" s="144"/>
      <c r="G207" s="144"/>
      <c r="H207" s="144"/>
      <c r="I207" s="182"/>
      <c r="J207" s="144"/>
      <c r="K207" s="145"/>
      <c r="L207" s="150"/>
      <c r="M207" s="146"/>
      <c r="N207" s="146"/>
      <c r="O207" s="146"/>
      <c r="P207" s="146"/>
      <c r="Q207" s="146"/>
      <c r="R207" s="190"/>
      <c r="S207" s="190"/>
      <c r="T207" s="190"/>
      <c r="U207" s="190"/>
      <c r="V207" s="190"/>
      <c r="W207" s="190"/>
      <c r="X207" s="190"/>
      <c r="Y207" s="190"/>
      <c r="Z207" s="190"/>
    </row>
    <row r="208" ht="19.5" customHeight="1">
      <c r="A208" s="123"/>
      <c r="B208" s="165"/>
      <c r="C208" s="162"/>
      <c r="D208" s="142"/>
      <c r="E208" s="144"/>
      <c r="F208" s="144"/>
      <c r="G208" s="144"/>
      <c r="H208" s="144"/>
      <c r="I208" s="182"/>
      <c r="J208" s="144"/>
      <c r="K208" s="145"/>
      <c r="L208" s="150"/>
      <c r="M208" s="146"/>
      <c r="N208" s="146"/>
      <c r="O208" s="146"/>
      <c r="P208" s="146"/>
      <c r="Q208" s="146"/>
      <c r="R208" s="190"/>
      <c r="S208" s="190"/>
      <c r="T208" s="190"/>
      <c r="U208" s="190"/>
      <c r="V208" s="190"/>
      <c r="W208" s="190"/>
      <c r="X208" s="190"/>
      <c r="Y208" s="190"/>
      <c r="Z208" s="190"/>
    </row>
    <row r="209" ht="19.5" customHeight="1">
      <c r="A209" s="123"/>
      <c r="B209" s="165"/>
      <c r="C209" s="162"/>
      <c r="D209" s="142"/>
      <c r="E209" s="144"/>
      <c r="F209" s="144"/>
      <c r="G209" s="144"/>
      <c r="H209" s="144"/>
      <c r="I209" s="182"/>
      <c r="J209" s="144"/>
      <c r="K209" s="145"/>
      <c r="L209" s="150"/>
      <c r="M209" s="146"/>
      <c r="N209" s="146"/>
      <c r="O209" s="146"/>
      <c r="P209" s="146"/>
      <c r="Q209" s="146"/>
      <c r="R209" s="190"/>
      <c r="S209" s="190"/>
      <c r="T209" s="190"/>
      <c r="U209" s="190"/>
      <c r="V209" s="190"/>
      <c r="W209" s="190"/>
      <c r="X209" s="190"/>
      <c r="Y209" s="190"/>
      <c r="Z209" s="190"/>
    </row>
    <row r="210" ht="19.5" customHeight="1">
      <c r="A210" s="123"/>
      <c r="B210" s="165"/>
      <c r="C210" s="162"/>
      <c r="D210" s="142"/>
      <c r="E210" s="144"/>
      <c r="F210" s="144"/>
      <c r="G210" s="144"/>
      <c r="H210" s="144"/>
      <c r="I210" s="182"/>
      <c r="J210" s="144"/>
      <c r="K210" s="145"/>
      <c r="L210" s="150"/>
      <c r="M210" s="146"/>
      <c r="N210" s="146"/>
      <c r="O210" s="146"/>
      <c r="P210" s="146"/>
      <c r="Q210" s="146"/>
      <c r="R210" s="190"/>
      <c r="S210" s="190"/>
      <c r="T210" s="190"/>
      <c r="U210" s="190"/>
      <c r="V210" s="190"/>
      <c r="W210" s="190"/>
      <c r="X210" s="190"/>
      <c r="Y210" s="190"/>
      <c r="Z210" s="190"/>
    </row>
    <row r="211" ht="19.5" customHeight="1">
      <c r="A211" s="123"/>
      <c r="B211" s="165"/>
      <c r="C211" s="162"/>
      <c r="D211" s="142"/>
      <c r="E211" s="144"/>
      <c r="F211" s="144"/>
      <c r="G211" s="144"/>
      <c r="H211" s="144"/>
      <c r="I211" s="182"/>
      <c r="J211" s="144"/>
      <c r="K211" s="145"/>
      <c r="L211" s="150"/>
      <c r="M211" s="146"/>
      <c r="N211" s="146"/>
      <c r="O211" s="146"/>
      <c r="P211" s="146"/>
      <c r="Q211" s="146"/>
      <c r="R211" s="190"/>
      <c r="S211" s="190"/>
      <c r="T211" s="190"/>
      <c r="U211" s="190"/>
      <c r="V211" s="190"/>
      <c r="W211" s="190"/>
      <c r="X211" s="190"/>
      <c r="Y211" s="190"/>
      <c r="Z211" s="190"/>
    </row>
    <row r="212" ht="19.5" customHeight="1">
      <c r="A212" s="123"/>
      <c r="B212" s="165"/>
      <c r="C212" s="162"/>
      <c r="D212" s="142"/>
      <c r="E212" s="144"/>
      <c r="F212" s="144"/>
      <c r="G212" s="144"/>
      <c r="H212" s="144"/>
      <c r="I212" s="182"/>
      <c r="J212" s="144"/>
      <c r="K212" s="145"/>
      <c r="L212" s="150"/>
      <c r="M212" s="146"/>
      <c r="N212" s="146"/>
      <c r="O212" s="146"/>
      <c r="P212" s="146"/>
      <c r="Q212" s="146"/>
      <c r="R212" s="190"/>
      <c r="S212" s="190"/>
      <c r="T212" s="190"/>
      <c r="U212" s="190"/>
      <c r="V212" s="190"/>
      <c r="W212" s="190"/>
      <c r="X212" s="190"/>
      <c r="Y212" s="190"/>
      <c r="Z212" s="190"/>
    </row>
    <row r="213" ht="19.5" customHeight="1">
      <c r="A213" s="123"/>
      <c r="B213" s="165"/>
      <c r="C213" s="162"/>
      <c r="D213" s="142"/>
      <c r="E213" s="144"/>
      <c r="F213" s="144"/>
      <c r="G213" s="144"/>
      <c r="H213" s="144"/>
      <c r="I213" s="182"/>
      <c r="J213" s="144"/>
      <c r="K213" s="145"/>
      <c r="L213" s="150"/>
      <c r="M213" s="146"/>
      <c r="N213" s="146"/>
      <c r="O213" s="146"/>
      <c r="P213" s="146"/>
      <c r="Q213" s="146"/>
      <c r="R213" s="190"/>
      <c r="S213" s="190"/>
      <c r="T213" s="190"/>
      <c r="U213" s="190"/>
      <c r="V213" s="190"/>
      <c r="W213" s="190"/>
      <c r="X213" s="190"/>
      <c r="Y213" s="190"/>
      <c r="Z213" s="190"/>
    </row>
    <row r="214" ht="19.5" customHeight="1">
      <c r="A214" s="123"/>
      <c r="B214" s="165"/>
      <c r="C214" s="162"/>
      <c r="D214" s="142"/>
      <c r="E214" s="144"/>
      <c r="F214" s="144"/>
      <c r="G214" s="144"/>
      <c r="H214" s="144"/>
      <c r="I214" s="182"/>
      <c r="J214" s="144"/>
      <c r="K214" s="145"/>
      <c r="L214" s="150"/>
      <c r="M214" s="146"/>
      <c r="N214" s="146"/>
      <c r="O214" s="146"/>
      <c r="P214" s="146"/>
      <c r="Q214" s="146"/>
      <c r="R214" s="190"/>
      <c r="S214" s="190"/>
      <c r="T214" s="190"/>
      <c r="U214" s="190"/>
      <c r="V214" s="190"/>
      <c r="W214" s="190"/>
      <c r="X214" s="190"/>
      <c r="Y214" s="190"/>
      <c r="Z214" s="190"/>
    </row>
    <row r="215" ht="19.5" customHeight="1">
      <c r="A215" s="123"/>
      <c r="B215" s="165"/>
      <c r="C215" s="162"/>
      <c r="D215" s="142"/>
      <c r="E215" s="144"/>
      <c r="F215" s="144"/>
      <c r="G215" s="144"/>
      <c r="H215" s="144"/>
      <c r="I215" s="182"/>
      <c r="J215" s="144"/>
      <c r="K215" s="145"/>
      <c r="L215" s="150"/>
      <c r="M215" s="146"/>
      <c r="N215" s="146"/>
      <c r="O215" s="146"/>
      <c r="P215" s="146"/>
      <c r="Q215" s="146"/>
      <c r="R215" s="190"/>
      <c r="S215" s="190"/>
      <c r="T215" s="190"/>
      <c r="U215" s="190"/>
      <c r="V215" s="190"/>
      <c r="W215" s="190"/>
      <c r="X215" s="190"/>
      <c r="Y215" s="190"/>
      <c r="Z215" s="190"/>
    </row>
    <row r="216" ht="19.5" customHeight="1">
      <c r="A216" s="123"/>
      <c r="B216" s="165"/>
      <c r="C216" s="162"/>
      <c r="D216" s="142"/>
      <c r="E216" s="144"/>
      <c r="F216" s="144"/>
      <c r="G216" s="144"/>
      <c r="H216" s="144"/>
      <c r="I216" s="182"/>
      <c r="J216" s="144"/>
      <c r="K216" s="145"/>
      <c r="L216" s="150"/>
      <c r="M216" s="146"/>
      <c r="N216" s="146"/>
      <c r="O216" s="146"/>
      <c r="P216" s="146"/>
      <c r="Q216" s="146"/>
      <c r="R216" s="190"/>
      <c r="S216" s="190"/>
      <c r="T216" s="190"/>
      <c r="U216" s="190"/>
      <c r="V216" s="190"/>
      <c r="W216" s="190"/>
      <c r="X216" s="190"/>
      <c r="Y216" s="190"/>
      <c r="Z216" s="190"/>
    </row>
    <row r="217" ht="19.5" customHeight="1">
      <c r="A217" s="123"/>
      <c r="B217" s="165"/>
      <c r="C217" s="162"/>
      <c r="D217" s="142"/>
      <c r="E217" s="144"/>
      <c r="F217" s="144"/>
      <c r="G217" s="144"/>
      <c r="H217" s="144"/>
      <c r="I217" s="182"/>
      <c r="J217" s="144"/>
      <c r="K217" s="145"/>
      <c r="L217" s="150"/>
      <c r="M217" s="146"/>
      <c r="N217" s="146"/>
      <c r="O217" s="146"/>
      <c r="P217" s="146"/>
      <c r="Q217" s="146"/>
      <c r="R217" s="190"/>
      <c r="S217" s="190"/>
      <c r="T217" s="190"/>
      <c r="U217" s="190"/>
      <c r="V217" s="190"/>
      <c r="W217" s="190"/>
      <c r="X217" s="190"/>
      <c r="Y217" s="190"/>
      <c r="Z217" s="190"/>
    </row>
    <row r="218" ht="19.5" customHeight="1">
      <c r="A218" s="123"/>
      <c r="B218" s="165"/>
      <c r="C218" s="162"/>
      <c r="D218" s="142"/>
      <c r="E218" s="144"/>
      <c r="F218" s="144"/>
      <c r="G218" s="144"/>
      <c r="H218" s="144"/>
      <c r="I218" s="182"/>
      <c r="J218" s="144"/>
      <c r="K218" s="145"/>
      <c r="L218" s="150"/>
      <c r="M218" s="146"/>
      <c r="N218" s="146"/>
      <c r="O218" s="146"/>
      <c r="P218" s="146"/>
      <c r="Q218" s="146"/>
      <c r="R218" s="190"/>
      <c r="S218" s="190"/>
      <c r="T218" s="190"/>
      <c r="U218" s="190"/>
      <c r="V218" s="190"/>
      <c r="W218" s="190"/>
      <c r="X218" s="190"/>
      <c r="Y218" s="190"/>
      <c r="Z218" s="190"/>
    </row>
    <row r="219" ht="19.5" customHeight="1">
      <c r="A219" s="123"/>
      <c r="B219" s="165"/>
      <c r="C219" s="162"/>
      <c r="D219" s="142"/>
      <c r="E219" s="144"/>
      <c r="F219" s="144"/>
      <c r="G219" s="144"/>
      <c r="H219" s="144"/>
      <c r="I219" s="182"/>
      <c r="J219" s="144"/>
      <c r="K219" s="145"/>
      <c r="L219" s="150"/>
      <c r="M219" s="146"/>
      <c r="N219" s="146"/>
      <c r="O219" s="146"/>
      <c r="P219" s="146"/>
      <c r="Q219" s="146"/>
      <c r="R219" s="190"/>
      <c r="S219" s="190"/>
      <c r="T219" s="190"/>
      <c r="U219" s="190"/>
      <c r="V219" s="190"/>
      <c r="W219" s="190"/>
      <c r="X219" s="190"/>
      <c r="Y219" s="190"/>
      <c r="Z219" s="190"/>
    </row>
    <row r="220" ht="19.5" customHeight="1">
      <c r="A220" s="123"/>
      <c r="B220" s="165"/>
      <c r="C220" s="162"/>
      <c r="D220" s="142"/>
      <c r="E220" s="144"/>
      <c r="F220" s="144"/>
      <c r="G220" s="144"/>
      <c r="H220" s="144"/>
      <c r="I220" s="182"/>
      <c r="J220" s="144"/>
      <c r="K220" s="145"/>
      <c r="L220" s="150"/>
      <c r="M220" s="146"/>
      <c r="N220" s="146"/>
      <c r="O220" s="146"/>
      <c r="P220" s="146"/>
      <c r="Q220" s="146"/>
      <c r="R220" s="190"/>
      <c r="S220" s="190"/>
      <c r="T220" s="190"/>
      <c r="U220" s="190"/>
      <c r="V220" s="190"/>
      <c r="W220" s="190"/>
      <c r="X220" s="190"/>
      <c r="Y220" s="190"/>
      <c r="Z220" s="190"/>
    </row>
    <row r="221" ht="15.75" customHeight="1">
      <c r="A221" s="228"/>
      <c r="B221" s="165"/>
      <c r="C221" s="162"/>
      <c r="D221" s="142"/>
      <c r="E221" s="144"/>
      <c r="F221" s="144"/>
      <c r="G221" s="144"/>
      <c r="H221" s="144"/>
      <c r="I221" s="182"/>
      <c r="J221" s="144"/>
      <c r="K221" s="145"/>
      <c r="L221" s="150"/>
      <c r="M221" s="146"/>
      <c r="N221" s="146"/>
      <c r="O221" s="146"/>
      <c r="P221" s="146"/>
      <c r="Q221" s="146"/>
      <c r="R221" s="190"/>
      <c r="S221" s="190"/>
      <c r="T221" s="190"/>
      <c r="U221" s="190"/>
      <c r="V221" s="190"/>
      <c r="W221" s="190"/>
      <c r="X221" s="190"/>
      <c r="Y221" s="190"/>
      <c r="Z221" s="190"/>
    </row>
    <row r="222" ht="15.75" customHeight="1">
      <c r="A222" s="228"/>
      <c r="B222" s="165"/>
      <c r="C222" s="162"/>
      <c r="D222" s="142"/>
      <c r="E222" s="144"/>
      <c r="F222" s="144"/>
      <c r="G222" s="144"/>
      <c r="H222" s="144"/>
      <c r="I222" s="182"/>
      <c r="J222" s="144"/>
      <c r="K222" s="145"/>
      <c r="L222" s="150"/>
      <c r="M222" s="146"/>
      <c r="N222" s="146"/>
      <c r="O222" s="146"/>
      <c r="P222" s="146"/>
      <c r="Q222" s="146"/>
      <c r="R222" s="190"/>
      <c r="S222" s="190"/>
      <c r="T222" s="190"/>
      <c r="U222" s="190"/>
      <c r="V222" s="190"/>
      <c r="W222" s="190"/>
      <c r="X222" s="190"/>
      <c r="Y222" s="190"/>
      <c r="Z222" s="190"/>
    </row>
    <row r="223" ht="15.75" customHeight="1">
      <c r="A223" s="228"/>
      <c r="B223" s="165"/>
      <c r="C223" s="162"/>
      <c r="D223" s="142"/>
      <c r="E223" s="144"/>
      <c r="F223" s="144"/>
      <c r="G223" s="144"/>
      <c r="H223" s="144"/>
      <c r="I223" s="182"/>
      <c r="J223" s="144"/>
      <c r="K223" s="145"/>
      <c r="L223" s="150"/>
      <c r="M223" s="146"/>
      <c r="N223" s="146"/>
      <c r="O223" s="146"/>
      <c r="P223" s="146"/>
      <c r="Q223" s="146"/>
      <c r="R223" s="190"/>
      <c r="S223" s="190"/>
      <c r="T223" s="190"/>
      <c r="U223" s="190"/>
      <c r="V223" s="190"/>
      <c r="W223" s="190"/>
      <c r="X223" s="190"/>
      <c r="Y223" s="190"/>
      <c r="Z223" s="190"/>
    </row>
    <row r="224" ht="15.75" customHeight="1">
      <c r="A224" s="228"/>
      <c r="B224" s="165"/>
      <c r="C224" s="162"/>
      <c r="D224" s="142"/>
      <c r="E224" s="144"/>
      <c r="F224" s="144"/>
      <c r="G224" s="144"/>
      <c r="H224" s="144"/>
      <c r="I224" s="182"/>
      <c r="J224" s="144"/>
      <c r="K224" s="145"/>
      <c r="L224" s="150"/>
      <c r="M224" s="146"/>
      <c r="N224" s="146"/>
      <c r="O224" s="146"/>
      <c r="P224" s="146"/>
      <c r="Q224" s="146"/>
      <c r="R224" s="190"/>
      <c r="S224" s="190"/>
      <c r="T224" s="190"/>
      <c r="U224" s="190"/>
      <c r="V224" s="190"/>
      <c r="W224" s="190"/>
      <c r="X224" s="190"/>
      <c r="Y224" s="190"/>
      <c r="Z224" s="190"/>
    </row>
    <row r="225" ht="15.75" customHeight="1">
      <c r="A225" s="228"/>
      <c r="B225" s="165"/>
      <c r="C225" s="162"/>
      <c r="D225" s="142"/>
      <c r="E225" s="144"/>
      <c r="F225" s="144"/>
      <c r="G225" s="144"/>
      <c r="H225" s="144"/>
      <c r="I225" s="182"/>
      <c r="J225" s="144"/>
      <c r="K225" s="145"/>
      <c r="L225" s="150"/>
      <c r="M225" s="146"/>
      <c r="N225" s="146"/>
      <c r="O225" s="146"/>
      <c r="P225" s="146"/>
      <c r="Q225" s="146"/>
      <c r="R225" s="190"/>
      <c r="S225" s="190"/>
      <c r="T225" s="190"/>
      <c r="U225" s="190"/>
      <c r="V225" s="190"/>
      <c r="W225" s="190"/>
      <c r="X225" s="190"/>
      <c r="Y225" s="190"/>
      <c r="Z225" s="190"/>
    </row>
    <row r="226" ht="15.75" customHeight="1">
      <c r="A226" s="228"/>
      <c r="B226" s="165"/>
      <c r="C226" s="162"/>
      <c r="D226" s="142"/>
      <c r="E226" s="144"/>
      <c r="F226" s="144"/>
      <c r="G226" s="144"/>
      <c r="H226" s="144"/>
      <c r="I226" s="182"/>
      <c r="J226" s="144"/>
      <c r="K226" s="145"/>
      <c r="L226" s="150"/>
      <c r="M226" s="146"/>
      <c r="N226" s="146"/>
      <c r="O226" s="146"/>
      <c r="P226" s="146"/>
      <c r="Q226" s="146"/>
      <c r="R226" s="190"/>
      <c r="S226" s="190"/>
      <c r="T226" s="190"/>
      <c r="U226" s="190"/>
      <c r="V226" s="190"/>
      <c r="W226" s="190"/>
      <c r="X226" s="190"/>
      <c r="Y226" s="190"/>
      <c r="Z226" s="190"/>
    </row>
    <row r="227" ht="15.75" customHeight="1">
      <c r="A227" s="228"/>
      <c r="B227" s="165"/>
      <c r="C227" s="162"/>
      <c r="D227" s="142"/>
      <c r="E227" s="144"/>
      <c r="F227" s="144"/>
      <c r="G227" s="144"/>
      <c r="H227" s="144"/>
      <c r="I227" s="182"/>
      <c r="J227" s="144"/>
      <c r="K227" s="145"/>
      <c r="L227" s="150"/>
      <c r="M227" s="146"/>
      <c r="N227" s="146"/>
      <c r="O227" s="146"/>
      <c r="P227" s="146"/>
      <c r="Q227" s="146"/>
      <c r="R227" s="190"/>
      <c r="S227" s="190"/>
      <c r="T227" s="190"/>
      <c r="U227" s="190"/>
      <c r="V227" s="190"/>
      <c r="W227" s="190"/>
      <c r="X227" s="190"/>
      <c r="Y227" s="190"/>
      <c r="Z227" s="190"/>
    </row>
    <row r="228" ht="15.75" customHeight="1">
      <c r="A228" s="228"/>
      <c r="B228" s="165"/>
      <c r="C228" s="162"/>
      <c r="D228" s="142"/>
      <c r="E228" s="144"/>
      <c r="F228" s="144"/>
      <c r="G228" s="144"/>
      <c r="H228" s="144"/>
      <c r="I228" s="182"/>
      <c r="J228" s="144"/>
      <c r="K228" s="145"/>
      <c r="L228" s="150"/>
      <c r="M228" s="146"/>
      <c r="N228" s="146"/>
      <c r="O228" s="146"/>
      <c r="P228" s="146"/>
      <c r="Q228" s="146"/>
      <c r="R228" s="190"/>
      <c r="S228" s="190"/>
      <c r="T228" s="190"/>
      <c r="U228" s="190"/>
      <c r="V228" s="190"/>
      <c r="W228" s="190"/>
      <c r="X228" s="190"/>
      <c r="Y228" s="190"/>
      <c r="Z228" s="190"/>
    </row>
    <row r="229" ht="15.75" customHeight="1">
      <c r="A229" s="228"/>
      <c r="B229" s="165"/>
      <c r="C229" s="162"/>
      <c r="D229" s="142"/>
      <c r="E229" s="144"/>
      <c r="F229" s="144"/>
      <c r="G229" s="144"/>
      <c r="H229" s="144"/>
      <c r="I229" s="182"/>
      <c r="J229" s="144"/>
      <c r="K229" s="145"/>
      <c r="L229" s="150"/>
      <c r="M229" s="146"/>
      <c r="N229" s="146"/>
      <c r="O229" s="146"/>
      <c r="P229" s="146"/>
      <c r="Q229" s="146"/>
      <c r="R229" s="190"/>
      <c r="S229" s="190"/>
      <c r="T229" s="190"/>
      <c r="U229" s="190"/>
      <c r="V229" s="190"/>
      <c r="W229" s="190"/>
      <c r="X229" s="190"/>
      <c r="Y229" s="190"/>
      <c r="Z229" s="190"/>
    </row>
    <row r="230" ht="15.75" customHeight="1">
      <c r="A230" s="228"/>
      <c r="B230" s="165"/>
      <c r="C230" s="162"/>
      <c r="D230" s="142"/>
      <c r="E230" s="144"/>
      <c r="F230" s="144"/>
      <c r="G230" s="144"/>
      <c r="H230" s="144"/>
      <c r="I230" s="182"/>
      <c r="J230" s="144"/>
      <c r="K230" s="145"/>
      <c r="L230" s="150"/>
      <c r="M230" s="146"/>
      <c r="N230" s="146"/>
      <c r="O230" s="146"/>
      <c r="P230" s="146"/>
      <c r="Q230" s="146"/>
      <c r="R230" s="190"/>
      <c r="S230" s="190"/>
      <c r="T230" s="190"/>
      <c r="U230" s="190"/>
      <c r="V230" s="190"/>
      <c r="W230" s="190"/>
      <c r="X230" s="190"/>
      <c r="Y230" s="190"/>
      <c r="Z230" s="190"/>
    </row>
    <row r="231" ht="15.75" customHeight="1">
      <c r="A231" s="228"/>
      <c r="B231" s="165"/>
      <c r="C231" s="162"/>
      <c r="D231" s="142"/>
      <c r="E231" s="144"/>
      <c r="F231" s="144"/>
      <c r="G231" s="144"/>
      <c r="H231" s="144"/>
      <c r="I231" s="182"/>
      <c r="J231" s="144"/>
      <c r="K231" s="145"/>
      <c r="L231" s="150"/>
      <c r="M231" s="146"/>
      <c r="N231" s="146"/>
      <c r="O231" s="146"/>
      <c r="P231" s="146"/>
      <c r="Q231" s="146"/>
      <c r="R231" s="190"/>
      <c r="S231" s="190"/>
      <c r="T231" s="190"/>
      <c r="U231" s="190"/>
      <c r="V231" s="190"/>
      <c r="W231" s="190"/>
      <c r="X231" s="190"/>
      <c r="Y231" s="190"/>
      <c r="Z231" s="190"/>
    </row>
    <row r="232" ht="15.75" customHeight="1">
      <c r="A232" s="228"/>
      <c r="B232" s="165"/>
      <c r="C232" s="162"/>
      <c r="D232" s="142"/>
      <c r="E232" s="144"/>
      <c r="F232" s="144"/>
      <c r="G232" s="144"/>
      <c r="H232" s="144"/>
      <c r="I232" s="182"/>
      <c r="J232" s="144"/>
      <c r="K232" s="145"/>
      <c r="L232" s="150"/>
      <c r="M232" s="146"/>
      <c r="N232" s="146"/>
      <c r="O232" s="146"/>
      <c r="P232" s="146"/>
      <c r="Q232" s="146"/>
      <c r="R232" s="190"/>
      <c r="S232" s="190"/>
      <c r="T232" s="190"/>
      <c r="U232" s="190"/>
      <c r="V232" s="190"/>
      <c r="W232" s="190"/>
      <c r="X232" s="190"/>
      <c r="Y232" s="190"/>
      <c r="Z232" s="190"/>
    </row>
    <row r="233" ht="15.75" customHeight="1">
      <c r="A233" s="228"/>
      <c r="B233" s="165"/>
      <c r="C233" s="162"/>
      <c r="D233" s="142"/>
      <c r="E233" s="144"/>
      <c r="F233" s="144"/>
      <c r="G233" s="144"/>
      <c r="H233" s="144"/>
      <c r="I233" s="182"/>
      <c r="J233" s="144"/>
      <c r="K233" s="145"/>
      <c r="L233" s="150"/>
      <c r="M233" s="146"/>
      <c r="N233" s="146"/>
      <c r="O233" s="146"/>
      <c r="P233" s="146"/>
      <c r="Q233" s="146"/>
      <c r="R233" s="190"/>
      <c r="S233" s="190"/>
      <c r="T233" s="190"/>
      <c r="U233" s="190"/>
      <c r="V233" s="190"/>
      <c r="W233" s="190"/>
      <c r="X233" s="190"/>
      <c r="Y233" s="190"/>
      <c r="Z233" s="190"/>
    </row>
    <row r="234" ht="15.75" customHeight="1">
      <c r="A234" s="228"/>
      <c r="B234" s="165"/>
      <c r="C234" s="162"/>
      <c r="D234" s="142"/>
      <c r="E234" s="144"/>
      <c r="F234" s="144"/>
      <c r="G234" s="144"/>
      <c r="H234" s="144"/>
      <c r="I234" s="182"/>
      <c r="J234" s="144"/>
      <c r="K234" s="145"/>
      <c r="L234" s="150"/>
      <c r="M234" s="146"/>
      <c r="N234" s="146"/>
      <c r="O234" s="146"/>
      <c r="P234" s="146"/>
      <c r="Q234" s="146"/>
      <c r="R234" s="190"/>
      <c r="S234" s="190"/>
      <c r="T234" s="190"/>
      <c r="U234" s="190"/>
      <c r="V234" s="190"/>
      <c r="W234" s="190"/>
      <c r="X234" s="190"/>
      <c r="Y234" s="190"/>
      <c r="Z234" s="190"/>
    </row>
    <row r="235" ht="15.75" customHeight="1">
      <c r="A235" s="228"/>
      <c r="B235" s="165"/>
      <c r="C235" s="162"/>
      <c r="D235" s="142"/>
      <c r="E235" s="144"/>
      <c r="F235" s="144"/>
      <c r="G235" s="144"/>
      <c r="H235" s="144"/>
      <c r="I235" s="182"/>
      <c r="J235" s="144"/>
      <c r="K235" s="145"/>
      <c r="L235" s="150"/>
      <c r="M235" s="146"/>
      <c r="N235" s="146"/>
      <c r="O235" s="146"/>
      <c r="P235" s="146"/>
      <c r="Q235" s="146"/>
      <c r="R235" s="190"/>
      <c r="S235" s="190"/>
      <c r="T235" s="190"/>
      <c r="U235" s="190"/>
      <c r="V235" s="190"/>
      <c r="W235" s="190"/>
      <c r="X235" s="190"/>
      <c r="Y235" s="190"/>
      <c r="Z235" s="190"/>
    </row>
    <row r="236" ht="15.75" customHeight="1">
      <c r="A236" s="228"/>
      <c r="B236" s="165"/>
      <c r="C236" s="162"/>
      <c r="D236" s="142"/>
      <c r="E236" s="144"/>
      <c r="F236" s="144"/>
      <c r="G236" s="144"/>
      <c r="H236" s="144"/>
      <c r="I236" s="182"/>
      <c r="J236" s="144"/>
      <c r="K236" s="145"/>
      <c r="L236" s="150"/>
      <c r="M236" s="146"/>
      <c r="N236" s="146"/>
      <c r="O236" s="146"/>
      <c r="P236" s="146"/>
      <c r="Q236" s="146"/>
      <c r="R236" s="190"/>
      <c r="S236" s="190"/>
      <c r="T236" s="190"/>
      <c r="U236" s="190"/>
      <c r="V236" s="190"/>
      <c r="W236" s="190"/>
      <c r="X236" s="190"/>
      <c r="Y236" s="190"/>
      <c r="Z236" s="190"/>
    </row>
    <row r="237" ht="15.75" customHeight="1">
      <c r="A237" s="228"/>
      <c r="B237" s="165"/>
      <c r="C237" s="162"/>
      <c r="D237" s="142"/>
      <c r="E237" s="144"/>
      <c r="F237" s="144"/>
      <c r="G237" s="144"/>
      <c r="H237" s="144"/>
      <c r="I237" s="182"/>
      <c r="J237" s="144"/>
      <c r="K237" s="145"/>
      <c r="L237" s="150"/>
      <c r="M237" s="146"/>
      <c r="N237" s="146"/>
      <c r="O237" s="146"/>
      <c r="P237" s="146"/>
      <c r="Q237" s="146"/>
      <c r="R237" s="190"/>
      <c r="S237" s="190"/>
      <c r="T237" s="190"/>
      <c r="U237" s="190"/>
      <c r="V237" s="190"/>
      <c r="W237" s="190"/>
      <c r="X237" s="190"/>
      <c r="Y237" s="190"/>
      <c r="Z237" s="190"/>
    </row>
    <row r="238" ht="15.75" customHeight="1">
      <c r="A238" s="228"/>
      <c r="B238" s="165"/>
      <c r="C238" s="162"/>
      <c r="D238" s="142"/>
      <c r="E238" s="144"/>
      <c r="F238" s="144"/>
      <c r="G238" s="144"/>
      <c r="H238" s="144"/>
      <c r="I238" s="182"/>
      <c r="J238" s="144"/>
      <c r="K238" s="145"/>
      <c r="L238" s="150"/>
      <c r="M238" s="146"/>
      <c r="N238" s="146"/>
      <c r="O238" s="146"/>
      <c r="P238" s="146"/>
      <c r="Q238" s="146"/>
      <c r="R238" s="190"/>
      <c r="S238" s="190"/>
      <c r="T238" s="190"/>
      <c r="U238" s="190"/>
      <c r="V238" s="190"/>
      <c r="W238" s="190"/>
      <c r="X238" s="190"/>
      <c r="Y238" s="190"/>
      <c r="Z238" s="190"/>
    </row>
    <row r="239" ht="15.75" customHeight="1">
      <c r="A239" s="228"/>
      <c r="B239" s="165"/>
      <c r="C239" s="162"/>
      <c r="D239" s="142"/>
      <c r="E239" s="144"/>
      <c r="F239" s="144"/>
      <c r="G239" s="144"/>
      <c r="H239" s="144"/>
      <c r="I239" s="182"/>
      <c r="J239" s="144"/>
      <c r="K239" s="145"/>
      <c r="L239" s="150"/>
      <c r="M239" s="146"/>
      <c r="N239" s="146"/>
      <c r="O239" s="146"/>
      <c r="P239" s="146"/>
      <c r="Q239" s="146"/>
      <c r="R239" s="190"/>
      <c r="S239" s="190"/>
      <c r="T239" s="190"/>
      <c r="U239" s="190"/>
      <c r="V239" s="190"/>
      <c r="W239" s="190"/>
      <c r="X239" s="190"/>
      <c r="Y239" s="190"/>
      <c r="Z239" s="190"/>
    </row>
    <row r="240" ht="15.75" customHeight="1">
      <c r="A240" s="228"/>
      <c r="B240" s="165"/>
      <c r="C240" s="162"/>
      <c r="D240" s="142"/>
      <c r="E240" s="144"/>
      <c r="F240" s="144"/>
      <c r="G240" s="144"/>
      <c r="H240" s="144"/>
      <c r="I240" s="182"/>
      <c r="J240" s="144"/>
      <c r="K240" s="145"/>
      <c r="L240" s="150"/>
      <c r="M240" s="146"/>
      <c r="N240" s="146"/>
      <c r="O240" s="146"/>
      <c r="P240" s="146"/>
      <c r="Q240" s="146"/>
      <c r="R240" s="190"/>
      <c r="S240" s="190"/>
      <c r="T240" s="190"/>
      <c r="U240" s="190"/>
      <c r="V240" s="190"/>
      <c r="W240" s="190"/>
      <c r="X240" s="190"/>
      <c r="Y240" s="190"/>
      <c r="Z240" s="190"/>
    </row>
    <row r="241" ht="15.75" customHeight="1">
      <c r="A241" s="228"/>
      <c r="B241" s="165"/>
      <c r="C241" s="162"/>
      <c r="D241" s="142"/>
      <c r="E241" s="144"/>
      <c r="F241" s="144"/>
      <c r="G241" s="144"/>
      <c r="H241" s="144"/>
      <c r="I241" s="182"/>
      <c r="J241" s="144"/>
      <c r="K241" s="145"/>
      <c r="L241" s="150"/>
      <c r="M241" s="146"/>
      <c r="N241" s="146"/>
      <c r="O241" s="146"/>
      <c r="P241" s="146"/>
      <c r="Q241" s="146"/>
      <c r="R241" s="190"/>
      <c r="S241" s="190"/>
      <c r="T241" s="190"/>
      <c r="U241" s="190"/>
      <c r="V241" s="190"/>
      <c r="W241" s="190"/>
      <c r="X241" s="190"/>
      <c r="Y241" s="190"/>
      <c r="Z241" s="190"/>
    </row>
    <row r="242" ht="15.75" customHeight="1">
      <c r="A242" s="228"/>
      <c r="B242" s="165"/>
      <c r="C242" s="162"/>
      <c r="D242" s="142"/>
      <c r="E242" s="144"/>
      <c r="F242" s="144"/>
      <c r="G242" s="144"/>
      <c r="H242" s="144"/>
      <c r="I242" s="182"/>
      <c r="J242" s="144"/>
      <c r="K242" s="145"/>
      <c r="L242" s="150"/>
      <c r="M242" s="146"/>
      <c r="N242" s="146"/>
      <c r="O242" s="146"/>
      <c r="P242" s="146"/>
      <c r="Q242" s="146"/>
      <c r="R242" s="190"/>
      <c r="S242" s="190"/>
      <c r="T242" s="190"/>
      <c r="U242" s="190"/>
      <c r="V242" s="190"/>
      <c r="W242" s="190"/>
      <c r="X242" s="190"/>
      <c r="Y242" s="190"/>
      <c r="Z242" s="190"/>
    </row>
    <row r="243" ht="15.75" customHeight="1">
      <c r="A243" s="228"/>
      <c r="B243" s="165"/>
      <c r="C243" s="162"/>
      <c r="D243" s="142"/>
      <c r="E243" s="144"/>
      <c r="F243" s="144"/>
      <c r="G243" s="144"/>
      <c r="H243" s="144"/>
      <c r="I243" s="182"/>
      <c r="J243" s="144"/>
      <c r="K243" s="145"/>
      <c r="L243" s="150"/>
      <c r="M243" s="146"/>
      <c r="N243" s="146"/>
      <c r="O243" s="146"/>
      <c r="P243" s="146"/>
      <c r="Q243" s="146"/>
      <c r="R243" s="190"/>
      <c r="S243" s="190"/>
      <c r="T243" s="190"/>
      <c r="U243" s="190"/>
      <c r="V243" s="190"/>
      <c r="W243" s="190"/>
      <c r="X243" s="190"/>
      <c r="Y243" s="190"/>
      <c r="Z243" s="190"/>
    </row>
    <row r="244" ht="15.75" customHeight="1">
      <c r="A244" s="228"/>
      <c r="B244" s="165"/>
      <c r="C244" s="162"/>
      <c r="D244" s="142"/>
      <c r="E244" s="144"/>
      <c r="F244" s="144"/>
      <c r="G244" s="144"/>
      <c r="H244" s="144"/>
      <c r="I244" s="182"/>
      <c r="J244" s="144"/>
      <c r="K244" s="145"/>
      <c r="L244" s="150"/>
      <c r="M244" s="146"/>
      <c r="N244" s="146"/>
      <c r="O244" s="146"/>
      <c r="P244" s="146"/>
      <c r="Q244" s="146"/>
      <c r="R244" s="190"/>
      <c r="S244" s="190"/>
      <c r="T244" s="190"/>
      <c r="U244" s="190"/>
      <c r="V244" s="190"/>
      <c r="W244" s="190"/>
      <c r="X244" s="190"/>
      <c r="Y244" s="190"/>
      <c r="Z244" s="190"/>
    </row>
    <row r="245" ht="15.75" customHeight="1">
      <c r="A245" s="228"/>
      <c r="B245" s="165"/>
      <c r="C245" s="162"/>
      <c r="D245" s="142"/>
      <c r="E245" s="144"/>
      <c r="F245" s="144"/>
      <c r="G245" s="144"/>
      <c r="H245" s="144"/>
      <c r="I245" s="182"/>
      <c r="J245" s="144"/>
      <c r="K245" s="145"/>
      <c r="L245" s="150"/>
      <c r="M245" s="146"/>
      <c r="N245" s="146"/>
      <c r="O245" s="146"/>
      <c r="P245" s="146"/>
      <c r="Q245" s="146"/>
      <c r="R245" s="190"/>
      <c r="S245" s="190"/>
      <c r="T245" s="190"/>
      <c r="U245" s="190"/>
      <c r="V245" s="190"/>
      <c r="W245" s="190"/>
      <c r="X245" s="190"/>
      <c r="Y245" s="190"/>
      <c r="Z245" s="190"/>
    </row>
    <row r="246" ht="15.75" customHeight="1">
      <c r="A246" s="228"/>
      <c r="B246" s="165"/>
      <c r="C246" s="162"/>
      <c r="D246" s="142"/>
      <c r="E246" s="144"/>
      <c r="F246" s="144"/>
      <c r="G246" s="144"/>
      <c r="H246" s="144"/>
      <c r="I246" s="182"/>
      <c r="J246" s="144"/>
      <c r="K246" s="145"/>
      <c r="L246" s="150"/>
      <c r="M246" s="146"/>
      <c r="N246" s="146"/>
      <c r="O246" s="146"/>
      <c r="P246" s="146"/>
      <c r="Q246" s="146"/>
      <c r="R246" s="190"/>
      <c r="S246" s="190"/>
      <c r="T246" s="190"/>
      <c r="U246" s="190"/>
      <c r="V246" s="190"/>
      <c r="W246" s="190"/>
      <c r="X246" s="190"/>
      <c r="Y246" s="190"/>
      <c r="Z246" s="190"/>
    </row>
    <row r="247" ht="15.75" customHeight="1">
      <c r="A247" s="228"/>
      <c r="B247" s="165"/>
      <c r="C247" s="162"/>
      <c r="D247" s="142"/>
      <c r="E247" s="144"/>
      <c r="F247" s="144"/>
      <c r="G247" s="144"/>
      <c r="H247" s="144"/>
      <c r="I247" s="182"/>
      <c r="J247" s="144"/>
      <c r="K247" s="145"/>
      <c r="L247" s="150"/>
      <c r="M247" s="146"/>
      <c r="N247" s="146"/>
      <c r="O247" s="146"/>
      <c r="P247" s="146"/>
      <c r="Q247" s="146"/>
      <c r="R247" s="190"/>
      <c r="S247" s="190"/>
      <c r="T247" s="190"/>
      <c r="U247" s="190"/>
      <c r="V247" s="190"/>
      <c r="W247" s="190"/>
      <c r="X247" s="190"/>
      <c r="Y247" s="190"/>
      <c r="Z247" s="190"/>
    </row>
    <row r="248" ht="15.75" customHeight="1">
      <c r="A248" s="228"/>
      <c r="B248" s="165"/>
      <c r="C248" s="162"/>
      <c r="D248" s="142"/>
      <c r="E248" s="144"/>
      <c r="F248" s="144"/>
      <c r="G248" s="144"/>
      <c r="H248" s="144"/>
      <c r="I248" s="182"/>
      <c r="J248" s="144"/>
      <c r="K248" s="145"/>
      <c r="L248" s="150"/>
      <c r="M248" s="146"/>
      <c r="N248" s="146"/>
      <c r="O248" s="146"/>
      <c r="P248" s="146"/>
      <c r="Q248" s="146"/>
      <c r="R248" s="190"/>
      <c r="S248" s="190"/>
      <c r="T248" s="190"/>
      <c r="U248" s="190"/>
      <c r="V248" s="190"/>
      <c r="W248" s="190"/>
      <c r="X248" s="190"/>
      <c r="Y248" s="190"/>
      <c r="Z248" s="190"/>
    </row>
    <row r="249" ht="15.75" customHeight="1">
      <c r="A249" s="228"/>
      <c r="B249" s="165"/>
      <c r="C249" s="162"/>
      <c r="D249" s="142"/>
      <c r="E249" s="144"/>
      <c r="F249" s="144"/>
      <c r="G249" s="144"/>
      <c r="H249" s="144"/>
      <c r="I249" s="182"/>
      <c r="J249" s="144"/>
      <c r="K249" s="145"/>
      <c r="L249" s="150"/>
      <c r="M249" s="146"/>
      <c r="N249" s="146"/>
      <c r="O249" s="146"/>
      <c r="P249" s="146"/>
      <c r="Q249" s="146"/>
      <c r="R249" s="190"/>
      <c r="S249" s="190"/>
      <c r="T249" s="190"/>
      <c r="U249" s="190"/>
      <c r="V249" s="190"/>
      <c r="W249" s="190"/>
      <c r="X249" s="190"/>
      <c r="Y249" s="190"/>
      <c r="Z249" s="190"/>
    </row>
    <row r="250" ht="15.75" customHeight="1">
      <c r="A250" s="228"/>
      <c r="B250" s="165"/>
      <c r="C250" s="162"/>
      <c r="D250" s="142"/>
      <c r="E250" s="144"/>
      <c r="F250" s="144"/>
      <c r="G250" s="144"/>
      <c r="H250" s="144"/>
      <c r="I250" s="182"/>
      <c r="J250" s="144"/>
      <c r="K250" s="145"/>
      <c r="L250" s="150"/>
      <c r="M250" s="146"/>
      <c r="N250" s="146"/>
      <c r="O250" s="146"/>
      <c r="P250" s="146"/>
      <c r="Q250" s="146"/>
      <c r="R250" s="190"/>
      <c r="S250" s="190"/>
      <c r="T250" s="190"/>
      <c r="U250" s="190"/>
      <c r="V250" s="190"/>
      <c r="W250" s="190"/>
      <c r="X250" s="190"/>
      <c r="Y250" s="190"/>
      <c r="Z250" s="190"/>
    </row>
    <row r="251" ht="15.75" customHeight="1">
      <c r="A251" s="228"/>
      <c r="B251" s="165"/>
      <c r="C251" s="162"/>
      <c r="D251" s="142"/>
      <c r="E251" s="144"/>
      <c r="F251" s="144"/>
      <c r="G251" s="144"/>
      <c r="H251" s="144"/>
      <c r="I251" s="182"/>
      <c r="J251" s="144"/>
      <c r="K251" s="145"/>
      <c r="L251" s="150"/>
      <c r="M251" s="146"/>
      <c r="N251" s="146"/>
      <c r="O251" s="146"/>
      <c r="P251" s="146"/>
      <c r="Q251" s="146"/>
      <c r="R251" s="190"/>
      <c r="S251" s="190"/>
      <c r="T251" s="190"/>
      <c r="U251" s="190"/>
      <c r="V251" s="190"/>
      <c r="W251" s="190"/>
      <c r="X251" s="190"/>
      <c r="Y251" s="190"/>
      <c r="Z251" s="190"/>
    </row>
    <row r="252" ht="15.75" customHeight="1">
      <c r="A252" s="228"/>
      <c r="B252" s="165"/>
      <c r="C252" s="162"/>
      <c r="D252" s="142"/>
      <c r="E252" s="144"/>
      <c r="F252" s="144"/>
      <c r="G252" s="144"/>
      <c r="H252" s="144"/>
      <c r="I252" s="182"/>
      <c r="J252" s="144"/>
      <c r="K252" s="145"/>
      <c r="L252" s="150"/>
      <c r="M252" s="146"/>
      <c r="N252" s="146"/>
      <c r="O252" s="146"/>
      <c r="P252" s="146"/>
      <c r="Q252" s="146"/>
      <c r="R252" s="190"/>
      <c r="S252" s="190"/>
      <c r="T252" s="190"/>
      <c r="U252" s="190"/>
      <c r="V252" s="190"/>
      <c r="W252" s="190"/>
      <c r="X252" s="190"/>
      <c r="Y252" s="190"/>
      <c r="Z252" s="190"/>
    </row>
    <row r="253" ht="15.75" customHeight="1">
      <c r="A253" s="228"/>
      <c r="B253" s="165"/>
      <c r="C253" s="162"/>
      <c r="D253" s="142"/>
      <c r="E253" s="144"/>
      <c r="F253" s="144"/>
      <c r="G253" s="144"/>
      <c r="H253" s="144"/>
      <c r="I253" s="182"/>
      <c r="J253" s="144"/>
      <c r="K253" s="145"/>
      <c r="L253" s="150"/>
      <c r="M253" s="146"/>
      <c r="N253" s="146"/>
      <c r="O253" s="146"/>
      <c r="P253" s="146"/>
      <c r="Q253" s="146"/>
      <c r="R253" s="190"/>
      <c r="S253" s="190"/>
      <c r="T253" s="190"/>
      <c r="U253" s="190"/>
      <c r="V253" s="190"/>
      <c r="W253" s="190"/>
      <c r="X253" s="190"/>
      <c r="Y253" s="190"/>
      <c r="Z253" s="190"/>
    </row>
    <row r="254" ht="15.75" customHeight="1">
      <c r="A254" s="228"/>
      <c r="B254" s="165"/>
      <c r="C254" s="162"/>
      <c r="D254" s="142"/>
      <c r="E254" s="144"/>
      <c r="F254" s="144"/>
      <c r="G254" s="144"/>
      <c r="H254" s="144"/>
      <c r="I254" s="182"/>
      <c r="J254" s="144"/>
      <c r="K254" s="145"/>
      <c r="L254" s="150"/>
      <c r="M254" s="146"/>
      <c r="N254" s="146"/>
      <c r="O254" s="146"/>
      <c r="P254" s="146"/>
      <c r="Q254" s="146"/>
      <c r="R254" s="190"/>
      <c r="S254" s="190"/>
      <c r="T254" s="190"/>
      <c r="U254" s="190"/>
      <c r="V254" s="190"/>
      <c r="W254" s="190"/>
      <c r="X254" s="190"/>
      <c r="Y254" s="190"/>
      <c r="Z254" s="190"/>
    </row>
    <row r="255" ht="15.75" customHeight="1">
      <c r="A255" s="228"/>
      <c r="B255" s="165"/>
      <c r="C255" s="162"/>
      <c r="D255" s="142"/>
      <c r="E255" s="144"/>
      <c r="F255" s="144"/>
      <c r="G255" s="144"/>
      <c r="H255" s="144"/>
      <c r="I255" s="182"/>
      <c r="J255" s="144"/>
      <c r="K255" s="145"/>
      <c r="L255" s="150"/>
      <c r="M255" s="146"/>
      <c r="N255" s="146"/>
      <c r="O255" s="146"/>
      <c r="P255" s="146"/>
      <c r="Q255" s="146"/>
      <c r="R255" s="190"/>
      <c r="S255" s="190"/>
      <c r="T255" s="190"/>
      <c r="U255" s="190"/>
      <c r="V255" s="190"/>
      <c r="W255" s="190"/>
      <c r="X255" s="190"/>
      <c r="Y255" s="190"/>
      <c r="Z255" s="190"/>
    </row>
    <row r="256" ht="15.75" customHeight="1">
      <c r="A256" s="228"/>
      <c r="B256" s="165"/>
      <c r="C256" s="162"/>
      <c r="D256" s="142"/>
      <c r="E256" s="144"/>
      <c r="F256" s="144"/>
      <c r="G256" s="144"/>
      <c r="H256" s="144"/>
      <c r="I256" s="182"/>
      <c r="J256" s="144"/>
      <c r="K256" s="145"/>
      <c r="L256" s="150"/>
      <c r="M256" s="146"/>
      <c r="N256" s="146"/>
      <c r="O256" s="146"/>
      <c r="P256" s="146"/>
      <c r="Q256" s="146"/>
      <c r="R256" s="190"/>
      <c r="S256" s="190"/>
      <c r="T256" s="190"/>
      <c r="U256" s="190"/>
      <c r="V256" s="190"/>
      <c r="W256" s="190"/>
      <c r="X256" s="190"/>
      <c r="Y256" s="190"/>
      <c r="Z256" s="190"/>
    </row>
    <row r="257" ht="15.75" customHeight="1">
      <c r="A257" s="228"/>
      <c r="B257" s="165"/>
      <c r="C257" s="162"/>
      <c r="D257" s="142"/>
      <c r="E257" s="144"/>
      <c r="F257" s="144"/>
      <c r="G257" s="144"/>
      <c r="H257" s="144"/>
      <c r="I257" s="182"/>
      <c r="J257" s="144"/>
      <c r="K257" s="145"/>
      <c r="L257" s="150"/>
      <c r="M257" s="146"/>
      <c r="N257" s="146"/>
      <c r="O257" s="146"/>
      <c r="P257" s="146"/>
      <c r="Q257" s="146"/>
      <c r="R257" s="190"/>
      <c r="S257" s="190"/>
      <c r="T257" s="190"/>
      <c r="U257" s="190"/>
      <c r="V257" s="190"/>
      <c r="W257" s="190"/>
      <c r="X257" s="190"/>
      <c r="Y257" s="190"/>
      <c r="Z257" s="190"/>
    </row>
    <row r="258" ht="15.75" customHeight="1">
      <c r="A258" s="228"/>
      <c r="B258" s="165"/>
      <c r="C258" s="162"/>
      <c r="D258" s="142"/>
      <c r="E258" s="144"/>
      <c r="F258" s="144"/>
      <c r="G258" s="144"/>
      <c r="H258" s="144"/>
      <c r="I258" s="182"/>
      <c r="J258" s="144"/>
      <c r="K258" s="145"/>
      <c r="L258" s="150"/>
      <c r="M258" s="146"/>
      <c r="N258" s="146"/>
      <c r="O258" s="146"/>
      <c r="P258" s="146"/>
      <c r="Q258" s="146"/>
      <c r="R258" s="190"/>
      <c r="S258" s="190"/>
      <c r="T258" s="190"/>
      <c r="U258" s="190"/>
      <c r="V258" s="190"/>
      <c r="W258" s="190"/>
      <c r="X258" s="190"/>
      <c r="Y258" s="190"/>
      <c r="Z258" s="190"/>
    </row>
    <row r="259" ht="15.75" customHeight="1">
      <c r="A259" s="228"/>
      <c r="B259" s="165"/>
      <c r="C259" s="162"/>
      <c r="D259" s="142"/>
      <c r="E259" s="144"/>
      <c r="F259" s="144"/>
      <c r="G259" s="144"/>
      <c r="H259" s="144"/>
      <c r="I259" s="182"/>
      <c r="J259" s="144"/>
      <c r="K259" s="145"/>
      <c r="L259" s="150"/>
      <c r="M259" s="146"/>
      <c r="N259" s="146"/>
      <c r="O259" s="146"/>
      <c r="P259" s="146"/>
      <c r="Q259" s="146"/>
      <c r="R259" s="190"/>
      <c r="S259" s="190"/>
      <c r="T259" s="190"/>
      <c r="U259" s="190"/>
      <c r="V259" s="190"/>
      <c r="W259" s="190"/>
      <c r="X259" s="190"/>
      <c r="Y259" s="190"/>
      <c r="Z259" s="190"/>
    </row>
    <row r="260" ht="15.75" customHeight="1">
      <c r="A260" s="228"/>
      <c r="B260" s="165"/>
      <c r="C260" s="162"/>
      <c r="D260" s="142"/>
      <c r="E260" s="144"/>
      <c r="F260" s="144"/>
      <c r="G260" s="144"/>
      <c r="H260" s="144"/>
      <c r="I260" s="182"/>
      <c r="J260" s="144"/>
      <c r="K260" s="145"/>
      <c r="L260" s="150"/>
      <c r="M260" s="146"/>
      <c r="N260" s="146"/>
      <c r="O260" s="146"/>
      <c r="P260" s="146"/>
      <c r="Q260" s="146"/>
      <c r="R260" s="190"/>
      <c r="S260" s="190"/>
      <c r="T260" s="190"/>
      <c r="U260" s="190"/>
      <c r="V260" s="190"/>
      <c r="W260" s="190"/>
      <c r="X260" s="190"/>
      <c r="Y260" s="190"/>
      <c r="Z260" s="190"/>
    </row>
    <row r="261" ht="15.75" customHeight="1">
      <c r="A261" s="228"/>
      <c r="B261" s="165"/>
      <c r="C261" s="162"/>
      <c r="D261" s="142"/>
      <c r="E261" s="144"/>
      <c r="F261" s="144"/>
      <c r="G261" s="144"/>
      <c r="H261" s="144"/>
      <c r="I261" s="182"/>
      <c r="J261" s="144"/>
      <c r="K261" s="145"/>
      <c r="L261" s="150"/>
      <c r="M261" s="146"/>
      <c r="N261" s="146"/>
      <c r="O261" s="146"/>
      <c r="P261" s="146"/>
      <c r="Q261" s="146"/>
      <c r="R261" s="190"/>
      <c r="S261" s="190"/>
      <c r="T261" s="190"/>
      <c r="U261" s="190"/>
      <c r="V261" s="190"/>
      <c r="W261" s="190"/>
      <c r="X261" s="190"/>
      <c r="Y261" s="190"/>
      <c r="Z261" s="190"/>
    </row>
    <row r="262" ht="15.75" customHeight="1">
      <c r="A262" s="228"/>
      <c r="B262" s="165"/>
      <c r="C262" s="162"/>
      <c r="D262" s="142"/>
      <c r="E262" s="144"/>
      <c r="F262" s="144"/>
      <c r="G262" s="144"/>
      <c r="H262" s="144"/>
      <c r="I262" s="182"/>
      <c r="J262" s="144"/>
      <c r="K262" s="145"/>
      <c r="L262" s="150"/>
      <c r="M262" s="146"/>
      <c r="N262" s="146"/>
      <c r="O262" s="146"/>
      <c r="P262" s="146"/>
      <c r="Q262" s="146"/>
      <c r="R262" s="190"/>
      <c r="S262" s="190"/>
      <c r="T262" s="190"/>
      <c r="U262" s="190"/>
      <c r="V262" s="190"/>
      <c r="W262" s="190"/>
      <c r="X262" s="190"/>
      <c r="Y262" s="190"/>
      <c r="Z262" s="190"/>
    </row>
    <row r="263" ht="15.75" customHeight="1">
      <c r="A263" s="228"/>
      <c r="B263" s="165"/>
      <c r="C263" s="162"/>
      <c r="D263" s="142"/>
      <c r="E263" s="144"/>
      <c r="F263" s="144"/>
      <c r="G263" s="144"/>
      <c r="H263" s="144"/>
      <c r="I263" s="182"/>
      <c r="J263" s="144"/>
      <c r="K263" s="145"/>
      <c r="L263" s="150"/>
      <c r="M263" s="146"/>
      <c r="N263" s="146"/>
      <c r="O263" s="146"/>
      <c r="P263" s="146"/>
      <c r="Q263" s="146"/>
      <c r="R263" s="190"/>
      <c r="S263" s="190"/>
      <c r="T263" s="190"/>
      <c r="U263" s="190"/>
      <c r="V263" s="190"/>
      <c r="W263" s="190"/>
      <c r="X263" s="190"/>
      <c r="Y263" s="190"/>
      <c r="Z263" s="190"/>
    </row>
    <row r="264" ht="15.75" customHeight="1">
      <c r="A264" s="228"/>
      <c r="B264" s="165"/>
      <c r="C264" s="162"/>
      <c r="D264" s="142"/>
      <c r="E264" s="144"/>
      <c r="F264" s="144"/>
      <c r="G264" s="144"/>
      <c r="H264" s="144"/>
      <c r="I264" s="182"/>
      <c r="J264" s="144"/>
      <c r="K264" s="145"/>
      <c r="L264" s="150"/>
      <c r="M264" s="146"/>
      <c r="N264" s="146"/>
      <c r="O264" s="146"/>
      <c r="P264" s="146"/>
      <c r="Q264" s="146"/>
      <c r="R264" s="190"/>
      <c r="S264" s="190"/>
      <c r="T264" s="190"/>
      <c r="U264" s="190"/>
      <c r="V264" s="190"/>
      <c r="W264" s="190"/>
      <c r="X264" s="190"/>
      <c r="Y264" s="190"/>
      <c r="Z264" s="190"/>
    </row>
    <row r="265" ht="15.75" customHeight="1">
      <c r="A265" s="228"/>
      <c r="B265" s="165"/>
      <c r="C265" s="162"/>
      <c r="D265" s="142"/>
      <c r="E265" s="144"/>
      <c r="F265" s="144"/>
      <c r="G265" s="144"/>
      <c r="H265" s="144"/>
      <c r="I265" s="182"/>
      <c r="J265" s="144"/>
      <c r="K265" s="145"/>
      <c r="L265" s="150"/>
      <c r="M265" s="146"/>
      <c r="N265" s="146"/>
      <c r="O265" s="146"/>
      <c r="P265" s="146"/>
      <c r="Q265" s="146"/>
      <c r="R265" s="190"/>
      <c r="S265" s="190"/>
      <c r="T265" s="190"/>
      <c r="U265" s="190"/>
      <c r="V265" s="190"/>
      <c r="W265" s="190"/>
      <c r="X265" s="190"/>
      <c r="Y265" s="190"/>
      <c r="Z265" s="190"/>
    </row>
    <row r="266" ht="15.75" customHeight="1">
      <c r="A266" s="228"/>
      <c r="B266" s="165"/>
      <c r="C266" s="162"/>
      <c r="D266" s="142"/>
      <c r="E266" s="144"/>
      <c r="F266" s="144"/>
      <c r="G266" s="144"/>
      <c r="H266" s="144"/>
      <c r="I266" s="182"/>
      <c r="J266" s="144"/>
      <c r="K266" s="145"/>
      <c r="L266" s="150"/>
      <c r="M266" s="146"/>
      <c r="N266" s="146"/>
      <c r="O266" s="146"/>
      <c r="P266" s="146"/>
      <c r="Q266" s="146"/>
      <c r="R266" s="190"/>
      <c r="S266" s="190"/>
      <c r="T266" s="190"/>
      <c r="U266" s="190"/>
      <c r="V266" s="190"/>
      <c r="W266" s="190"/>
      <c r="X266" s="190"/>
      <c r="Y266" s="190"/>
      <c r="Z266" s="190"/>
    </row>
    <row r="267" ht="15.75" customHeight="1">
      <c r="A267" s="228"/>
      <c r="B267" s="165"/>
      <c r="C267" s="162"/>
      <c r="D267" s="142"/>
      <c r="E267" s="144"/>
      <c r="F267" s="144"/>
      <c r="G267" s="144"/>
      <c r="H267" s="144"/>
      <c r="I267" s="182"/>
      <c r="J267" s="144"/>
      <c r="K267" s="145"/>
      <c r="L267" s="150"/>
      <c r="M267" s="146"/>
      <c r="N267" s="146"/>
      <c r="O267" s="146"/>
      <c r="P267" s="146"/>
      <c r="Q267" s="146"/>
      <c r="R267" s="190"/>
      <c r="S267" s="190"/>
      <c r="T267" s="190"/>
      <c r="U267" s="190"/>
      <c r="V267" s="190"/>
      <c r="W267" s="190"/>
      <c r="X267" s="190"/>
      <c r="Y267" s="190"/>
      <c r="Z267" s="190"/>
    </row>
    <row r="268" ht="15.75" customHeight="1">
      <c r="A268" s="228"/>
      <c r="B268" s="165"/>
      <c r="C268" s="162"/>
      <c r="D268" s="142"/>
      <c r="E268" s="144"/>
      <c r="F268" s="144"/>
      <c r="G268" s="144"/>
      <c r="H268" s="144"/>
      <c r="I268" s="182"/>
      <c r="J268" s="144"/>
      <c r="K268" s="145"/>
      <c r="L268" s="150"/>
      <c r="M268" s="146"/>
      <c r="N268" s="146"/>
      <c r="O268" s="146"/>
      <c r="P268" s="146"/>
      <c r="Q268" s="146"/>
      <c r="R268" s="190"/>
      <c r="S268" s="190"/>
      <c r="T268" s="190"/>
      <c r="U268" s="190"/>
      <c r="V268" s="190"/>
      <c r="W268" s="190"/>
      <c r="X268" s="190"/>
      <c r="Y268" s="190"/>
      <c r="Z268" s="190"/>
    </row>
    <row r="269" ht="15.75" customHeight="1">
      <c r="A269" s="228"/>
      <c r="B269" s="165"/>
      <c r="C269" s="162"/>
      <c r="D269" s="142"/>
      <c r="E269" s="144"/>
      <c r="F269" s="144"/>
      <c r="G269" s="144"/>
      <c r="H269" s="144"/>
      <c r="I269" s="182"/>
      <c r="J269" s="144"/>
      <c r="K269" s="145"/>
      <c r="L269" s="150"/>
      <c r="M269" s="146"/>
      <c r="N269" s="146"/>
      <c r="O269" s="146"/>
      <c r="P269" s="146"/>
      <c r="Q269" s="146"/>
      <c r="R269" s="190"/>
      <c r="S269" s="190"/>
      <c r="T269" s="190"/>
      <c r="U269" s="190"/>
      <c r="V269" s="190"/>
      <c r="W269" s="190"/>
      <c r="X269" s="190"/>
      <c r="Y269" s="190"/>
      <c r="Z269" s="190"/>
    </row>
    <row r="270" ht="15.75" customHeight="1">
      <c r="A270" s="228"/>
      <c r="B270" s="165"/>
      <c r="C270" s="162"/>
      <c r="D270" s="142"/>
      <c r="E270" s="144"/>
      <c r="F270" s="144"/>
      <c r="G270" s="144"/>
      <c r="H270" s="144"/>
      <c r="I270" s="182"/>
      <c r="J270" s="144"/>
      <c r="K270" s="145"/>
      <c r="L270" s="150"/>
      <c r="M270" s="146"/>
      <c r="N270" s="146"/>
      <c r="O270" s="146"/>
      <c r="P270" s="146"/>
      <c r="Q270" s="146"/>
      <c r="R270" s="190"/>
      <c r="S270" s="190"/>
      <c r="T270" s="190"/>
      <c r="U270" s="190"/>
      <c r="V270" s="190"/>
      <c r="W270" s="190"/>
      <c r="X270" s="190"/>
      <c r="Y270" s="190"/>
      <c r="Z270" s="190"/>
    </row>
    <row r="271" ht="15.75" customHeight="1">
      <c r="A271" s="228"/>
      <c r="B271" s="165"/>
      <c r="C271" s="162"/>
      <c r="D271" s="142"/>
      <c r="E271" s="144"/>
      <c r="F271" s="144"/>
      <c r="G271" s="144"/>
      <c r="H271" s="144"/>
      <c r="I271" s="182"/>
      <c r="J271" s="144"/>
      <c r="K271" s="145"/>
      <c r="L271" s="150"/>
      <c r="M271" s="146"/>
      <c r="N271" s="146"/>
      <c r="O271" s="146"/>
      <c r="P271" s="146"/>
      <c r="Q271" s="146"/>
      <c r="R271" s="190"/>
      <c r="S271" s="190"/>
      <c r="T271" s="190"/>
      <c r="U271" s="190"/>
      <c r="V271" s="190"/>
      <c r="W271" s="190"/>
      <c r="X271" s="190"/>
      <c r="Y271" s="190"/>
      <c r="Z271" s="190"/>
    </row>
    <row r="272" ht="15.75" customHeight="1">
      <c r="A272" s="228"/>
      <c r="B272" s="165"/>
      <c r="C272" s="162"/>
      <c r="D272" s="142"/>
      <c r="E272" s="144"/>
      <c r="F272" s="144"/>
      <c r="G272" s="144"/>
      <c r="H272" s="144"/>
      <c r="I272" s="182"/>
      <c r="J272" s="144"/>
      <c r="K272" s="145"/>
      <c r="L272" s="150"/>
      <c r="M272" s="146"/>
      <c r="N272" s="146"/>
      <c r="O272" s="146"/>
      <c r="P272" s="146"/>
      <c r="Q272" s="146"/>
      <c r="R272" s="190"/>
      <c r="S272" s="190"/>
      <c r="T272" s="190"/>
      <c r="U272" s="190"/>
      <c r="V272" s="190"/>
      <c r="W272" s="190"/>
      <c r="X272" s="190"/>
      <c r="Y272" s="190"/>
      <c r="Z272" s="190"/>
    </row>
    <row r="273" ht="15.75" customHeight="1">
      <c r="A273" s="228"/>
      <c r="B273" s="165"/>
      <c r="C273" s="162"/>
      <c r="D273" s="142"/>
      <c r="E273" s="144"/>
      <c r="F273" s="144"/>
      <c r="G273" s="144"/>
      <c r="H273" s="144"/>
      <c r="I273" s="182"/>
      <c r="J273" s="144"/>
      <c r="K273" s="145"/>
      <c r="L273" s="150"/>
      <c r="M273" s="146"/>
      <c r="N273" s="146"/>
      <c r="O273" s="146"/>
      <c r="P273" s="146"/>
      <c r="Q273" s="146"/>
      <c r="R273" s="190"/>
      <c r="S273" s="190"/>
      <c r="T273" s="190"/>
      <c r="U273" s="190"/>
      <c r="V273" s="190"/>
      <c r="W273" s="190"/>
      <c r="X273" s="190"/>
      <c r="Y273" s="190"/>
      <c r="Z273" s="190"/>
    </row>
    <row r="274" ht="15.75" customHeight="1">
      <c r="A274" s="228"/>
      <c r="B274" s="165"/>
      <c r="C274" s="162"/>
      <c r="D274" s="142"/>
      <c r="E274" s="144"/>
      <c r="F274" s="144"/>
      <c r="G274" s="144"/>
      <c r="H274" s="144"/>
      <c r="I274" s="182"/>
      <c r="J274" s="144"/>
      <c r="K274" s="145"/>
      <c r="L274" s="150"/>
      <c r="M274" s="146"/>
      <c r="N274" s="146"/>
      <c r="O274" s="146"/>
      <c r="P274" s="146"/>
      <c r="Q274" s="146"/>
      <c r="R274" s="190"/>
      <c r="S274" s="190"/>
      <c r="T274" s="190"/>
      <c r="U274" s="190"/>
      <c r="V274" s="190"/>
      <c r="W274" s="190"/>
      <c r="X274" s="190"/>
      <c r="Y274" s="190"/>
      <c r="Z274" s="190"/>
    </row>
    <row r="275" ht="15.75" customHeight="1">
      <c r="A275" s="228"/>
      <c r="B275" s="165"/>
      <c r="C275" s="162"/>
      <c r="D275" s="142"/>
      <c r="E275" s="144"/>
      <c r="F275" s="144"/>
      <c r="G275" s="144"/>
      <c r="H275" s="144"/>
      <c r="I275" s="182"/>
      <c r="J275" s="144"/>
      <c r="K275" s="145"/>
      <c r="L275" s="150"/>
      <c r="M275" s="146"/>
      <c r="N275" s="146"/>
      <c r="O275" s="146"/>
      <c r="P275" s="146"/>
      <c r="Q275" s="146"/>
      <c r="R275" s="190"/>
      <c r="S275" s="190"/>
      <c r="T275" s="190"/>
      <c r="U275" s="190"/>
      <c r="V275" s="190"/>
      <c r="W275" s="190"/>
      <c r="X275" s="190"/>
      <c r="Y275" s="190"/>
      <c r="Z275" s="190"/>
    </row>
    <row r="276" ht="15.75" customHeight="1">
      <c r="A276" s="228"/>
      <c r="B276" s="165"/>
      <c r="C276" s="162"/>
      <c r="D276" s="142"/>
      <c r="E276" s="144"/>
      <c r="F276" s="144"/>
      <c r="G276" s="144"/>
      <c r="H276" s="144"/>
      <c r="I276" s="182"/>
      <c r="J276" s="144"/>
      <c r="K276" s="145"/>
      <c r="L276" s="150"/>
      <c r="M276" s="146"/>
      <c r="N276" s="146"/>
      <c r="O276" s="146"/>
      <c r="P276" s="146"/>
      <c r="Q276" s="146"/>
      <c r="R276" s="190"/>
      <c r="S276" s="190"/>
      <c r="T276" s="190"/>
      <c r="U276" s="190"/>
      <c r="V276" s="190"/>
      <c r="W276" s="190"/>
      <c r="X276" s="190"/>
      <c r="Y276" s="190"/>
      <c r="Z276" s="190"/>
    </row>
    <row r="277" ht="15.75" customHeight="1">
      <c r="A277" s="228"/>
      <c r="B277" s="165"/>
      <c r="C277" s="162"/>
      <c r="D277" s="142"/>
      <c r="E277" s="144"/>
      <c r="F277" s="144"/>
      <c r="G277" s="144"/>
      <c r="H277" s="144"/>
      <c r="I277" s="182"/>
      <c r="J277" s="144"/>
      <c r="K277" s="145"/>
      <c r="L277" s="150"/>
      <c r="M277" s="146"/>
      <c r="N277" s="146"/>
      <c r="O277" s="146"/>
      <c r="P277" s="146"/>
      <c r="Q277" s="146"/>
      <c r="R277" s="190"/>
      <c r="S277" s="190"/>
      <c r="T277" s="190"/>
      <c r="U277" s="190"/>
      <c r="V277" s="190"/>
      <c r="W277" s="190"/>
      <c r="X277" s="190"/>
      <c r="Y277" s="190"/>
      <c r="Z277" s="190"/>
    </row>
    <row r="278" ht="15.75" customHeight="1">
      <c r="A278" s="228"/>
      <c r="B278" s="165"/>
      <c r="C278" s="162"/>
      <c r="D278" s="142"/>
      <c r="E278" s="144"/>
      <c r="F278" s="144"/>
      <c r="G278" s="144"/>
      <c r="H278" s="144"/>
      <c r="I278" s="182"/>
      <c r="J278" s="144"/>
      <c r="K278" s="145"/>
      <c r="L278" s="150"/>
      <c r="M278" s="146"/>
      <c r="N278" s="146"/>
      <c r="O278" s="146"/>
      <c r="P278" s="146"/>
      <c r="Q278" s="146"/>
      <c r="R278" s="190"/>
      <c r="S278" s="190"/>
      <c r="T278" s="190"/>
      <c r="U278" s="190"/>
      <c r="V278" s="190"/>
      <c r="W278" s="190"/>
      <c r="X278" s="190"/>
      <c r="Y278" s="190"/>
      <c r="Z278" s="190"/>
    </row>
    <row r="279" ht="15.75" customHeight="1">
      <c r="A279" s="228"/>
      <c r="B279" s="165"/>
      <c r="C279" s="162"/>
      <c r="D279" s="142"/>
      <c r="E279" s="144"/>
      <c r="F279" s="144"/>
      <c r="G279" s="144"/>
      <c r="H279" s="144"/>
      <c r="I279" s="182"/>
      <c r="J279" s="144"/>
      <c r="K279" s="145"/>
      <c r="L279" s="150"/>
      <c r="M279" s="146"/>
      <c r="N279" s="146"/>
      <c r="O279" s="146"/>
      <c r="P279" s="146"/>
      <c r="Q279" s="146"/>
      <c r="R279" s="190"/>
      <c r="S279" s="190"/>
      <c r="T279" s="190"/>
      <c r="U279" s="190"/>
      <c r="V279" s="190"/>
      <c r="W279" s="190"/>
      <c r="X279" s="190"/>
      <c r="Y279" s="190"/>
      <c r="Z279" s="190"/>
    </row>
    <row r="280" ht="15.75" customHeight="1">
      <c r="A280" s="228"/>
      <c r="B280" s="165"/>
      <c r="C280" s="162"/>
      <c r="D280" s="142"/>
      <c r="E280" s="144"/>
      <c r="F280" s="144"/>
      <c r="G280" s="144"/>
      <c r="H280" s="144"/>
      <c r="I280" s="182"/>
      <c r="J280" s="144"/>
      <c r="K280" s="145"/>
      <c r="L280" s="150"/>
      <c r="M280" s="146"/>
      <c r="N280" s="146"/>
      <c r="O280" s="146"/>
      <c r="P280" s="146"/>
      <c r="Q280" s="146"/>
      <c r="R280" s="190"/>
      <c r="S280" s="190"/>
      <c r="T280" s="190"/>
      <c r="U280" s="190"/>
      <c r="V280" s="190"/>
      <c r="W280" s="190"/>
      <c r="X280" s="190"/>
      <c r="Y280" s="190"/>
      <c r="Z280" s="190"/>
    </row>
    <row r="281" ht="15.75" customHeight="1">
      <c r="A281" s="228"/>
      <c r="B281" s="165"/>
      <c r="C281" s="162"/>
      <c r="D281" s="142"/>
      <c r="E281" s="144"/>
      <c r="F281" s="144"/>
      <c r="G281" s="144"/>
      <c r="H281" s="144"/>
      <c r="I281" s="182"/>
      <c r="J281" s="144"/>
      <c r="K281" s="145"/>
      <c r="L281" s="150"/>
      <c r="M281" s="146"/>
      <c r="N281" s="146"/>
      <c r="O281" s="146"/>
      <c r="P281" s="146"/>
      <c r="Q281" s="146"/>
      <c r="R281" s="190"/>
      <c r="S281" s="190"/>
      <c r="T281" s="190"/>
      <c r="U281" s="190"/>
      <c r="V281" s="190"/>
      <c r="W281" s="190"/>
      <c r="X281" s="190"/>
      <c r="Y281" s="190"/>
      <c r="Z281" s="190"/>
    </row>
    <row r="282" ht="15.75" customHeight="1">
      <c r="A282" s="228"/>
      <c r="B282" s="165"/>
      <c r="C282" s="162"/>
      <c r="D282" s="142"/>
      <c r="E282" s="144"/>
      <c r="F282" s="144"/>
      <c r="G282" s="144"/>
      <c r="H282" s="144"/>
      <c r="I282" s="182"/>
      <c r="J282" s="144"/>
      <c r="K282" s="145"/>
      <c r="L282" s="150"/>
      <c r="M282" s="146"/>
      <c r="N282" s="146"/>
      <c r="O282" s="146"/>
      <c r="P282" s="146"/>
      <c r="Q282" s="146"/>
      <c r="R282" s="190"/>
      <c r="S282" s="190"/>
      <c r="T282" s="190"/>
      <c r="U282" s="190"/>
      <c r="V282" s="190"/>
      <c r="W282" s="190"/>
      <c r="X282" s="190"/>
      <c r="Y282" s="190"/>
      <c r="Z282" s="190"/>
    </row>
    <row r="283" ht="15.75" customHeight="1">
      <c r="A283" s="228"/>
      <c r="B283" s="165"/>
      <c r="C283" s="162"/>
      <c r="D283" s="142"/>
      <c r="E283" s="144"/>
      <c r="F283" s="144"/>
      <c r="G283" s="144"/>
      <c r="H283" s="144"/>
      <c r="I283" s="182"/>
      <c r="J283" s="144"/>
      <c r="K283" s="145"/>
      <c r="L283" s="150"/>
      <c r="M283" s="146"/>
      <c r="N283" s="146"/>
      <c r="O283" s="146"/>
      <c r="P283" s="146"/>
      <c r="Q283" s="146"/>
      <c r="R283" s="190"/>
      <c r="S283" s="190"/>
      <c r="T283" s="190"/>
      <c r="U283" s="190"/>
      <c r="V283" s="190"/>
      <c r="W283" s="190"/>
      <c r="X283" s="190"/>
      <c r="Y283" s="190"/>
      <c r="Z283" s="190"/>
    </row>
    <row r="284" ht="15.75" customHeight="1">
      <c r="A284" s="228"/>
      <c r="B284" s="165"/>
      <c r="C284" s="162"/>
      <c r="D284" s="142"/>
      <c r="E284" s="144"/>
      <c r="F284" s="144"/>
      <c r="G284" s="144"/>
      <c r="H284" s="144"/>
      <c r="I284" s="182"/>
      <c r="J284" s="144"/>
      <c r="K284" s="145"/>
      <c r="L284" s="150"/>
      <c r="M284" s="146"/>
      <c r="N284" s="146"/>
      <c r="O284" s="146"/>
      <c r="P284" s="146"/>
      <c r="Q284" s="146"/>
      <c r="R284" s="190"/>
      <c r="S284" s="190"/>
      <c r="T284" s="190"/>
      <c r="U284" s="190"/>
      <c r="V284" s="190"/>
      <c r="W284" s="190"/>
      <c r="X284" s="190"/>
      <c r="Y284" s="190"/>
      <c r="Z284" s="190"/>
    </row>
    <row r="285" ht="15.75" customHeight="1">
      <c r="A285" s="228"/>
      <c r="B285" s="165"/>
      <c r="C285" s="162"/>
      <c r="D285" s="142"/>
      <c r="E285" s="144"/>
      <c r="F285" s="144"/>
      <c r="G285" s="144"/>
      <c r="H285" s="144"/>
      <c r="I285" s="182"/>
      <c r="J285" s="144"/>
      <c r="K285" s="145"/>
      <c r="L285" s="150"/>
      <c r="M285" s="146"/>
      <c r="N285" s="146"/>
      <c r="O285" s="146"/>
      <c r="P285" s="146"/>
      <c r="Q285" s="146"/>
      <c r="R285" s="190"/>
      <c r="S285" s="190"/>
      <c r="T285" s="190"/>
      <c r="U285" s="190"/>
      <c r="V285" s="190"/>
      <c r="W285" s="190"/>
      <c r="X285" s="190"/>
      <c r="Y285" s="190"/>
      <c r="Z285" s="190"/>
    </row>
    <row r="286" ht="15.75" customHeight="1">
      <c r="A286" s="228"/>
      <c r="B286" s="165"/>
      <c r="C286" s="162"/>
      <c r="D286" s="142"/>
      <c r="E286" s="144"/>
      <c r="F286" s="144"/>
      <c r="G286" s="144"/>
      <c r="H286" s="144"/>
      <c r="I286" s="182"/>
      <c r="J286" s="144"/>
      <c r="K286" s="145"/>
      <c r="L286" s="150"/>
      <c r="M286" s="146"/>
      <c r="N286" s="146"/>
      <c r="O286" s="146"/>
      <c r="P286" s="146"/>
      <c r="Q286" s="146"/>
      <c r="R286" s="190"/>
      <c r="S286" s="190"/>
      <c r="T286" s="190"/>
      <c r="U286" s="190"/>
      <c r="V286" s="190"/>
      <c r="W286" s="190"/>
      <c r="X286" s="190"/>
      <c r="Y286" s="190"/>
      <c r="Z286" s="190"/>
    </row>
    <row r="287" ht="15.75" customHeight="1">
      <c r="A287" s="228"/>
      <c r="B287" s="165"/>
      <c r="C287" s="162"/>
      <c r="D287" s="142"/>
      <c r="E287" s="144"/>
      <c r="F287" s="144"/>
      <c r="G287" s="144"/>
      <c r="H287" s="144"/>
      <c r="I287" s="182"/>
      <c r="J287" s="144"/>
      <c r="K287" s="145"/>
      <c r="L287" s="150"/>
      <c r="M287" s="146"/>
      <c r="N287" s="146"/>
      <c r="O287" s="146"/>
      <c r="P287" s="146"/>
      <c r="Q287" s="146"/>
      <c r="R287" s="190"/>
      <c r="S287" s="190"/>
      <c r="T287" s="190"/>
      <c r="U287" s="190"/>
      <c r="V287" s="190"/>
      <c r="W287" s="190"/>
      <c r="X287" s="190"/>
      <c r="Y287" s="190"/>
      <c r="Z287" s="190"/>
    </row>
    <row r="288" ht="15.75" customHeight="1">
      <c r="A288" s="228"/>
      <c r="B288" s="165"/>
      <c r="C288" s="162"/>
      <c r="D288" s="142"/>
      <c r="E288" s="144"/>
      <c r="F288" s="144"/>
      <c r="G288" s="144"/>
      <c r="H288" s="144"/>
      <c r="I288" s="182"/>
      <c r="J288" s="144"/>
      <c r="K288" s="145"/>
      <c r="L288" s="150"/>
      <c r="M288" s="146"/>
      <c r="N288" s="146"/>
      <c r="O288" s="146"/>
      <c r="P288" s="146"/>
      <c r="Q288" s="146"/>
      <c r="R288" s="190"/>
      <c r="S288" s="190"/>
      <c r="T288" s="190"/>
      <c r="U288" s="190"/>
      <c r="V288" s="190"/>
      <c r="W288" s="190"/>
      <c r="X288" s="190"/>
      <c r="Y288" s="190"/>
      <c r="Z288" s="190"/>
    </row>
    <row r="289" ht="15.75" customHeight="1">
      <c r="A289" s="228"/>
      <c r="B289" s="165"/>
      <c r="C289" s="162"/>
      <c r="D289" s="142"/>
      <c r="E289" s="144"/>
      <c r="F289" s="144"/>
      <c r="G289" s="144"/>
      <c r="H289" s="144"/>
      <c r="I289" s="182"/>
      <c r="J289" s="144"/>
      <c r="K289" s="145"/>
      <c r="L289" s="150"/>
      <c r="M289" s="146"/>
      <c r="N289" s="146"/>
      <c r="O289" s="146"/>
      <c r="P289" s="146"/>
      <c r="Q289" s="146"/>
      <c r="R289" s="190"/>
      <c r="S289" s="190"/>
      <c r="T289" s="190"/>
      <c r="U289" s="190"/>
      <c r="V289" s="190"/>
      <c r="W289" s="190"/>
      <c r="X289" s="190"/>
      <c r="Y289" s="190"/>
      <c r="Z289" s="190"/>
    </row>
    <row r="290" ht="15.75" customHeight="1">
      <c r="A290" s="228"/>
      <c r="B290" s="165"/>
      <c r="C290" s="162"/>
      <c r="D290" s="142"/>
      <c r="E290" s="144"/>
      <c r="F290" s="144"/>
      <c r="G290" s="144"/>
      <c r="H290" s="144"/>
      <c r="I290" s="182"/>
      <c r="J290" s="144"/>
      <c r="K290" s="145"/>
      <c r="L290" s="150"/>
      <c r="M290" s="146"/>
      <c r="N290" s="146"/>
      <c r="O290" s="146"/>
      <c r="P290" s="146"/>
      <c r="Q290" s="146"/>
      <c r="R290" s="190"/>
      <c r="S290" s="190"/>
      <c r="T290" s="190"/>
      <c r="U290" s="190"/>
      <c r="V290" s="190"/>
      <c r="W290" s="190"/>
      <c r="X290" s="190"/>
      <c r="Y290" s="190"/>
      <c r="Z290" s="190"/>
    </row>
    <row r="291" ht="15.75" customHeight="1">
      <c r="A291" s="228"/>
      <c r="B291" s="165"/>
      <c r="C291" s="162"/>
      <c r="D291" s="142"/>
      <c r="E291" s="144"/>
      <c r="F291" s="144"/>
      <c r="G291" s="144"/>
      <c r="H291" s="144"/>
      <c r="I291" s="182"/>
      <c r="J291" s="144"/>
      <c r="K291" s="145"/>
      <c r="L291" s="150"/>
      <c r="M291" s="146"/>
      <c r="N291" s="146"/>
      <c r="O291" s="146"/>
      <c r="P291" s="146"/>
      <c r="Q291" s="146"/>
      <c r="R291" s="190"/>
      <c r="S291" s="190"/>
      <c r="T291" s="190"/>
      <c r="U291" s="190"/>
      <c r="V291" s="190"/>
      <c r="W291" s="190"/>
      <c r="X291" s="190"/>
      <c r="Y291" s="190"/>
      <c r="Z291" s="190"/>
    </row>
    <row r="292" ht="15.75" customHeight="1">
      <c r="A292" s="228"/>
      <c r="B292" s="165"/>
      <c r="C292" s="162"/>
      <c r="D292" s="142"/>
      <c r="E292" s="144"/>
      <c r="F292" s="144"/>
      <c r="G292" s="144"/>
      <c r="H292" s="144"/>
      <c r="I292" s="182"/>
      <c r="J292" s="144"/>
      <c r="K292" s="145"/>
      <c r="L292" s="150"/>
      <c r="M292" s="146"/>
      <c r="N292" s="146"/>
      <c r="O292" s="146"/>
      <c r="P292" s="146"/>
      <c r="Q292" s="146"/>
      <c r="R292" s="190"/>
      <c r="S292" s="190"/>
      <c r="T292" s="190"/>
      <c r="U292" s="190"/>
      <c r="V292" s="190"/>
      <c r="W292" s="190"/>
      <c r="X292" s="190"/>
      <c r="Y292" s="190"/>
      <c r="Z292" s="190"/>
    </row>
    <row r="293" ht="15.75" customHeight="1">
      <c r="A293" s="228"/>
      <c r="B293" s="165"/>
      <c r="C293" s="162"/>
      <c r="D293" s="142"/>
      <c r="E293" s="144"/>
      <c r="F293" s="144"/>
      <c r="G293" s="144"/>
      <c r="H293" s="144"/>
      <c r="I293" s="182"/>
      <c r="J293" s="144"/>
      <c r="K293" s="145"/>
      <c r="L293" s="150"/>
      <c r="M293" s="146"/>
      <c r="N293" s="146"/>
      <c r="O293" s="146"/>
      <c r="P293" s="146"/>
      <c r="Q293" s="146"/>
      <c r="R293" s="190"/>
      <c r="S293" s="190"/>
      <c r="T293" s="190"/>
      <c r="U293" s="190"/>
      <c r="V293" s="190"/>
      <c r="W293" s="190"/>
      <c r="X293" s="190"/>
      <c r="Y293" s="190"/>
      <c r="Z293" s="190"/>
    </row>
    <row r="294" ht="15.75" customHeight="1">
      <c r="A294" s="228"/>
      <c r="B294" s="165"/>
      <c r="C294" s="162"/>
      <c r="D294" s="142"/>
      <c r="E294" s="144"/>
      <c r="F294" s="144"/>
      <c r="G294" s="144"/>
      <c r="H294" s="144"/>
      <c r="I294" s="182"/>
      <c r="J294" s="144"/>
      <c r="K294" s="145"/>
      <c r="L294" s="150"/>
      <c r="M294" s="146"/>
      <c r="N294" s="146"/>
      <c r="O294" s="146"/>
      <c r="P294" s="146"/>
      <c r="Q294" s="146"/>
      <c r="R294" s="190"/>
      <c r="S294" s="190"/>
      <c r="T294" s="190"/>
      <c r="U294" s="190"/>
      <c r="V294" s="190"/>
      <c r="W294" s="190"/>
      <c r="X294" s="190"/>
      <c r="Y294" s="190"/>
      <c r="Z294" s="190"/>
    </row>
    <row r="295" ht="15.75" customHeight="1">
      <c r="A295" s="228"/>
      <c r="B295" s="165"/>
      <c r="C295" s="162"/>
      <c r="D295" s="142"/>
      <c r="E295" s="144"/>
      <c r="F295" s="144"/>
      <c r="G295" s="144"/>
      <c r="H295" s="144"/>
      <c r="I295" s="182"/>
      <c r="J295" s="144"/>
      <c r="K295" s="145"/>
      <c r="L295" s="150"/>
      <c r="M295" s="146"/>
      <c r="N295" s="146"/>
      <c r="O295" s="146"/>
      <c r="P295" s="146"/>
      <c r="Q295" s="146"/>
      <c r="R295" s="190"/>
      <c r="S295" s="190"/>
      <c r="T295" s="190"/>
      <c r="U295" s="190"/>
      <c r="V295" s="190"/>
      <c r="W295" s="190"/>
      <c r="X295" s="190"/>
      <c r="Y295" s="190"/>
      <c r="Z295" s="190"/>
    </row>
    <row r="296" ht="15.75" customHeight="1">
      <c r="A296" s="228"/>
      <c r="B296" s="165"/>
      <c r="C296" s="162"/>
      <c r="D296" s="142"/>
      <c r="E296" s="144"/>
      <c r="F296" s="144"/>
      <c r="G296" s="144"/>
      <c r="H296" s="144"/>
      <c r="I296" s="182"/>
      <c r="J296" s="144"/>
      <c r="K296" s="145"/>
      <c r="L296" s="150"/>
      <c r="M296" s="146"/>
      <c r="N296" s="146"/>
      <c r="O296" s="146"/>
      <c r="P296" s="146"/>
      <c r="Q296" s="146"/>
      <c r="R296" s="190"/>
      <c r="S296" s="190"/>
      <c r="T296" s="190"/>
      <c r="U296" s="190"/>
      <c r="V296" s="190"/>
      <c r="W296" s="190"/>
      <c r="X296" s="190"/>
      <c r="Y296" s="190"/>
      <c r="Z296" s="190"/>
    </row>
    <row r="297" ht="15.75" customHeight="1">
      <c r="A297" s="228"/>
      <c r="B297" s="165"/>
      <c r="C297" s="162"/>
      <c r="D297" s="142"/>
      <c r="E297" s="144"/>
      <c r="F297" s="144"/>
      <c r="G297" s="144"/>
      <c r="H297" s="144"/>
      <c r="I297" s="182"/>
      <c r="J297" s="144"/>
      <c r="K297" s="145"/>
      <c r="L297" s="150"/>
      <c r="M297" s="146"/>
      <c r="N297" s="146"/>
      <c r="O297" s="146"/>
      <c r="P297" s="146"/>
      <c r="Q297" s="146"/>
      <c r="R297" s="190"/>
      <c r="S297" s="190"/>
      <c r="T297" s="190"/>
      <c r="U297" s="190"/>
      <c r="V297" s="190"/>
      <c r="W297" s="190"/>
      <c r="X297" s="190"/>
      <c r="Y297" s="190"/>
      <c r="Z297" s="190"/>
    </row>
    <row r="298" ht="15.75" customHeight="1">
      <c r="A298" s="228"/>
      <c r="B298" s="165"/>
      <c r="C298" s="162"/>
      <c r="D298" s="142"/>
      <c r="E298" s="144"/>
      <c r="F298" s="144"/>
      <c r="G298" s="144"/>
      <c r="H298" s="144"/>
      <c r="I298" s="182"/>
      <c r="J298" s="144"/>
      <c r="K298" s="145"/>
      <c r="L298" s="150"/>
      <c r="M298" s="146"/>
      <c r="N298" s="146"/>
      <c r="O298" s="146"/>
      <c r="P298" s="146"/>
      <c r="Q298" s="146"/>
      <c r="R298" s="190"/>
      <c r="S298" s="190"/>
      <c r="T298" s="190"/>
      <c r="U298" s="190"/>
      <c r="V298" s="190"/>
      <c r="W298" s="190"/>
      <c r="X298" s="190"/>
      <c r="Y298" s="190"/>
      <c r="Z298" s="190"/>
    </row>
    <row r="299" ht="15.75" customHeight="1">
      <c r="A299" s="228"/>
      <c r="B299" s="165"/>
      <c r="C299" s="162"/>
      <c r="D299" s="142"/>
      <c r="E299" s="144"/>
      <c r="F299" s="144"/>
      <c r="G299" s="144"/>
      <c r="H299" s="144"/>
      <c r="I299" s="182"/>
      <c r="J299" s="144"/>
      <c r="K299" s="145"/>
      <c r="L299" s="150"/>
      <c r="M299" s="146"/>
      <c r="N299" s="146"/>
      <c r="O299" s="146"/>
      <c r="P299" s="146"/>
      <c r="Q299" s="146"/>
      <c r="R299" s="190"/>
      <c r="S299" s="190"/>
      <c r="T299" s="190"/>
      <c r="U299" s="190"/>
      <c r="V299" s="190"/>
      <c r="W299" s="190"/>
      <c r="X299" s="190"/>
      <c r="Y299" s="190"/>
      <c r="Z299" s="190"/>
    </row>
    <row r="300" ht="15.75" customHeight="1">
      <c r="A300" s="228"/>
      <c r="B300" s="165"/>
      <c r="C300" s="162"/>
      <c r="D300" s="142"/>
      <c r="E300" s="144"/>
      <c r="F300" s="144"/>
      <c r="G300" s="144"/>
      <c r="H300" s="144"/>
      <c r="I300" s="182"/>
      <c r="J300" s="144"/>
      <c r="K300" s="145"/>
      <c r="L300" s="150"/>
      <c r="M300" s="146"/>
      <c r="N300" s="146"/>
      <c r="O300" s="146"/>
      <c r="P300" s="146"/>
      <c r="Q300" s="146"/>
      <c r="R300" s="190"/>
      <c r="S300" s="190"/>
      <c r="T300" s="190"/>
      <c r="U300" s="190"/>
      <c r="V300" s="190"/>
      <c r="W300" s="190"/>
      <c r="X300" s="190"/>
      <c r="Y300" s="190"/>
      <c r="Z300" s="190"/>
    </row>
    <row r="301" ht="15.75" customHeight="1">
      <c r="A301" s="228"/>
      <c r="B301" s="165"/>
      <c r="C301" s="162"/>
      <c r="D301" s="142"/>
      <c r="E301" s="144"/>
      <c r="F301" s="144"/>
      <c r="G301" s="144"/>
      <c r="H301" s="144"/>
      <c r="I301" s="182"/>
      <c r="J301" s="144"/>
      <c r="K301" s="145"/>
      <c r="L301" s="150"/>
      <c r="M301" s="146"/>
      <c r="N301" s="146"/>
      <c r="O301" s="146"/>
      <c r="P301" s="146"/>
      <c r="Q301" s="146"/>
      <c r="R301" s="190"/>
      <c r="S301" s="190"/>
      <c r="T301" s="190"/>
      <c r="U301" s="190"/>
      <c r="V301" s="190"/>
      <c r="W301" s="190"/>
      <c r="X301" s="190"/>
      <c r="Y301" s="190"/>
      <c r="Z301" s="190"/>
    </row>
    <row r="302" ht="15.75" customHeight="1">
      <c r="A302" s="228"/>
      <c r="B302" s="165"/>
      <c r="C302" s="162"/>
      <c r="D302" s="142"/>
      <c r="E302" s="144"/>
      <c r="F302" s="144"/>
      <c r="G302" s="144"/>
      <c r="H302" s="144"/>
      <c r="I302" s="182"/>
      <c r="J302" s="144"/>
      <c r="K302" s="145"/>
      <c r="L302" s="150"/>
      <c r="M302" s="146"/>
      <c r="N302" s="146"/>
      <c r="O302" s="146"/>
      <c r="P302" s="146"/>
      <c r="Q302" s="146"/>
      <c r="R302" s="190"/>
      <c r="S302" s="190"/>
      <c r="T302" s="190"/>
      <c r="U302" s="190"/>
      <c r="V302" s="190"/>
      <c r="W302" s="190"/>
      <c r="X302" s="190"/>
      <c r="Y302" s="190"/>
      <c r="Z302" s="190"/>
    </row>
    <row r="303" ht="15.75" customHeight="1">
      <c r="A303" s="228"/>
      <c r="B303" s="165"/>
      <c r="C303" s="162"/>
      <c r="D303" s="142"/>
      <c r="E303" s="144"/>
      <c r="F303" s="144"/>
      <c r="G303" s="144"/>
      <c r="H303" s="144"/>
      <c r="I303" s="182"/>
      <c r="J303" s="144"/>
      <c r="K303" s="145"/>
      <c r="L303" s="150"/>
      <c r="M303" s="146"/>
      <c r="N303" s="146"/>
      <c r="O303" s="146"/>
      <c r="P303" s="146"/>
      <c r="Q303" s="146"/>
      <c r="R303" s="190"/>
      <c r="S303" s="190"/>
      <c r="T303" s="190"/>
      <c r="U303" s="190"/>
      <c r="V303" s="190"/>
      <c r="W303" s="190"/>
      <c r="X303" s="190"/>
      <c r="Y303" s="190"/>
      <c r="Z303" s="190"/>
    </row>
    <row r="304" ht="15.75" customHeight="1">
      <c r="A304" s="228"/>
      <c r="B304" s="165"/>
      <c r="C304" s="162"/>
      <c r="D304" s="142"/>
      <c r="E304" s="144"/>
      <c r="F304" s="144"/>
      <c r="G304" s="144"/>
      <c r="H304" s="144"/>
      <c r="I304" s="182"/>
      <c r="J304" s="144"/>
      <c r="K304" s="145"/>
      <c r="L304" s="150"/>
      <c r="M304" s="146"/>
      <c r="N304" s="146"/>
      <c r="O304" s="146"/>
      <c r="P304" s="146"/>
      <c r="Q304" s="146"/>
      <c r="R304" s="190"/>
      <c r="S304" s="190"/>
      <c r="T304" s="190"/>
      <c r="U304" s="190"/>
      <c r="V304" s="190"/>
      <c r="W304" s="190"/>
      <c r="X304" s="190"/>
      <c r="Y304" s="190"/>
      <c r="Z304" s="190"/>
    </row>
    <row r="305" ht="15.75" customHeight="1">
      <c r="A305" s="228"/>
      <c r="B305" s="165"/>
      <c r="C305" s="162"/>
      <c r="D305" s="142"/>
      <c r="E305" s="144"/>
      <c r="F305" s="144"/>
      <c r="G305" s="144"/>
      <c r="H305" s="144"/>
      <c r="I305" s="182"/>
      <c r="J305" s="144"/>
      <c r="K305" s="145"/>
      <c r="L305" s="150"/>
      <c r="M305" s="146"/>
      <c r="N305" s="146"/>
      <c r="O305" s="146"/>
      <c r="P305" s="146"/>
      <c r="Q305" s="146"/>
      <c r="R305" s="190"/>
      <c r="S305" s="190"/>
      <c r="T305" s="190"/>
      <c r="U305" s="190"/>
      <c r="V305" s="190"/>
      <c r="W305" s="190"/>
      <c r="X305" s="190"/>
      <c r="Y305" s="190"/>
      <c r="Z305" s="190"/>
    </row>
    <row r="306" ht="15.75" customHeight="1">
      <c r="A306" s="228"/>
      <c r="B306" s="165"/>
      <c r="C306" s="162"/>
      <c r="D306" s="142"/>
      <c r="E306" s="144"/>
      <c r="F306" s="144"/>
      <c r="G306" s="144"/>
      <c r="H306" s="144"/>
      <c r="I306" s="182"/>
      <c r="J306" s="144"/>
      <c r="K306" s="145"/>
      <c r="L306" s="150"/>
      <c r="M306" s="146"/>
      <c r="N306" s="146"/>
      <c r="O306" s="146"/>
      <c r="P306" s="146"/>
      <c r="Q306" s="146"/>
      <c r="R306" s="190"/>
      <c r="S306" s="190"/>
      <c r="T306" s="190"/>
      <c r="U306" s="190"/>
      <c r="V306" s="190"/>
      <c r="W306" s="190"/>
      <c r="X306" s="190"/>
      <c r="Y306" s="190"/>
      <c r="Z306" s="190"/>
    </row>
    <row r="307" ht="15.75" customHeight="1">
      <c r="A307" s="228"/>
      <c r="B307" s="165"/>
      <c r="C307" s="162"/>
      <c r="D307" s="142"/>
      <c r="E307" s="144"/>
      <c r="F307" s="144"/>
      <c r="G307" s="144"/>
      <c r="H307" s="144"/>
      <c r="I307" s="182"/>
      <c r="J307" s="144"/>
      <c r="K307" s="145"/>
      <c r="L307" s="150"/>
      <c r="M307" s="146"/>
      <c r="N307" s="146"/>
      <c r="O307" s="146"/>
      <c r="P307" s="146"/>
      <c r="Q307" s="146"/>
      <c r="R307" s="190"/>
      <c r="S307" s="190"/>
      <c r="T307" s="190"/>
      <c r="U307" s="190"/>
      <c r="V307" s="190"/>
      <c r="W307" s="190"/>
      <c r="X307" s="190"/>
      <c r="Y307" s="190"/>
      <c r="Z307" s="190"/>
    </row>
    <row r="308" ht="15.75" customHeight="1">
      <c r="A308" s="228"/>
      <c r="B308" s="165"/>
      <c r="C308" s="162"/>
      <c r="D308" s="142"/>
      <c r="E308" s="144"/>
      <c r="F308" s="144"/>
      <c r="G308" s="144"/>
      <c r="H308" s="144"/>
      <c r="I308" s="182"/>
      <c r="J308" s="144"/>
      <c r="K308" s="145"/>
      <c r="L308" s="150"/>
      <c r="M308" s="146"/>
      <c r="N308" s="146"/>
      <c r="O308" s="146"/>
      <c r="P308" s="146"/>
      <c r="Q308" s="146"/>
      <c r="R308" s="190"/>
      <c r="S308" s="190"/>
      <c r="T308" s="190"/>
      <c r="U308" s="190"/>
      <c r="V308" s="190"/>
      <c r="W308" s="190"/>
      <c r="X308" s="190"/>
      <c r="Y308" s="190"/>
      <c r="Z308" s="190"/>
    </row>
    <row r="309" ht="15.75" customHeight="1">
      <c r="A309" s="228"/>
      <c r="B309" s="165"/>
      <c r="C309" s="162"/>
      <c r="D309" s="142"/>
      <c r="E309" s="144"/>
      <c r="F309" s="144"/>
      <c r="G309" s="144"/>
      <c r="H309" s="144"/>
      <c r="I309" s="182"/>
      <c r="J309" s="144"/>
      <c r="K309" s="145"/>
      <c r="L309" s="150"/>
      <c r="M309" s="146"/>
      <c r="N309" s="146"/>
      <c r="O309" s="146"/>
      <c r="P309" s="146"/>
      <c r="Q309" s="146"/>
      <c r="R309" s="190"/>
      <c r="S309" s="190"/>
      <c r="T309" s="190"/>
      <c r="U309" s="190"/>
      <c r="V309" s="190"/>
      <c r="W309" s="190"/>
      <c r="X309" s="190"/>
      <c r="Y309" s="190"/>
      <c r="Z309" s="190"/>
    </row>
    <row r="310" ht="15.75" customHeight="1">
      <c r="A310" s="228"/>
      <c r="B310" s="165"/>
      <c r="C310" s="162"/>
      <c r="D310" s="142"/>
      <c r="E310" s="144"/>
      <c r="F310" s="144"/>
      <c r="G310" s="144"/>
      <c r="H310" s="144"/>
      <c r="I310" s="182"/>
      <c r="J310" s="144"/>
      <c r="K310" s="145"/>
      <c r="L310" s="150"/>
      <c r="M310" s="146"/>
      <c r="N310" s="146"/>
      <c r="O310" s="146"/>
      <c r="P310" s="146"/>
      <c r="Q310" s="146"/>
      <c r="R310" s="190"/>
      <c r="S310" s="190"/>
      <c r="T310" s="190"/>
      <c r="U310" s="190"/>
      <c r="V310" s="190"/>
      <c r="W310" s="190"/>
      <c r="X310" s="190"/>
      <c r="Y310" s="190"/>
      <c r="Z310" s="190"/>
    </row>
    <row r="311" ht="15.75" customHeight="1">
      <c r="A311" s="228"/>
      <c r="B311" s="165"/>
      <c r="C311" s="162"/>
      <c r="D311" s="142"/>
      <c r="E311" s="144"/>
      <c r="F311" s="144"/>
      <c r="G311" s="144"/>
      <c r="H311" s="144"/>
      <c r="I311" s="182"/>
      <c r="J311" s="144"/>
      <c r="K311" s="145"/>
      <c r="L311" s="150"/>
      <c r="M311" s="146"/>
      <c r="N311" s="146"/>
      <c r="O311" s="146"/>
      <c r="P311" s="146"/>
      <c r="Q311" s="146"/>
      <c r="R311" s="190"/>
      <c r="S311" s="190"/>
      <c r="T311" s="190"/>
      <c r="U311" s="190"/>
      <c r="V311" s="190"/>
      <c r="W311" s="190"/>
      <c r="X311" s="190"/>
      <c r="Y311" s="190"/>
      <c r="Z311" s="190"/>
    </row>
    <row r="312" ht="15.75" customHeight="1">
      <c r="A312" s="228"/>
      <c r="B312" s="165"/>
      <c r="C312" s="162"/>
      <c r="D312" s="142"/>
      <c r="E312" s="144"/>
      <c r="F312" s="144"/>
      <c r="G312" s="144"/>
      <c r="H312" s="144"/>
      <c r="I312" s="182"/>
      <c r="J312" s="144"/>
      <c r="K312" s="145"/>
      <c r="L312" s="150"/>
      <c r="M312" s="146"/>
      <c r="N312" s="146"/>
      <c r="O312" s="146"/>
      <c r="P312" s="146"/>
      <c r="Q312" s="146"/>
      <c r="R312" s="190"/>
      <c r="S312" s="190"/>
      <c r="T312" s="190"/>
      <c r="U312" s="190"/>
      <c r="V312" s="190"/>
      <c r="W312" s="190"/>
      <c r="X312" s="190"/>
      <c r="Y312" s="190"/>
      <c r="Z312" s="190"/>
    </row>
    <row r="313" ht="15.75" customHeight="1">
      <c r="A313" s="228"/>
      <c r="B313" s="165"/>
      <c r="C313" s="162"/>
      <c r="D313" s="142"/>
      <c r="E313" s="144"/>
      <c r="F313" s="144"/>
      <c r="G313" s="144"/>
      <c r="H313" s="144"/>
      <c r="I313" s="182"/>
      <c r="J313" s="144"/>
      <c r="K313" s="145"/>
      <c r="L313" s="150"/>
      <c r="M313" s="146"/>
      <c r="N313" s="146"/>
      <c r="O313" s="146"/>
      <c r="P313" s="146"/>
      <c r="Q313" s="146"/>
      <c r="R313" s="190"/>
      <c r="S313" s="190"/>
      <c r="T313" s="190"/>
      <c r="U313" s="190"/>
      <c r="V313" s="190"/>
      <c r="W313" s="190"/>
      <c r="X313" s="190"/>
      <c r="Y313" s="190"/>
      <c r="Z313" s="190"/>
    </row>
    <row r="314" ht="15.75" customHeight="1">
      <c r="A314" s="228"/>
      <c r="B314" s="165"/>
      <c r="C314" s="162"/>
      <c r="D314" s="142"/>
      <c r="E314" s="144"/>
      <c r="F314" s="144"/>
      <c r="G314" s="144"/>
      <c r="H314" s="144"/>
      <c r="I314" s="182"/>
      <c r="J314" s="144"/>
      <c r="K314" s="145"/>
      <c r="L314" s="150"/>
      <c r="M314" s="146"/>
      <c r="N314" s="146"/>
      <c r="O314" s="146"/>
      <c r="P314" s="146"/>
      <c r="Q314" s="146"/>
      <c r="R314" s="190"/>
      <c r="S314" s="190"/>
      <c r="T314" s="190"/>
      <c r="U314" s="190"/>
      <c r="V314" s="190"/>
      <c r="W314" s="190"/>
      <c r="X314" s="190"/>
      <c r="Y314" s="190"/>
      <c r="Z314" s="190"/>
    </row>
    <row r="315" ht="15.75" customHeight="1">
      <c r="A315" s="228"/>
      <c r="B315" s="165"/>
      <c r="C315" s="162"/>
      <c r="D315" s="142"/>
      <c r="E315" s="144"/>
      <c r="F315" s="144"/>
      <c r="G315" s="144"/>
      <c r="H315" s="144"/>
      <c r="I315" s="182"/>
      <c r="J315" s="144"/>
      <c r="K315" s="145"/>
      <c r="L315" s="150"/>
      <c r="M315" s="146"/>
      <c r="N315" s="146"/>
      <c r="O315" s="146"/>
      <c r="P315" s="146"/>
      <c r="Q315" s="146"/>
      <c r="R315" s="190"/>
      <c r="S315" s="190"/>
      <c r="T315" s="190"/>
      <c r="U315" s="190"/>
      <c r="V315" s="190"/>
      <c r="W315" s="190"/>
      <c r="X315" s="190"/>
      <c r="Y315" s="190"/>
      <c r="Z315" s="190"/>
    </row>
    <row r="316" ht="15.75" customHeight="1">
      <c r="A316" s="228"/>
      <c r="B316" s="165"/>
      <c r="C316" s="162"/>
      <c r="D316" s="142"/>
      <c r="E316" s="144"/>
      <c r="F316" s="144"/>
      <c r="G316" s="144"/>
      <c r="H316" s="144"/>
      <c r="I316" s="182"/>
      <c r="J316" s="144"/>
      <c r="K316" s="145"/>
      <c r="L316" s="150"/>
      <c r="M316" s="146"/>
      <c r="N316" s="146"/>
      <c r="O316" s="146"/>
      <c r="P316" s="146"/>
      <c r="Q316" s="146"/>
      <c r="R316" s="190"/>
      <c r="S316" s="190"/>
      <c r="T316" s="190"/>
      <c r="U316" s="190"/>
      <c r="V316" s="190"/>
      <c r="W316" s="190"/>
      <c r="X316" s="190"/>
      <c r="Y316" s="190"/>
      <c r="Z316" s="190"/>
    </row>
    <row r="317" ht="15.75" customHeight="1">
      <c r="A317" s="228"/>
      <c r="B317" s="165"/>
      <c r="C317" s="162"/>
      <c r="D317" s="142"/>
      <c r="E317" s="144"/>
      <c r="F317" s="144"/>
      <c r="G317" s="144"/>
      <c r="H317" s="144"/>
      <c r="I317" s="182"/>
      <c r="J317" s="144"/>
      <c r="K317" s="145"/>
      <c r="L317" s="150"/>
      <c r="M317" s="146"/>
      <c r="N317" s="146"/>
      <c r="O317" s="146"/>
      <c r="P317" s="146"/>
      <c r="Q317" s="146"/>
      <c r="R317" s="190"/>
      <c r="S317" s="190"/>
      <c r="T317" s="190"/>
      <c r="U317" s="190"/>
      <c r="V317" s="190"/>
      <c r="W317" s="190"/>
      <c r="X317" s="190"/>
      <c r="Y317" s="190"/>
      <c r="Z317" s="190"/>
    </row>
    <row r="318" ht="15.75" customHeight="1">
      <c r="A318" s="228"/>
      <c r="B318" s="165"/>
      <c r="C318" s="162"/>
      <c r="D318" s="142"/>
      <c r="E318" s="144"/>
      <c r="F318" s="144"/>
      <c r="G318" s="144"/>
      <c r="H318" s="144"/>
      <c r="I318" s="182"/>
      <c r="J318" s="144"/>
      <c r="K318" s="145"/>
      <c r="L318" s="150"/>
      <c r="M318" s="146"/>
      <c r="N318" s="146"/>
      <c r="O318" s="146"/>
      <c r="P318" s="146"/>
      <c r="Q318" s="146"/>
      <c r="R318" s="190"/>
      <c r="S318" s="190"/>
      <c r="T318" s="190"/>
      <c r="U318" s="190"/>
      <c r="V318" s="190"/>
      <c r="W318" s="190"/>
      <c r="X318" s="190"/>
      <c r="Y318" s="190"/>
      <c r="Z318" s="190"/>
    </row>
    <row r="319" ht="15.75" customHeight="1">
      <c r="A319" s="228"/>
      <c r="B319" s="165"/>
      <c r="C319" s="162"/>
      <c r="D319" s="142"/>
      <c r="E319" s="144"/>
      <c r="F319" s="144"/>
      <c r="G319" s="144"/>
      <c r="H319" s="144"/>
      <c r="I319" s="182"/>
      <c r="J319" s="144"/>
      <c r="K319" s="145"/>
      <c r="L319" s="150"/>
      <c r="M319" s="146"/>
      <c r="N319" s="146"/>
      <c r="O319" s="146"/>
      <c r="P319" s="146"/>
      <c r="Q319" s="146"/>
      <c r="R319" s="190"/>
      <c r="S319" s="190"/>
      <c r="T319" s="190"/>
      <c r="U319" s="190"/>
      <c r="V319" s="190"/>
      <c r="W319" s="190"/>
      <c r="X319" s="190"/>
      <c r="Y319" s="190"/>
      <c r="Z319" s="190"/>
    </row>
    <row r="320" ht="15.75" customHeight="1">
      <c r="A320" s="228"/>
      <c r="B320" s="165"/>
      <c r="C320" s="162"/>
      <c r="D320" s="142"/>
      <c r="E320" s="144"/>
      <c r="F320" s="144"/>
      <c r="G320" s="144"/>
      <c r="H320" s="144"/>
      <c r="I320" s="182"/>
      <c r="J320" s="144"/>
      <c r="K320" s="145"/>
      <c r="L320" s="150"/>
      <c r="M320" s="146"/>
      <c r="N320" s="146"/>
      <c r="O320" s="146"/>
      <c r="P320" s="146"/>
      <c r="Q320" s="146"/>
      <c r="R320" s="190"/>
      <c r="S320" s="190"/>
      <c r="T320" s="190"/>
      <c r="U320" s="190"/>
      <c r="V320" s="190"/>
      <c r="W320" s="190"/>
      <c r="X320" s="190"/>
      <c r="Y320" s="190"/>
      <c r="Z320" s="190"/>
    </row>
    <row r="321" ht="15.75" customHeight="1">
      <c r="A321" s="228"/>
      <c r="B321" s="165"/>
      <c r="C321" s="162"/>
      <c r="D321" s="142"/>
      <c r="E321" s="144"/>
      <c r="F321" s="144"/>
      <c r="G321" s="144"/>
      <c r="H321" s="144"/>
      <c r="I321" s="182"/>
      <c r="J321" s="144"/>
      <c r="K321" s="145"/>
      <c r="L321" s="150"/>
      <c r="M321" s="146"/>
      <c r="N321" s="146"/>
      <c r="O321" s="146"/>
      <c r="P321" s="146"/>
      <c r="Q321" s="146"/>
      <c r="R321" s="190"/>
      <c r="S321" s="190"/>
      <c r="T321" s="190"/>
      <c r="U321" s="190"/>
      <c r="V321" s="190"/>
      <c r="W321" s="190"/>
      <c r="X321" s="190"/>
      <c r="Y321" s="190"/>
      <c r="Z321" s="190"/>
    </row>
    <row r="322" ht="15.75" customHeight="1">
      <c r="A322" s="228"/>
      <c r="B322" s="165"/>
      <c r="C322" s="162"/>
      <c r="D322" s="142"/>
      <c r="E322" s="144"/>
      <c r="F322" s="144"/>
      <c r="G322" s="144"/>
      <c r="H322" s="144"/>
      <c r="I322" s="182"/>
      <c r="J322" s="144"/>
      <c r="K322" s="145"/>
      <c r="L322" s="150"/>
      <c r="M322" s="146"/>
      <c r="N322" s="146"/>
      <c r="O322" s="146"/>
      <c r="P322" s="146"/>
      <c r="Q322" s="146"/>
      <c r="R322" s="190"/>
      <c r="S322" s="190"/>
      <c r="T322" s="190"/>
      <c r="U322" s="190"/>
      <c r="V322" s="190"/>
      <c r="W322" s="190"/>
      <c r="X322" s="190"/>
      <c r="Y322" s="190"/>
      <c r="Z322" s="190"/>
    </row>
    <row r="323" ht="15.75" customHeight="1">
      <c r="A323" s="228"/>
      <c r="B323" s="165"/>
      <c r="C323" s="162"/>
      <c r="D323" s="142"/>
      <c r="E323" s="144"/>
      <c r="F323" s="144"/>
      <c r="G323" s="144"/>
      <c r="H323" s="144"/>
      <c r="I323" s="182"/>
      <c r="J323" s="144"/>
      <c r="K323" s="145"/>
      <c r="L323" s="150"/>
      <c r="M323" s="146"/>
      <c r="N323" s="146"/>
      <c r="O323" s="146"/>
      <c r="P323" s="146"/>
      <c r="Q323" s="146"/>
      <c r="R323" s="190"/>
      <c r="S323" s="190"/>
      <c r="T323" s="190"/>
      <c r="U323" s="190"/>
      <c r="V323" s="190"/>
      <c r="W323" s="190"/>
      <c r="X323" s="190"/>
      <c r="Y323" s="190"/>
      <c r="Z323" s="190"/>
    </row>
    <row r="324" ht="15.75" customHeight="1">
      <c r="A324" s="228"/>
      <c r="B324" s="165"/>
      <c r="C324" s="162"/>
      <c r="D324" s="142"/>
      <c r="E324" s="144"/>
      <c r="F324" s="144"/>
      <c r="G324" s="144"/>
      <c r="H324" s="144"/>
      <c r="I324" s="182"/>
      <c r="J324" s="144"/>
      <c r="K324" s="145"/>
      <c r="L324" s="150"/>
      <c r="M324" s="146"/>
      <c r="N324" s="146"/>
      <c r="O324" s="146"/>
      <c r="P324" s="146"/>
      <c r="Q324" s="146"/>
      <c r="R324" s="190"/>
      <c r="S324" s="190"/>
      <c r="T324" s="190"/>
      <c r="U324" s="190"/>
      <c r="V324" s="190"/>
      <c r="W324" s="190"/>
      <c r="X324" s="190"/>
      <c r="Y324" s="190"/>
      <c r="Z324" s="190"/>
    </row>
    <row r="325" ht="15.75" customHeight="1">
      <c r="A325" s="228"/>
      <c r="B325" s="165"/>
      <c r="C325" s="162"/>
      <c r="D325" s="142"/>
      <c r="E325" s="144"/>
      <c r="F325" s="144"/>
      <c r="G325" s="144"/>
      <c r="H325" s="144"/>
      <c r="I325" s="182"/>
      <c r="J325" s="144"/>
      <c r="K325" s="145"/>
      <c r="L325" s="150"/>
      <c r="M325" s="146"/>
      <c r="N325" s="146"/>
      <c r="O325" s="146"/>
      <c r="P325" s="146"/>
      <c r="Q325" s="146"/>
      <c r="R325" s="190"/>
      <c r="S325" s="190"/>
      <c r="T325" s="190"/>
      <c r="U325" s="190"/>
      <c r="V325" s="190"/>
      <c r="W325" s="190"/>
      <c r="X325" s="190"/>
      <c r="Y325" s="190"/>
      <c r="Z325" s="190"/>
    </row>
    <row r="326" ht="15.75" customHeight="1">
      <c r="A326" s="228"/>
      <c r="B326" s="165"/>
      <c r="C326" s="162"/>
      <c r="D326" s="142"/>
      <c r="E326" s="144"/>
      <c r="F326" s="144"/>
      <c r="G326" s="144"/>
      <c r="H326" s="144"/>
      <c r="I326" s="182"/>
      <c r="J326" s="144"/>
      <c r="K326" s="145"/>
      <c r="L326" s="150"/>
      <c r="M326" s="146"/>
      <c r="N326" s="146"/>
      <c r="O326" s="146"/>
      <c r="P326" s="146"/>
      <c r="Q326" s="146"/>
      <c r="R326" s="190"/>
      <c r="S326" s="190"/>
      <c r="T326" s="190"/>
      <c r="U326" s="190"/>
      <c r="V326" s="190"/>
      <c r="W326" s="190"/>
      <c r="X326" s="190"/>
      <c r="Y326" s="190"/>
      <c r="Z326" s="190"/>
    </row>
    <row r="327" ht="15.75" customHeight="1">
      <c r="A327" s="228"/>
      <c r="B327" s="165"/>
      <c r="C327" s="162"/>
      <c r="D327" s="142"/>
      <c r="E327" s="144"/>
      <c r="F327" s="144"/>
      <c r="G327" s="144"/>
      <c r="H327" s="144"/>
      <c r="I327" s="182"/>
      <c r="J327" s="144"/>
      <c r="K327" s="145"/>
      <c r="L327" s="150"/>
      <c r="M327" s="146"/>
      <c r="N327" s="146"/>
      <c r="O327" s="146"/>
      <c r="P327" s="146"/>
      <c r="Q327" s="146"/>
      <c r="R327" s="190"/>
      <c r="S327" s="190"/>
      <c r="T327" s="190"/>
      <c r="U327" s="190"/>
      <c r="V327" s="190"/>
      <c r="W327" s="190"/>
      <c r="X327" s="190"/>
      <c r="Y327" s="190"/>
      <c r="Z327" s="190"/>
    </row>
    <row r="328" ht="15.75" customHeight="1">
      <c r="A328" s="228"/>
      <c r="B328" s="165"/>
      <c r="C328" s="162"/>
      <c r="D328" s="142"/>
      <c r="E328" s="144"/>
      <c r="F328" s="144"/>
      <c r="G328" s="144"/>
      <c r="H328" s="144"/>
      <c r="I328" s="182"/>
      <c r="J328" s="144"/>
      <c r="K328" s="145"/>
      <c r="L328" s="150"/>
      <c r="M328" s="146"/>
      <c r="N328" s="146"/>
      <c r="O328" s="146"/>
      <c r="P328" s="146"/>
      <c r="Q328" s="146"/>
      <c r="R328" s="190"/>
      <c r="S328" s="190"/>
      <c r="T328" s="190"/>
      <c r="U328" s="190"/>
      <c r="V328" s="190"/>
      <c r="W328" s="190"/>
      <c r="X328" s="190"/>
      <c r="Y328" s="190"/>
      <c r="Z328" s="190"/>
    </row>
    <row r="329" ht="15.75" customHeight="1">
      <c r="A329" s="228"/>
      <c r="B329" s="165"/>
      <c r="C329" s="162"/>
      <c r="D329" s="142"/>
      <c r="E329" s="144"/>
      <c r="F329" s="144"/>
      <c r="G329" s="144"/>
      <c r="H329" s="144"/>
      <c r="I329" s="182"/>
      <c r="J329" s="144"/>
      <c r="K329" s="145"/>
      <c r="L329" s="150"/>
      <c r="M329" s="146"/>
      <c r="N329" s="146"/>
      <c r="O329" s="146"/>
      <c r="P329" s="146"/>
      <c r="Q329" s="146"/>
      <c r="R329" s="190"/>
      <c r="S329" s="190"/>
      <c r="T329" s="190"/>
      <c r="U329" s="190"/>
      <c r="V329" s="190"/>
      <c r="W329" s="190"/>
      <c r="X329" s="190"/>
      <c r="Y329" s="190"/>
      <c r="Z329" s="190"/>
    </row>
    <row r="330" ht="15.75" customHeight="1">
      <c r="A330" s="228"/>
      <c r="B330" s="165"/>
      <c r="C330" s="162"/>
      <c r="D330" s="142"/>
      <c r="E330" s="144"/>
      <c r="F330" s="144"/>
      <c r="G330" s="144"/>
      <c r="H330" s="144"/>
      <c r="I330" s="182"/>
      <c r="J330" s="144"/>
      <c r="K330" s="145"/>
      <c r="L330" s="150"/>
      <c r="M330" s="146"/>
      <c r="N330" s="146"/>
      <c r="O330" s="146"/>
      <c r="P330" s="146"/>
      <c r="Q330" s="146"/>
      <c r="R330" s="190"/>
      <c r="S330" s="190"/>
      <c r="T330" s="190"/>
      <c r="U330" s="190"/>
      <c r="V330" s="190"/>
      <c r="W330" s="190"/>
      <c r="X330" s="190"/>
      <c r="Y330" s="190"/>
      <c r="Z330" s="190"/>
    </row>
    <row r="331" ht="15.75" customHeight="1">
      <c r="A331" s="228"/>
      <c r="B331" s="165"/>
      <c r="C331" s="162"/>
      <c r="D331" s="142"/>
      <c r="E331" s="144"/>
      <c r="F331" s="144"/>
      <c r="G331" s="144"/>
      <c r="H331" s="144"/>
      <c r="I331" s="182"/>
      <c r="J331" s="144"/>
      <c r="K331" s="145"/>
      <c r="L331" s="150"/>
      <c r="M331" s="146"/>
      <c r="N331" s="146"/>
      <c r="O331" s="146"/>
      <c r="P331" s="146"/>
      <c r="Q331" s="146"/>
      <c r="R331" s="190"/>
      <c r="S331" s="190"/>
      <c r="T331" s="190"/>
      <c r="U331" s="190"/>
      <c r="V331" s="190"/>
      <c r="W331" s="190"/>
      <c r="X331" s="190"/>
      <c r="Y331" s="190"/>
      <c r="Z331" s="190"/>
    </row>
    <row r="332" ht="15.75" customHeight="1">
      <c r="A332" s="228"/>
      <c r="B332" s="165"/>
      <c r="C332" s="162"/>
      <c r="D332" s="142"/>
      <c r="E332" s="144"/>
      <c r="F332" s="144"/>
      <c r="G332" s="144"/>
      <c r="H332" s="144"/>
      <c r="I332" s="182"/>
      <c r="J332" s="144"/>
      <c r="K332" s="145"/>
      <c r="L332" s="150"/>
      <c r="M332" s="146"/>
      <c r="N332" s="146"/>
      <c r="O332" s="146"/>
      <c r="P332" s="146"/>
      <c r="Q332" s="146"/>
      <c r="R332" s="190"/>
      <c r="S332" s="190"/>
      <c r="T332" s="190"/>
      <c r="U332" s="190"/>
      <c r="V332" s="190"/>
      <c r="W332" s="190"/>
      <c r="X332" s="190"/>
      <c r="Y332" s="190"/>
      <c r="Z332" s="190"/>
    </row>
    <row r="333" ht="15.75" customHeight="1">
      <c r="A333" s="228"/>
      <c r="B333" s="165"/>
      <c r="C333" s="162"/>
      <c r="D333" s="142"/>
      <c r="E333" s="144"/>
      <c r="F333" s="144"/>
      <c r="G333" s="144"/>
      <c r="H333" s="144"/>
      <c r="I333" s="182"/>
      <c r="J333" s="144"/>
      <c r="K333" s="145"/>
      <c r="L333" s="150"/>
      <c r="M333" s="146"/>
      <c r="N333" s="146"/>
      <c r="O333" s="146"/>
      <c r="P333" s="146"/>
      <c r="Q333" s="146"/>
      <c r="R333" s="190"/>
      <c r="S333" s="190"/>
      <c r="T333" s="190"/>
      <c r="U333" s="190"/>
      <c r="V333" s="190"/>
      <c r="W333" s="190"/>
      <c r="X333" s="190"/>
      <c r="Y333" s="190"/>
      <c r="Z333" s="190"/>
    </row>
    <row r="334" ht="15.75" customHeight="1">
      <c r="A334" s="228"/>
      <c r="B334" s="165"/>
      <c r="C334" s="162"/>
      <c r="D334" s="142"/>
      <c r="E334" s="144"/>
      <c r="F334" s="144"/>
      <c r="G334" s="144"/>
      <c r="H334" s="144"/>
      <c r="I334" s="182"/>
      <c r="J334" s="144"/>
      <c r="K334" s="145"/>
      <c r="L334" s="150"/>
      <c r="M334" s="146"/>
      <c r="N334" s="146"/>
      <c r="O334" s="146"/>
      <c r="P334" s="146"/>
      <c r="Q334" s="146"/>
      <c r="R334" s="190"/>
      <c r="S334" s="190"/>
      <c r="T334" s="190"/>
      <c r="U334" s="190"/>
      <c r="V334" s="190"/>
      <c r="W334" s="190"/>
      <c r="X334" s="190"/>
      <c r="Y334" s="190"/>
      <c r="Z334" s="190"/>
    </row>
    <row r="335" ht="15.75" customHeight="1">
      <c r="A335" s="228"/>
      <c r="B335" s="165"/>
      <c r="C335" s="162"/>
      <c r="D335" s="142"/>
      <c r="E335" s="144"/>
      <c r="F335" s="144"/>
      <c r="G335" s="144"/>
      <c r="H335" s="144"/>
      <c r="I335" s="182"/>
      <c r="J335" s="144"/>
      <c r="K335" s="145"/>
      <c r="L335" s="150"/>
      <c r="M335" s="146"/>
      <c r="N335" s="146"/>
      <c r="O335" s="146"/>
      <c r="P335" s="146"/>
      <c r="Q335" s="146"/>
      <c r="R335" s="190"/>
      <c r="S335" s="190"/>
      <c r="T335" s="190"/>
      <c r="U335" s="190"/>
      <c r="V335" s="190"/>
      <c r="W335" s="190"/>
      <c r="X335" s="190"/>
      <c r="Y335" s="190"/>
      <c r="Z335" s="190"/>
    </row>
    <row r="336" ht="15.75" customHeight="1">
      <c r="A336" s="228"/>
      <c r="B336" s="165"/>
      <c r="C336" s="162"/>
      <c r="D336" s="142"/>
      <c r="E336" s="144"/>
      <c r="F336" s="144"/>
      <c r="G336" s="144"/>
      <c r="H336" s="144"/>
      <c r="I336" s="182"/>
      <c r="J336" s="144"/>
      <c r="K336" s="145"/>
      <c r="L336" s="150"/>
      <c r="M336" s="146"/>
      <c r="N336" s="146"/>
      <c r="O336" s="146"/>
      <c r="P336" s="146"/>
      <c r="Q336" s="146"/>
      <c r="R336" s="190"/>
      <c r="S336" s="190"/>
      <c r="T336" s="190"/>
      <c r="U336" s="190"/>
      <c r="V336" s="190"/>
      <c r="W336" s="190"/>
      <c r="X336" s="190"/>
      <c r="Y336" s="190"/>
      <c r="Z336" s="190"/>
    </row>
    <row r="337" ht="15.75" customHeight="1">
      <c r="A337" s="228"/>
      <c r="B337" s="165"/>
      <c r="C337" s="162"/>
      <c r="D337" s="142"/>
      <c r="E337" s="144"/>
      <c r="F337" s="144"/>
      <c r="G337" s="144"/>
      <c r="H337" s="144"/>
      <c r="I337" s="182"/>
      <c r="J337" s="144"/>
      <c r="K337" s="145"/>
      <c r="L337" s="150"/>
      <c r="M337" s="146"/>
      <c r="N337" s="146"/>
      <c r="O337" s="146"/>
      <c r="P337" s="146"/>
      <c r="Q337" s="146"/>
      <c r="R337" s="190"/>
      <c r="S337" s="190"/>
      <c r="T337" s="190"/>
      <c r="U337" s="190"/>
      <c r="V337" s="190"/>
      <c r="W337" s="190"/>
      <c r="X337" s="190"/>
      <c r="Y337" s="190"/>
      <c r="Z337" s="190"/>
    </row>
    <row r="338" ht="15.75" customHeight="1">
      <c r="A338" s="228"/>
      <c r="B338" s="165"/>
      <c r="C338" s="162"/>
      <c r="D338" s="142"/>
      <c r="E338" s="144"/>
      <c r="F338" s="144"/>
      <c r="G338" s="144"/>
      <c r="H338" s="144"/>
      <c r="I338" s="182"/>
      <c r="J338" s="144"/>
      <c r="K338" s="145"/>
      <c r="L338" s="150"/>
      <c r="M338" s="146"/>
      <c r="N338" s="146"/>
      <c r="O338" s="146"/>
      <c r="P338" s="146"/>
      <c r="Q338" s="146"/>
      <c r="R338" s="190"/>
      <c r="S338" s="190"/>
      <c r="T338" s="190"/>
      <c r="U338" s="190"/>
      <c r="V338" s="190"/>
      <c r="W338" s="190"/>
      <c r="X338" s="190"/>
      <c r="Y338" s="190"/>
      <c r="Z338" s="190"/>
    </row>
    <row r="339" ht="15.75" customHeight="1">
      <c r="A339" s="228"/>
      <c r="B339" s="165"/>
      <c r="C339" s="162"/>
      <c r="D339" s="142"/>
      <c r="E339" s="144"/>
      <c r="F339" s="144"/>
      <c r="G339" s="144"/>
      <c r="H339" s="144"/>
      <c r="I339" s="182"/>
      <c r="J339" s="144"/>
      <c r="K339" s="145"/>
      <c r="L339" s="150"/>
      <c r="M339" s="146"/>
      <c r="N339" s="146"/>
      <c r="O339" s="146"/>
      <c r="P339" s="146"/>
      <c r="Q339" s="146"/>
      <c r="R339" s="190"/>
      <c r="S339" s="190"/>
      <c r="T339" s="190"/>
      <c r="U339" s="190"/>
      <c r="V339" s="190"/>
      <c r="W339" s="190"/>
      <c r="X339" s="190"/>
      <c r="Y339" s="190"/>
      <c r="Z339" s="190"/>
    </row>
    <row r="340" ht="15.75" customHeight="1">
      <c r="A340" s="228"/>
      <c r="B340" s="165"/>
      <c r="C340" s="162"/>
      <c r="D340" s="142"/>
      <c r="E340" s="144"/>
      <c r="F340" s="144"/>
      <c r="G340" s="144"/>
      <c r="H340" s="144"/>
      <c r="I340" s="182"/>
      <c r="J340" s="144"/>
      <c r="K340" s="145"/>
      <c r="L340" s="150"/>
      <c r="M340" s="146"/>
      <c r="N340" s="146"/>
      <c r="O340" s="146"/>
      <c r="P340" s="146"/>
      <c r="Q340" s="146"/>
      <c r="R340" s="190"/>
      <c r="S340" s="190"/>
      <c r="T340" s="190"/>
      <c r="U340" s="190"/>
      <c r="V340" s="190"/>
      <c r="W340" s="190"/>
      <c r="X340" s="190"/>
      <c r="Y340" s="190"/>
      <c r="Z340" s="190"/>
    </row>
    <row r="341" ht="15.75" customHeight="1">
      <c r="A341" s="228"/>
      <c r="B341" s="165"/>
      <c r="C341" s="162"/>
      <c r="D341" s="142"/>
      <c r="E341" s="144"/>
      <c r="F341" s="144"/>
      <c r="G341" s="144"/>
      <c r="H341" s="144"/>
      <c r="I341" s="182"/>
      <c r="J341" s="144"/>
      <c r="K341" s="145"/>
      <c r="L341" s="150"/>
      <c r="M341" s="146"/>
      <c r="N341" s="146"/>
      <c r="O341" s="146"/>
      <c r="P341" s="146"/>
      <c r="Q341" s="146"/>
      <c r="R341" s="190"/>
      <c r="S341" s="190"/>
      <c r="T341" s="190"/>
      <c r="U341" s="190"/>
      <c r="V341" s="190"/>
      <c r="W341" s="190"/>
      <c r="X341" s="190"/>
      <c r="Y341" s="190"/>
      <c r="Z341" s="190"/>
    </row>
    <row r="342" ht="15.75" customHeight="1">
      <c r="A342" s="228"/>
      <c r="B342" s="165"/>
      <c r="C342" s="162"/>
      <c r="D342" s="142"/>
      <c r="E342" s="144"/>
      <c r="F342" s="144"/>
      <c r="G342" s="144"/>
      <c r="H342" s="144"/>
      <c r="I342" s="182"/>
      <c r="J342" s="144"/>
      <c r="K342" s="145"/>
      <c r="L342" s="150"/>
      <c r="M342" s="146"/>
      <c r="N342" s="146"/>
      <c r="O342" s="146"/>
      <c r="P342" s="146"/>
      <c r="Q342" s="146"/>
      <c r="R342" s="190"/>
      <c r="S342" s="190"/>
      <c r="T342" s="190"/>
      <c r="U342" s="190"/>
      <c r="V342" s="190"/>
      <c r="W342" s="190"/>
      <c r="X342" s="190"/>
      <c r="Y342" s="190"/>
      <c r="Z342" s="190"/>
    </row>
    <row r="343" ht="15.75" customHeight="1">
      <c r="A343" s="228"/>
      <c r="B343" s="165"/>
      <c r="C343" s="162"/>
      <c r="D343" s="142"/>
      <c r="E343" s="144"/>
      <c r="F343" s="144"/>
      <c r="G343" s="144"/>
      <c r="H343" s="144"/>
      <c r="I343" s="182"/>
      <c r="J343" s="144"/>
      <c r="K343" s="145"/>
      <c r="L343" s="150"/>
      <c r="M343" s="146"/>
      <c r="N343" s="146"/>
      <c r="O343" s="146"/>
      <c r="P343" s="146"/>
      <c r="Q343" s="146"/>
      <c r="R343" s="190"/>
      <c r="S343" s="190"/>
      <c r="T343" s="190"/>
      <c r="U343" s="190"/>
      <c r="V343" s="190"/>
      <c r="W343" s="190"/>
      <c r="X343" s="190"/>
      <c r="Y343" s="190"/>
      <c r="Z343" s="190"/>
    </row>
    <row r="344" ht="15.75" customHeight="1">
      <c r="A344" s="228"/>
      <c r="B344" s="165"/>
      <c r="C344" s="162"/>
      <c r="D344" s="142"/>
      <c r="E344" s="144"/>
      <c r="F344" s="144"/>
      <c r="G344" s="144"/>
      <c r="H344" s="144"/>
      <c r="I344" s="182"/>
      <c r="J344" s="144"/>
      <c r="K344" s="145"/>
      <c r="L344" s="150"/>
      <c r="M344" s="146"/>
      <c r="N344" s="146"/>
      <c r="O344" s="146"/>
      <c r="P344" s="146"/>
      <c r="Q344" s="146"/>
      <c r="R344" s="190"/>
      <c r="S344" s="190"/>
      <c r="T344" s="190"/>
      <c r="U344" s="190"/>
      <c r="V344" s="190"/>
      <c r="W344" s="190"/>
      <c r="X344" s="190"/>
      <c r="Y344" s="190"/>
      <c r="Z344" s="190"/>
    </row>
    <row r="345" ht="15.75" customHeight="1">
      <c r="A345" s="228"/>
      <c r="B345" s="165"/>
      <c r="C345" s="162"/>
      <c r="D345" s="142"/>
      <c r="E345" s="144"/>
      <c r="F345" s="144"/>
      <c r="G345" s="144"/>
      <c r="H345" s="144"/>
      <c r="I345" s="182"/>
      <c r="J345" s="144"/>
      <c r="K345" s="145"/>
      <c r="L345" s="150"/>
      <c r="M345" s="146"/>
      <c r="N345" s="146"/>
      <c r="O345" s="146"/>
      <c r="P345" s="146"/>
      <c r="Q345" s="146"/>
      <c r="R345" s="190"/>
      <c r="S345" s="190"/>
      <c r="T345" s="190"/>
      <c r="U345" s="190"/>
      <c r="V345" s="190"/>
      <c r="W345" s="190"/>
      <c r="X345" s="190"/>
      <c r="Y345" s="190"/>
      <c r="Z345" s="190"/>
    </row>
    <row r="346" ht="15.75" customHeight="1">
      <c r="A346" s="228"/>
      <c r="B346" s="165"/>
      <c r="C346" s="162"/>
      <c r="D346" s="142"/>
      <c r="E346" s="144"/>
      <c r="F346" s="144"/>
      <c r="G346" s="144"/>
      <c r="H346" s="144"/>
      <c r="I346" s="182"/>
      <c r="J346" s="144"/>
      <c r="K346" s="145"/>
      <c r="L346" s="150"/>
      <c r="M346" s="146"/>
      <c r="N346" s="146"/>
      <c r="O346" s="146"/>
      <c r="P346" s="146"/>
      <c r="Q346" s="146"/>
      <c r="R346" s="190"/>
      <c r="S346" s="190"/>
      <c r="T346" s="190"/>
      <c r="U346" s="190"/>
      <c r="V346" s="190"/>
      <c r="W346" s="190"/>
      <c r="X346" s="190"/>
      <c r="Y346" s="190"/>
      <c r="Z346" s="190"/>
    </row>
    <row r="347" ht="15.75" customHeight="1">
      <c r="A347" s="228"/>
      <c r="B347" s="165"/>
      <c r="C347" s="162"/>
      <c r="D347" s="142"/>
      <c r="E347" s="144"/>
      <c r="F347" s="144"/>
      <c r="G347" s="144"/>
      <c r="H347" s="144"/>
      <c r="I347" s="182"/>
      <c r="J347" s="144"/>
      <c r="K347" s="145"/>
      <c r="L347" s="150"/>
      <c r="M347" s="146"/>
      <c r="N347" s="146"/>
      <c r="O347" s="146"/>
      <c r="P347" s="146"/>
      <c r="Q347" s="146"/>
      <c r="R347" s="190"/>
      <c r="S347" s="190"/>
      <c r="T347" s="190"/>
      <c r="U347" s="190"/>
      <c r="V347" s="190"/>
      <c r="W347" s="190"/>
      <c r="X347" s="190"/>
      <c r="Y347" s="190"/>
      <c r="Z347" s="190"/>
    </row>
    <row r="348" ht="15.75" customHeight="1">
      <c r="A348" s="228"/>
      <c r="B348" s="165"/>
      <c r="C348" s="162"/>
      <c r="D348" s="142"/>
      <c r="E348" s="144"/>
      <c r="F348" s="144"/>
      <c r="G348" s="144"/>
      <c r="H348" s="144"/>
      <c r="I348" s="182"/>
      <c r="J348" s="144"/>
      <c r="K348" s="145"/>
      <c r="L348" s="150"/>
      <c r="M348" s="146"/>
      <c r="N348" s="146"/>
      <c r="O348" s="146"/>
      <c r="P348" s="146"/>
      <c r="Q348" s="146"/>
      <c r="R348" s="190"/>
      <c r="S348" s="190"/>
      <c r="T348" s="190"/>
      <c r="U348" s="190"/>
      <c r="V348" s="190"/>
      <c r="W348" s="190"/>
      <c r="X348" s="190"/>
      <c r="Y348" s="190"/>
      <c r="Z348" s="190"/>
    </row>
    <row r="349" ht="15.75" customHeight="1">
      <c r="A349" s="228"/>
      <c r="B349" s="165"/>
      <c r="C349" s="162"/>
      <c r="D349" s="142"/>
      <c r="E349" s="144"/>
      <c r="F349" s="144"/>
      <c r="G349" s="144"/>
      <c r="H349" s="144"/>
      <c r="I349" s="182"/>
      <c r="J349" s="144"/>
      <c r="K349" s="145"/>
      <c r="L349" s="150"/>
      <c r="M349" s="146"/>
      <c r="N349" s="146"/>
      <c r="O349" s="146"/>
      <c r="P349" s="146"/>
      <c r="Q349" s="146"/>
      <c r="R349" s="190"/>
      <c r="S349" s="190"/>
      <c r="T349" s="190"/>
      <c r="U349" s="190"/>
      <c r="V349" s="190"/>
      <c r="W349" s="190"/>
      <c r="X349" s="190"/>
      <c r="Y349" s="190"/>
      <c r="Z349" s="190"/>
    </row>
    <row r="350" ht="15.75" customHeight="1">
      <c r="A350" s="228"/>
      <c r="B350" s="165"/>
      <c r="C350" s="162"/>
      <c r="D350" s="142"/>
      <c r="E350" s="144"/>
      <c r="F350" s="144"/>
      <c r="G350" s="144"/>
      <c r="H350" s="144"/>
      <c r="I350" s="182"/>
      <c r="J350" s="144"/>
      <c r="K350" s="145"/>
      <c r="L350" s="150"/>
      <c r="M350" s="146"/>
      <c r="N350" s="146"/>
      <c r="O350" s="146"/>
      <c r="P350" s="146"/>
      <c r="Q350" s="146"/>
      <c r="R350" s="190"/>
      <c r="S350" s="190"/>
      <c r="T350" s="190"/>
      <c r="U350" s="190"/>
      <c r="V350" s="190"/>
      <c r="W350" s="190"/>
      <c r="X350" s="190"/>
      <c r="Y350" s="190"/>
      <c r="Z350" s="190"/>
    </row>
    <row r="351" ht="15.75" customHeight="1">
      <c r="A351" s="228"/>
      <c r="B351" s="165"/>
      <c r="C351" s="162"/>
      <c r="D351" s="142"/>
      <c r="E351" s="144"/>
      <c r="F351" s="144"/>
      <c r="G351" s="144"/>
      <c r="H351" s="144"/>
      <c r="I351" s="182"/>
      <c r="J351" s="144"/>
      <c r="K351" s="145"/>
      <c r="L351" s="150"/>
      <c r="M351" s="146"/>
      <c r="N351" s="146"/>
      <c r="O351" s="146"/>
      <c r="P351" s="146"/>
      <c r="Q351" s="146"/>
      <c r="R351" s="190"/>
      <c r="S351" s="190"/>
      <c r="T351" s="190"/>
      <c r="U351" s="190"/>
      <c r="V351" s="190"/>
      <c r="W351" s="190"/>
      <c r="X351" s="190"/>
      <c r="Y351" s="190"/>
      <c r="Z351" s="190"/>
    </row>
    <row r="352" ht="15.75" customHeight="1">
      <c r="A352" s="228"/>
      <c r="B352" s="165"/>
      <c r="C352" s="162"/>
      <c r="D352" s="142"/>
      <c r="E352" s="144"/>
      <c r="F352" s="144"/>
      <c r="G352" s="144"/>
      <c r="H352" s="144"/>
      <c r="I352" s="182"/>
      <c r="J352" s="144"/>
      <c r="K352" s="145"/>
      <c r="L352" s="150"/>
      <c r="M352" s="146"/>
      <c r="N352" s="146"/>
      <c r="O352" s="146"/>
      <c r="P352" s="146"/>
      <c r="Q352" s="146"/>
      <c r="R352" s="190"/>
      <c r="S352" s="190"/>
      <c r="T352" s="190"/>
      <c r="U352" s="190"/>
      <c r="V352" s="190"/>
      <c r="W352" s="190"/>
      <c r="X352" s="190"/>
      <c r="Y352" s="190"/>
      <c r="Z352" s="190"/>
    </row>
    <row r="353" ht="15.75" customHeight="1">
      <c r="A353" s="228"/>
      <c r="B353" s="165"/>
      <c r="C353" s="162"/>
      <c r="D353" s="142"/>
      <c r="E353" s="144"/>
      <c r="F353" s="144"/>
      <c r="G353" s="144"/>
      <c r="H353" s="144"/>
      <c r="I353" s="182"/>
      <c r="J353" s="144"/>
      <c r="K353" s="145"/>
      <c r="L353" s="150"/>
      <c r="M353" s="146"/>
      <c r="N353" s="146"/>
      <c r="O353" s="146"/>
      <c r="P353" s="146"/>
      <c r="Q353" s="146"/>
      <c r="R353" s="190"/>
      <c r="S353" s="190"/>
      <c r="T353" s="190"/>
      <c r="U353" s="190"/>
      <c r="V353" s="190"/>
      <c r="W353" s="190"/>
      <c r="X353" s="190"/>
      <c r="Y353" s="190"/>
      <c r="Z353" s="190"/>
    </row>
    <row r="354" ht="15.75" customHeight="1">
      <c r="A354" s="228"/>
      <c r="B354" s="165"/>
      <c r="C354" s="162"/>
      <c r="D354" s="142"/>
      <c r="E354" s="144"/>
      <c r="F354" s="144"/>
      <c r="G354" s="144"/>
      <c r="H354" s="144"/>
      <c r="I354" s="182"/>
      <c r="J354" s="144"/>
      <c r="K354" s="145"/>
      <c r="L354" s="150"/>
      <c r="M354" s="146"/>
      <c r="N354" s="146"/>
      <c r="O354" s="146"/>
      <c r="P354" s="146"/>
      <c r="Q354" s="146"/>
      <c r="R354" s="190"/>
      <c r="S354" s="190"/>
      <c r="T354" s="190"/>
      <c r="U354" s="190"/>
      <c r="V354" s="190"/>
      <c r="W354" s="190"/>
      <c r="X354" s="190"/>
      <c r="Y354" s="190"/>
      <c r="Z354" s="190"/>
    </row>
    <row r="355" ht="15.75" customHeight="1">
      <c r="A355" s="228"/>
      <c r="B355" s="165"/>
      <c r="C355" s="162"/>
      <c r="D355" s="142"/>
      <c r="E355" s="144"/>
      <c r="F355" s="144"/>
      <c r="G355" s="144"/>
      <c r="H355" s="144"/>
      <c r="I355" s="182"/>
      <c r="J355" s="144"/>
      <c r="K355" s="145"/>
      <c r="L355" s="150"/>
      <c r="M355" s="146"/>
      <c r="N355" s="146"/>
      <c r="O355" s="146"/>
      <c r="P355" s="146"/>
      <c r="Q355" s="146"/>
      <c r="R355" s="190"/>
      <c r="S355" s="190"/>
      <c r="T355" s="190"/>
      <c r="U355" s="190"/>
      <c r="V355" s="190"/>
      <c r="W355" s="190"/>
      <c r="X355" s="190"/>
      <c r="Y355" s="190"/>
      <c r="Z355" s="190"/>
    </row>
    <row r="356" ht="15.75" customHeight="1">
      <c r="A356" s="228"/>
      <c r="B356" s="165"/>
      <c r="C356" s="162"/>
      <c r="D356" s="142"/>
      <c r="E356" s="144"/>
      <c r="F356" s="144"/>
      <c r="G356" s="144"/>
      <c r="H356" s="144"/>
      <c r="I356" s="182"/>
      <c r="J356" s="144"/>
      <c r="K356" s="145"/>
      <c r="L356" s="150"/>
      <c r="M356" s="146"/>
      <c r="N356" s="146"/>
      <c r="O356" s="146"/>
      <c r="P356" s="146"/>
      <c r="Q356" s="146"/>
      <c r="R356" s="190"/>
      <c r="S356" s="190"/>
      <c r="T356" s="190"/>
      <c r="U356" s="190"/>
      <c r="V356" s="190"/>
      <c r="W356" s="190"/>
      <c r="X356" s="190"/>
      <c r="Y356" s="190"/>
      <c r="Z356" s="190"/>
    </row>
    <row r="357" ht="15.75" customHeight="1">
      <c r="A357" s="228"/>
      <c r="B357" s="165"/>
      <c r="C357" s="162"/>
      <c r="D357" s="142"/>
      <c r="E357" s="144"/>
      <c r="F357" s="144"/>
      <c r="G357" s="144"/>
      <c r="H357" s="144"/>
      <c r="I357" s="182"/>
      <c r="J357" s="144"/>
      <c r="K357" s="145"/>
      <c r="L357" s="150"/>
      <c r="M357" s="146"/>
      <c r="N357" s="146"/>
      <c r="O357" s="146"/>
      <c r="P357" s="146"/>
      <c r="Q357" s="146"/>
      <c r="R357" s="190"/>
      <c r="S357" s="190"/>
      <c r="T357" s="190"/>
      <c r="U357" s="190"/>
      <c r="V357" s="190"/>
      <c r="W357" s="190"/>
      <c r="X357" s="190"/>
      <c r="Y357" s="190"/>
      <c r="Z357" s="190"/>
    </row>
    <row r="358" ht="15.75" customHeight="1">
      <c r="A358" s="228"/>
      <c r="B358" s="165"/>
      <c r="C358" s="162"/>
      <c r="D358" s="142"/>
      <c r="E358" s="144"/>
      <c r="F358" s="144"/>
      <c r="G358" s="144"/>
      <c r="H358" s="144"/>
      <c r="I358" s="182"/>
      <c r="J358" s="144"/>
      <c r="K358" s="145"/>
      <c r="L358" s="150"/>
      <c r="M358" s="146"/>
      <c r="N358" s="146"/>
      <c r="O358" s="146"/>
      <c r="P358" s="146"/>
      <c r="Q358" s="146"/>
      <c r="R358" s="190"/>
      <c r="S358" s="190"/>
      <c r="T358" s="190"/>
      <c r="U358" s="190"/>
      <c r="V358" s="190"/>
      <c r="W358" s="190"/>
      <c r="X358" s="190"/>
      <c r="Y358" s="190"/>
      <c r="Z358" s="190"/>
    </row>
    <row r="359" ht="15.75" customHeight="1">
      <c r="A359" s="228"/>
      <c r="B359" s="165"/>
      <c r="C359" s="162"/>
      <c r="D359" s="142"/>
      <c r="E359" s="144"/>
      <c r="F359" s="144"/>
      <c r="G359" s="144"/>
      <c r="H359" s="144"/>
      <c r="I359" s="182"/>
      <c r="J359" s="144"/>
      <c r="K359" s="145"/>
      <c r="L359" s="150"/>
      <c r="M359" s="146"/>
      <c r="N359" s="146"/>
      <c r="O359" s="146"/>
      <c r="P359" s="146"/>
      <c r="Q359" s="146"/>
      <c r="R359" s="190"/>
      <c r="S359" s="190"/>
      <c r="T359" s="190"/>
      <c r="U359" s="190"/>
      <c r="V359" s="190"/>
      <c r="W359" s="190"/>
      <c r="X359" s="190"/>
      <c r="Y359" s="190"/>
      <c r="Z359" s="190"/>
    </row>
    <row r="360" ht="15.75" customHeight="1">
      <c r="A360" s="228"/>
      <c r="B360" s="165"/>
      <c r="C360" s="162"/>
      <c r="D360" s="142"/>
      <c r="E360" s="144"/>
      <c r="F360" s="144"/>
      <c r="G360" s="144"/>
      <c r="H360" s="144"/>
      <c r="I360" s="182"/>
      <c r="J360" s="144"/>
      <c r="K360" s="145"/>
      <c r="L360" s="150"/>
      <c r="M360" s="146"/>
      <c r="N360" s="146"/>
      <c r="O360" s="146"/>
      <c r="P360" s="146"/>
      <c r="Q360" s="146"/>
      <c r="R360" s="190"/>
      <c r="S360" s="190"/>
      <c r="T360" s="190"/>
      <c r="U360" s="190"/>
      <c r="V360" s="190"/>
      <c r="W360" s="190"/>
      <c r="X360" s="190"/>
      <c r="Y360" s="190"/>
      <c r="Z360" s="190"/>
    </row>
    <row r="361" ht="15.75" customHeight="1">
      <c r="A361" s="228"/>
      <c r="B361" s="165"/>
      <c r="C361" s="162"/>
      <c r="D361" s="142"/>
      <c r="E361" s="144"/>
      <c r="F361" s="144"/>
      <c r="G361" s="144"/>
      <c r="H361" s="144"/>
      <c r="I361" s="182"/>
      <c r="J361" s="144"/>
      <c r="K361" s="145"/>
      <c r="L361" s="150"/>
      <c r="M361" s="146"/>
      <c r="N361" s="146"/>
      <c r="O361" s="146"/>
      <c r="P361" s="146"/>
      <c r="Q361" s="146"/>
      <c r="R361" s="190"/>
      <c r="S361" s="190"/>
      <c r="T361" s="190"/>
      <c r="U361" s="190"/>
      <c r="V361" s="190"/>
      <c r="W361" s="190"/>
      <c r="X361" s="190"/>
      <c r="Y361" s="190"/>
      <c r="Z361" s="190"/>
    </row>
    <row r="362" ht="15.75" customHeight="1">
      <c r="A362" s="228"/>
      <c r="B362" s="165"/>
      <c r="C362" s="162"/>
      <c r="D362" s="142"/>
      <c r="E362" s="144"/>
      <c r="F362" s="144"/>
      <c r="G362" s="144"/>
      <c r="H362" s="144"/>
      <c r="I362" s="182"/>
      <c r="J362" s="144"/>
      <c r="K362" s="145"/>
      <c r="L362" s="150"/>
      <c r="M362" s="146"/>
      <c r="N362" s="146"/>
      <c r="O362" s="146"/>
      <c r="P362" s="146"/>
      <c r="Q362" s="146"/>
      <c r="R362" s="190"/>
      <c r="S362" s="190"/>
      <c r="T362" s="190"/>
      <c r="U362" s="190"/>
      <c r="V362" s="190"/>
      <c r="W362" s="190"/>
      <c r="X362" s="190"/>
      <c r="Y362" s="190"/>
      <c r="Z362" s="190"/>
    </row>
    <row r="363" ht="15.75" customHeight="1">
      <c r="A363" s="228"/>
      <c r="B363" s="165"/>
      <c r="C363" s="162"/>
      <c r="D363" s="142"/>
      <c r="E363" s="144"/>
      <c r="F363" s="144"/>
      <c r="G363" s="144"/>
      <c r="H363" s="144"/>
      <c r="I363" s="182"/>
      <c r="J363" s="144"/>
      <c r="K363" s="145"/>
      <c r="L363" s="150"/>
      <c r="M363" s="146"/>
      <c r="N363" s="146"/>
      <c r="O363" s="146"/>
      <c r="P363" s="146"/>
      <c r="Q363" s="146"/>
      <c r="R363" s="190"/>
      <c r="S363" s="190"/>
      <c r="T363" s="190"/>
      <c r="U363" s="190"/>
      <c r="V363" s="190"/>
      <c r="W363" s="190"/>
      <c r="X363" s="190"/>
      <c r="Y363" s="190"/>
      <c r="Z363" s="190"/>
    </row>
    <row r="364" ht="15.75" customHeight="1">
      <c r="A364" s="228"/>
      <c r="B364" s="165"/>
      <c r="C364" s="162"/>
      <c r="D364" s="142"/>
      <c r="E364" s="144"/>
      <c r="F364" s="144"/>
      <c r="G364" s="144"/>
      <c r="H364" s="144"/>
      <c r="I364" s="182"/>
      <c r="J364" s="144"/>
      <c r="K364" s="145"/>
      <c r="L364" s="150"/>
      <c r="M364" s="146"/>
      <c r="N364" s="146"/>
      <c r="O364" s="146"/>
      <c r="P364" s="146"/>
      <c r="Q364" s="146"/>
      <c r="R364" s="190"/>
      <c r="S364" s="190"/>
      <c r="T364" s="190"/>
      <c r="U364" s="190"/>
      <c r="V364" s="190"/>
      <c r="W364" s="190"/>
      <c r="X364" s="190"/>
      <c r="Y364" s="190"/>
      <c r="Z364" s="190"/>
    </row>
    <row r="365" ht="15.75" customHeight="1">
      <c r="A365" s="228"/>
      <c r="B365" s="165"/>
      <c r="C365" s="162"/>
      <c r="D365" s="142"/>
      <c r="E365" s="144"/>
      <c r="F365" s="144"/>
      <c r="G365" s="144"/>
      <c r="H365" s="144"/>
      <c r="I365" s="182"/>
      <c r="J365" s="144"/>
      <c r="K365" s="145"/>
      <c r="L365" s="150"/>
      <c r="M365" s="146"/>
      <c r="N365" s="146"/>
      <c r="O365" s="146"/>
      <c r="P365" s="146"/>
      <c r="Q365" s="146"/>
      <c r="R365" s="190"/>
      <c r="S365" s="190"/>
      <c r="T365" s="190"/>
      <c r="U365" s="190"/>
      <c r="V365" s="190"/>
      <c r="W365" s="190"/>
      <c r="X365" s="190"/>
      <c r="Y365" s="190"/>
      <c r="Z365" s="190"/>
    </row>
    <row r="366" ht="15.75" customHeight="1">
      <c r="A366" s="228"/>
      <c r="B366" s="165"/>
      <c r="C366" s="162"/>
      <c r="D366" s="142"/>
      <c r="E366" s="144"/>
      <c r="F366" s="144"/>
      <c r="G366" s="144"/>
      <c r="H366" s="144"/>
      <c r="I366" s="182"/>
      <c r="J366" s="144"/>
      <c r="K366" s="145"/>
      <c r="L366" s="150"/>
      <c r="M366" s="146"/>
      <c r="N366" s="146"/>
      <c r="O366" s="146"/>
      <c r="P366" s="146"/>
      <c r="Q366" s="146"/>
      <c r="R366" s="190"/>
      <c r="S366" s="190"/>
      <c r="T366" s="190"/>
      <c r="U366" s="190"/>
      <c r="V366" s="190"/>
      <c r="W366" s="190"/>
      <c r="X366" s="190"/>
      <c r="Y366" s="190"/>
      <c r="Z366" s="190"/>
    </row>
    <row r="367" ht="15.75" customHeight="1">
      <c r="A367" s="228"/>
      <c r="B367" s="165"/>
      <c r="C367" s="162"/>
      <c r="D367" s="142"/>
      <c r="E367" s="144"/>
      <c r="F367" s="144"/>
      <c r="G367" s="144"/>
      <c r="H367" s="144"/>
      <c r="I367" s="182"/>
      <c r="J367" s="144"/>
      <c r="K367" s="145"/>
      <c r="L367" s="150"/>
      <c r="M367" s="146"/>
      <c r="N367" s="146"/>
      <c r="O367" s="146"/>
      <c r="P367" s="146"/>
      <c r="Q367" s="146"/>
      <c r="R367" s="190"/>
      <c r="S367" s="190"/>
      <c r="T367" s="190"/>
      <c r="U367" s="190"/>
      <c r="V367" s="190"/>
      <c r="W367" s="190"/>
      <c r="X367" s="190"/>
      <c r="Y367" s="190"/>
      <c r="Z367" s="190"/>
    </row>
    <row r="368" ht="15.75" customHeight="1">
      <c r="A368" s="228"/>
      <c r="B368" s="165"/>
      <c r="C368" s="162"/>
      <c r="D368" s="142"/>
      <c r="E368" s="144"/>
      <c r="F368" s="144"/>
      <c r="G368" s="144"/>
      <c r="H368" s="144"/>
      <c r="I368" s="182"/>
      <c r="J368" s="144"/>
      <c r="K368" s="145"/>
      <c r="L368" s="150"/>
      <c r="M368" s="146"/>
      <c r="N368" s="146"/>
      <c r="O368" s="146"/>
      <c r="P368" s="146"/>
      <c r="Q368" s="146"/>
      <c r="R368" s="190"/>
      <c r="S368" s="190"/>
      <c r="T368" s="190"/>
      <c r="U368" s="190"/>
      <c r="V368" s="190"/>
      <c r="W368" s="190"/>
      <c r="X368" s="190"/>
      <c r="Y368" s="190"/>
      <c r="Z368" s="190"/>
    </row>
    <row r="369" ht="15.75" customHeight="1">
      <c r="A369" s="228"/>
      <c r="B369" s="165"/>
      <c r="C369" s="162"/>
      <c r="D369" s="142"/>
      <c r="E369" s="144"/>
      <c r="F369" s="144"/>
      <c r="G369" s="144"/>
      <c r="H369" s="144"/>
      <c r="I369" s="182"/>
      <c r="J369" s="144"/>
      <c r="K369" s="145"/>
      <c r="L369" s="150"/>
      <c r="M369" s="146"/>
      <c r="N369" s="146"/>
      <c r="O369" s="146"/>
      <c r="P369" s="146"/>
      <c r="Q369" s="146"/>
      <c r="R369" s="190"/>
      <c r="S369" s="190"/>
      <c r="T369" s="190"/>
      <c r="U369" s="190"/>
      <c r="V369" s="190"/>
      <c r="W369" s="190"/>
      <c r="X369" s="190"/>
      <c r="Y369" s="190"/>
      <c r="Z369" s="190"/>
    </row>
    <row r="370" ht="15.75" customHeight="1">
      <c r="A370" s="228"/>
      <c r="B370" s="165"/>
      <c r="C370" s="162"/>
      <c r="D370" s="142"/>
      <c r="E370" s="144"/>
      <c r="F370" s="144"/>
      <c r="G370" s="144"/>
      <c r="H370" s="144"/>
      <c r="I370" s="182"/>
      <c r="J370" s="144"/>
      <c r="K370" s="145"/>
      <c r="L370" s="150"/>
      <c r="M370" s="146"/>
      <c r="N370" s="146"/>
      <c r="O370" s="146"/>
      <c r="P370" s="146"/>
      <c r="Q370" s="146"/>
      <c r="R370" s="190"/>
      <c r="S370" s="190"/>
      <c r="T370" s="190"/>
      <c r="U370" s="190"/>
      <c r="V370" s="190"/>
      <c r="W370" s="190"/>
      <c r="X370" s="190"/>
      <c r="Y370" s="190"/>
      <c r="Z370" s="190"/>
    </row>
    <row r="371" ht="15.75" customHeight="1">
      <c r="A371" s="228"/>
      <c r="B371" s="165"/>
      <c r="C371" s="162"/>
      <c r="D371" s="142"/>
      <c r="E371" s="144"/>
      <c r="F371" s="144"/>
      <c r="G371" s="144"/>
      <c r="H371" s="144"/>
      <c r="I371" s="182"/>
      <c r="J371" s="144"/>
      <c r="K371" s="145"/>
      <c r="L371" s="150"/>
      <c r="M371" s="146"/>
      <c r="N371" s="146"/>
      <c r="O371" s="146"/>
      <c r="P371" s="146"/>
      <c r="Q371" s="146"/>
      <c r="R371" s="190"/>
      <c r="S371" s="190"/>
      <c r="T371" s="190"/>
      <c r="U371" s="190"/>
      <c r="V371" s="190"/>
      <c r="W371" s="190"/>
      <c r="X371" s="190"/>
      <c r="Y371" s="190"/>
      <c r="Z371" s="190"/>
    </row>
    <row r="372" ht="15.75" customHeight="1">
      <c r="A372" s="228"/>
      <c r="B372" s="165"/>
      <c r="C372" s="162"/>
      <c r="D372" s="142"/>
      <c r="E372" s="144"/>
      <c r="F372" s="144"/>
      <c r="G372" s="144"/>
      <c r="H372" s="144"/>
      <c r="I372" s="182"/>
      <c r="J372" s="144"/>
      <c r="K372" s="145"/>
      <c r="L372" s="150"/>
      <c r="M372" s="146"/>
      <c r="N372" s="146"/>
      <c r="O372" s="146"/>
      <c r="P372" s="146"/>
      <c r="Q372" s="146"/>
      <c r="R372" s="190"/>
      <c r="S372" s="190"/>
      <c r="T372" s="190"/>
      <c r="U372" s="190"/>
      <c r="V372" s="190"/>
      <c r="W372" s="190"/>
      <c r="X372" s="190"/>
      <c r="Y372" s="190"/>
      <c r="Z372" s="190"/>
    </row>
    <row r="373" ht="15.75" customHeight="1">
      <c r="A373" s="228"/>
      <c r="B373" s="165"/>
      <c r="C373" s="162"/>
      <c r="D373" s="142"/>
      <c r="E373" s="144"/>
      <c r="F373" s="144"/>
      <c r="G373" s="144"/>
      <c r="H373" s="144"/>
      <c r="I373" s="182"/>
      <c r="J373" s="144"/>
      <c r="K373" s="145"/>
      <c r="L373" s="150"/>
      <c r="M373" s="146"/>
      <c r="N373" s="146"/>
      <c r="O373" s="146"/>
      <c r="P373" s="146"/>
      <c r="Q373" s="146"/>
      <c r="R373" s="190"/>
      <c r="S373" s="190"/>
      <c r="T373" s="190"/>
      <c r="U373" s="190"/>
      <c r="V373" s="190"/>
      <c r="W373" s="190"/>
      <c r="X373" s="190"/>
      <c r="Y373" s="190"/>
      <c r="Z373" s="190"/>
    </row>
    <row r="374" ht="15.75" customHeight="1">
      <c r="A374" s="228"/>
      <c r="B374" s="165"/>
      <c r="C374" s="162"/>
      <c r="D374" s="142"/>
      <c r="E374" s="144"/>
      <c r="F374" s="144"/>
      <c r="G374" s="144"/>
      <c r="H374" s="144"/>
      <c r="I374" s="182"/>
      <c r="J374" s="144"/>
      <c r="K374" s="145"/>
      <c r="L374" s="150"/>
      <c r="M374" s="146"/>
      <c r="N374" s="146"/>
      <c r="O374" s="146"/>
      <c r="P374" s="146"/>
      <c r="Q374" s="146"/>
      <c r="R374" s="190"/>
      <c r="S374" s="190"/>
      <c r="T374" s="190"/>
      <c r="U374" s="190"/>
      <c r="V374" s="190"/>
      <c r="W374" s="190"/>
      <c r="X374" s="190"/>
      <c r="Y374" s="190"/>
      <c r="Z374" s="190"/>
    </row>
    <row r="375" ht="15.75" customHeight="1">
      <c r="A375" s="228"/>
      <c r="B375" s="165"/>
      <c r="C375" s="162"/>
      <c r="D375" s="142"/>
      <c r="E375" s="144"/>
      <c r="F375" s="144"/>
      <c r="G375" s="144"/>
      <c r="H375" s="144"/>
      <c r="I375" s="182"/>
      <c r="J375" s="144"/>
      <c r="K375" s="145"/>
      <c r="L375" s="150"/>
      <c r="M375" s="146"/>
      <c r="N375" s="146"/>
      <c r="O375" s="146"/>
      <c r="P375" s="146"/>
      <c r="Q375" s="146"/>
      <c r="R375" s="190"/>
      <c r="S375" s="190"/>
      <c r="T375" s="190"/>
      <c r="U375" s="190"/>
      <c r="V375" s="190"/>
      <c r="W375" s="190"/>
      <c r="X375" s="190"/>
      <c r="Y375" s="190"/>
      <c r="Z375" s="190"/>
    </row>
    <row r="376" ht="15.75" customHeight="1">
      <c r="A376" s="228"/>
      <c r="B376" s="165"/>
      <c r="C376" s="162"/>
      <c r="D376" s="142"/>
      <c r="E376" s="144"/>
      <c r="F376" s="144"/>
      <c r="G376" s="144"/>
      <c r="H376" s="144"/>
      <c r="I376" s="182"/>
      <c r="J376" s="144"/>
      <c r="K376" s="145"/>
      <c r="L376" s="150"/>
      <c r="M376" s="146"/>
      <c r="N376" s="146"/>
      <c r="O376" s="146"/>
      <c r="P376" s="146"/>
      <c r="Q376" s="146"/>
      <c r="R376" s="190"/>
      <c r="S376" s="190"/>
      <c r="T376" s="190"/>
      <c r="U376" s="190"/>
      <c r="V376" s="190"/>
      <c r="W376" s="190"/>
      <c r="X376" s="190"/>
      <c r="Y376" s="190"/>
      <c r="Z376" s="190"/>
    </row>
    <row r="377" ht="15.75" customHeight="1">
      <c r="A377" s="228"/>
      <c r="B377" s="165"/>
      <c r="C377" s="162"/>
      <c r="D377" s="142"/>
      <c r="E377" s="144"/>
      <c r="F377" s="144"/>
      <c r="G377" s="144"/>
      <c r="H377" s="144"/>
      <c r="I377" s="182"/>
      <c r="J377" s="144"/>
      <c r="K377" s="145"/>
      <c r="L377" s="150"/>
      <c r="M377" s="146"/>
      <c r="N377" s="146"/>
      <c r="O377" s="146"/>
      <c r="P377" s="146"/>
      <c r="Q377" s="146"/>
      <c r="R377" s="190"/>
      <c r="S377" s="190"/>
      <c r="T377" s="190"/>
      <c r="U377" s="190"/>
      <c r="V377" s="190"/>
      <c r="W377" s="190"/>
      <c r="X377" s="190"/>
      <c r="Y377" s="190"/>
      <c r="Z377" s="190"/>
    </row>
    <row r="378" ht="15.75" customHeight="1">
      <c r="A378" s="228"/>
      <c r="B378" s="165"/>
      <c r="C378" s="162"/>
      <c r="D378" s="142"/>
      <c r="E378" s="144"/>
      <c r="F378" s="144"/>
      <c r="G378" s="144"/>
      <c r="H378" s="144"/>
      <c r="I378" s="182"/>
      <c r="J378" s="144"/>
      <c r="K378" s="145"/>
      <c r="L378" s="150"/>
      <c r="M378" s="146"/>
      <c r="N378" s="146"/>
      <c r="O378" s="146"/>
      <c r="P378" s="146"/>
      <c r="Q378" s="146"/>
      <c r="R378" s="190"/>
      <c r="S378" s="190"/>
      <c r="T378" s="190"/>
      <c r="U378" s="190"/>
      <c r="V378" s="190"/>
      <c r="W378" s="190"/>
      <c r="X378" s="190"/>
      <c r="Y378" s="190"/>
      <c r="Z378" s="190"/>
    </row>
    <row r="379" ht="15.75" customHeight="1">
      <c r="A379" s="228"/>
      <c r="B379" s="165"/>
      <c r="C379" s="162"/>
      <c r="D379" s="142"/>
      <c r="E379" s="144"/>
      <c r="F379" s="144"/>
      <c r="G379" s="144"/>
      <c r="H379" s="144"/>
      <c r="I379" s="182"/>
      <c r="J379" s="144"/>
      <c r="K379" s="145"/>
      <c r="L379" s="150"/>
      <c r="M379" s="146"/>
      <c r="N379" s="146"/>
      <c r="O379" s="146"/>
      <c r="P379" s="146"/>
      <c r="Q379" s="146"/>
      <c r="R379" s="190"/>
      <c r="S379" s="190"/>
      <c r="T379" s="190"/>
      <c r="U379" s="190"/>
      <c r="V379" s="190"/>
      <c r="W379" s="190"/>
      <c r="X379" s="190"/>
      <c r="Y379" s="190"/>
      <c r="Z379" s="190"/>
    </row>
    <row r="380" ht="15.75" customHeight="1">
      <c r="A380" s="228"/>
      <c r="B380" s="165"/>
      <c r="C380" s="162"/>
      <c r="D380" s="142"/>
      <c r="E380" s="144"/>
      <c r="F380" s="144"/>
      <c r="G380" s="144"/>
      <c r="H380" s="144"/>
      <c r="I380" s="182"/>
      <c r="J380" s="144"/>
      <c r="K380" s="145"/>
      <c r="L380" s="150"/>
      <c r="M380" s="146"/>
      <c r="N380" s="146"/>
      <c r="O380" s="146"/>
      <c r="P380" s="146"/>
      <c r="Q380" s="146"/>
      <c r="R380" s="190"/>
      <c r="S380" s="190"/>
      <c r="T380" s="190"/>
      <c r="U380" s="190"/>
      <c r="V380" s="190"/>
      <c r="W380" s="190"/>
      <c r="X380" s="190"/>
      <c r="Y380" s="190"/>
      <c r="Z380" s="190"/>
    </row>
    <row r="381" ht="15.75" customHeight="1">
      <c r="A381" s="228"/>
      <c r="B381" s="165"/>
      <c r="C381" s="162"/>
      <c r="D381" s="142"/>
      <c r="E381" s="144"/>
      <c r="F381" s="144"/>
      <c r="G381" s="144"/>
      <c r="H381" s="144"/>
      <c r="I381" s="182"/>
      <c r="J381" s="144"/>
      <c r="K381" s="145"/>
      <c r="L381" s="150"/>
      <c r="M381" s="146"/>
      <c r="N381" s="146"/>
      <c r="O381" s="146"/>
      <c r="P381" s="146"/>
      <c r="Q381" s="146"/>
      <c r="R381" s="190"/>
      <c r="S381" s="190"/>
      <c r="T381" s="190"/>
      <c r="U381" s="190"/>
      <c r="V381" s="190"/>
      <c r="W381" s="190"/>
      <c r="X381" s="190"/>
      <c r="Y381" s="190"/>
      <c r="Z381" s="190"/>
    </row>
    <row r="382" ht="15.75" customHeight="1">
      <c r="A382" s="228"/>
      <c r="B382" s="165"/>
      <c r="C382" s="162"/>
      <c r="D382" s="142"/>
      <c r="E382" s="144"/>
      <c r="F382" s="144"/>
      <c r="G382" s="144"/>
      <c r="H382" s="144"/>
      <c r="I382" s="182"/>
      <c r="J382" s="144"/>
      <c r="K382" s="145"/>
      <c r="L382" s="150"/>
      <c r="M382" s="146"/>
      <c r="N382" s="146"/>
      <c r="O382" s="146"/>
      <c r="P382" s="146"/>
      <c r="Q382" s="146"/>
      <c r="R382" s="190"/>
      <c r="S382" s="190"/>
      <c r="T382" s="190"/>
      <c r="U382" s="190"/>
      <c r="V382" s="190"/>
      <c r="W382" s="190"/>
      <c r="X382" s="190"/>
      <c r="Y382" s="190"/>
      <c r="Z382" s="190"/>
    </row>
    <row r="383" ht="15.75" customHeight="1">
      <c r="A383" s="228"/>
      <c r="B383" s="165"/>
      <c r="C383" s="162"/>
      <c r="D383" s="142"/>
      <c r="E383" s="144"/>
      <c r="F383" s="144"/>
      <c r="G383" s="144"/>
      <c r="H383" s="144"/>
      <c r="I383" s="182"/>
      <c r="J383" s="144"/>
      <c r="K383" s="145"/>
      <c r="L383" s="150"/>
      <c r="M383" s="146"/>
      <c r="N383" s="146"/>
      <c r="O383" s="146"/>
      <c r="P383" s="146"/>
      <c r="Q383" s="146"/>
      <c r="R383" s="190"/>
      <c r="S383" s="190"/>
      <c r="T383" s="190"/>
      <c r="U383" s="190"/>
      <c r="V383" s="190"/>
      <c r="W383" s="190"/>
      <c r="X383" s="190"/>
      <c r="Y383" s="190"/>
      <c r="Z383" s="190"/>
    </row>
    <row r="384" ht="15.75" customHeight="1">
      <c r="A384" s="228"/>
      <c r="B384" s="165"/>
      <c r="C384" s="162"/>
      <c r="D384" s="142"/>
      <c r="E384" s="144"/>
      <c r="F384" s="144"/>
      <c r="G384" s="144"/>
      <c r="H384" s="144"/>
      <c r="I384" s="182"/>
      <c r="J384" s="144"/>
      <c r="K384" s="145"/>
      <c r="L384" s="150"/>
      <c r="M384" s="146"/>
      <c r="N384" s="146"/>
      <c r="O384" s="146"/>
      <c r="P384" s="146"/>
      <c r="Q384" s="146"/>
      <c r="R384" s="190"/>
      <c r="S384" s="190"/>
      <c r="T384" s="190"/>
      <c r="U384" s="190"/>
      <c r="V384" s="190"/>
      <c r="W384" s="190"/>
      <c r="X384" s="190"/>
      <c r="Y384" s="190"/>
      <c r="Z384" s="190"/>
    </row>
    <row r="385" ht="15.75" customHeight="1">
      <c r="A385" s="228"/>
      <c r="B385" s="165"/>
      <c r="C385" s="162"/>
      <c r="D385" s="142"/>
      <c r="E385" s="144"/>
      <c r="F385" s="144"/>
      <c r="G385" s="144"/>
      <c r="H385" s="144"/>
      <c r="I385" s="182"/>
      <c r="J385" s="144"/>
      <c r="K385" s="145"/>
      <c r="L385" s="150"/>
      <c r="M385" s="146"/>
      <c r="N385" s="146"/>
      <c r="O385" s="146"/>
      <c r="P385" s="146"/>
      <c r="Q385" s="146"/>
      <c r="R385" s="190"/>
      <c r="S385" s="190"/>
      <c r="T385" s="190"/>
      <c r="U385" s="190"/>
      <c r="V385" s="190"/>
      <c r="W385" s="190"/>
      <c r="X385" s="190"/>
      <c r="Y385" s="190"/>
      <c r="Z385" s="190"/>
    </row>
    <row r="386" ht="15.75" customHeight="1">
      <c r="A386" s="228"/>
      <c r="B386" s="165"/>
      <c r="C386" s="162"/>
      <c r="D386" s="142"/>
      <c r="E386" s="144"/>
      <c r="F386" s="144"/>
      <c r="G386" s="144"/>
      <c r="H386" s="144"/>
      <c r="I386" s="182"/>
      <c r="J386" s="144"/>
      <c r="K386" s="145"/>
      <c r="L386" s="150"/>
      <c r="M386" s="146"/>
      <c r="N386" s="146"/>
      <c r="O386" s="146"/>
      <c r="P386" s="146"/>
      <c r="Q386" s="146"/>
      <c r="R386" s="190"/>
      <c r="S386" s="190"/>
      <c r="T386" s="190"/>
      <c r="U386" s="190"/>
      <c r="V386" s="190"/>
      <c r="W386" s="190"/>
      <c r="X386" s="190"/>
      <c r="Y386" s="190"/>
      <c r="Z386" s="190"/>
    </row>
    <row r="387" ht="15.75" customHeight="1">
      <c r="A387" s="228"/>
      <c r="B387" s="165"/>
      <c r="C387" s="162"/>
      <c r="D387" s="142"/>
      <c r="E387" s="144"/>
      <c r="F387" s="144"/>
      <c r="G387" s="144"/>
      <c r="H387" s="144"/>
      <c r="I387" s="182"/>
      <c r="J387" s="144"/>
      <c r="K387" s="145"/>
      <c r="L387" s="150"/>
      <c r="M387" s="146"/>
      <c r="N387" s="146"/>
      <c r="O387" s="146"/>
      <c r="P387" s="146"/>
      <c r="Q387" s="146"/>
      <c r="R387" s="190"/>
      <c r="S387" s="190"/>
      <c r="T387" s="190"/>
      <c r="U387" s="190"/>
      <c r="V387" s="190"/>
      <c r="W387" s="190"/>
      <c r="X387" s="190"/>
      <c r="Y387" s="190"/>
      <c r="Z387" s="190"/>
    </row>
    <row r="388" ht="15.75" customHeight="1">
      <c r="A388" s="228"/>
      <c r="B388" s="165"/>
      <c r="C388" s="162"/>
      <c r="D388" s="142"/>
      <c r="E388" s="144"/>
      <c r="F388" s="144"/>
      <c r="G388" s="144"/>
      <c r="H388" s="144"/>
      <c r="I388" s="182"/>
      <c r="J388" s="144"/>
      <c r="K388" s="145"/>
      <c r="L388" s="150"/>
      <c r="M388" s="146"/>
      <c r="N388" s="146"/>
      <c r="O388" s="146"/>
      <c r="P388" s="146"/>
      <c r="Q388" s="146"/>
      <c r="R388" s="190"/>
      <c r="S388" s="190"/>
      <c r="T388" s="190"/>
      <c r="U388" s="190"/>
      <c r="V388" s="190"/>
      <c r="W388" s="190"/>
      <c r="X388" s="190"/>
      <c r="Y388" s="190"/>
      <c r="Z388" s="190"/>
    </row>
    <row r="389" ht="15.75" customHeight="1">
      <c r="A389" s="228"/>
      <c r="B389" s="165"/>
      <c r="C389" s="162"/>
      <c r="D389" s="142"/>
      <c r="E389" s="144"/>
      <c r="F389" s="144"/>
      <c r="G389" s="144"/>
      <c r="H389" s="144"/>
      <c r="I389" s="182"/>
      <c r="J389" s="144"/>
      <c r="K389" s="145"/>
      <c r="L389" s="150"/>
      <c r="M389" s="146"/>
      <c r="N389" s="146"/>
      <c r="O389" s="146"/>
      <c r="P389" s="146"/>
      <c r="Q389" s="146"/>
      <c r="R389" s="190"/>
      <c r="S389" s="190"/>
      <c r="T389" s="190"/>
      <c r="U389" s="190"/>
      <c r="V389" s="190"/>
      <c r="W389" s="190"/>
      <c r="X389" s="190"/>
      <c r="Y389" s="190"/>
      <c r="Z389" s="190"/>
    </row>
    <row r="390" ht="15.75" customHeight="1">
      <c r="A390" s="228"/>
      <c r="B390" s="165"/>
      <c r="C390" s="162"/>
      <c r="D390" s="142"/>
      <c r="E390" s="144"/>
      <c r="F390" s="144"/>
      <c r="G390" s="144"/>
      <c r="H390" s="144"/>
      <c r="I390" s="182"/>
      <c r="J390" s="144"/>
      <c r="K390" s="145"/>
      <c r="L390" s="150"/>
      <c r="M390" s="146"/>
      <c r="N390" s="146"/>
      <c r="O390" s="146"/>
      <c r="P390" s="146"/>
      <c r="Q390" s="146"/>
      <c r="R390" s="190"/>
      <c r="S390" s="190"/>
      <c r="T390" s="190"/>
      <c r="U390" s="190"/>
      <c r="V390" s="190"/>
      <c r="W390" s="190"/>
      <c r="X390" s="190"/>
      <c r="Y390" s="190"/>
      <c r="Z390" s="190"/>
    </row>
    <row r="391" ht="15.75" customHeight="1">
      <c r="A391" s="228"/>
      <c r="B391" s="165"/>
      <c r="C391" s="162"/>
      <c r="D391" s="142"/>
      <c r="E391" s="144"/>
      <c r="F391" s="144"/>
      <c r="G391" s="144"/>
      <c r="H391" s="144"/>
      <c r="I391" s="182"/>
      <c r="J391" s="144"/>
      <c r="K391" s="145"/>
      <c r="L391" s="150"/>
      <c r="M391" s="146"/>
      <c r="N391" s="146"/>
      <c r="O391" s="146"/>
      <c r="P391" s="146"/>
      <c r="Q391" s="146"/>
      <c r="R391" s="190"/>
      <c r="S391" s="190"/>
      <c r="T391" s="190"/>
      <c r="U391" s="190"/>
      <c r="V391" s="190"/>
      <c r="W391" s="190"/>
      <c r="X391" s="190"/>
      <c r="Y391" s="190"/>
      <c r="Z391" s="190"/>
    </row>
    <row r="392" ht="15.75" customHeight="1">
      <c r="A392" s="228"/>
      <c r="B392" s="165"/>
      <c r="C392" s="162"/>
      <c r="D392" s="142"/>
      <c r="E392" s="144"/>
      <c r="F392" s="144"/>
      <c r="G392" s="144"/>
      <c r="H392" s="144"/>
      <c r="I392" s="182"/>
      <c r="J392" s="144"/>
      <c r="K392" s="145"/>
      <c r="L392" s="150"/>
      <c r="M392" s="146"/>
      <c r="N392" s="146"/>
      <c r="O392" s="146"/>
      <c r="P392" s="146"/>
      <c r="Q392" s="146"/>
      <c r="R392" s="190"/>
      <c r="S392" s="190"/>
      <c r="T392" s="190"/>
      <c r="U392" s="190"/>
      <c r="V392" s="190"/>
      <c r="W392" s="190"/>
      <c r="X392" s="190"/>
      <c r="Y392" s="190"/>
      <c r="Z392" s="190"/>
    </row>
    <row r="393" ht="15.75" customHeight="1">
      <c r="A393" s="228"/>
      <c r="B393" s="165"/>
      <c r="C393" s="162"/>
      <c r="D393" s="142"/>
      <c r="E393" s="144"/>
      <c r="F393" s="144"/>
      <c r="G393" s="144"/>
      <c r="H393" s="144"/>
      <c r="I393" s="182"/>
      <c r="J393" s="144"/>
      <c r="K393" s="145"/>
      <c r="L393" s="150"/>
      <c r="M393" s="146"/>
      <c r="N393" s="146"/>
      <c r="O393" s="146"/>
      <c r="P393" s="146"/>
      <c r="Q393" s="146"/>
      <c r="R393" s="190"/>
      <c r="S393" s="190"/>
      <c r="T393" s="190"/>
      <c r="U393" s="190"/>
      <c r="V393" s="190"/>
      <c r="W393" s="190"/>
      <c r="X393" s="190"/>
      <c r="Y393" s="190"/>
      <c r="Z393" s="190"/>
    </row>
    <row r="394" ht="15.75" customHeight="1">
      <c r="A394" s="228"/>
      <c r="B394" s="165"/>
      <c r="C394" s="162"/>
      <c r="D394" s="142"/>
      <c r="E394" s="144"/>
      <c r="F394" s="144"/>
      <c r="G394" s="144"/>
      <c r="H394" s="144"/>
      <c r="I394" s="182"/>
      <c r="J394" s="144"/>
      <c r="K394" s="145"/>
      <c r="L394" s="150"/>
      <c r="M394" s="146"/>
      <c r="N394" s="146"/>
      <c r="O394" s="146"/>
      <c r="P394" s="146"/>
      <c r="Q394" s="146"/>
      <c r="R394" s="190"/>
      <c r="S394" s="190"/>
      <c r="T394" s="190"/>
      <c r="U394" s="190"/>
      <c r="V394" s="190"/>
      <c r="W394" s="190"/>
      <c r="X394" s="190"/>
      <c r="Y394" s="190"/>
      <c r="Z394" s="190"/>
    </row>
    <row r="395" ht="15.75" customHeight="1">
      <c r="A395" s="228"/>
      <c r="B395" s="165"/>
      <c r="C395" s="162"/>
      <c r="D395" s="142"/>
      <c r="E395" s="144"/>
      <c r="F395" s="144"/>
      <c r="G395" s="144"/>
      <c r="H395" s="144"/>
      <c r="I395" s="182"/>
      <c r="J395" s="144"/>
      <c r="K395" s="145"/>
      <c r="L395" s="150"/>
      <c r="M395" s="146"/>
      <c r="N395" s="146"/>
      <c r="O395" s="146"/>
      <c r="P395" s="146"/>
      <c r="Q395" s="146"/>
      <c r="R395" s="190"/>
      <c r="S395" s="190"/>
      <c r="T395" s="190"/>
      <c r="U395" s="190"/>
      <c r="V395" s="190"/>
      <c r="W395" s="190"/>
      <c r="X395" s="190"/>
      <c r="Y395" s="190"/>
      <c r="Z395" s="190"/>
    </row>
    <row r="396" ht="15.75" customHeight="1">
      <c r="A396" s="228"/>
      <c r="B396" s="165"/>
      <c r="C396" s="162"/>
      <c r="D396" s="142"/>
      <c r="E396" s="144"/>
      <c r="F396" s="144"/>
      <c r="G396" s="144"/>
      <c r="H396" s="144"/>
      <c r="I396" s="182"/>
      <c r="J396" s="144"/>
      <c r="K396" s="145"/>
      <c r="L396" s="150"/>
      <c r="M396" s="146"/>
      <c r="N396" s="146"/>
      <c r="O396" s="146"/>
      <c r="P396" s="146"/>
      <c r="Q396" s="146"/>
      <c r="R396" s="190"/>
      <c r="S396" s="190"/>
      <c r="T396" s="190"/>
      <c r="U396" s="190"/>
      <c r="V396" s="190"/>
      <c r="W396" s="190"/>
      <c r="X396" s="190"/>
      <c r="Y396" s="190"/>
      <c r="Z396" s="190"/>
    </row>
    <row r="397" ht="15.75" customHeight="1">
      <c r="A397" s="228"/>
      <c r="B397" s="165"/>
      <c r="C397" s="162"/>
      <c r="D397" s="142"/>
      <c r="E397" s="144"/>
      <c r="F397" s="144"/>
      <c r="G397" s="144"/>
      <c r="H397" s="144"/>
      <c r="I397" s="182"/>
      <c r="J397" s="144"/>
      <c r="K397" s="145"/>
      <c r="L397" s="150"/>
      <c r="M397" s="146"/>
      <c r="N397" s="146"/>
      <c r="O397" s="146"/>
      <c r="P397" s="146"/>
      <c r="Q397" s="146"/>
      <c r="R397" s="190"/>
      <c r="S397" s="190"/>
      <c r="T397" s="190"/>
      <c r="U397" s="190"/>
      <c r="V397" s="190"/>
      <c r="W397" s="190"/>
      <c r="X397" s="190"/>
      <c r="Y397" s="190"/>
      <c r="Z397" s="190"/>
    </row>
    <row r="398" ht="15.75" customHeight="1">
      <c r="A398" s="228"/>
      <c r="B398" s="165"/>
      <c r="C398" s="162"/>
      <c r="D398" s="142"/>
      <c r="E398" s="144"/>
      <c r="F398" s="144"/>
      <c r="G398" s="144"/>
      <c r="H398" s="144"/>
      <c r="I398" s="182"/>
      <c r="J398" s="144"/>
      <c r="K398" s="145"/>
      <c r="L398" s="150"/>
      <c r="M398" s="146"/>
      <c r="N398" s="146"/>
      <c r="O398" s="146"/>
      <c r="P398" s="146"/>
      <c r="Q398" s="146"/>
      <c r="R398" s="190"/>
      <c r="S398" s="190"/>
      <c r="T398" s="190"/>
      <c r="U398" s="190"/>
      <c r="V398" s="190"/>
      <c r="W398" s="190"/>
      <c r="X398" s="190"/>
      <c r="Y398" s="190"/>
      <c r="Z398" s="190"/>
    </row>
    <row r="399" ht="15.75" customHeight="1">
      <c r="A399" s="228"/>
      <c r="B399" s="165"/>
      <c r="C399" s="162"/>
      <c r="D399" s="142"/>
      <c r="E399" s="144"/>
      <c r="F399" s="144"/>
      <c r="G399" s="144"/>
      <c r="H399" s="144"/>
      <c r="I399" s="182"/>
      <c r="J399" s="144"/>
      <c r="K399" s="145"/>
      <c r="L399" s="150"/>
      <c r="M399" s="146"/>
      <c r="N399" s="146"/>
      <c r="O399" s="146"/>
      <c r="P399" s="146"/>
      <c r="Q399" s="146"/>
      <c r="R399" s="190"/>
      <c r="S399" s="190"/>
      <c r="T399" s="190"/>
      <c r="U399" s="190"/>
      <c r="V399" s="190"/>
      <c r="W399" s="190"/>
      <c r="X399" s="190"/>
      <c r="Y399" s="190"/>
      <c r="Z399" s="190"/>
    </row>
    <row r="400" ht="15.75" customHeight="1">
      <c r="A400" s="228"/>
      <c r="B400" s="165"/>
      <c r="C400" s="162"/>
      <c r="D400" s="142"/>
      <c r="E400" s="144"/>
      <c r="F400" s="144"/>
      <c r="G400" s="144"/>
      <c r="H400" s="144"/>
      <c r="I400" s="182"/>
      <c r="J400" s="144"/>
      <c r="K400" s="145"/>
      <c r="L400" s="150"/>
      <c r="M400" s="146"/>
      <c r="N400" s="146"/>
      <c r="O400" s="146"/>
      <c r="P400" s="146"/>
      <c r="Q400" s="146"/>
      <c r="R400" s="190"/>
      <c r="S400" s="190"/>
      <c r="T400" s="190"/>
      <c r="U400" s="190"/>
      <c r="V400" s="190"/>
      <c r="W400" s="190"/>
      <c r="X400" s="190"/>
      <c r="Y400" s="190"/>
      <c r="Z400" s="190"/>
    </row>
    <row r="401" ht="15.75" customHeight="1">
      <c r="A401" s="228"/>
      <c r="B401" s="165"/>
      <c r="C401" s="162"/>
      <c r="D401" s="142"/>
      <c r="E401" s="144"/>
      <c r="F401" s="144"/>
      <c r="G401" s="144"/>
      <c r="H401" s="144"/>
      <c r="I401" s="182"/>
      <c r="J401" s="144"/>
      <c r="K401" s="145"/>
      <c r="L401" s="150"/>
      <c r="M401" s="146"/>
      <c r="N401" s="146"/>
      <c r="O401" s="146"/>
      <c r="P401" s="146"/>
      <c r="Q401" s="146"/>
      <c r="R401" s="190"/>
      <c r="S401" s="190"/>
      <c r="T401" s="190"/>
      <c r="U401" s="190"/>
      <c r="V401" s="190"/>
      <c r="W401" s="190"/>
      <c r="X401" s="190"/>
      <c r="Y401" s="190"/>
      <c r="Z401" s="190"/>
    </row>
    <row r="402" ht="15.75" customHeight="1">
      <c r="A402" s="228"/>
      <c r="B402" s="165"/>
      <c r="C402" s="162"/>
      <c r="D402" s="142"/>
      <c r="E402" s="144"/>
      <c r="F402" s="144"/>
      <c r="G402" s="144"/>
      <c r="H402" s="144"/>
      <c r="I402" s="182"/>
      <c r="J402" s="144"/>
      <c r="K402" s="145"/>
      <c r="L402" s="150"/>
      <c r="M402" s="146"/>
      <c r="N402" s="146"/>
      <c r="O402" s="146"/>
      <c r="P402" s="146"/>
      <c r="Q402" s="146"/>
      <c r="R402" s="190"/>
      <c r="S402" s="190"/>
      <c r="T402" s="190"/>
      <c r="U402" s="190"/>
      <c r="V402" s="190"/>
      <c r="W402" s="190"/>
      <c r="X402" s="190"/>
      <c r="Y402" s="190"/>
      <c r="Z402" s="190"/>
    </row>
    <row r="403" ht="15.75" customHeight="1">
      <c r="A403" s="228"/>
      <c r="B403" s="165"/>
      <c r="C403" s="162"/>
      <c r="D403" s="142"/>
      <c r="E403" s="144"/>
      <c r="F403" s="144"/>
      <c r="G403" s="144"/>
      <c r="H403" s="144"/>
      <c r="I403" s="182"/>
      <c r="J403" s="144"/>
      <c r="K403" s="145"/>
      <c r="L403" s="150"/>
      <c r="M403" s="146"/>
      <c r="N403" s="146"/>
      <c r="O403" s="146"/>
      <c r="P403" s="146"/>
      <c r="Q403" s="146"/>
      <c r="R403" s="190"/>
      <c r="S403" s="190"/>
      <c r="T403" s="190"/>
      <c r="U403" s="190"/>
      <c r="V403" s="190"/>
      <c r="W403" s="190"/>
      <c r="X403" s="190"/>
      <c r="Y403" s="190"/>
      <c r="Z403" s="190"/>
    </row>
    <row r="404" ht="15.75" customHeight="1">
      <c r="A404" s="228"/>
      <c r="B404" s="165"/>
      <c r="C404" s="162"/>
      <c r="D404" s="142"/>
      <c r="E404" s="144"/>
      <c r="F404" s="144"/>
      <c r="G404" s="144"/>
      <c r="H404" s="144"/>
      <c r="I404" s="182"/>
      <c r="J404" s="144"/>
      <c r="K404" s="145"/>
      <c r="L404" s="150"/>
      <c r="M404" s="146"/>
      <c r="N404" s="146"/>
      <c r="O404" s="146"/>
      <c r="P404" s="146"/>
      <c r="Q404" s="146"/>
      <c r="R404" s="190"/>
      <c r="S404" s="190"/>
      <c r="T404" s="190"/>
      <c r="U404" s="190"/>
      <c r="V404" s="190"/>
      <c r="W404" s="190"/>
      <c r="X404" s="190"/>
      <c r="Y404" s="190"/>
      <c r="Z404" s="190"/>
    </row>
    <row r="405" ht="15.75" customHeight="1">
      <c r="A405" s="228"/>
      <c r="B405" s="165"/>
      <c r="C405" s="162"/>
      <c r="D405" s="142"/>
      <c r="E405" s="144"/>
      <c r="F405" s="144"/>
      <c r="G405" s="144"/>
      <c r="H405" s="144"/>
      <c r="I405" s="182"/>
      <c r="J405" s="144"/>
      <c r="K405" s="145"/>
      <c r="L405" s="150"/>
      <c r="M405" s="146"/>
      <c r="N405" s="146"/>
      <c r="O405" s="146"/>
      <c r="P405" s="146"/>
      <c r="Q405" s="146"/>
      <c r="R405" s="190"/>
      <c r="S405" s="190"/>
      <c r="T405" s="190"/>
      <c r="U405" s="190"/>
      <c r="V405" s="190"/>
      <c r="W405" s="190"/>
      <c r="X405" s="190"/>
      <c r="Y405" s="190"/>
      <c r="Z405" s="190"/>
    </row>
    <row r="406" ht="15.75" customHeight="1">
      <c r="A406" s="228"/>
      <c r="B406" s="165"/>
      <c r="C406" s="162"/>
      <c r="D406" s="142"/>
      <c r="E406" s="144"/>
      <c r="F406" s="144"/>
      <c r="G406" s="144"/>
      <c r="H406" s="144"/>
      <c r="I406" s="182"/>
      <c r="J406" s="144"/>
      <c r="K406" s="145"/>
      <c r="L406" s="150"/>
      <c r="M406" s="146"/>
      <c r="N406" s="146"/>
      <c r="O406" s="146"/>
      <c r="P406" s="146"/>
      <c r="Q406" s="146"/>
      <c r="R406" s="190"/>
      <c r="S406" s="190"/>
      <c r="T406" s="190"/>
      <c r="U406" s="190"/>
      <c r="V406" s="190"/>
      <c r="W406" s="190"/>
      <c r="X406" s="190"/>
      <c r="Y406" s="190"/>
      <c r="Z406" s="190"/>
    </row>
    <row r="407" ht="15.75" customHeight="1">
      <c r="A407" s="228"/>
      <c r="B407" s="165"/>
      <c r="C407" s="162"/>
      <c r="D407" s="142"/>
      <c r="E407" s="144"/>
      <c r="F407" s="144"/>
      <c r="G407" s="144"/>
      <c r="H407" s="144"/>
      <c r="I407" s="182"/>
      <c r="J407" s="144"/>
      <c r="K407" s="145"/>
      <c r="L407" s="150"/>
      <c r="M407" s="146"/>
      <c r="N407" s="146"/>
      <c r="O407" s="146"/>
      <c r="P407" s="146"/>
      <c r="Q407" s="146"/>
      <c r="R407" s="190"/>
      <c r="S407" s="190"/>
      <c r="T407" s="190"/>
      <c r="U407" s="190"/>
      <c r="V407" s="190"/>
      <c r="W407" s="190"/>
      <c r="X407" s="190"/>
      <c r="Y407" s="190"/>
      <c r="Z407" s="190"/>
    </row>
    <row r="408" ht="15.75" customHeight="1">
      <c r="A408" s="228"/>
      <c r="B408" s="165"/>
      <c r="C408" s="162"/>
      <c r="D408" s="142"/>
      <c r="E408" s="144"/>
      <c r="F408" s="144"/>
      <c r="G408" s="144"/>
      <c r="H408" s="144"/>
      <c r="I408" s="182"/>
      <c r="J408" s="144"/>
      <c r="K408" s="145"/>
      <c r="L408" s="150"/>
      <c r="M408" s="146"/>
      <c r="N408" s="146"/>
      <c r="O408" s="146"/>
      <c r="P408" s="146"/>
      <c r="Q408" s="146"/>
      <c r="R408" s="190"/>
      <c r="S408" s="190"/>
      <c r="T408" s="190"/>
      <c r="U408" s="190"/>
      <c r="V408" s="190"/>
      <c r="W408" s="190"/>
      <c r="X408" s="190"/>
      <c r="Y408" s="190"/>
      <c r="Z408" s="190"/>
    </row>
    <row r="409" ht="15.75" customHeight="1">
      <c r="A409" s="228"/>
      <c r="B409" s="165"/>
      <c r="C409" s="162"/>
      <c r="D409" s="142"/>
      <c r="E409" s="144"/>
      <c r="F409" s="144"/>
      <c r="G409" s="144"/>
      <c r="H409" s="144"/>
      <c r="I409" s="182"/>
      <c r="J409" s="144"/>
      <c r="K409" s="145"/>
      <c r="L409" s="150"/>
      <c r="M409" s="146"/>
      <c r="N409" s="146"/>
      <c r="O409" s="146"/>
      <c r="P409" s="146"/>
      <c r="Q409" s="146"/>
      <c r="R409" s="190"/>
      <c r="S409" s="190"/>
      <c r="T409" s="190"/>
      <c r="U409" s="190"/>
      <c r="V409" s="190"/>
      <c r="W409" s="190"/>
      <c r="X409" s="190"/>
      <c r="Y409" s="190"/>
      <c r="Z409" s="190"/>
    </row>
    <row r="410" ht="15.75" customHeight="1">
      <c r="A410" s="228"/>
      <c r="B410" s="165"/>
      <c r="C410" s="162"/>
      <c r="D410" s="142"/>
      <c r="E410" s="144"/>
      <c r="F410" s="144"/>
      <c r="G410" s="144"/>
      <c r="H410" s="144"/>
      <c r="I410" s="182"/>
      <c r="J410" s="144"/>
      <c r="K410" s="145"/>
      <c r="L410" s="150"/>
      <c r="M410" s="146"/>
      <c r="N410" s="146"/>
      <c r="O410" s="146"/>
      <c r="P410" s="146"/>
      <c r="Q410" s="146"/>
      <c r="R410" s="190"/>
      <c r="S410" s="190"/>
      <c r="T410" s="190"/>
      <c r="U410" s="190"/>
      <c r="V410" s="190"/>
      <c r="W410" s="190"/>
      <c r="X410" s="190"/>
      <c r="Y410" s="190"/>
      <c r="Z410" s="190"/>
    </row>
    <row r="411" ht="15.75" customHeight="1">
      <c r="A411" s="228"/>
      <c r="B411" s="165"/>
      <c r="C411" s="162"/>
      <c r="D411" s="142"/>
      <c r="E411" s="144"/>
      <c r="F411" s="144"/>
      <c r="G411" s="144"/>
      <c r="H411" s="144"/>
      <c r="I411" s="182"/>
      <c r="J411" s="144"/>
      <c r="K411" s="145"/>
      <c r="L411" s="150"/>
      <c r="M411" s="146"/>
      <c r="N411" s="146"/>
      <c r="O411" s="146"/>
      <c r="P411" s="146"/>
      <c r="Q411" s="146"/>
      <c r="R411" s="190"/>
      <c r="S411" s="190"/>
      <c r="T411" s="190"/>
      <c r="U411" s="190"/>
      <c r="V411" s="190"/>
      <c r="W411" s="190"/>
      <c r="X411" s="190"/>
      <c r="Y411" s="190"/>
      <c r="Z411" s="190"/>
    </row>
    <row r="412" ht="15.75" customHeight="1">
      <c r="A412" s="228"/>
      <c r="B412" s="165"/>
      <c r="C412" s="162"/>
      <c r="D412" s="142"/>
      <c r="E412" s="144"/>
      <c r="F412" s="144"/>
      <c r="G412" s="144"/>
      <c r="H412" s="144"/>
      <c r="I412" s="182"/>
      <c r="J412" s="144"/>
      <c r="K412" s="145"/>
      <c r="L412" s="150"/>
      <c r="M412" s="146"/>
      <c r="N412" s="146"/>
      <c r="O412" s="146"/>
      <c r="P412" s="146"/>
      <c r="Q412" s="146"/>
      <c r="R412" s="190"/>
      <c r="S412" s="190"/>
      <c r="T412" s="190"/>
      <c r="U412" s="190"/>
      <c r="V412" s="190"/>
      <c r="W412" s="190"/>
      <c r="X412" s="190"/>
      <c r="Y412" s="190"/>
      <c r="Z412" s="190"/>
    </row>
    <row r="413" ht="15.75" customHeight="1">
      <c r="A413" s="228"/>
      <c r="B413" s="165"/>
      <c r="C413" s="162"/>
      <c r="D413" s="142"/>
      <c r="E413" s="144"/>
      <c r="F413" s="144"/>
      <c r="G413" s="144"/>
      <c r="H413" s="144"/>
      <c r="I413" s="182"/>
      <c r="J413" s="144"/>
      <c r="K413" s="145"/>
      <c r="L413" s="150"/>
      <c r="M413" s="146"/>
      <c r="N413" s="146"/>
      <c r="O413" s="146"/>
      <c r="P413" s="146"/>
      <c r="Q413" s="146"/>
      <c r="R413" s="190"/>
      <c r="S413" s="190"/>
      <c r="T413" s="190"/>
      <c r="U413" s="190"/>
      <c r="V413" s="190"/>
      <c r="W413" s="190"/>
      <c r="X413" s="190"/>
      <c r="Y413" s="190"/>
      <c r="Z413" s="190"/>
    </row>
    <row r="414" ht="15.75" customHeight="1">
      <c r="A414" s="228"/>
      <c r="B414" s="165"/>
      <c r="C414" s="162"/>
      <c r="D414" s="142"/>
      <c r="E414" s="144"/>
      <c r="F414" s="144"/>
      <c r="G414" s="144"/>
      <c r="H414" s="144"/>
      <c r="I414" s="182"/>
      <c r="J414" s="144"/>
      <c r="K414" s="145"/>
      <c r="L414" s="150"/>
      <c r="M414" s="146"/>
      <c r="N414" s="146"/>
      <c r="O414" s="146"/>
      <c r="P414" s="146"/>
      <c r="Q414" s="146"/>
      <c r="R414" s="190"/>
      <c r="S414" s="190"/>
      <c r="T414" s="190"/>
      <c r="U414" s="190"/>
      <c r="V414" s="190"/>
      <c r="W414" s="190"/>
      <c r="X414" s="190"/>
      <c r="Y414" s="190"/>
      <c r="Z414" s="190"/>
    </row>
    <row r="415" ht="15.75" customHeight="1">
      <c r="A415" s="228"/>
      <c r="B415" s="165"/>
      <c r="C415" s="162"/>
      <c r="D415" s="142"/>
      <c r="E415" s="144"/>
      <c r="F415" s="144"/>
      <c r="G415" s="144"/>
      <c r="H415" s="144"/>
      <c r="I415" s="182"/>
      <c r="J415" s="144"/>
      <c r="K415" s="145"/>
      <c r="L415" s="150"/>
      <c r="M415" s="146"/>
      <c r="N415" s="146"/>
      <c r="O415" s="146"/>
      <c r="P415" s="146"/>
      <c r="Q415" s="146"/>
      <c r="R415" s="190"/>
      <c r="S415" s="190"/>
      <c r="T415" s="190"/>
      <c r="U415" s="190"/>
      <c r="V415" s="190"/>
      <c r="W415" s="190"/>
      <c r="X415" s="190"/>
      <c r="Y415" s="190"/>
      <c r="Z415" s="190"/>
    </row>
    <row r="416" ht="15.75" customHeight="1">
      <c r="A416" s="228"/>
      <c r="B416" s="165"/>
      <c r="C416" s="162"/>
      <c r="D416" s="142"/>
      <c r="E416" s="144"/>
      <c r="F416" s="144"/>
      <c r="G416" s="144"/>
      <c r="H416" s="144"/>
      <c r="I416" s="182"/>
      <c r="J416" s="144"/>
      <c r="K416" s="145"/>
      <c r="L416" s="150"/>
      <c r="M416" s="146"/>
      <c r="N416" s="146"/>
      <c r="O416" s="146"/>
      <c r="P416" s="146"/>
      <c r="Q416" s="146"/>
      <c r="R416" s="190"/>
      <c r="S416" s="190"/>
      <c r="T416" s="190"/>
      <c r="U416" s="190"/>
      <c r="V416" s="190"/>
      <c r="W416" s="190"/>
      <c r="X416" s="190"/>
      <c r="Y416" s="190"/>
      <c r="Z416" s="190"/>
    </row>
    <row r="417" ht="15.75" customHeight="1">
      <c r="A417" s="228"/>
      <c r="B417" s="165"/>
      <c r="C417" s="162"/>
      <c r="D417" s="142"/>
      <c r="E417" s="144"/>
      <c r="F417" s="144"/>
      <c r="G417" s="144"/>
      <c r="H417" s="144"/>
      <c r="I417" s="182"/>
      <c r="J417" s="144"/>
      <c r="K417" s="145"/>
      <c r="L417" s="150"/>
      <c r="M417" s="146"/>
      <c r="N417" s="146"/>
      <c r="O417" s="146"/>
      <c r="P417" s="146"/>
      <c r="Q417" s="146"/>
      <c r="R417" s="190"/>
      <c r="S417" s="190"/>
      <c r="T417" s="190"/>
      <c r="U417" s="190"/>
      <c r="V417" s="190"/>
      <c r="W417" s="190"/>
      <c r="X417" s="190"/>
      <c r="Y417" s="190"/>
      <c r="Z417" s="190"/>
    </row>
    <row r="418" ht="15.75" customHeight="1">
      <c r="A418" s="228"/>
      <c r="B418" s="165"/>
      <c r="C418" s="162"/>
      <c r="D418" s="142"/>
      <c r="E418" s="144"/>
      <c r="F418" s="144"/>
      <c r="G418" s="144"/>
      <c r="H418" s="144"/>
      <c r="I418" s="182"/>
      <c r="J418" s="144"/>
      <c r="K418" s="145"/>
      <c r="L418" s="150"/>
      <c r="M418" s="146"/>
      <c r="N418" s="146"/>
      <c r="O418" s="146"/>
      <c r="P418" s="146"/>
      <c r="Q418" s="146"/>
      <c r="R418" s="190"/>
      <c r="S418" s="190"/>
      <c r="T418" s="190"/>
      <c r="U418" s="190"/>
      <c r="V418" s="190"/>
      <c r="W418" s="190"/>
      <c r="X418" s="190"/>
      <c r="Y418" s="190"/>
      <c r="Z418" s="190"/>
    </row>
    <row r="419" ht="15.75" customHeight="1">
      <c r="A419" s="228"/>
      <c r="B419" s="165"/>
      <c r="C419" s="162"/>
      <c r="D419" s="142"/>
      <c r="E419" s="144"/>
      <c r="F419" s="144"/>
      <c r="G419" s="144"/>
      <c r="H419" s="144"/>
      <c r="I419" s="182"/>
      <c r="J419" s="144"/>
      <c r="K419" s="145"/>
      <c r="L419" s="150"/>
      <c r="M419" s="146"/>
      <c r="N419" s="146"/>
      <c r="O419" s="146"/>
      <c r="P419" s="146"/>
      <c r="Q419" s="146"/>
      <c r="R419" s="190"/>
      <c r="S419" s="190"/>
      <c r="T419" s="190"/>
      <c r="U419" s="190"/>
      <c r="V419" s="190"/>
      <c r="W419" s="190"/>
      <c r="X419" s="190"/>
      <c r="Y419" s="190"/>
      <c r="Z419" s="190"/>
    </row>
    <row r="420" ht="15.75" customHeight="1">
      <c r="A420" s="228"/>
      <c r="B420" s="165"/>
      <c r="C420" s="162"/>
      <c r="D420" s="142"/>
      <c r="E420" s="144"/>
      <c r="F420" s="144"/>
      <c r="G420" s="144"/>
      <c r="H420" s="144"/>
      <c r="I420" s="182"/>
      <c r="J420" s="144"/>
      <c r="K420" s="145"/>
      <c r="L420" s="150"/>
      <c r="M420" s="146"/>
      <c r="N420" s="146"/>
      <c r="O420" s="146"/>
      <c r="P420" s="146"/>
      <c r="Q420" s="146"/>
      <c r="R420" s="190"/>
      <c r="S420" s="190"/>
      <c r="T420" s="190"/>
      <c r="U420" s="190"/>
      <c r="V420" s="190"/>
      <c r="W420" s="190"/>
      <c r="X420" s="190"/>
      <c r="Y420" s="190"/>
      <c r="Z420" s="190"/>
    </row>
    <row r="421" ht="15.75" customHeight="1">
      <c r="A421" s="228"/>
      <c r="B421" s="165"/>
      <c r="C421" s="162"/>
      <c r="D421" s="142"/>
      <c r="E421" s="144"/>
      <c r="F421" s="144"/>
      <c r="G421" s="144"/>
      <c r="H421" s="144"/>
      <c r="I421" s="182"/>
      <c r="J421" s="144"/>
      <c r="K421" s="145"/>
      <c r="L421" s="150"/>
      <c r="M421" s="146"/>
      <c r="N421" s="146"/>
      <c r="O421" s="146"/>
      <c r="P421" s="146"/>
      <c r="Q421" s="146"/>
      <c r="R421" s="190"/>
      <c r="S421" s="190"/>
      <c r="T421" s="190"/>
      <c r="U421" s="190"/>
      <c r="V421" s="190"/>
      <c r="W421" s="190"/>
      <c r="X421" s="190"/>
      <c r="Y421" s="190"/>
      <c r="Z421" s="190"/>
    </row>
    <row r="422" ht="15.75" customHeight="1">
      <c r="A422" s="228"/>
      <c r="B422" s="165"/>
      <c r="C422" s="162"/>
      <c r="D422" s="142"/>
      <c r="E422" s="144"/>
      <c r="F422" s="144"/>
      <c r="G422" s="144"/>
      <c r="H422" s="144"/>
      <c r="I422" s="182"/>
      <c r="J422" s="144"/>
      <c r="K422" s="145"/>
      <c r="L422" s="150"/>
      <c r="M422" s="146"/>
      <c r="N422" s="146"/>
      <c r="O422" s="146"/>
      <c r="P422" s="146"/>
      <c r="Q422" s="146"/>
      <c r="R422" s="190"/>
      <c r="S422" s="190"/>
      <c r="T422" s="190"/>
      <c r="U422" s="190"/>
      <c r="V422" s="190"/>
      <c r="W422" s="190"/>
      <c r="X422" s="190"/>
      <c r="Y422" s="190"/>
      <c r="Z422" s="190"/>
    </row>
    <row r="423" ht="15.75" customHeight="1">
      <c r="A423" s="228"/>
      <c r="B423" s="165"/>
      <c r="C423" s="162"/>
      <c r="D423" s="142"/>
      <c r="E423" s="144"/>
      <c r="F423" s="144"/>
      <c r="G423" s="144"/>
      <c r="H423" s="144"/>
      <c r="I423" s="182"/>
      <c r="J423" s="144"/>
      <c r="K423" s="145"/>
      <c r="L423" s="150"/>
      <c r="M423" s="146"/>
      <c r="N423" s="146"/>
      <c r="O423" s="146"/>
      <c r="P423" s="146"/>
      <c r="Q423" s="146"/>
      <c r="R423" s="190"/>
      <c r="S423" s="190"/>
      <c r="T423" s="190"/>
      <c r="U423" s="190"/>
      <c r="V423" s="190"/>
      <c r="W423" s="190"/>
      <c r="X423" s="190"/>
      <c r="Y423" s="190"/>
      <c r="Z423" s="190"/>
    </row>
    <row r="424" ht="15.75" customHeight="1">
      <c r="A424" s="228"/>
      <c r="B424" s="165"/>
      <c r="C424" s="162"/>
      <c r="D424" s="142"/>
      <c r="E424" s="144"/>
      <c r="F424" s="144"/>
      <c r="G424" s="144"/>
      <c r="H424" s="144"/>
      <c r="I424" s="182"/>
      <c r="J424" s="144"/>
      <c r="K424" s="145"/>
      <c r="L424" s="150"/>
      <c r="M424" s="146"/>
      <c r="N424" s="146"/>
      <c r="O424" s="146"/>
      <c r="P424" s="146"/>
      <c r="Q424" s="146"/>
      <c r="R424" s="190"/>
      <c r="S424" s="190"/>
      <c r="T424" s="190"/>
      <c r="U424" s="190"/>
      <c r="V424" s="190"/>
      <c r="W424" s="190"/>
      <c r="X424" s="190"/>
      <c r="Y424" s="190"/>
      <c r="Z424" s="190"/>
    </row>
    <row r="425" ht="15.75" customHeight="1">
      <c r="A425" s="228"/>
      <c r="B425" s="165"/>
      <c r="C425" s="162"/>
      <c r="D425" s="142"/>
      <c r="E425" s="144"/>
      <c r="F425" s="144"/>
      <c r="G425" s="144"/>
      <c r="H425" s="144"/>
      <c r="I425" s="182"/>
      <c r="J425" s="144"/>
      <c r="K425" s="145"/>
      <c r="L425" s="150"/>
      <c r="M425" s="146"/>
      <c r="N425" s="146"/>
      <c r="O425" s="146"/>
      <c r="P425" s="146"/>
      <c r="Q425" s="146"/>
      <c r="R425" s="190"/>
      <c r="S425" s="190"/>
      <c r="T425" s="190"/>
      <c r="U425" s="190"/>
      <c r="V425" s="190"/>
      <c r="W425" s="190"/>
      <c r="X425" s="190"/>
      <c r="Y425" s="190"/>
      <c r="Z425" s="190"/>
    </row>
    <row r="426" ht="15.75" customHeight="1">
      <c r="A426" s="228"/>
      <c r="B426" s="165"/>
      <c r="C426" s="162"/>
      <c r="D426" s="142"/>
      <c r="E426" s="144"/>
      <c r="F426" s="144"/>
      <c r="G426" s="144"/>
      <c r="H426" s="144"/>
      <c r="I426" s="182"/>
      <c r="J426" s="144"/>
      <c r="K426" s="145"/>
      <c r="L426" s="150"/>
      <c r="M426" s="146"/>
      <c r="N426" s="146"/>
      <c r="O426" s="146"/>
      <c r="P426" s="146"/>
      <c r="Q426" s="146"/>
      <c r="R426" s="190"/>
      <c r="S426" s="190"/>
      <c r="T426" s="190"/>
      <c r="U426" s="190"/>
      <c r="V426" s="190"/>
      <c r="W426" s="190"/>
      <c r="X426" s="190"/>
      <c r="Y426" s="190"/>
      <c r="Z426" s="190"/>
    </row>
    <row r="427" ht="15.75" customHeight="1">
      <c r="A427" s="228"/>
      <c r="B427" s="165"/>
      <c r="C427" s="162"/>
      <c r="D427" s="142"/>
      <c r="E427" s="144"/>
      <c r="F427" s="144"/>
      <c r="G427" s="144"/>
      <c r="H427" s="144"/>
      <c r="I427" s="182"/>
      <c r="J427" s="144"/>
      <c r="K427" s="145"/>
      <c r="L427" s="150"/>
      <c r="M427" s="146"/>
      <c r="N427" s="146"/>
      <c r="O427" s="146"/>
      <c r="P427" s="146"/>
      <c r="Q427" s="146"/>
      <c r="R427" s="190"/>
      <c r="S427" s="190"/>
      <c r="T427" s="190"/>
      <c r="U427" s="190"/>
      <c r="V427" s="190"/>
      <c r="W427" s="190"/>
      <c r="X427" s="190"/>
      <c r="Y427" s="190"/>
      <c r="Z427" s="190"/>
    </row>
    <row r="428" ht="15.75" customHeight="1">
      <c r="A428" s="228"/>
      <c r="B428" s="165"/>
      <c r="C428" s="162"/>
      <c r="D428" s="142"/>
      <c r="E428" s="144"/>
      <c r="F428" s="144"/>
      <c r="G428" s="144"/>
      <c r="H428" s="144"/>
      <c r="I428" s="182"/>
      <c r="J428" s="144"/>
      <c r="K428" s="145"/>
      <c r="L428" s="150"/>
      <c r="M428" s="146"/>
      <c r="N428" s="146"/>
      <c r="O428" s="146"/>
      <c r="P428" s="146"/>
      <c r="Q428" s="146"/>
      <c r="R428" s="190"/>
      <c r="S428" s="190"/>
      <c r="T428" s="190"/>
      <c r="U428" s="190"/>
      <c r="V428" s="190"/>
      <c r="W428" s="190"/>
      <c r="X428" s="190"/>
      <c r="Y428" s="190"/>
      <c r="Z428" s="190"/>
    </row>
    <row r="429" ht="15.75" customHeight="1">
      <c r="A429" s="228"/>
      <c r="B429" s="165"/>
      <c r="C429" s="162"/>
      <c r="D429" s="142"/>
      <c r="E429" s="144"/>
      <c r="F429" s="144"/>
      <c r="G429" s="144"/>
      <c r="H429" s="144"/>
      <c r="I429" s="182"/>
      <c r="J429" s="144"/>
      <c r="K429" s="145"/>
      <c r="L429" s="150"/>
      <c r="M429" s="146"/>
      <c r="N429" s="146"/>
      <c r="O429" s="146"/>
      <c r="P429" s="146"/>
      <c r="Q429" s="146"/>
      <c r="R429" s="190"/>
      <c r="S429" s="190"/>
      <c r="T429" s="190"/>
      <c r="U429" s="190"/>
      <c r="V429" s="190"/>
      <c r="W429" s="190"/>
      <c r="X429" s="190"/>
      <c r="Y429" s="190"/>
      <c r="Z429" s="190"/>
    </row>
    <row r="430" ht="15.75" customHeight="1">
      <c r="A430" s="228"/>
      <c r="B430" s="165"/>
      <c r="C430" s="162"/>
      <c r="D430" s="142"/>
      <c r="E430" s="144"/>
      <c r="F430" s="144"/>
      <c r="G430" s="144"/>
      <c r="H430" s="144"/>
      <c r="I430" s="182"/>
      <c r="J430" s="144"/>
      <c r="K430" s="145"/>
      <c r="L430" s="150"/>
      <c r="M430" s="146"/>
      <c r="N430" s="146"/>
      <c r="O430" s="146"/>
      <c r="P430" s="146"/>
      <c r="Q430" s="146"/>
      <c r="R430" s="190"/>
      <c r="S430" s="190"/>
      <c r="T430" s="190"/>
      <c r="U430" s="190"/>
      <c r="V430" s="190"/>
      <c r="W430" s="190"/>
      <c r="X430" s="190"/>
      <c r="Y430" s="190"/>
      <c r="Z430" s="190"/>
    </row>
    <row r="431" ht="15.75" customHeight="1">
      <c r="A431" s="228"/>
      <c r="B431" s="165"/>
      <c r="C431" s="162"/>
      <c r="D431" s="142"/>
      <c r="E431" s="144"/>
      <c r="F431" s="144"/>
      <c r="G431" s="144"/>
      <c r="H431" s="144"/>
      <c r="I431" s="182"/>
      <c r="J431" s="144"/>
      <c r="K431" s="145"/>
      <c r="L431" s="150"/>
      <c r="M431" s="146"/>
      <c r="N431" s="146"/>
      <c r="O431" s="146"/>
      <c r="P431" s="146"/>
      <c r="Q431" s="146"/>
      <c r="R431" s="190"/>
      <c r="S431" s="190"/>
      <c r="T431" s="190"/>
      <c r="U431" s="190"/>
      <c r="V431" s="190"/>
      <c r="W431" s="190"/>
      <c r="X431" s="190"/>
      <c r="Y431" s="190"/>
      <c r="Z431" s="190"/>
    </row>
    <row r="432" ht="15.75" customHeight="1">
      <c r="A432" s="228"/>
      <c r="B432" s="165"/>
      <c r="C432" s="162"/>
      <c r="D432" s="142"/>
      <c r="E432" s="144"/>
      <c r="F432" s="144"/>
      <c r="G432" s="144"/>
      <c r="H432" s="144"/>
      <c r="I432" s="182"/>
      <c r="J432" s="144"/>
      <c r="K432" s="145"/>
      <c r="L432" s="150"/>
      <c r="M432" s="146"/>
      <c r="N432" s="146"/>
      <c r="O432" s="146"/>
      <c r="P432" s="146"/>
      <c r="Q432" s="146"/>
      <c r="R432" s="190"/>
      <c r="S432" s="190"/>
      <c r="T432" s="190"/>
      <c r="U432" s="190"/>
      <c r="V432" s="190"/>
      <c r="W432" s="190"/>
      <c r="X432" s="190"/>
      <c r="Y432" s="190"/>
      <c r="Z432" s="190"/>
    </row>
    <row r="433" ht="15.75" customHeight="1">
      <c r="A433" s="228"/>
      <c r="B433" s="165"/>
      <c r="C433" s="162"/>
      <c r="D433" s="142"/>
      <c r="E433" s="144"/>
      <c r="F433" s="144"/>
      <c r="G433" s="144"/>
      <c r="H433" s="144"/>
      <c r="I433" s="182"/>
      <c r="J433" s="144"/>
      <c r="K433" s="145"/>
      <c r="L433" s="150"/>
      <c r="M433" s="146"/>
      <c r="N433" s="146"/>
      <c r="O433" s="146"/>
      <c r="P433" s="146"/>
      <c r="Q433" s="146"/>
      <c r="R433" s="190"/>
      <c r="S433" s="190"/>
      <c r="T433" s="190"/>
      <c r="U433" s="190"/>
      <c r="V433" s="190"/>
      <c r="W433" s="190"/>
      <c r="X433" s="190"/>
      <c r="Y433" s="190"/>
      <c r="Z433" s="190"/>
    </row>
    <row r="434" ht="15.75" customHeight="1">
      <c r="A434" s="228"/>
      <c r="B434" s="165"/>
      <c r="C434" s="162"/>
      <c r="D434" s="142"/>
      <c r="E434" s="144"/>
      <c r="F434" s="144"/>
      <c r="G434" s="144"/>
      <c r="H434" s="144"/>
      <c r="I434" s="182"/>
      <c r="J434" s="144"/>
      <c r="K434" s="145"/>
      <c r="L434" s="150"/>
      <c r="M434" s="146"/>
      <c r="N434" s="146"/>
      <c r="O434" s="146"/>
      <c r="P434" s="146"/>
      <c r="Q434" s="146"/>
      <c r="R434" s="190"/>
      <c r="S434" s="190"/>
      <c r="T434" s="190"/>
      <c r="U434" s="190"/>
      <c r="V434" s="190"/>
      <c r="W434" s="190"/>
      <c r="X434" s="190"/>
      <c r="Y434" s="190"/>
      <c r="Z434" s="190"/>
    </row>
    <row r="435" ht="15.75" customHeight="1">
      <c r="A435" s="228"/>
      <c r="B435" s="165"/>
      <c r="C435" s="162"/>
      <c r="D435" s="142"/>
      <c r="E435" s="144"/>
      <c r="F435" s="144"/>
      <c r="G435" s="144"/>
      <c r="H435" s="144"/>
      <c r="I435" s="182"/>
      <c r="J435" s="144"/>
      <c r="K435" s="145"/>
      <c r="L435" s="150"/>
      <c r="M435" s="146"/>
      <c r="N435" s="146"/>
      <c r="O435" s="146"/>
      <c r="P435" s="146"/>
      <c r="Q435" s="146"/>
      <c r="R435" s="190"/>
      <c r="S435" s="190"/>
      <c r="T435" s="190"/>
      <c r="U435" s="190"/>
      <c r="V435" s="190"/>
      <c r="W435" s="190"/>
      <c r="X435" s="190"/>
      <c r="Y435" s="190"/>
      <c r="Z435" s="190"/>
    </row>
    <row r="436" ht="15.75" customHeight="1">
      <c r="A436" s="228"/>
      <c r="B436" s="165"/>
      <c r="C436" s="162"/>
      <c r="D436" s="142"/>
      <c r="E436" s="144"/>
      <c r="F436" s="144"/>
      <c r="G436" s="144"/>
      <c r="H436" s="144"/>
      <c r="I436" s="182"/>
      <c r="J436" s="144"/>
      <c r="K436" s="145"/>
      <c r="L436" s="150"/>
      <c r="M436" s="146"/>
      <c r="N436" s="146"/>
      <c r="O436" s="146"/>
      <c r="P436" s="146"/>
      <c r="Q436" s="146"/>
      <c r="R436" s="190"/>
      <c r="S436" s="190"/>
      <c r="T436" s="190"/>
      <c r="U436" s="190"/>
      <c r="V436" s="190"/>
      <c r="W436" s="190"/>
      <c r="X436" s="190"/>
      <c r="Y436" s="190"/>
      <c r="Z436" s="190"/>
    </row>
    <row r="437" ht="15.75" customHeight="1">
      <c r="A437" s="228"/>
      <c r="B437" s="165"/>
      <c r="C437" s="162"/>
      <c r="D437" s="142"/>
      <c r="E437" s="144"/>
      <c r="F437" s="144"/>
      <c r="G437" s="144"/>
      <c r="H437" s="144"/>
      <c r="I437" s="182"/>
      <c r="J437" s="144"/>
      <c r="K437" s="145"/>
      <c r="L437" s="150"/>
      <c r="M437" s="146"/>
      <c r="N437" s="146"/>
      <c r="O437" s="146"/>
      <c r="P437" s="146"/>
      <c r="Q437" s="146"/>
      <c r="R437" s="190"/>
      <c r="S437" s="190"/>
      <c r="T437" s="190"/>
      <c r="U437" s="190"/>
      <c r="V437" s="190"/>
      <c r="W437" s="190"/>
      <c r="X437" s="190"/>
      <c r="Y437" s="190"/>
      <c r="Z437" s="190"/>
    </row>
    <row r="438" ht="15.75" customHeight="1">
      <c r="A438" s="228"/>
      <c r="B438" s="165"/>
      <c r="C438" s="162"/>
      <c r="D438" s="142"/>
      <c r="E438" s="144"/>
      <c r="F438" s="144"/>
      <c r="G438" s="144"/>
      <c r="H438" s="144"/>
      <c r="I438" s="182"/>
      <c r="J438" s="144"/>
      <c r="K438" s="145"/>
      <c r="L438" s="150"/>
      <c r="M438" s="146"/>
      <c r="N438" s="146"/>
      <c r="O438" s="146"/>
      <c r="P438" s="146"/>
      <c r="Q438" s="146"/>
      <c r="R438" s="190"/>
      <c r="S438" s="190"/>
      <c r="T438" s="190"/>
      <c r="U438" s="190"/>
      <c r="V438" s="190"/>
      <c r="W438" s="190"/>
      <c r="X438" s="190"/>
      <c r="Y438" s="190"/>
      <c r="Z438" s="190"/>
    </row>
    <row r="439" ht="15.75" customHeight="1">
      <c r="A439" s="228"/>
      <c r="B439" s="165"/>
      <c r="C439" s="162"/>
      <c r="D439" s="142"/>
      <c r="E439" s="144"/>
      <c r="F439" s="144"/>
      <c r="G439" s="144"/>
      <c r="H439" s="144"/>
      <c r="I439" s="182"/>
      <c r="J439" s="144"/>
      <c r="K439" s="145"/>
      <c r="L439" s="150"/>
      <c r="M439" s="146"/>
      <c r="N439" s="146"/>
      <c r="O439" s="146"/>
      <c r="P439" s="146"/>
      <c r="Q439" s="146"/>
      <c r="R439" s="190"/>
      <c r="S439" s="190"/>
      <c r="T439" s="190"/>
      <c r="U439" s="190"/>
      <c r="V439" s="190"/>
      <c r="W439" s="190"/>
      <c r="X439" s="190"/>
      <c r="Y439" s="190"/>
      <c r="Z439" s="190"/>
    </row>
    <row r="440" ht="15.75" customHeight="1">
      <c r="A440" s="228"/>
      <c r="B440" s="165"/>
      <c r="C440" s="162"/>
      <c r="D440" s="142"/>
      <c r="E440" s="144"/>
      <c r="F440" s="144"/>
      <c r="G440" s="144"/>
      <c r="H440" s="144"/>
      <c r="I440" s="182"/>
      <c r="J440" s="144"/>
      <c r="K440" s="145"/>
      <c r="L440" s="150"/>
      <c r="M440" s="146"/>
      <c r="N440" s="146"/>
      <c r="O440" s="146"/>
      <c r="P440" s="146"/>
      <c r="Q440" s="146"/>
      <c r="R440" s="190"/>
      <c r="S440" s="190"/>
      <c r="T440" s="190"/>
      <c r="U440" s="190"/>
      <c r="V440" s="190"/>
      <c r="W440" s="190"/>
      <c r="X440" s="190"/>
      <c r="Y440" s="190"/>
      <c r="Z440" s="190"/>
    </row>
    <row r="441" ht="15.75" customHeight="1">
      <c r="A441" s="228"/>
      <c r="B441" s="165"/>
      <c r="C441" s="162"/>
      <c r="D441" s="142"/>
      <c r="E441" s="144"/>
      <c r="F441" s="144"/>
      <c r="G441" s="144"/>
      <c r="H441" s="144"/>
      <c r="I441" s="182"/>
      <c r="J441" s="144"/>
      <c r="K441" s="145"/>
      <c r="L441" s="150"/>
      <c r="M441" s="146"/>
      <c r="N441" s="146"/>
      <c r="O441" s="146"/>
      <c r="P441" s="146"/>
      <c r="Q441" s="146"/>
      <c r="R441" s="190"/>
      <c r="S441" s="190"/>
      <c r="T441" s="190"/>
      <c r="U441" s="190"/>
      <c r="V441" s="190"/>
      <c r="W441" s="190"/>
      <c r="X441" s="190"/>
      <c r="Y441" s="190"/>
      <c r="Z441" s="190"/>
    </row>
    <row r="442" ht="15.75" customHeight="1">
      <c r="A442" s="228"/>
      <c r="B442" s="165"/>
      <c r="C442" s="162"/>
      <c r="D442" s="142"/>
      <c r="E442" s="144"/>
      <c r="F442" s="144"/>
      <c r="G442" s="144"/>
      <c r="H442" s="144"/>
      <c r="I442" s="182"/>
      <c r="J442" s="144"/>
      <c r="K442" s="145"/>
      <c r="L442" s="150"/>
      <c r="M442" s="146"/>
      <c r="N442" s="146"/>
      <c r="O442" s="146"/>
      <c r="P442" s="146"/>
      <c r="Q442" s="146"/>
      <c r="R442" s="190"/>
      <c r="S442" s="190"/>
      <c r="T442" s="190"/>
      <c r="U442" s="190"/>
      <c r="V442" s="190"/>
      <c r="W442" s="190"/>
      <c r="X442" s="190"/>
      <c r="Y442" s="190"/>
      <c r="Z442" s="190"/>
    </row>
    <row r="443" ht="15.75" customHeight="1">
      <c r="A443" s="228"/>
      <c r="B443" s="165"/>
      <c r="C443" s="162"/>
      <c r="D443" s="142"/>
      <c r="E443" s="144"/>
      <c r="F443" s="144"/>
      <c r="G443" s="144"/>
      <c r="H443" s="144"/>
      <c r="I443" s="182"/>
      <c r="J443" s="144"/>
      <c r="K443" s="145"/>
      <c r="L443" s="150"/>
      <c r="M443" s="146"/>
      <c r="N443" s="146"/>
      <c r="O443" s="146"/>
      <c r="P443" s="146"/>
      <c r="Q443" s="146"/>
      <c r="R443" s="190"/>
      <c r="S443" s="190"/>
      <c r="T443" s="190"/>
      <c r="U443" s="190"/>
      <c r="V443" s="190"/>
      <c r="W443" s="190"/>
      <c r="X443" s="190"/>
      <c r="Y443" s="190"/>
      <c r="Z443" s="190"/>
    </row>
    <row r="444" ht="15.75" customHeight="1">
      <c r="A444" s="228"/>
      <c r="B444" s="165"/>
      <c r="C444" s="162"/>
      <c r="D444" s="142"/>
      <c r="E444" s="144"/>
      <c r="F444" s="144"/>
      <c r="G444" s="144"/>
      <c r="H444" s="144"/>
      <c r="I444" s="182"/>
      <c r="J444" s="144"/>
      <c r="K444" s="145"/>
      <c r="L444" s="150"/>
      <c r="M444" s="146"/>
      <c r="N444" s="146"/>
      <c r="O444" s="146"/>
      <c r="P444" s="146"/>
      <c r="Q444" s="146"/>
      <c r="R444" s="190"/>
      <c r="S444" s="190"/>
      <c r="T444" s="190"/>
      <c r="U444" s="190"/>
      <c r="V444" s="190"/>
      <c r="W444" s="190"/>
      <c r="X444" s="190"/>
      <c r="Y444" s="190"/>
      <c r="Z444" s="190"/>
    </row>
    <row r="445" ht="15.75" customHeight="1">
      <c r="A445" s="228"/>
      <c r="B445" s="165"/>
      <c r="C445" s="162"/>
      <c r="D445" s="142"/>
      <c r="E445" s="144"/>
      <c r="F445" s="144"/>
      <c r="G445" s="144"/>
      <c r="H445" s="144"/>
      <c r="I445" s="182"/>
      <c r="J445" s="144"/>
      <c r="K445" s="145"/>
      <c r="L445" s="150"/>
      <c r="M445" s="146"/>
      <c r="N445" s="146"/>
      <c r="O445" s="146"/>
      <c r="P445" s="146"/>
      <c r="Q445" s="146"/>
      <c r="R445" s="190"/>
      <c r="S445" s="190"/>
      <c r="T445" s="190"/>
      <c r="U445" s="190"/>
      <c r="V445" s="190"/>
      <c r="W445" s="190"/>
      <c r="X445" s="190"/>
      <c r="Y445" s="190"/>
      <c r="Z445" s="190"/>
    </row>
    <row r="446" ht="15.75" customHeight="1">
      <c r="A446" s="228"/>
      <c r="B446" s="165"/>
      <c r="C446" s="162"/>
      <c r="D446" s="142"/>
      <c r="E446" s="144"/>
      <c r="F446" s="144"/>
      <c r="G446" s="144"/>
      <c r="H446" s="144"/>
      <c r="I446" s="182"/>
      <c r="J446" s="144"/>
      <c r="K446" s="145"/>
      <c r="L446" s="150"/>
      <c r="M446" s="146"/>
      <c r="N446" s="146"/>
      <c r="O446" s="146"/>
      <c r="P446" s="146"/>
      <c r="Q446" s="146"/>
      <c r="R446" s="190"/>
      <c r="S446" s="190"/>
      <c r="T446" s="190"/>
      <c r="U446" s="190"/>
      <c r="V446" s="190"/>
      <c r="W446" s="190"/>
      <c r="X446" s="190"/>
      <c r="Y446" s="190"/>
      <c r="Z446" s="190"/>
    </row>
    <row r="447" ht="15.75" customHeight="1">
      <c r="A447" s="228"/>
      <c r="B447" s="165"/>
      <c r="C447" s="162"/>
      <c r="D447" s="142"/>
      <c r="E447" s="144"/>
      <c r="F447" s="144"/>
      <c r="G447" s="144"/>
      <c r="H447" s="144"/>
      <c r="I447" s="182"/>
      <c r="J447" s="144"/>
      <c r="K447" s="145"/>
      <c r="L447" s="150"/>
      <c r="M447" s="146"/>
      <c r="N447" s="146"/>
      <c r="O447" s="146"/>
      <c r="P447" s="146"/>
      <c r="Q447" s="146"/>
      <c r="R447" s="190"/>
      <c r="S447" s="190"/>
      <c r="T447" s="190"/>
      <c r="U447" s="190"/>
      <c r="V447" s="190"/>
      <c r="W447" s="190"/>
      <c r="X447" s="190"/>
      <c r="Y447" s="190"/>
      <c r="Z447" s="190"/>
    </row>
    <row r="448" ht="15.75" customHeight="1">
      <c r="A448" s="228"/>
      <c r="B448" s="165"/>
      <c r="C448" s="162"/>
      <c r="D448" s="142"/>
      <c r="E448" s="144"/>
      <c r="F448" s="144"/>
      <c r="G448" s="144"/>
      <c r="H448" s="144"/>
      <c r="I448" s="182"/>
      <c r="J448" s="144"/>
      <c r="K448" s="145"/>
      <c r="L448" s="150"/>
      <c r="M448" s="146"/>
      <c r="N448" s="146"/>
      <c r="O448" s="146"/>
      <c r="P448" s="146"/>
      <c r="Q448" s="146"/>
      <c r="R448" s="190"/>
      <c r="S448" s="190"/>
      <c r="T448" s="190"/>
      <c r="U448" s="190"/>
      <c r="V448" s="190"/>
      <c r="W448" s="190"/>
      <c r="X448" s="190"/>
      <c r="Y448" s="190"/>
      <c r="Z448" s="190"/>
    </row>
    <row r="449" ht="15.75" customHeight="1">
      <c r="A449" s="228"/>
      <c r="B449" s="165"/>
      <c r="C449" s="162"/>
      <c r="D449" s="142"/>
      <c r="E449" s="144"/>
      <c r="F449" s="144"/>
      <c r="G449" s="144"/>
      <c r="H449" s="144"/>
      <c r="I449" s="182"/>
      <c r="J449" s="144"/>
      <c r="K449" s="145"/>
      <c r="L449" s="150"/>
      <c r="M449" s="146"/>
      <c r="N449" s="146"/>
      <c r="O449" s="146"/>
      <c r="P449" s="146"/>
      <c r="Q449" s="146"/>
      <c r="R449" s="190"/>
      <c r="S449" s="190"/>
      <c r="T449" s="190"/>
      <c r="U449" s="190"/>
      <c r="V449" s="190"/>
      <c r="W449" s="190"/>
      <c r="X449" s="190"/>
      <c r="Y449" s="190"/>
      <c r="Z449" s="190"/>
    </row>
    <row r="450" ht="15.75" customHeight="1">
      <c r="A450" s="228"/>
      <c r="B450" s="165"/>
      <c r="C450" s="162"/>
      <c r="D450" s="142"/>
      <c r="E450" s="144"/>
      <c r="F450" s="144"/>
      <c r="G450" s="144"/>
      <c r="H450" s="144"/>
      <c r="I450" s="182"/>
      <c r="J450" s="144"/>
      <c r="K450" s="145"/>
      <c r="L450" s="150"/>
      <c r="M450" s="146"/>
      <c r="N450" s="146"/>
      <c r="O450" s="146"/>
      <c r="P450" s="146"/>
      <c r="Q450" s="146"/>
      <c r="R450" s="190"/>
      <c r="S450" s="190"/>
      <c r="T450" s="190"/>
      <c r="U450" s="190"/>
      <c r="V450" s="190"/>
      <c r="W450" s="190"/>
      <c r="X450" s="190"/>
      <c r="Y450" s="190"/>
      <c r="Z450" s="190"/>
    </row>
    <row r="451" ht="15.75" customHeight="1">
      <c r="A451" s="228"/>
      <c r="B451" s="165"/>
      <c r="C451" s="162"/>
      <c r="D451" s="142"/>
      <c r="E451" s="144"/>
      <c r="F451" s="144"/>
      <c r="G451" s="144"/>
      <c r="H451" s="144"/>
      <c r="I451" s="182"/>
      <c r="J451" s="144"/>
      <c r="K451" s="145"/>
      <c r="L451" s="150"/>
      <c r="M451" s="146"/>
      <c r="N451" s="146"/>
      <c r="O451" s="146"/>
      <c r="P451" s="146"/>
      <c r="Q451" s="146"/>
      <c r="R451" s="190"/>
      <c r="S451" s="190"/>
      <c r="T451" s="190"/>
      <c r="U451" s="190"/>
      <c r="V451" s="190"/>
      <c r="W451" s="190"/>
      <c r="X451" s="190"/>
      <c r="Y451" s="190"/>
      <c r="Z451" s="190"/>
    </row>
    <row r="452" ht="15.75" customHeight="1">
      <c r="A452" s="228"/>
      <c r="B452" s="165"/>
      <c r="C452" s="162"/>
      <c r="D452" s="142"/>
      <c r="E452" s="144"/>
      <c r="F452" s="144"/>
      <c r="G452" s="144"/>
      <c r="H452" s="144"/>
      <c r="I452" s="182"/>
      <c r="J452" s="144"/>
      <c r="K452" s="145"/>
      <c r="L452" s="150"/>
      <c r="M452" s="146"/>
      <c r="N452" s="146"/>
      <c r="O452" s="146"/>
      <c r="P452" s="146"/>
      <c r="Q452" s="146"/>
      <c r="R452" s="190"/>
      <c r="S452" s="190"/>
      <c r="T452" s="190"/>
      <c r="U452" s="190"/>
      <c r="V452" s="190"/>
      <c r="W452" s="190"/>
      <c r="X452" s="190"/>
      <c r="Y452" s="190"/>
      <c r="Z452" s="190"/>
    </row>
    <row r="453" ht="15.75" customHeight="1">
      <c r="A453" s="228"/>
      <c r="B453" s="165"/>
      <c r="C453" s="162"/>
      <c r="D453" s="142"/>
      <c r="E453" s="144"/>
      <c r="F453" s="144"/>
      <c r="G453" s="144"/>
      <c r="H453" s="144"/>
      <c r="I453" s="182"/>
      <c r="J453" s="144"/>
      <c r="K453" s="145"/>
      <c r="L453" s="150"/>
      <c r="M453" s="146"/>
      <c r="N453" s="146"/>
      <c r="O453" s="146"/>
      <c r="P453" s="146"/>
      <c r="Q453" s="146"/>
      <c r="R453" s="190"/>
      <c r="S453" s="190"/>
      <c r="T453" s="190"/>
      <c r="U453" s="190"/>
      <c r="V453" s="190"/>
      <c r="W453" s="190"/>
      <c r="X453" s="190"/>
      <c r="Y453" s="190"/>
      <c r="Z453" s="190"/>
    </row>
    <row r="454" ht="15.75" customHeight="1">
      <c r="A454" s="228"/>
      <c r="B454" s="165"/>
      <c r="C454" s="162"/>
      <c r="D454" s="142"/>
      <c r="E454" s="144"/>
      <c r="F454" s="144"/>
      <c r="G454" s="144"/>
      <c r="H454" s="144"/>
      <c r="I454" s="182"/>
      <c r="J454" s="144"/>
      <c r="K454" s="145"/>
      <c r="L454" s="150"/>
      <c r="M454" s="146"/>
      <c r="N454" s="146"/>
      <c r="O454" s="146"/>
      <c r="P454" s="146"/>
      <c r="Q454" s="146"/>
      <c r="R454" s="190"/>
      <c r="S454" s="190"/>
      <c r="T454" s="190"/>
      <c r="U454" s="190"/>
      <c r="V454" s="190"/>
      <c r="W454" s="190"/>
      <c r="X454" s="190"/>
      <c r="Y454" s="190"/>
      <c r="Z454" s="190"/>
    </row>
    <row r="455" ht="15.75" customHeight="1">
      <c r="A455" s="228"/>
      <c r="B455" s="165"/>
      <c r="C455" s="162"/>
      <c r="D455" s="142"/>
      <c r="E455" s="144"/>
      <c r="F455" s="144"/>
      <c r="G455" s="144"/>
      <c r="H455" s="144"/>
      <c r="I455" s="182"/>
      <c r="J455" s="144"/>
      <c r="K455" s="145"/>
      <c r="L455" s="150"/>
      <c r="M455" s="146"/>
      <c r="N455" s="146"/>
      <c r="O455" s="146"/>
      <c r="P455" s="146"/>
      <c r="Q455" s="146"/>
      <c r="R455" s="190"/>
      <c r="S455" s="190"/>
      <c r="T455" s="190"/>
      <c r="U455" s="190"/>
      <c r="V455" s="190"/>
      <c r="W455" s="190"/>
      <c r="X455" s="190"/>
      <c r="Y455" s="190"/>
      <c r="Z455" s="190"/>
    </row>
    <row r="456" ht="15.75" customHeight="1">
      <c r="A456" s="228"/>
      <c r="B456" s="165"/>
      <c r="C456" s="162"/>
      <c r="D456" s="142"/>
      <c r="E456" s="144"/>
      <c r="F456" s="144"/>
      <c r="G456" s="144"/>
      <c r="H456" s="144"/>
      <c r="I456" s="182"/>
      <c r="J456" s="144"/>
      <c r="K456" s="145"/>
      <c r="L456" s="150"/>
      <c r="M456" s="146"/>
      <c r="N456" s="146"/>
      <c r="O456" s="146"/>
      <c r="P456" s="146"/>
      <c r="Q456" s="146"/>
      <c r="R456" s="190"/>
      <c r="S456" s="190"/>
      <c r="T456" s="190"/>
      <c r="U456" s="190"/>
      <c r="V456" s="190"/>
      <c r="W456" s="190"/>
      <c r="X456" s="190"/>
      <c r="Y456" s="190"/>
      <c r="Z456" s="190"/>
    </row>
    <row r="457" ht="15.75" customHeight="1">
      <c r="A457" s="228"/>
      <c r="B457" s="165"/>
      <c r="C457" s="162"/>
      <c r="D457" s="142"/>
      <c r="E457" s="144"/>
      <c r="F457" s="144"/>
      <c r="G457" s="144"/>
      <c r="H457" s="144"/>
      <c r="I457" s="182"/>
      <c r="J457" s="144"/>
      <c r="K457" s="145"/>
      <c r="L457" s="150"/>
      <c r="M457" s="146"/>
      <c r="N457" s="146"/>
      <c r="O457" s="146"/>
      <c r="P457" s="146"/>
      <c r="Q457" s="146"/>
      <c r="R457" s="190"/>
      <c r="S457" s="190"/>
      <c r="T457" s="190"/>
      <c r="U457" s="190"/>
      <c r="V457" s="190"/>
      <c r="W457" s="190"/>
      <c r="X457" s="190"/>
      <c r="Y457" s="190"/>
      <c r="Z457" s="190"/>
    </row>
    <row r="458" ht="15.75" customHeight="1">
      <c r="A458" s="228"/>
      <c r="B458" s="165"/>
      <c r="C458" s="162"/>
      <c r="D458" s="142"/>
      <c r="E458" s="144"/>
      <c r="F458" s="144"/>
      <c r="G458" s="144"/>
      <c r="H458" s="144"/>
      <c r="I458" s="182"/>
      <c r="J458" s="144"/>
      <c r="K458" s="145"/>
      <c r="L458" s="150"/>
      <c r="M458" s="146"/>
      <c r="N458" s="146"/>
      <c r="O458" s="146"/>
      <c r="P458" s="146"/>
      <c r="Q458" s="146"/>
      <c r="R458" s="190"/>
      <c r="S458" s="190"/>
      <c r="T458" s="190"/>
      <c r="U458" s="190"/>
      <c r="V458" s="190"/>
      <c r="W458" s="190"/>
      <c r="X458" s="190"/>
      <c r="Y458" s="190"/>
      <c r="Z458" s="190"/>
    </row>
    <row r="459" ht="15.75" customHeight="1">
      <c r="A459" s="228"/>
      <c r="B459" s="165"/>
      <c r="C459" s="162"/>
      <c r="D459" s="142"/>
      <c r="E459" s="144"/>
      <c r="F459" s="144"/>
      <c r="G459" s="144"/>
      <c r="H459" s="144"/>
      <c r="I459" s="182"/>
      <c r="J459" s="144"/>
      <c r="K459" s="145"/>
      <c r="L459" s="150"/>
      <c r="M459" s="146"/>
      <c r="N459" s="146"/>
      <c r="O459" s="146"/>
      <c r="P459" s="146"/>
      <c r="Q459" s="146"/>
      <c r="R459" s="190"/>
      <c r="S459" s="190"/>
      <c r="T459" s="190"/>
      <c r="U459" s="190"/>
      <c r="V459" s="190"/>
      <c r="W459" s="190"/>
      <c r="X459" s="190"/>
      <c r="Y459" s="190"/>
      <c r="Z459" s="190"/>
    </row>
    <row r="460" ht="15.75" customHeight="1">
      <c r="A460" s="228"/>
      <c r="B460" s="165"/>
      <c r="C460" s="162"/>
      <c r="D460" s="142"/>
      <c r="E460" s="144"/>
      <c r="F460" s="144"/>
      <c r="G460" s="144"/>
      <c r="H460" s="144"/>
      <c r="I460" s="182"/>
      <c r="J460" s="144"/>
      <c r="K460" s="145"/>
      <c r="L460" s="150"/>
      <c r="M460" s="146"/>
      <c r="N460" s="146"/>
      <c r="O460" s="146"/>
      <c r="P460" s="146"/>
      <c r="Q460" s="146"/>
      <c r="R460" s="190"/>
      <c r="S460" s="190"/>
      <c r="T460" s="190"/>
      <c r="U460" s="190"/>
      <c r="V460" s="190"/>
      <c r="W460" s="190"/>
      <c r="X460" s="190"/>
      <c r="Y460" s="190"/>
      <c r="Z460" s="190"/>
    </row>
    <row r="461" ht="15.75" customHeight="1">
      <c r="A461" s="228"/>
      <c r="B461" s="165"/>
      <c r="C461" s="162"/>
      <c r="D461" s="142"/>
      <c r="E461" s="144"/>
      <c r="F461" s="144"/>
      <c r="G461" s="144"/>
      <c r="H461" s="144"/>
      <c r="I461" s="182"/>
      <c r="J461" s="144"/>
      <c r="K461" s="145"/>
      <c r="L461" s="150"/>
      <c r="M461" s="146"/>
      <c r="N461" s="146"/>
      <c r="O461" s="146"/>
      <c r="P461" s="146"/>
      <c r="Q461" s="146"/>
      <c r="R461" s="190"/>
      <c r="S461" s="190"/>
      <c r="T461" s="190"/>
      <c r="U461" s="190"/>
      <c r="V461" s="190"/>
      <c r="W461" s="190"/>
      <c r="X461" s="190"/>
      <c r="Y461" s="190"/>
      <c r="Z461" s="190"/>
    </row>
    <row r="462" ht="15.75" customHeight="1">
      <c r="A462" s="228"/>
      <c r="B462" s="165"/>
      <c r="C462" s="162"/>
      <c r="D462" s="142"/>
      <c r="E462" s="144"/>
      <c r="F462" s="144"/>
      <c r="G462" s="144"/>
      <c r="H462" s="144"/>
      <c r="I462" s="182"/>
      <c r="J462" s="144"/>
      <c r="K462" s="145"/>
      <c r="L462" s="150"/>
      <c r="M462" s="146"/>
      <c r="N462" s="146"/>
      <c r="O462" s="146"/>
      <c r="P462" s="146"/>
      <c r="Q462" s="146"/>
      <c r="R462" s="190"/>
      <c r="S462" s="190"/>
      <c r="T462" s="190"/>
      <c r="U462" s="190"/>
      <c r="V462" s="190"/>
      <c r="W462" s="190"/>
      <c r="X462" s="190"/>
      <c r="Y462" s="190"/>
      <c r="Z462" s="190"/>
    </row>
    <row r="463" ht="15.75" customHeight="1">
      <c r="A463" s="228"/>
      <c r="B463" s="165"/>
      <c r="C463" s="162"/>
      <c r="D463" s="142"/>
      <c r="E463" s="144"/>
      <c r="F463" s="144"/>
      <c r="G463" s="144"/>
      <c r="H463" s="144"/>
      <c r="I463" s="182"/>
      <c r="J463" s="144"/>
      <c r="K463" s="145"/>
      <c r="L463" s="150"/>
      <c r="M463" s="146"/>
      <c r="N463" s="146"/>
      <c r="O463" s="146"/>
      <c r="P463" s="146"/>
      <c r="Q463" s="146"/>
      <c r="R463" s="190"/>
      <c r="S463" s="190"/>
      <c r="T463" s="190"/>
      <c r="U463" s="190"/>
      <c r="V463" s="190"/>
      <c r="W463" s="190"/>
      <c r="X463" s="190"/>
      <c r="Y463" s="190"/>
      <c r="Z463" s="190"/>
    </row>
    <row r="464" ht="15.75" customHeight="1">
      <c r="A464" s="228"/>
      <c r="B464" s="165"/>
      <c r="C464" s="162"/>
      <c r="D464" s="142"/>
      <c r="E464" s="144"/>
      <c r="F464" s="144"/>
      <c r="G464" s="144"/>
      <c r="H464" s="144"/>
      <c r="I464" s="182"/>
      <c r="J464" s="144"/>
      <c r="K464" s="145"/>
      <c r="L464" s="150"/>
      <c r="M464" s="146"/>
      <c r="N464" s="146"/>
      <c r="O464" s="146"/>
      <c r="P464" s="146"/>
      <c r="Q464" s="146"/>
      <c r="R464" s="190"/>
      <c r="S464" s="190"/>
      <c r="T464" s="190"/>
      <c r="U464" s="190"/>
      <c r="V464" s="190"/>
      <c r="W464" s="190"/>
      <c r="X464" s="190"/>
      <c r="Y464" s="190"/>
      <c r="Z464" s="190"/>
    </row>
    <row r="465" ht="15.75" customHeight="1">
      <c r="A465" s="228"/>
      <c r="B465" s="165"/>
      <c r="C465" s="162"/>
      <c r="D465" s="142"/>
      <c r="E465" s="144"/>
      <c r="F465" s="144"/>
      <c r="G465" s="144"/>
      <c r="H465" s="144"/>
      <c r="I465" s="182"/>
      <c r="J465" s="144"/>
      <c r="K465" s="145"/>
      <c r="L465" s="150"/>
      <c r="M465" s="146"/>
      <c r="N465" s="146"/>
      <c r="O465" s="146"/>
      <c r="P465" s="146"/>
      <c r="Q465" s="146"/>
      <c r="R465" s="190"/>
      <c r="S465" s="190"/>
      <c r="T465" s="190"/>
      <c r="U465" s="190"/>
      <c r="V465" s="190"/>
      <c r="W465" s="190"/>
      <c r="X465" s="190"/>
      <c r="Y465" s="190"/>
      <c r="Z465" s="190"/>
    </row>
    <row r="466" ht="15.75" customHeight="1">
      <c r="A466" s="228"/>
      <c r="B466" s="165"/>
      <c r="C466" s="162"/>
      <c r="D466" s="142"/>
      <c r="E466" s="144"/>
      <c r="F466" s="144"/>
      <c r="G466" s="144"/>
      <c r="H466" s="144"/>
      <c r="I466" s="182"/>
      <c r="J466" s="144"/>
      <c r="K466" s="145"/>
      <c r="L466" s="150"/>
      <c r="M466" s="146"/>
      <c r="N466" s="146"/>
      <c r="O466" s="146"/>
      <c r="P466" s="146"/>
      <c r="Q466" s="146"/>
      <c r="R466" s="190"/>
      <c r="S466" s="190"/>
      <c r="T466" s="190"/>
      <c r="U466" s="190"/>
      <c r="V466" s="190"/>
      <c r="W466" s="190"/>
      <c r="X466" s="190"/>
      <c r="Y466" s="190"/>
      <c r="Z466" s="190"/>
    </row>
    <row r="467" ht="15.75" customHeight="1">
      <c r="A467" s="228"/>
      <c r="B467" s="165"/>
      <c r="C467" s="162"/>
      <c r="D467" s="142"/>
      <c r="E467" s="144"/>
      <c r="F467" s="144"/>
      <c r="G467" s="144"/>
      <c r="H467" s="144"/>
      <c r="I467" s="182"/>
      <c r="J467" s="144"/>
      <c r="K467" s="145"/>
      <c r="L467" s="150"/>
      <c r="M467" s="146"/>
      <c r="N467" s="146"/>
      <c r="O467" s="146"/>
      <c r="P467" s="146"/>
      <c r="Q467" s="146"/>
      <c r="R467" s="190"/>
      <c r="S467" s="190"/>
      <c r="T467" s="190"/>
      <c r="U467" s="190"/>
      <c r="V467" s="190"/>
      <c r="W467" s="190"/>
      <c r="X467" s="190"/>
      <c r="Y467" s="190"/>
      <c r="Z467" s="190"/>
    </row>
    <row r="468" ht="15.75" customHeight="1">
      <c r="A468" s="228"/>
      <c r="B468" s="165"/>
      <c r="C468" s="162"/>
      <c r="D468" s="142"/>
      <c r="E468" s="144"/>
      <c r="F468" s="144"/>
      <c r="G468" s="144"/>
      <c r="H468" s="144"/>
      <c r="I468" s="182"/>
      <c r="J468" s="144"/>
      <c r="K468" s="145"/>
      <c r="L468" s="150"/>
      <c r="M468" s="146"/>
      <c r="N468" s="146"/>
      <c r="O468" s="146"/>
      <c r="P468" s="146"/>
      <c r="Q468" s="146"/>
      <c r="R468" s="190"/>
      <c r="S468" s="190"/>
      <c r="T468" s="190"/>
      <c r="U468" s="190"/>
      <c r="V468" s="190"/>
      <c r="W468" s="190"/>
      <c r="X468" s="190"/>
      <c r="Y468" s="190"/>
      <c r="Z468" s="190"/>
    </row>
    <row r="469" ht="15.75" customHeight="1">
      <c r="A469" s="228"/>
      <c r="B469" s="165"/>
      <c r="C469" s="162"/>
      <c r="D469" s="142"/>
      <c r="E469" s="144"/>
      <c r="F469" s="144"/>
      <c r="G469" s="144"/>
      <c r="H469" s="144"/>
      <c r="I469" s="182"/>
      <c r="J469" s="144"/>
      <c r="K469" s="145"/>
      <c r="L469" s="150"/>
      <c r="M469" s="146"/>
      <c r="N469" s="146"/>
      <c r="O469" s="146"/>
      <c r="P469" s="146"/>
      <c r="Q469" s="146"/>
      <c r="R469" s="190"/>
      <c r="S469" s="190"/>
      <c r="T469" s="190"/>
      <c r="U469" s="190"/>
      <c r="V469" s="190"/>
      <c r="W469" s="190"/>
      <c r="X469" s="190"/>
      <c r="Y469" s="190"/>
      <c r="Z469" s="190"/>
    </row>
    <row r="470" ht="15.75" customHeight="1">
      <c r="A470" s="228"/>
      <c r="B470" s="165"/>
      <c r="C470" s="162"/>
      <c r="D470" s="142"/>
      <c r="E470" s="144"/>
      <c r="F470" s="144"/>
      <c r="G470" s="144"/>
      <c r="H470" s="144"/>
      <c r="I470" s="182"/>
      <c r="J470" s="144"/>
      <c r="K470" s="145"/>
      <c r="L470" s="150"/>
      <c r="M470" s="146"/>
      <c r="N470" s="146"/>
      <c r="O470" s="146"/>
      <c r="P470" s="146"/>
      <c r="Q470" s="146"/>
      <c r="R470" s="190"/>
      <c r="S470" s="190"/>
      <c r="T470" s="190"/>
      <c r="U470" s="190"/>
      <c r="V470" s="190"/>
      <c r="W470" s="190"/>
      <c r="X470" s="190"/>
      <c r="Y470" s="190"/>
      <c r="Z470" s="190"/>
    </row>
    <row r="471" ht="15.75" customHeight="1">
      <c r="A471" s="228"/>
      <c r="B471" s="165"/>
      <c r="C471" s="162"/>
      <c r="D471" s="142"/>
      <c r="E471" s="144"/>
      <c r="F471" s="144"/>
      <c r="G471" s="144"/>
      <c r="H471" s="144"/>
      <c r="I471" s="182"/>
      <c r="J471" s="144"/>
      <c r="K471" s="145"/>
      <c r="L471" s="150"/>
      <c r="M471" s="146"/>
      <c r="N471" s="146"/>
      <c r="O471" s="146"/>
      <c r="P471" s="146"/>
      <c r="Q471" s="146"/>
      <c r="R471" s="190"/>
      <c r="S471" s="190"/>
      <c r="T471" s="190"/>
      <c r="U471" s="190"/>
      <c r="V471" s="190"/>
      <c r="W471" s="190"/>
      <c r="X471" s="190"/>
      <c r="Y471" s="190"/>
      <c r="Z471" s="190"/>
    </row>
    <row r="472" ht="15.75" customHeight="1">
      <c r="A472" s="228"/>
      <c r="B472" s="165"/>
      <c r="C472" s="162"/>
      <c r="D472" s="142"/>
      <c r="E472" s="144"/>
      <c r="F472" s="144"/>
      <c r="G472" s="144"/>
      <c r="H472" s="144"/>
      <c r="I472" s="182"/>
      <c r="J472" s="144"/>
      <c r="K472" s="145"/>
      <c r="L472" s="150"/>
      <c r="M472" s="146"/>
      <c r="N472" s="146"/>
      <c r="O472" s="146"/>
      <c r="P472" s="146"/>
      <c r="Q472" s="146"/>
      <c r="R472" s="190"/>
      <c r="S472" s="190"/>
      <c r="T472" s="190"/>
      <c r="U472" s="190"/>
      <c r="V472" s="190"/>
      <c r="W472" s="190"/>
      <c r="X472" s="190"/>
      <c r="Y472" s="190"/>
      <c r="Z472" s="190"/>
    </row>
    <row r="473" ht="15.75" customHeight="1">
      <c r="A473" s="228"/>
      <c r="B473" s="165"/>
      <c r="C473" s="162"/>
      <c r="D473" s="142"/>
      <c r="E473" s="144"/>
      <c r="F473" s="144"/>
      <c r="G473" s="144"/>
      <c r="H473" s="144"/>
      <c r="I473" s="182"/>
      <c r="J473" s="144"/>
      <c r="K473" s="145"/>
      <c r="L473" s="150"/>
      <c r="M473" s="146"/>
      <c r="N473" s="146"/>
      <c r="O473" s="146"/>
      <c r="P473" s="146"/>
      <c r="Q473" s="146"/>
      <c r="R473" s="190"/>
      <c r="S473" s="190"/>
      <c r="T473" s="190"/>
      <c r="U473" s="190"/>
      <c r="V473" s="190"/>
      <c r="W473" s="190"/>
      <c r="X473" s="190"/>
      <c r="Y473" s="190"/>
      <c r="Z473" s="190"/>
    </row>
    <row r="474" ht="15.75" customHeight="1">
      <c r="A474" s="228"/>
      <c r="B474" s="165"/>
      <c r="C474" s="162"/>
      <c r="D474" s="142"/>
      <c r="E474" s="144"/>
      <c r="F474" s="144"/>
      <c r="G474" s="144"/>
      <c r="H474" s="144"/>
      <c r="I474" s="182"/>
      <c r="J474" s="144"/>
      <c r="K474" s="145"/>
      <c r="L474" s="150"/>
      <c r="M474" s="146"/>
      <c r="N474" s="146"/>
      <c r="O474" s="146"/>
      <c r="P474" s="146"/>
      <c r="Q474" s="146"/>
      <c r="R474" s="190"/>
      <c r="S474" s="190"/>
      <c r="T474" s="190"/>
      <c r="U474" s="190"/>
      <c r="V474" s="190"/>
      <c r="W474" s="190"/>
      <c r="X474" s="190"/>
      <c r="Y474" s="190"/>
      <c r="Z474" s="190"/>
    </row>
    <row r="475" ht="15.75" customHeight="1">
      <c r="A475" s="228"/>
      <c r="B475" s="165"/>
      <c r="C475" s="162"/>
      <c r="D475" s="142"/>
      <c r="E475" s="144"/>
      <c r="F475" s="144"/>
      <c r="G475" s="144"/>
      <c r="H475" s="144"/>
      <c r="I475" s="182"/>
      <c r="J475" s="144"/>
      <c r="K475" s="145"/>
      <c r="L475" s="150"/>
      <c r="M475" s="146"/>
      <c r="N475" s="146"/>
      <c r="O475" s="146"/>
      <c r="P475" s="146"/>
      <c r="Q475" s="146"/>
      <c r="R475" s="190"/>
      <c r="S475" s="190"/>
      <c r="T475" s="190"/>
      <c r="U475" s="190"/>
      <c r="V475" s="190"/>
      <c r="W475" s="190"/>
      <c r="X475" s="190"/>
      <c r="Y475" s="190"/>
      <c r="Z475" s="190"/>
    </row>
    <row r="476" ht="15.75" customHeight="1">
      <c r="A476" s="228"/>
      <c r="B476" s="165"/>
      <c r="C476" s="162"/>
      <c r="D476" s="142"/>
      <c r="E476" s="144"/>
      <c r="F476" s="144"/>
      <c r="G476" s="144"/>
      <c r="H476" s="144"/>
      <c r="I476" s="182"/>
      <c r="J476" s="144"/>
      <c r="K476" s="145"/>
      <c r="L476" s="150"/>
      <c r="M476" s="146"/>
      <c r="N476" s="146"/>
      <c r="O476" s="146"/>
      <c r="P476" s="146"/>
      <c r="Q476" s="146"/>
      <c r="R476" s="190"/>
      <c r="S476" s="190"/>
      <c r="T476" s="190"/>
      <c r="U476" s="190"/>
      <c r="V476" s="190"/>
      <c r="W476" s="190"/>
      <c r="X476" s="190"/>
      <c r="Y476" s="190"/>
      <c r="Z476" s="190"/>
    </row>
    <row r="477" ht="15.75" customHeight="1">
      <c r="A477" s="228"/>
      <c r="B477" s="165"/>
      <c r="C477" s="162"/>
      <c r="D477" s="142"/>
      <c r="E477" s="144"/>
      <c r="F477" s="144"/>
      <c r="G477" s="144"/>
      <c r="H477" s="144"/>
      <c r="I477" s="182"/>
      <c r="J477" s="144"/>
      <c r="K477" s="145"/>
      <c r="L477" s="150"/>
      <c r="M477" s="146"/>
      <c r="N477" s="146"/>
      <c r="O477" s="146"/>
      <c r="P477" s="146"/>
      <c r="Q477" s="146"/>
      <c r="R477" s="190"/>
      <c r="S477" s="190"/>
      <c r="T477" s="190"/>
      <c r="U477" s="190"/>
      <c r="V477" s="190"/>
      <c r="W477" s="190"/>
      <c r="X477" s="190"/>
      <c r="Y477" s="190"/>
      <c r="Z477" s="190"/>
    </row>
    <row r="478" ht="15.75" customHeight="1">
      <c r="A478" s="228"/>
      <c r="B478" s="165"/>
      <c r="C478" s="162"/>
      <c r="D478" s="142"/>
      <c r="E478" s="144"/>
      <c r="F478" s="144"/>
      <c r="G478" s="144"/>
      <c r="H478" s="144"/>
      <c r="I478" s="182"/>
      <c r="J478" s="144"/>
      <c r="K478" s="145"/>
      <c r="L478" s="150"/>
      <c r="M478" s="146"/>
      <c r="N478" s="146"/>
      <c r="O478" s="146"/>
      <c r="P478" s="146"/>
      <c r="Q478" s="146"/>
      <c r="R478" s="190"/>
      <c r="S478" s="190"/>
      <c r="T478" s="190"/>
      <c r="U478" s="190"/>
      <c r="V478" s="190"/>
      <c r="W478" s="190"/>
      <c r="X478" s="190"/>
      <c r="Y478" s="190"/>
      <c r="Z478" s="190"/>
    </row>
    <row r="479" ht="15.75" customHeight="1">
      <c r="A479" s="228"/>
      <c r="B479" s="165"/>
      <c r="C479" s="162"/>
      <c r="D479" s="142"/>
      <c r="E479" s="144"/>
      <c r="F479" s="144"/>
      <c r="G479" s="144"/>
      <c r="H479" s="144"/>
      <c r="I479" s="182"/>
      <c r="J479" s="144"/>
      <c r="K479" s="145"/>
      <c r="L479" s="150"/>
      <c r="M479" s="146"/>
      <c r="N479" s="146"/>
      <c r="O479" s="146"/>
      <c r="P479" s="146"/>
      <c r="Q479" s="146"/>
      <c r="R479" s="190"/>
      <c r="S479" s="190"/>
      <c r="T479" s="190"/>
      <c r="U479" s="190"/>
      <c r="V479" s="190"/>
      <c r="W479" s="190"/>
      <c r="X479" s="190"/>
      <c r="Y479" s="190"/>
      <c r="Z479" s="190"/>
    </row>
    <row r="480" ht="15.75" customHeight="1">
      <c r="A480" s="228"/>
      <c r="B480" s="165"/>
      <c r="C480" s="162"/>
      <c r="D480" s="142"/>
      <c r="E480" s="144"/>
      <c r="F480" s="144"/>
      <c r="G480" s="144"/>
      <c r="H480" s="144"/>
      <c r="I480" s="182"/>
      <c r="J480" s="144"/>
      <c r="K480" s="145"/>
      <c r="L480" s="150"/>
      <c r="M480" s="146"/>
      <c r="N480" s="146"/>
      <c r="O480" s="146"/>
      <c r="P480" s="146"/>
      <c r="Q480" s="146"/>
      <c r="R480" s="190"/>
      <c r="S480" s="190"/>
      <c r="T480" s="190"/>
      <c r="U480" s="190"/>
      <c r="V480" s="190"/>
      <c r="W480" s="190"/>
      <c r="X480" s="190"/>
      <c r="Y480" s="190"/>
      <c r="Z480" s="190"/>
    </row>
    <row r="481" ht="15.75" customHeight="1">
      <c r="A481" s="228"/>
      <c r="B481" s="165"/>
      <c r="C481" s="162"/>
      <c r="D481" s="142"/>
      <c r="E481" s="144"/>
      <c r="F481" s="144"/>
      <c r="G481" s="144"/>
      <c r="H481" s="144"/>
      <c r="I481" s="182"/>
      <c r="J481" s="144"/>
      <c r="K481" s="145"/>
      <c r="L481" s="150"/>
      <c r="M481" s="146"/>
      <c r="N481" s="146"/>
      <c r="O481" s="146"/>
      <c r="P481" s="146"/>
      <c r="Q481" s="146"/>
      <c r="R481" s="190"/>
      <c r="S481" s="190"/>
      <c r="T481" s="190"/>
      <c r="U481" s="190"/>
      <c r="V481" s="190"/>
      <c r="W481" s="190"/>
      <c r="X481" s="190"/>
      <c r="Y481" s="190"/>
      <c r="Z481" s="190"/>
    </row>
    <row r="482" ht="15.75" customHeight="1">
      <c r="A482" s="228"/>
      <c r="B482" s="165"/>
      <c r="C482" s="162"/>
      <c r="D482" s="142"/>
      <c r="E482" s="144"/>
      <c r="F482" s="144"/>
      <c r="G482" s="144"/>
      <c r="H482" s="144"/>
      <c r="I482" s="182"/>
      <c r="J482" s="144"/>
      <c r="K482" s="145"/>
      <c r="L482" s="150"/>
      <c r="M482" s="146"/>
      <c r="N482" s="146"/>
      <c r="O482" s="146"/>
      <c r="P482" s="146"/>
      <c r="Q482" s="146"/>
      <c r="R482" s="190"/>
      <c r="S482" s="190"/>
      <c r="T482" s="190"/>
      <c r="U482" s="190"/>
      <c r="V482" s="190"/>
      <c r="W482" s="190"/>
      <c r="X482" s="190"/>
      <c r="Y482" s="190"/>
      <c r="Z482" s="190"/>
    </row>
    <row r="483" ht="15.75" customHeight="1">
      <c r="A483" s="228"/>
      <c r="B483" s="165"/>
      <c r="C483" s="162"/>
      <c r="D483" s="142"/>
      <c r="E483" s="144"/>
      <c r="F483" s="144"/>
      <c r="G483" s="144"/>
      <c r="H483" s="144"/>
      <c r="I483" s="182"/>
      <c r="J483" s="144"/>
      <c r="K483" s="145"/>
      <c r="L483" s="150"/>
      <c r="M483" s="146"/>
      <c r="N483" s="146"/>
      <c r="O483" s="146"/>
      <c r="P483" s="146"/>
      <c r="Q483" s="146"/>
      <c r="R483" s="190"/>
      <c r="S483" s="190"/>
      <c r="T483" s="190"/>
      <c r="U483" s="190"/>
      <c r="V483" s="190"/>
      <c r="W483" s="190"/>
      <c r="X483" s="190"/>
      <c r="Y483" s="190"/>
      <c r="Z483" s="190"/>
    </row>
    <row r="484" ht="15.75" customHeight="1">
      <c r="A484" s="228"/>
      <c r="B484" s="165"/>
      <c r="C484" s="162"/>
      <c r="D484" s="142"/>
      <c r="E484" s="144"/>
      <c r="F484" s="144"/>
      <c r="G484" s="144"/>
      <c r="H484" s="144"/>
      <c r="I484" s="182"/>
      <c r="J484" s="144"/>
      <c r="K484" s="145"/>
      <c r="L484" s="150"/>
      <c r="M484" s="146"/>
      <c r="N484" s="146"/>
      <c r="O484" s="146"/>
      <c r="P484" s="146"/>
      <c r="Q484" s="146"/>
      <c r="R484" s="190"/>
      <c r="S484" s="190"/>
      <c r="T484" s="190"/>
      <c r="U484" s="190"/>
      <c r="V484" s="190"/>
      <c r="W484" s="190"/>
      <c r="X484" s="190"/>
      <c r="Y484" s="190"/>
      <c r="Z484" s="190"/>
    </row>
    <row r="485" ht="15.75" customHeight="1">
      <c r="A485" s="228"/>
      <c r="B485" s="165"/>
      <c r="C485" s="162"/>
      <c r="D485" s="142"/>
      <c r="E485" s="144"/>
      <c r="F485" s="144"/>
      <c r="G485" s="144"/>
      <c r="H485" s="144"/>
      <c r="I485" s="182"/>
      <c r="J485" s="144"/>
      <c r="K485" s="145"/>
      <c r="L485" s="150"/>
      <c r="M485" s="146"/>
      <c r="N485" s="146"/>
      <c r="O485" s="146"/>
      <c r="P485" s="146"/>
      <c r="Q485" s="146"/>
      <c r="R485" s="190"/>
      <c r="S485" s="190"/>
      <c r="T485" s="190"/>
      <c r="U485" s="190"/>
      <c r="V485" s="190"/>
      <c r="W485" s="190"/>
      <c r="X485" s="190"/>
      <c r="Y485" s="190"/>
      <c r="Z485" s="190"/>
    </row>
    <row r="486" ht="15.75" customHeight="1">
      <c r="A486" s="228"/>
      <c r="B486" s="165"/>
      <c r="C486" s="162"/>
      <c r="D486" s="142"/>
      <c r="E486" s="144"/>
      <c r="F486" s="144"/>
      <c r="G486" s="144"/>
      <c r="H486" s="144"/>
      <c r="I486" s="182"/>
      <c r="J486" s="144"/>
      <c r="K486" s="145"/>
      <c r="L486" s="150"/>
      <c r="M486" s="146"/>
      <c r="N486" s="146"/>
      <c r="O486" s="146"/>
      <c r="P486" s="146"/>
      <c r="Q486" s="146"/>
      <c r="R486" s="190"/>
      <c r="S486" s="190"/>
      <c r="T486" s="190"/>
      <c r="U486" s="190"/>
      <c r="V486" s="190"/>
      <c r="W486" s="190"/>
      <c r="X486" s="190"/>
      <c r="Y486" s="190"/>
      <c r="Z486" s="190"/>
    </row>
    <row r="487" ht="15.75" customHeight="1">
      <c r="A487" s="228"/>
      <c r="B487" s="165"/>
      <c r="C487" s="162"/>
      <c r="D487" s="142"/>
      <c r="E487" s="144"/>
      <c r="F487" s="144"/>
      <c r="G487" s="144"/>
      <c r="H487" s="144"/>
      <c r="I487" s="182"/>
      <c r="J487" s="144"/>
      <c r="K487" s="145"/>
      <c r="L487" s="150"/>
      <c r="M487" s="146"/>
      <c r="N487" s="146"/>
      <c r="O487" s="146"/>
      <c r="P487" s="146"/>
      <c r="Q487" s="146"/>
      <c r="R487" s="190"/>
      <c r="S487" s="190"/>
      <c r="T487" s="190"/>
      <c r="U487" s="190"/>
      <c r="V487" s="190"/>
      <c r="W487" s="190"/>
      <c r="X487" s="190"/>
      <c r="Y487" s="190"/>
      <c r="Z487" s="190"/>
    </row>
    <row r="488" ht="15.75" customHeight="1">
      <c r="A488" s="228"/>
      <c r="B488" s="165"/>
      <c r="C488" s="162"/>
      <c r="D488" s="142"/>
      <c r="E488" s="144"/>
      <c r="F488" s="144"/>
      <c r="G488" s="144"/>
      <c r="H488" s="144"/>
      <c r="I488" s="182"/>
      <c r="J488" s="144"/>
      <c r="K488" s="145"/>
      <c r="L488" s="150"/>
      <c r="M488" s="146"/>
      <c r="N488" s="146"/>
      <c r="O488" s="146"/>
      <c r="P488" s="146"/>
      <c r="Q488" s="146"/>
      <c r="R488" s="190"/>
      <c r="S488" s="190"/>
      <c r="T488" s="190"/>
      <c r="U488" s="190"/>
      <c r="V488" s="190"/>
      <c r="W488" s="190"/>
      <c r="X488" s="190"/>
      <c r="Y488" s="190"/>
      <c r="Z488" s="190"/>
    </row>
    <row r="489" ht="15.75" customHeight="1">
      <c r="A489" s="228"/>
      <c r="B489" s="165"/>
      <c r="C489" s="162"/>
      <c r="D489" s="142"/>
      <c r="E489" s="144"/>
      <c r="F489" s="144"/>
      <c r="G489" s="144"/>
      <c r="H489" s="144"/>
      <c r="I489" s="182"/>
      <c r="J489" s="144"/>
      <c r="K489" s="145"/>
      <c r="L489" s="150"/>
      <c r="M489" s="146"/>
      <c r="N489" s="146"/>
      <c r="O489" s="146"/>
      <c r="P489" s="146"/>
      <c r="Q489" s="146"/>
      <c r="R489" s="190"/>
      <c r="S489" s="190"/>
      <c r="T489" s="190"/>
      <c r="U489" s="190"/>
      <c r="V489" s="190"/>
      <c r="W489" s="190"/>
      <c r="X489" s="190"/>
      <c r="Y489" s="190"/>
      <c r="Z489" s="190"/>
    </row>
    <row r="490" ht="15.75" customHeight="1">
      <c r="A490" s="228"/>
      <c r="B490" s="165"/>
      <c r="C490" s="162"/>
      <c r="D490" s="142"/>
      <c r="E490" s="144"/>
      <c r="F490" s="144"/>
      <c r="G490" s="144"/>
      <c r="H490" s="144"/>
      <c r="I490" s="182"/>
      <c r="J490" s="144"/>
      <c r="K490" s="145"/>
      <c r="L490" s="150"/>
      <c r="M490" s="146"/>
      <c r="N490" s="146"/>
      <c r="O490" s="146"/>
      <c r="P490" s="146"/>
      <c r="Q490" s="146"/>
      <c r="R490" s="190"/>
      <c r="S490" s="190"/>
      <c r="T490" s="190"/>
      <c r="U490" s="190"/>
      <c r="V490" s="190"/>
      <c r="W490" s="190"/>
      <c r="X490" s="190"/>
      <c r="Y490" s="190"/>
      <c r="Z490" s="190"/>
    </row>
    <row r="491" ht="15.75" customHeight="1">
      <c r="A491" s="228"/>
      <c r="B491" s="165"/>
      <c r="C491" s="162"/>
      <c r="D491" s="142"/>
      <c r="E491" s="144"/>
      <c r="F491" s="144"/>
      <c r="G491" s="144"/>
      <c r="H491" s="144"/>
      <c r="I491" s="182"/>
      <c r="J491" s="144"/>
      <c r="K491" s="145"/>
      <c r="L491" s="150"/>
      <c r="M491" s="146"/>
      <c r="N491" s="146"/>
      <c r="O491" s="146"/>
      <c r="P491" s="146"/>
      <c r="Q491" s="146"/>
      <c r="R491" s="190"/>
      <c r="S491" s="190"/>
      <c r="T491" s="190"/>
      <c r="U491" s="190"/>
      <c r="V491" s="190"/>
      <c r="W491" s="190"/>
      <c r="X491" s="190"/>
      <c r="Y491" s="190"/>
      <c r="Z491" s="190"/>
    </row>
    <row r="492" ht="15.75" customHeight="1">
      <c r="A492" s="228"/>
      <c r="B492" s="165"/>
      <c r="C492" s="162"/>
      <c r="D492" s="142"/>
      <c r="E492" s="144"/>
      <c r="F492" s="144"/>
      <c r="G492" s="144"/>
      <c r="H492" s="144"/>
      <c r="I492" s="182"/>
      <c r="J492" s="144"/>
      <c r="K492" s="145"/>
      <c r="L492" s="150"/>
      <c r="M492" s="146"/>
      <c r="N492" s="146"/>
      <c r="O492" s="146"/>
      <c r="P492" s="146"/>
      <c r="Q492" s="146"/>
      <c r="R492" s="190"/>
      <c r="S492" s="190"/>
      <c r="T492" s="190"/>
      <c r="U492" s="190"/>
      <c r="V492" s="190"/>
      <c r="W492" s="190"/>
      <c r="X492" s="190"/>
      <c r="Y492" s="190"/>
      <c r="Z492" s="190"/>
    </row>
    <row r="493" ht="15.75" customHeight="1">
      <c r="A493" s="228"/>
      <c r="B493" s="165"/>
      <c r="C493" s="162"/>
      <c r="D493" s="142"/>
      <c r="E493" s="144"/>
      <c r="F493" s="144"/>
      <c r="G493" s="144"/>
      <c r="H493" s="144"/>
      <c r="I493" s="182"/>
      <c r="J493" s="144"/>
      <c r="K493" s="145"/>
      <c r="L493" s="150"/>
      <c r="M493" s="146"/>
      <c r="N493" s="146"/>
      <c r="O493" s="146"/>
      <c r="P493" s="146"/>
      <c r="Q493" s="146"/>
      <c r="R493" s="190"/>
      <c r="S493" s="190"/>
      <c r="T493" s="190"/>
      <c r="U493" s="190"/>
      <c r="V493" s="190"/>
      <c r="W493" s="190"/>
      <c r="X493" s="190"/>
      <c r="Y493" s="190"/>
      <c r="Z493" s="190"/>
    </row>
    <row r="494" ht="15.75" customHeight="1">
      <c r="A494" s="228"/>
      <c r="B494" s="165"/>
      <c r="C494" s="162"/>
      <c r="D494" s="142"/>
      <c r="E494" s="144"/>
      <c r="F494" s="144"/>
      <c r="G494" s="144"/>
      <c r="H494" s="144"/>
      <c r="I494" s="182"/>
      <c r="J494" s="144"/>
      <c r="K494" s="145"/>
      <c r="L494" s="150"/>
      <c r="M494" s="146"/>
      <c r="N494" s="146"/>
      <c r="O494" s="146"/>
      <c r="P494" s="146"/>
      <c r="Q494" s="146"/>
      <c r="R494" s="190"/>
      <c r="S494" s="190"/>
      <c r="T494" s="190"/>
      <c r="U494" s="190"/>
      <c r="V494" s="190"/>
      <c r="W494" s="190"/>
      <c r="X494" s="190"/>
      <c r="Y494" s="190"/>
      <c r="Z494" s="190"/>
    </row>
    <row r="495" ht="15.75" customHeight="1">
      <c r="A495" s="228"/>
      <c r="B495" s="165"/>
      <c r="C495" s="162"/>
      <c r="D495" s="142"/>
      <c r="E495" s="144"/>
      <c r="F495" s="144"/>
      <c r="G495" s="144"/>
      <c r="H495" s="144"/>
      <c r="I495" s="182"/>
      <c r="J495" s="144"/>
      <c r="K495" s="145"/>
      <c r="L495" s="150"/>
      <c r="M495" s="146"/>
      <c r="N495" s="146"/>
      <c r="O495" s="146"/>
      <c r="P495" s="146"/>
      <c r="Q495" s="146"/>
      <c r="R495" s="190"/>
      <c r="S495" s="190"/>
      <c r="T495" s="190"/>
      <c r="U495" s="190"/>
      <c r="V495" s="190"/>
      <c r="W495" s="190"/>
      <c r="X495" s="190"/>
      <c r="Y495" s="190"/>
      <c r="Z495" s="190"/>
    </row>
    <row r="496" ht="15.75" customHeight="1">
      <c r="A496" s="228"/>
      <c r="B496" s="165"/>
      <c r="C496" s="162"/>
      <c r="D496" s="142"/>
      <c r="E496" s="144"/>
      <c r="F496" s="144"/>
      <c r="G496" s="144"/>
      <c r="H496" s="144"/>
      <c r="I496" s="182"/>
      <c r="J496" s="144"/>
      <c r="K496" s="145"/>
      <c r="L496" s="150"/>
      <c r="M496" s="146"/>
      <c r="N496" s="146"/>
      <c r="O496" s="146"/>
      <c r="P496" s="146"/>
      <c r="Q496" s="146"/>
      <c r="R496" s="190"/>
      <c r="S496" s="190"/>
      <c r="T496" s="190"/>
      <c r="U496" s="190"/>
      <c r="V496" s="190"/>
      <c r="W496" s="190"/>
      <c r="X496" s="190"/>
      <c r="Y496" s="190"/>
      <c r="Z496" s="190"/>
    </row>
    <row r="497" ht="15.75" customHeight="1">
      <c r="A497" s="228"/>
      <c r="B497" s="165"/>
      <c r="C497" s="162"/>
      <c r="D497" s="142"/>
      <c r="E497" s="144"/>
      <c r="F497" s="144"/>
      <c r="G497" s="144"/>
      <c r="H497" s="144"/>
      <c r="I497" s="182"/>
      <c r="J497" s="144"/>
      <c r="K497" s="145"/>
      <c r="L497" s="150"/>
      <c r="M497" s="146"/>
      <c r="N497" s="146"/>
      <c r="O497" s="146"/>
      <c r="P497" s="146"/>
      <c r="Q497" s="146"/>
      <c r="R497" s="190"/>
      <c r="S497" s="190"/>
      <c r="T497" s="190"/>
      <c r="U497" s="190"/>
      <c r="V497" s="190"/>
      <c r="W497" s="190"/>
      <c r="X497" s="190"/>
      <c r="Y497" s="190"/>
      <c r="Z497" s="190"/>
    </row>
    <row r="498" ht="15.75" customHeight="1">
      <c r="A498" s="228"/>
      <c r="B498" s="165"/>
      <c r="C498" s="162"/>
      <c r="D498" s="142"/>
      <c r="E498" s="144"/>
      <c r="F498" s="144"/>
      <c r="G498" s="144"/>
      <c r="H498" s="144"/>
      <c r="I498" s="182"/>
      <c r="J498" s="144"/>
      <c r="K498" s="145"/>
      <c r="L498" s="150"/>
      <c r="M498" s="146"/>
      <c r="N498" s="146"/>
      <c r="O498" s="146"/>
      <c r="P498" s="146"/>
      <c r="Q498" s="146"/>
      <c r="R498" s="190"/>
      <c r="S498" s="190"/>
      <c r="T498" s="190"/>
      <c r="U498" s="190"/>
      <c r="V498" s="190"/>
      <c r="W498" s="190"/>
      <c r="X498" s="190"/>
      <c r="Y498" s="190"/>
      <c r="Z498" s="190"/>
    </row>
    <row r="499" ht="15.75" customHeight="1">
      <c r="A499" s="228"/>
      <c r="B499" s="165"/>
      <c r="C499" s="162"/>
      <c r="D499" s="142"/>
      <c r="E499" s="144"/>
      <c r="F499" s="144"/>
      <c r="G499" s="144"/>
      <c r="H499" s="144"/>
      <c r="I499" s="182"/>
      <c r="J499" s="144"/>
      <c r="K499" s="145"/>
      <c r="L499" s="150"/>
      <c r="M499" s="146"/>
      <c r="N499" s="146"/>
      <c r="O499" s="146"/>
      <c r="P499" s="146"/>
      <c r="Q499" s="146"/>
      <c r="R499" s="190"/>
      <c r="S499" s="190"/>
      <c r="T499" s="190"/>
      <c r="U499" s="190"/>
      <c r="V499" s="190"/>
      <c r="W499" s="190"/>
      <c r="X499" s="190"/>
      <c r="Y499" s="190"/>
      <c r="Z499" s="190"/>
    </row>
    <row r="500" ht="15.75" customHeight="1">
      <c r="A500" s="228"/>
      <c r="B500" s="165"/>
      <c r="C500" s="162"/>
      <c r="D500" s="142"/>
      <c r="E500" s="144"/>
      <c r="F500" s="144"/>
      <c r="G500" s="144"/>
      <c r="H500" s="144"/>
      <c r="I500" s="182"/>
      <c r="J500" s="144"/>
      <c r="K500" s="145"/>
      <c r="L500" s="150"/>
      <c r="M500" s="146"/>
      <c r="N500" s="146"/>
      <c r="O500" s="146"/>
      <c r="P500" s="146"/>
      <c r="Q500" s="146"/>
      <c r="R500" s="190"/>
      <c r="S500" s="190"/>
      <c r="T500" s="190"/>
      <c r="U500" s="190"/>
      <c r="V500" s="190"/>
      <c r="W500" s="190"/>
      <c r="X500" s="190"/>
      <c r="Y500" s="190"/>
      <c r="Z500" s="190"/>
    </row>
    <row r="501" ht="15.75" customHeight="1">
      <c r="A501" s="228"/>
      <c r="B501" s="165"/>
      <c r="C501" s="162"/>
      <c r="D501" s="142"/>
      <c r="E501" s="144"/>
      <c r="F501" s="144"/>
      <c r="G501" s="144"/>
      <c r="H501" s="144"/>
      <c r="I501" s="182"/>
      <c r="J501" s="144"/>
      <c r="K501" s="145"/>
      <c r="L501" s="150"/>
      <c r="M501" s="146"/>
      <c r="N501" s="146"/>
      <c r="O501" s="146"/>
      <c r="P501" s="146"/>
      <c r="Q501" s="146"/>
      <c r="R501" s="190"/>
      <c r="S501" s="190"/>
      <c r="T501" s="190"/>
      <c r="U501" s="190"/>
      <c r="V501" s="190"/>
      <c r="W501" s="190"/>
      <c r="X501" s="190"/>
      <c r="Y501" s="190"/>
      <c r="Z501" s="190"/>
    </row>
    <row r="502" ht="15.75" customHeight="1">
      <c r="A502" s="228"/>
      <c r="B502" s="165"/>
      <c r="C502" s="162"/>
      <c r="D502" s="142"/>
      <c r="E502" s="144"/>
      <c r="F502" s="144"/>
      <c r="G502" s="144"/>
      <c r="H502" s="144"/>
      <c r="I502" s="182"/>
      <c r="J502" s="144"/>
      <c r="K502" s="145"/>
      <c r="L502" s="150"/>
      <c r="M502" s="146"/>
      <c r="N502" s="146"/>
      <c r="O502" s="146"/>
      <c r="P502" s="146"/>
      <c r="Q502" s="146"/>
      <c r="R502" s="190"/>
      <c r="S502" s="190"/>
      <c r="T502" s="190"/>
      <c r="U502" s="190"/>
      <c r="V502" s="190"/>
      <c r="W502" s="190"/>
      <c r="X502" s="190"/>
      <c r="Y502" s="190"/>
      <c r="Z502" s="190"/>
    </row>
    <row r="503" ht="15.75" customHeight="1">
      <c r="A503" s="228"/>
      <c r="B503" s="165"/>
      <c r="C503" s="162"/>
      <c r="D503" s="142"/>
      <c r="E503" s="144"/>
      <c r="F503" s="144"/>
      <c r="G503" s="144"/>
      <c r="H503" s="144"/>
      <c r="I503" s="182"/>
      <c r="J503" s="144"/>
      <c r="K503" s="145"/>
      <c r="L503" s="150"/>
      <c r="M503" s="146"/>
      <c r="N503" s="146"/>
      <c r="O503" s="146"/>
      <c r="P503" s="146"/>
      <c r="Q503" s="146"/>
      <c r="R503" s="190"/>
      <c r="S503" s="190"/>
      <c r="T503" s="190"/>
      <c r="U503" s="190"/>
      <c r="V503" s="190"/>
      <c r="W503" s="190"/>
      <c r="X503" s="190"/>
      <c r="Y503" s="190"/>
      <c r="Z503" s="190"/>
    </row>
    <row r="504" ht="15.75" customHeight="1">
      <c r="A504" s="228"/>
      <c r="B504" s="165"/>
      <c r="C504" s="162"/>
      <c r="D504" s="142"/>
      <c r="E504" s="144"/>
      <c r="F504" s="144"/>
      <c r="G504" s="144"/>
      <c r="H504" s="144"/>
      <c r="I504" s="182"/>
      <c r="J504" s="144"/>
      <c r="K504" s="145"/>
      <c r="L504" s="150"/>
      <c r="M504" s="146"/>
      <c r="N504" s="146"/>
      <c r="O504" s="146"/>
      <c r="P504" s="146"/>
      <c r="Q504" s="146"/>
      <c r="R504" s="190"/>
      <c r="S504" s="190"/>
      <c r="T504" s="190"/>
      <c r="U504" s="190"/>
      <c r="V504" s="190"/>
      <c r="W504" s="190"/>
      <c r="X504" s="190"/>
      <c r="Y504" s="190"/>
      <c r="Z504" s="190"/>
    </row>
    <row r="505" ht="15.75" customHeight="1">
      <c r="A505" s="228"/>
      <c r="B505" s="165"/>
      <c r="C505" s="162"/>
      <c r="D505" s="142"/>
      <c r="E505" s="144"/>
      <c r="F505" s="144"/>
      <c r="G505" s="144"/>
      <c r="H505" s="144"/>
      <c r="I505" s="182"/>
      <c r="J505" s="144"/>
      <c r="K505" s="145"/>
      <c r="L505" s="150"/>
      <c r="M505" s="146"/>
      <c r="N505" s="146"/>
      <c r="O505" s="146"/>
      <c r="P505" s="146"/>
      <c r="Q505" s="146"/>
      <c r="R505" s="190"/>
      <c r="S505" s="190"/>
      <c r="T505" s="190"/>
      <c r="U505" s="190"/>
      <c r="V505" s="190"/>
      <c r="W505" s="190"/>
      <c r="X505" s="190"/>
      <c r="Y505" s="190"/>
      <c r="Z505" s="190"/>
    </row>
    <row r="506" ht="15.75" customHeight="1">
      <c r="A506" s="228"/>
      <c r="B506" s="165"/>
      <c r="C506" s="162"/>
      <c r="D506" s="142"/>
      <c r="E506" s="144"/>
      <c r="F506" s="144"/>
      <c r="G506" s="144"/>
      <c r="H506" s="144"/>
      <c r="I506" s="182"/>
      <c r="J506" s="144"/>
      <c r="K506" s="145"/>
      <c r="L506" s="150"/>
      <c r="M506" s="146"/>
      <c r="N506" s="146"/>
      <c r="O506" s="146"/>
      <c r="P506" s="146"/>
      <c r="Q506" s="146"/>
      <c r="R506" s="190"/>
      <c r="S506" s="190"/>
      <c r="T506" s="190"/>
      <c r="U506" s="190"/>
      <c r="V506" s="190"/>
      <c r="W506" s="190"/>
      <c r="X506" s="190"/>
      <c r="Y506" s="190"/>
      <c r="Z506" s="190"/>
    </row>
    <row r="507" ht="15.75" customHeight="1">
      <c r="A507" s="228"/>
      <c r="B507" s="165"/>
      <c r="C507" s="162"/>
      <c r="D507" s="142"/>
      <c r="E507" s="144"/>
      <c r="F507" s="144"/>
      <c r="G507" s="144"/>
      <c r="H507" s="144"/>
      <c r="I507" s="182"/>
      <c r="J507" s="144"/>
      <c r="K507" s="145"/>
      <c r="L507" s="150"/>
      <c r="M507" s="146"/>
      <c r="N507" s="146"/>
      <c r="O507" s="146"/>
      <c r="P507" s="146"/>
      <c r="Q507" s="146"/>
      <c r="R507" s="190"/>
      <c r="S507" s="190"/>
      <c r="T507" s="190"/>
      <c r="U507" s="190"/>
      <c r="V507" s="190"/>
      <c r="W507" s="190"/>
      <c r="X507" s="190"/>
      <c r="Y507" s="190"/>
      <c r="Z507" s="190"/>
    </row>
    <row r="508" ht="15.75" customHeight="1">
      <c r="A508" s="228"/>
      <c r="B508" s="165"/>
      <c r="C508" s="162"/>
      <c r="D508" s="142"/>
      <c r="E508" s="144"/>
      <c r="F508" s="144"/>
      <c r="G508" s="144"/>
      <c r="H508" s="144"/>
      <c r="I508" s="182"/>
      <c r="J508" s="144"/>
      <c r="K508" s="145"/>
      <c r="L508" s="150"/>
      <c r="M508" s="146"/>
      <c r="N508" s="146"/>
      <c r="O508" s="146"/>
      <c r="P508" s="146"/>
      <c r="Q508" s="146"/>
      <c r="R508" s="190"/>
      <c r="S508" s="190"/>
      <c r="T508" s="190"/>
      <c r="U508" s="190"/>
      <c r="V508" s="190"/>
      <c r="W508" s="190"/>
      <c r="X508" s="190"/>
      <c r="Y508" s="190"/>
      <c r="Z508" s="190"/>
    </row>
    <row r="509" ht="15.75" customHeight="1">
      <c r="A509" s="228"/>
      <c r="B509" s="165"/>
      <c r="C509" s="162"/>
      <c r="D509" s="142"/>
      <c r="E509" s="144"/>
      <c r="F509" s="144"/>
      <c r="G509" s="144"/>
      <c r="H509" s="144"/>
      <c r="I509" s="182"/>
      <c r="J509" s="144"/>
      <c r="K509" s="145"/>
      <c r="L509" s="150"/>
      <c r="M509" s="146"/>
      <c r="N509" s="146"/>
      <c r="O509" s="146"/>
      <c r="P509" s="146"/>
      <c r="Q509" s="146"/>
      <c r="R509" s="190"/>
      <c r="S509" s="190"/>
      <c r="T509" s="190"/>
      <c r="U509" s="190"/>
      <c r="V509" s="190"/>
      <c r="W509" s="190"/>
      <c r="X509" s="190"/>
      <c r="Y509" s="190"/>
      <c r="Z509" s="190"/>
    </row>
    <row r="510" ht="15.75" customHeight="1">
      <c r="A510" s="228"/>
      <c r="B510" s="165"/>
      <c r="C510" s="162"/>
      <c r="D510" s="142"/>
      <c r="E510" s="144"/>
      <c r="F510" s="144"/>
      <c r="G510" s="144"/>
      <c r="H510" s="144"/>
      <c r="I510" s="182"/>
      <c r="J510" s="144"/>
      <c r="K510" s="145"/>
      <c r="L510" s="150"/>
      <c r="M510" s="146"/>
      <c r="N510" s="146"/>
      <c r="O510" s="146"/>
      <c r="P510" s="146"/>
      <c r="Q510" s="146"/>
      <c r="R510" s="190"/>
      <c r="S510" s="190"/>
      <c r="T510" s="190"/>
      <c r="U510" s="190"/>
      <c r="V510" s="190"/>
      <c r="W510" s="190"/>
      <c r="X510" s="190"/>
      <c r="Y510" s="190"/>
      <c r="Z510" s="190"/>
    </row>
    <row r="511" ht="15.75" customHeight="1">
      <c r="A511" s="228"/>
      <c r="B511" s="165"/>
      <c r="C511" s="162"/>
      <c r="D511" s="142"/>
      <c r="E511" s="144"/>
      <c r="F511" s="144"/>
      <c r="G511" s="144"/>
      <c r="H511" s="144"/>
      <c r="I511" s="182"/>
      <c r="J511" s="144"/>
      <c r="K511" s="145"/>
      <c r="L511" s="150"/>
      <c r="M511" s="146"/>
      <c r="N511" s="146"/>
      <c r="O511" s="146"/>
      <c r="P511" s="146"/>
      <c r="Q511" s="146"/>
      <c r="R511" s="190"/>
      <c r="S511" s="190"/>
      <c r="T511" s="190"/>
      <c r="U511" s="190"/>
      <c r="V511" s="190"/>
      <c r="W511" s="190"/>
      <c r="X511" s="190"/>
      <c r="Y511" s="190"/>
      <c r="Z511" s="190"/>
    </row>
    <row r="512" ht="15.75" customHeight="1">
      <c r="A512" s="228"/>
      <c r="B512" s="165"/>
      <c r="C512" s="162"/>
      <c r="D512" s="142"/>
      <c r="E512" s="144"/>
      <c r="F512" s="144"/>
      <c r="G512" s="144"/>
      <c r="H512" s="144"/>
      <c r="I512" s="182"/>
      <c r="J512" s="144"/>
      <c r="K512" s="145"/>
      <c r="L512" s="150"/>
      <c r="M512" s="146"/>
      <c r="N512" s="146"/>
      <c r="O512" s="146"/>
      <c r="P512" s="146"/>
      <c r="Q512" s="146"/>
      <c r="R512" s="190"/>
      <c r="S512" s="190"/>
      <c r="T512" s="190"/>
      <c r="U512" s="190"/>
      <c r="V512" s="190"/>
      <c r="W512" s="190"/>
      <c r="X512" s="190"/>
      <c r="Y512" s="190"/>
      <c r="Z512" s="190"/>
    </row>
    <row r="513" ht="15.75" customHeight="1">
      <c r="A513" s="228"/>
      <c r="B513" s="165"/>
      <c r="C513" s="162"/>
      <c r="D513" s="142"/>
      <c r="E513" s="144"/>
      <c r="F513" s="144"/>
      <c r="G513" s="144"/>
      <c r="H513" s="144"/>
      <c r="I513" s="182"/>
      <c r="J513" s="144"/>
      <c r="K513" s="145"/>
      <c r="L513" s="150"/>
      <c r="M513" s="146"/>
      <c r="N513" s="146"/>
      <c r="O513" s="146"/>
      <c r="P513" s="146"/>
      <c r="Q513" s="146"/>
      <c r="R513" s="190"/>
      <c r="S513" s="190"/>
      <c r="T513" s="190"/>
      <c r="U513" s="190"/>
      <c r="V513" s="190"/>
      <c r="W513" s="190"/>
      <c r="X513" s="190"/>
      <c r="Y513" s="190"/>
      <c r="Z513" s="190"/>
    </row>
    <row r="514" ht="15.75" customHeight="1">
      <c r="A514" s="228"/>
      <c r="B514" s="165"/>
      <c r="C514" s="162"/>
      <c r="D514" s="142"/>
      <c r="E514" s="144"/>
      <c r="F514" s="144"/>
      <c r="G514" s="144"/>
      <c r="H514" s="144"/>
      <c r="I514" s="182"/>
      <c r="J514" s="144"/>
      <c r="K514" s="145"/>
      <c r="L514" s="150"/>
      <c r="M514" s="146"/>
      <c r="N514" s="146"/>
      <c r="O514" s="146"/>
      <c r="P514" s="146"/>
      <c r="Q514" s="146"/>
      <c r="R514" s="190"/>
      <c r="S514" s="190"/>
      <c r="T514" s="190"/>
      <c r="U514" s="190"/>
      <c r="V514" s="190"/>
      <c r="W514" s="190"/>
      <c r="X514" s="190"/>
      <c r="Y514" s="190"/>
      <c r="Z514" s="190"/>
    </row>
    <row r="515" ht="15.75" customHeight="1">
      <c r="A515" s="228"/>
      <c r="B515" s="165"/>
      <c r="C515" s="162"/>
      <c r="D515" s="142"/>
      <c r="E515" s="144"/>
      <c r="F515" s="144"/>
      <c r="G515" s="144"/>
      <c r="H515" s="144"/>
      <c r="I515" s="182"/>
      <c r="J515" s="144"/>
      <c r="K515" s="145"/>
      <c r="L515" s="150"/>
      <c r="M515" s="146"/>
      <c r="N515" s="146"/>
      <c r="O515" s="146"/>
      <c r="P515" s="146"/>
      <c r="Q515" s="146"/>
      <c r="R515" s="190"/>
      <c r="S515" s="190"/>
      <c r="T515" s="190"/>
      <c r="U515" s="190"/>
      <c r="V515" s="190"/>
      <c r="W515" s="190"/>
      <c r="X515" s="190"/>
      <c r="Y515" s="190"/>
      <c r="Z515" s="190"/>
    </row>
    <row r="516" ht="15.75" customHeight="1">
      <c r="A516" s="228"/>
      <c r="B516" s="165"/>
      <c r="C516" s="162"/>
      <c r="D516" s="142"/>
      <c r="E516" s="144"/>
      <c r="F516" s="144"/>
      <c r="G516" s="144"/>
      <c r="H516" s="144"/>
      <c r="I516" s="182"/>
      <c r="J516" s="144"/>
      <c r="K516" s="145"/>
      <c r="L516" s="150"/>
      <c r="M516" s="146"/>
      <c r="N516" s="146"/>
      <c r="O516" s="146"/>
      <c r="P516" s="146"/>
      <c r="Q516" s="146"/>
      <c r="R516" s="190"/>
      <c r="S516" s="190"/>
      <c r="T516" s="190"/>
      <c r="U516" s="190"/>
      <c r="V516" s="190"/>
      <c r="W516" s="190"/>
      <c r="X516" s="190"/>
      <c r="Y516" s="190"/>
      <c r="Z516" s="190"/>
    </row>
    <row r="517" ht="15.75" customHeight="1">
      <c r="A517" s="228"/>
      <c r="B517" s="165"/>
      <c r="C517" s="162"/>
      <c r="D517" s="142"/>
      <c r="E517" s="144"/>
      <c r="F517" s="144"/>
      <c r="G517" s="144"/>
      <c r="H517" s="144"/>
      <c r="I517" s="182"/>
      <c r="J517" s="144"/>
      <c r="K517" s="145"/>
      <c r="L517" s="150"/>
      <c r="M517" s="146"/>
      <c r="N517" s="146"/>
      <c r="O517" s="146"/>
      <c r="P517" s="146"/>
      <c r="Q517" s="146"/>
      <c r="R517" s="190"/>
      <c r="S517" s="190"/>
      <c r="T517" s="190"/>
      <c r="U517" s="190"/>
      <c r="V517" s="190"/>
      <c r="W517" s="190"/>
      <c r="X517" s="190"/>
      <c r="Y517" s="190"/>
      <c r="Z517" s="190"/>
    </row>
    <row r="518" ht="15.75" customHeight="1">
      <c r="A518" s="228"/>
      <c r="B518" s="165"/>
      <c r="C518" s="162"/>
      <c r="D518" s="142"/>
      <c r="E518" s="144"/>
      <c r="F518" s="144"/>
      <c r="G518" s="144"/>
      <c r="H518" s="144"/>
      <c r="I518" s="182"/>
      <c r="J518" s="144"/>
      <c r="K518" s="145"/>
      <c r="L518" s="150"/>
      <c r="M518" s="146"/>
      <c r="N518" s="146"/>
      <c r="O518" s="146"/>
      <c r="P518" s="146"/>
      <c r="Q518" s="146"/>
      <c r="R518" s="190"/>
      <c r="S518" s="190"/>
      <c r="T518" s="190"/>
      <c r="U518" s="190"/>
      <c r="V518" s="190"/>
      <c r="W518" s="190"/>
      <c r="X518" s="190"/>
      <c r="Y518" s="190"/>
      <c r="Z518" s="190"/>
    </row>
    <row r="519" ht="15.75" customHeight="1">
      <c r="A519" s="228"/>
      <c r="B519" s="165"/>
      <c r="C519" s="162"/>
      <c r="D519" s="142"/>
      <c r="E519" s="144"/>
      <c r="F519" s="144"/>
      <c r="G519" s="144"/>
      <c r="H519" s="144"/>
      <c r="I519" s="182"/>
      <c r="J519" s="144"/>
      <c r="K519" s="145"/>
      <c r="L519" s="150"/>
      <c r="M519" s="146"/>
      <c r="N519" s="146"/>
      <c r="O519" s="146"/>
      <c r="P519" s="146"/>
      <c r="Q519" s="146"/>
      <c r="R519" s="190"/>
      <c r="S519" s="190"/>
      <c r="T519" s="190"/>
      <c r="U519" s="190"/>
      <c r="V519" s="190"/>
      <c r="W519" s="190"/>
      <c r="X519" s="190"/>
      <c r="Y519" s="190"/>
      <c r="Z519" s="190"/>
    </row>
    <row r="520" ht="15.75" customHeight="1">
      <c r="A520" s="228"/>
      <c r="B520" s="165"/>
      <c r="C520" s="162"/>
      <c r="D520" s="142"/>
      <c r="E520" s="144"/>
      <c r="F520" s="144"/>
      <c r="G520" s="144"/>
      <c r="H520" s="144"/>
      <c r="I520" s="182"/>
      <c r="J520" s="144"/>
      <c r="K520" s="145"/>
      <c r="L520" s="150"/>
      <c r="M520" s="146"/>
      <c r="N520" s="146"/>
      <c r="O520" s="146"/>
      <c r="P520" s="146"/>
      <c r="Q520" s="146"/>
      <c r="R520" s="190"/>
      <c r="S520" s="190"/>
      <c r="T520" s="190"/>
      <c r="U520" s="190"/>
      <c r="V520" s="190"/>
      <c r="W520" s="190"/>
      <c r="X520" s="190"/>
      <c r="Y520" s="190"/>
      <c r="Z520" s="190"/>
    </row>
    <row r="521" ht="15.75" customHeight="1">
      <c r="A521" s="228"/>
      <c r="B521" s="165"/>
      <c r="C521" s="162"/>
      <c r="D521" s="142"/>
      <c r="E521" s="144"/>
      <c r="F521" s="144"/>
      <c r="G521" s="144"/>
      <c r="H521" s="144"/>
      <c r="I521" s="182"/>
      <c r="J521" s="144"/>
      <c r="K521" s="145"/>
      <c r="L521" s="150"/>
      <c r="M521" s="146"/>
      <c r="N521" s="146"/>
      <c r="O521" s="146"/>
      <c r="P521" s="146"/>
      <c r="Q521" s="146"/>
      <c r="R521" s="190"/>
      <c r="S521" s="190"/>
      <c r="T521" s="190"/>
      <c r="U521" s="190"/>
      <c r="V521" s="190"/>
      <c r="W521" s="190"/>
      <c r="X521" s="190"/>
      <c r="Y521" s="190"/>
      <c r="Z521" s="190"/>
    </row>
    <row r="522" ht="15.75" customHeight="1">
      <c r="A522" s="228"/>
      <c r="B522" s="165"/>
      <c r="C522" s="162"/>
      <c r="D522" s="142"/>
      <c r="E522" s="144"/>
      <c r="F522" s="144"/>
      <c r="G522" s="144"/>
      <c r="H522" s="144"/>
      <c r="I522" s="182"/>
      <c r="J522" s="144"/>
      <c r="K522" s="145"/>
      <c r="L522" s="150"/>
      <c r="M522" s="146"/>
      <c r="N522" s="146"/>
      <c r="O522" s="146"/>
      <c r="P522" s="146"/>
      <c r="Q522" s="146"/>
      <c r="R522" s="190"/>
      <c r="S522" s="190"/>
      <c r="T522" s="190"/>
      <c r="U522" s="190"/>
      <c r="V522" s="190"/>
      <c r="W522" s="190"/>
      <c r="X522" s="190"/>
      <c r="Y522" s="190"/>
      <c r="Z522" s="190"/>
    </row>
    <row r="523" ht="15.75" customHeight="1">
      <c r="A523" s="228"/>
      <c r="B523" s="165"/>
      <c r="C523" s="162"/>
      <c r="D523" s="142"/>
      <c r="E523" s="144"/>
      <c r="F523" s="144"/>
      <c r="G523" s="144"/>
      <c r="H523" s="144"/>
      <c r="I523" s="182"/>
      <c r="J523" s="144"/>
      <c r="K523" s="145"/>
      <c r="L523" s="150"/>
      <c r="M523" s="146"/>
      <c r="N523" s="146"/>
      <c r="O523" s="146"/>
      <c r="P523" s="146"/>
      <c r="Q523" s="146"/>
      <c r="R523" s="190"/>
      <c r="S523" s="190"/>
      <c r="T523" s="190"/>
      <c r="U523" s="190"/>
      <c r="V523" s="190"/>
      <c r="W523" s="190"/>
      <c r="X523" s="190"/>
      <c r="Y523" s="190"/>
      <c r="Z523" s="190"/>
    </row>
    <row r="524" ht="15.75" customHeight="1">
      <c r="A524" s="228"/>
      <c r="B524" s="165"/>
      <c r="C524" s="162"/>
      <c r="D524" s="142"/>
      <c r="E524" s="144"/>
      <c r="F524" s="144"/>
      <c r="G524" s="144"/>
      <c r="H524" s="144"/>
      <c r="I524" s="182"/>
      <c r="J524" s="144"/>
      <c r="K524" s="145"/>
      <c r="L524" s="150"/>
      <c r="M524" s="146"/>
      <c r="N524" s="146"/>
      <c r="O524" s="146"/>
      <c r="P524" s="146"/>
      <c r="Q524" s="146"/>
      <c r="R524" s="190"/>
      <c r="S524" s="190"/>
      <c r="T524" s="190"/>
      <c r="U524" s="190"/>
      <c r="V524" s="190"/>
      <c r="W524" s="190"/>
      <c r="X524" s="190"/>
      <c r="Y524" s="190"/>
      <c r="Z524" s="190"/>
    </row>
    <row r="525" ht="15.75" customHeight="1">
      <c r="A525" s="228"/>
      <c r="B525" s="165"/>
      <c r="C525" s="162"/>
      <c r="D525" s="142"/>
      <c r="E525" s="144"/>
      <c r="F525" s="144"/>
      <c r="G525" s="144"/>
      <c r="H525" s="144"/>
      <c r="I525" s="182"/>
      <c r="J525" s="144"/>
      <c r="K525" s="145"/>
      <c r="L525" s="150"/>
      <c r="M525" s="146"/>
      <c r="N525" s="146"/>
      <c r="O525" s="146"/>
      <c r="P525" s="146"/>
      <c r="Q525" s="146"/>
      <c r="R525" s="190"/>
      <c r="S525" s="190"/>
      <c r="T525" s="190"/>
      <c r="U525" s="190"/>
      <c r="V525" s="190"/>
      <c r="W525" s="190"/>
      <c r="X525" s="190"/>
      <c r="Y525" s="190"/>
      <c r="Z525" s="190"/>
    </row>
    <row r="526" ht="15.75" customHeight="1">
      <c r="A526" s="228"/>
      <c r="B526" s="165"/>
      <c r="C526" s="162"/>
      <c r="D526" s="142"/>
      <c r="E526" s="144"/>
      <c r="F526" s="144"/>
      <c r="G526" s="144"/>
      <c r="H526" s="144"/>
      <c r="I526" s="182"/>
      <c r="J526" s="144"/>
      <c r="K526" s="145"/>
      <c r="L526" s="150"/>
      <c r="M526" s="146"/>
      <c r="N526" s="146"/>
      <c r="O526" s="146"/>
      <c r="P526" s="146"/>
      <c r="Q526" s="146"/>
      <c r="R526" s="190"/>
      <c r="S526" s="190"/>
      <c r="T526" s="190"/>
      <c r="U526" s="190"/>
      <c r="V526" s="190"/>
      <c r="W526" s="190"/>
      <c r="X526" s="190"/>
      <c r="Y526" s="190"/>
      <c r="Z526" s="190"/>
    </row>
    <row r="527" ht="15.75" customHeight="1">
      <c r="A527" s="228"/>
      <c r="B527" s="165"/>
      <c r="C527" s="162"/>
      <c r="D527" s="142"/>
      <c r="E527" s="144"/>
      <c r="F527" s="144"/>
      <c r="G527" s="144"/>
      <c r="H527" s="144"/>
      <c r="I527" s="182"/>
      <c r="J527" s="144"/>
      <c r="K527" s="145"/>
      <c r="L527" s="150"/>
      <c r="M527" s="146"/>
      <c r="N527" s="146"/>
      <c r="O527" s="146"/>
      <c r="P527" s="146"/>
      <c r="Q527" s="146"/>
      <c r="R527" s="190"/>
      <c r="S527" s="190"/>
      <c r="T527" s="190"/>
      <c r="U527" s="190"/>
      <c r="V527" s="190"/>
      <c r="W527" s="190"/>
      <c r="X527" s="190"/>
      <c r="Y527" s="190"/>
      <c r="Z527" s="190"/>
    </row>
    <row r="528" ht="15.75" customHeight="1">
      <c r="A528" s="228"/>
      <c r="B528" s="165"/>
      <c r="C528" s="162"/>
      <c r="D528" s="142"/>
      <c r="E528" s="144"/>
      <c r="F528" s="144"/>
      <c r="G528" s="144"/>
      <c r="H528" s="144"/>
      <c r="I528" s="182"/>
      <c r="J528" s="144"/>
      <c r="K528" s="145"/>
      <c r="L528" s="150"/>
      <c r="M528" s="146"/>
      <c r="N528" s="146"/>
      <c r="O528" s="146"/>
      <c r="P528" s="146"/>
      <c r="Q528" s="146"/>
      <c r="R528" s="190"/>
      <c r="S528" s="190"/>
      <c r="T528" s="190"/>
      <c r="U528" s="190"/>
      <c r="V528" s="190"/>
      <c r="W528" s="190"/>
      <c r="X528" s="190"/>
      <c r="Y528" s="190"/>
      <c r="Z528" s="190"/>
    </row>
    <row r="529" ht="15.75" customHeight="1">
      <c r="A529" s="228"/>
      <c r="B529" s="165"/>
      <c r="C529" s="162"/>
      <c r="D529" s="142"/>
      <c r="E529" s="144"/>
      <c r="F529" s="144"/>
      <c r="G529" s="144"/>
      <c r="H529" s="144"/>
      <c r="I529" s="182"/>
      <c r="J529" s="144"/>
      <c r="K529" s="145"/>
      <c r="L529" s="150"/>
      <c r="M529" s="146"/>
      <c r="N529" s="146"/>
      <c r="O529" s="146"/>
      <c r="P529" s="146"/>
      <c r="Q529" s="146"/>
      <c r="R529" s="190"/>
      <c r="S529" s="190"/>
      <c r="T529" s="190"/>
      <c r="U529" s="190"/>
      <c r="V529" s="190"/>
      <c r="W529" s="190"/>
      <c r="X529" s="190"/>
      <c r="Y529" s="190"/>
      <c r="Z529" s="190"/>
    </row>
    <row r="530" ht="15.75" customHeight="1">
      <c r="A530" s="228"/>
      <c r="B530" s="165"/>
      <c r="C530" s="162"/>
      <c r="D530" s="142"/>
      <c r="E530" s="144"/>
      <c r="F530" s="144"/>
      <c r="G530" s="144"/>
      <c r="H530" s="144"/>
      <c r="I530" s="182"/>
      <c r="J530" s="144"/>
      <c r="K530" s="145"/>
      <c r="L530" s="150"/>
      <c r="M530" s="146"/>
      <c r="N530" s="146"/>
      <c r="O530" s="146"/>
      <c r="P530" s="146"/>
      <c r="Q530" s="146"/>
      <c r="R530" s="190"/>
      <c r="S530" s="190"/>
      <c r="T530" s="190"/>
      <c r="U530" s="190"/>
      <c r="V530" s="190"/>
      <c r="W530" s="190"/>
      <c r="X530" s="190"/>
      <c r="Y530" s="190"/>
      <c r="Z530" s="190"/>
    </row>
    <row r="531" ht="15.75" customHeight="1">
      <c r="A531" s="228"/>
      <c r="B531" s="165"/>
      <c r="C531" s="162"/>
      <c r="D531" s="142"/>
      <c r="E531" s="144"/>
      <c r="F531" s="144"/>
      <c r="G531" s="144"/>
      <c r="H531" s="144"/>
      <c r="I531" s="182"/>
      <c r="J531" s="144"/>
      <c r="K531" s="145"/>
      <c r="L531" s="150"/>
      <c r="M531" s="146"/>
      <c r="N531" s="146"/>
      <c r="O531" s="146"/>
      <c r="P531" s="146"/>
      <c r="Q531" s="146"/>
      <c r="R531" s="190"/>
      <c r="S531" s="190"/>
      <c r="T531" s="190"/>
      <c r="U531" s="190"/>
      <c r="V531" s="190"/>
      <c r="W531" s="190"/>
      <c r="X531" s="190"/>
      <c r="Y531" s="190"/>
      <c r="Z531" s="190"/>
    </row>
    <row r="532" ht="15.75" customHeight="1">
      <c r="A532" s="228"/>
      <c r="B532" s="165"/>
      <c r="C532" s="162"/>
      <c r="D532" s="142"/>
      <c r="E532" s="144"/>
      <c r="F532" s="144"/>
      <c r="G532" s="144"/>
      <c r="H532" s="144"/>
      <c r="I532" s="182"/>
      <c r="J532" s="144"/>
      <c r="K532" s="145"/>
      <c r="L532" s="150"/>
      <c r="M532" s="146"/>
      <c r="N532" s="146"/>
      <c r="O532" s="146"/>
      <c r="P532" s="146"/>
      <c r="Q532" s="146"/>
      <c r="R532" s="190"/>
      <c r="S532" s="190"/>
      <c r="T532" s="190"/>
      <c r="U532" s="190"/>
      <c r="V532" s="190"/>
      <c r="W532" s="190"/>
      <c r="X532" s="190"/>
      <c r="Y532" s="190"/>
      <c r="Z532" s="190"/>
    </row>
    <row r="533" ht="15.75" customHeight="1">
      <c r="A533" s="228"/>
      <c r="B533" s="165"/>
      <c r="C533" s="162"/>
      <c r="D533" s="142"/>
      <c r="E533" s="144"/>
      <c r="F533" s="144"/>
      <c r="G533" s="144"/>
      <c r="H533" s="144"/>
      <c r="I533" s="182"/>
      <c r="J533" s="144"/>
      <c r="K533" s="145"/>
      <c r="L533" s="150"/>
      <c r="M533" s="146"/>
      <c r="N533" s="146"/>
      <c r="O533" s="146"/>
      <c r="P533" s="146"/>
      <c r="Q533" s="146"/>
      <c r="R533" s="190"/>
      <c r="S533" s="190"/>
      <c r="T533" s="190"/>
      <c r="U533" s="190"/>
      <c r="V533" s="190"/>
      <c r="W533" s="190"/>
      <c r="X533" s="190"/>
      <c r="Y533" s="190"/>
      <c r="Z533" s="190"/>
    </row>
    <row r="534" ht="15.75" customHeight="1">
      <c r="A534" s="228"/>
      <c r="B534" s="165"/>
      <c r="C534" s="162"/>
      <c r="D534" s="142"/>
      <c r="E534" s="144"/>
      <c r="F534" s="144"/>
      <c r="G534" s="144"/>
      <c r="H534" s="144"/>
      <c r="I534" s="182"/>
      <c r="J534" s="144"/>
      <c r="K534" s="145"/>
      <c r="L534" s="150"/>
      <c r="M534" s="146"/>
      <c r="N534" s="146"/>
      <c r="O534" s="146"/>
      <c r="P534" s="146"/>
      <c r="Q534" s="146"/>
      <c r="R534" s="190"/>
      <c r="S534" s="190"/>
      <c r="T534" s="190"/>
      <c r="U534" s="190"/>
      <c r="V534" s="190"/>
      <c r="W534" s="190"/>
      <c r="X534" s="190"/>
      <c r="Y534" s="190"/>
      <c r="Z534" s="190"/>
    </row>
    <row r="535" ht="15.75" customHeight="1">
      <c r="A535" s="228"/>
      <c r="B535" s="165"/>
      <c r="C535" s="162"/>
      <c r="D535" s="142"/>
      <c r="E535" s="144"/>
      <c r="F535" s="144"/>
      <c r="G535" s="144"/>
      <c r="H535" s="144"/>
      <c r="I535" s="182"/>
      <c r="J535" s="144"/>
      <c r="K535" s="145"/>
      <c r="L535" s="150"/>
      <c r="M535" s="146"/>
      <c r="N535" s="146"/>
      <c r="O535" s="146"/>
      <c r="P535" s="146"/>
      <c r="Q535" s="146"/>
      <c r="R535" s="190"/>
      <c r="S535" s="190"/>
      <c r="T535" s="190"/>
      <c r="U535" s="190"/>
      <c r="V535" s="190"/>
      <c r="W535" s="190"/>
      <c r="X535" s="190"/>
      <c r="Y535" s="190"/>
      <c r="Z535" s="190"/>
    </row>
    <row r="536" ht="15.75" customHeight="1">
      <c r="A536" s="228"/>
      <c r="B536" s="165"/>
      <c r="C536" s="162"/>
      <c r="D536" s="142"/>
      <c r="E536" s="144"/>
      <c r="F536" s="144"/>
      <c r="G536" s="144"/>
      <c r="H536" s="144"/>
      <c r="I536" s="182"/>
      <c r="J536" s="144"/>
      <c r="K536" s="145"/>
      <c r="L536" s="150"/>
      <c r="M536" s="146"/>
      <c r="N536" s="146"/>
      <c r="O536" s="146"/>
      <c r="P536" s="146"/>
      <c r="Q536" s="146"/>
      <c r="R536" s="190"/>
      <c r="S536" s="190"/>
      <c r="T536" s="190"/>
      <c r="U536" s="190"/>
      <c r="V536" s="190"/>
      <c r="W536" s="190"/>
      <c r="X536" s="190"/>
      <c r="Y536" s="190"/>
      <c r="Z536" s="190"/>
    </row>
    <row r="537" ht="15.75" customHeight="1">
      <c r="A537" s="228"/>
      <c r="B537" s="165"/>
      <c r="C537" s="162"/>
      <c r="D537" s="142"/>
      <c r="E537" s="144"/>
      <c r="F537" s="144"/>
      <c r="G537" s="144"/>
      <c r="H537" s="144"/>
      <c r="I537" s="182"/>
      <c r="J537" s="144"/>
      <c r="K537" s="145"/>
      <c r="L537" s="150"/>
      <c r="M537" s="146"/>
      <c r="N537" s="146"/>
      <c r="O537" s="146"/>
      <c r="P537" s="146"/>
      <c r="Q537" s="146"/>
      <c r="R537" s="190"/>
      <c r="S537" s="190"/>
      <c r="T537" s="190"/>
      <c r="U537" s="190"/>
      <c r="V537" s="190"/>
      <c r="W537" s="190"/>
      <c r="X537" s="190"/>
      <c r="Y537" s="190"/>
      <c r="Z537" s="190"/>
    </row>
    <row r="538" ht="15.75" customHeight="1">
      <c r="A538" s="228"/>
      <c r="B538" s="165"/>
      <c r="C538" s="162"/>
      <c r="D538" s="142"/>
      <c r="E538" s="144"/>
      <c r="F538" s="144"/>
      <c r="G538" s="144"/>
      <c r="H538" s="144"/>
      <c r="I538" s="182"/>
      <c r="J538" s="144"/>
      <c r="K538" s="145"/>
      <c r="L538" s="150"/>
      <c r="M538" s="146"/>
      <c r="N538" s="146"/>
      <c r="O538" s="146"/>
      <c r="P538" s="146"/>
      <c r="Q538" s="146"/>
      <c r="R538" s="190"/>
      <c r="S538" s="190"/>
      <c r="T538" s="190"/>
      <c r="U538" s="190"/>
      <c r="V538" s="190"/>
      <c r="W538" s="190"/>
      <c r="X538" s="190"/>
      <c r="Y538" s="190"/>
      <c r="Z538" s="190"/>
    </row>
    <row r="539" ht="15.75" customHeight="1">
      <c r="A539" s="228"/>
      <c r="B539" s="165"/>
      <c r="C539" s="162"/>
      <c r="D539" s="142"/>
      <c r="E539" s="144"/>
      <c r="F539" s="144"/>
      <c r="G539" s="144"/>
      <c r="H539" s="144"/>
      <c r="I539" s="182"/>
      <c r="J539" s="144"/>
      <c r="K539" s="145"/>
      <c r="L539" s="150"/>
      <c r="M539" s="146"/>
      <c r="N539" s="146"/>
      <c r="O539" s="146"/>
      <c r="P539" s="146"/>
      <c r="Q539" s="146"/>
      <c r="R539" s="190"/>
      <c r="S539" s="190"/>
      <c r="T539" s="190"/>
      <c r="U539" s="190"/>
      <c r="V539" s="190"/>
      <c r="W539" s="190"/>
      <c r="X539" s="190"/>
      <c r="Y539" s="190"/>
      <c r="Z539" s="190"/>
    </row>
    <row r="540" ht="15.75" customHeight="1">
      <c r="A540" s="228"/>
      <c r="B540" s="165"/>
      <c r="C540" s="162"/>
      <c r="D540" s="142"/>
      <c r="E540" s="144"/>
      <c r="F540" s="144"/>
      <c r="G540" s="144"/>
      <c r="H540" s="144"/>
      <c r="I540" s="182"/>
      <c r="J540" s="144"/>
      <c r="K540" s="145"/>
      <c r="L540" s="150"/>
      <c r="M540" s="146"/>
      <c r="N540" s="146"/>
      <c r="O540" s="146"/>
      <c r="P540" s="146"/>
      <c r="Q540" s="146"/>
      <c r="R540" s="190"/>
      <c r="S540" s="190"/>
      <c r="T540" s="190"/>
      <c r="U540" s="190"/>
      <c r="V540" s="190"/>
      <c r="W540" s="190"/>
      <c r="X540" s="190"/>
      <c r="Y540" s="190"/>
      <c r="Z540" s="190"/>
    </row>
    <row r="541" ht="15.75" customHeight="1">
      <c r="A541" s="228"/>
      <c r="B541" s="165"/>
      <c r="C541" s="162"/>
      <c r="D541" s="142"/>
      <c r="E541" s="144"/>
      <c r="F541" s="144"/>
      <c r="G541" s="144"/>
      <c r="H541" s="144"/>
      <c r="I541" s="182"/>
      <c r="J541" s="144"/>
      <c r="K541" s="145"/>
      <c r="L541" s="150"/>
      <c r="M541" s="146"/>
      <c r="N541" s="146"/>
      <c r="O541" s="146"/>
      <c r="P541" s="146"/>
      <c r="Q541" s="146"/>
      <c r="R541" s="190"/>
      <c r="S541" s="190"/>
      <c r="T541" s="190"/>
      <c r="U541" s="190"/>
      <c r="V541" s="190"/>
      <c r="W541" s="190"/>
      <c r="X541" s="190"/>
      <c r="Y541" s="190"/>
      <c r="Z541" s="190"/>
    </row>
    <row r="542" ht="15.75" customHeight="1">
      <c r="A542" s="228"/>
      <c r="B542" s="165"/>
      <c r="C542" s="162"/>
      <c r="D542" s="142"/>
      <c r="E542" s="144"/>
      <c r="F542" s="144"/>
      <c r="G542" s="144"/>
      <c r="H542" s="144"/>
      <c r="I542" s="182"/>
      <c r="J542" s="144"/>
      <c r="K542" s="145"/>
      <c r="L542" s="150"/>
      <c r="M542" s="146"/>
      <c r="N542" s="146"/>
      <c r="O542" s="146"/>
      <c r="P542" s="146"/>
      <c r="Q542" s="146"/>
      <c r="R542" s="190"/>
      <c r="S542" s="190"/>
      <c r="T542" s="190"/>
      <c r="U542" s="190"/>
      <c r="V542" s="190"/>
      <c r="W542" s="190"/>
      <c r="X542" s="190"/>
      <c r="Y542" s="190"/>
      <c r="Z542" s="190"/>
    </row>
    <row r="543" ht="15.75" customHeight="1">
      <c r="A543" s="228"/>
      <c r="B543" s="165"/>
      <c r="C543" s="162"/>
      <c r="D543" s="142"/>
      <c r="E543" s="144"/>
      <c r="F543" s="144"/>
      <c r="G543" s="144"/>
      <c r="H543" s="144"/>
      <c r="I543" s="182"/>
      <c r="J543" s="144"/>
      <c r="K543" s="145"/>
      <c r="L543" s="150"/>
      <c r="M543" s="146"/>
      <c r="N543" s="146"/>
      <c r="O543" s="146"/>
      <c r="P543" s="146"/>
      <c r="Q543" s="146"/>
      <c r="R543" s="190"/>
      <c r="S543" s="190"/>
      <c r="T543" s="190"/>
      <c r="U543" s="190"/>
      <c r="V543" s="190"/>
      <c r="W543" s="190"/>
      <c r="X543" s="190"/>
      <c r="Y543" s="190"/>
      <c r="Z543" s="190"/>
    </row>
    <row r="544" ht="15.75" customHeight="1">
      <c r="A544" s="228"/>
      <c r="B544" s="165"/>
      <c r="C544" s="162"/>
      <c r="D544" s="142"/>
      <c r="E544" s="144"/>
      <c r="F544" s="144"/>
      <c r="G544" s="144"/>
      <c r="H544" s="144"/>
      <c r="I544" s="182"/>
      <c r="J544" s="144"/>
      <c r="K544" s="145"/>
      <c r="L544" s="150"/>
      <c r="M544" s="146"/>
      <c r="N544" s="146"/>
      <c r="O544" s="146"/>
      <c r="P544" s="146"/>
      <c r="Q544" s="146"/>
      <c r="R544" s="190"/>
      <c r="S544" s="190"/>
      <c r="T544" s="190"/>
      <c r="U544" s="190"/>
      <c r="V544" s="190"/>
      <c r="W544" s="190"/>
      <c r="X544" s="190"/>
      <c r="Y544" s="190"/>
      <c r="Z544" s="190"/>
    </row>
    <row r="545" ht="15.75" customHeight="1">
      <c r="A545" s="228"/>
      <c r="B545" s="165"/>
      <c r="C545" s="162"/>
      <c r="D545" s="142"/>
      <c r="E545" s="144"/>
      <c r="F545" s="144"/>
      <c r="G545" s="144"/>
      <c r="H545" s="144"/>
      <c r="I545" s="182"/>
      <c r="J545" s="144"/>
      <c r="K545" s="145"/>
      <c r="L545" s="150"/>
      <c r="M545" s="146"/>
      <c r="N545" s="146"/>
      <c r="O545" s="146"/>
      <c r="P545" s="146"/>
      <c r="Q545" s="146"/>
      <c r="R545" s="190"/>
      <c r="S545" s="190"/>
      <c r="T545" s="190"/>
      <c r="U545" s="190"/>
      <c r="V545" s="190"/>
      <c r="W545" s="190"/>
      <c r="X545" s="190"/>
      <c r="Y545" s="190"/>
      <c r="Z545" s="190"/>
    </row>
    <row r="546" ht="15.75" customHeight="1">
      <c r="A546" s="228"/>
      <c r="B546" s="165"/>
      <c r="C546" s="162"/>
      <c r="D546" s="142"/>
      <c r="E546" s="144"/>
      <c r="F546" s="144"/>
      <c r="G546" s="144"/>
      <c r="H546" s="144"/>
      <c r="I546" s="182"/>
      <c r="J546" s="144"/>
      <c r="K546" s="145"/>
      <c r="L546" s="150"/>
      <c r="M546" s="146"/>
      <c r="N546" s="146"/>
      <c r="O546" s="146"/>
      <c r="P546" s="146"/>
      <c r="Q546" s="146"/>
      <c r="R546" s="190"/>
      <c r="S546" s="190"/>
      <c r="T546" s="190"/>
      <c r="U546" s="190"/>
      <c r="V546" s="190"/>
      <c r="W546" s="190"/>
      <c r="X546" s="190"/>
      <c r="Y546" s="190"/>
      <c r="Z546" s="190"/>
    </row>
    <row r="547" ht="15.75" customHeight="1">
      <c r="A547" s="228"/>
      <c r="B547" s="165"/>
      <c r="C547" s="162"/>
      <c r="D547" s="142"/>
      <c r="E547" s="144"/>
      <c r="F547" s="144"/>
      <c r="G547" s="144"/>
      <c r="H547" s="144"/>
      <c r="I547" s="182"/>
      <c r="J547" s="144"/>
      <c r="K547" s="145"/>
      <c r="L547" s="150"/>
      <c r="M547" s="146"/>
      <c r="N547" s="146"/>
      <c r="O547" s="146"/>
      <c r="P547" s="146"/>
      <c r="Q547" s="146"/>
      <c r="R547" s="190"/>
      <c r="S547" s="190"/>
      <c r="T547" s="190"/>
      <c r="U547" s="190"/>
      <c r="V547" s="190"/>
      <c r="W547" s="190"/>
      <c r="X547" s="190"/>
      <c r="Y547" s="190"/>
      <c r="Z547" s="190"/>
    </row>
    <row r="548" ht="15.75" customHeight="1">
      <c r="A548" s="228"/>
      <c r="B548" s="165"/>
      <c r="C548" s="162"/>
      <c r="D548" s="142"/>
      <c r="E548" s="144"/>
      <c r="F548" s="144"/>
      <c r="G548" s="144"/>
      <c r="H548" s="144"/>
      <c r="I548" s="182"/>
      <c r="J548" s="144"/>
      <c r="K548" s="145"/>
      <c r="L548" s="150"/>
      <c r="M548" s="146"/>
      <c r="N548" s="146"/>
      <c r="O548" s="146"/>
      <c r="P548" s="146"/>
      <c r="Q548" s="146"/>
      <c r="R548" s="190"/>
      <c r="S548" s="190"/>
      <c r="T548" s="190"/>
      <c r="U548" s="190"/>
      <c r="V548" s="190"/>
      <c r="W548" s="190"/>
      <c r="X548" s="190"/>
      <c r="Y548" s="190"/>
      <c r="Z548" s="190"/>
    </row>
    <row r="549" ht="15.75" customHeight="1">
      <c r="A549" s="228"/>
      <c r="B549" s="165"/>
      <c r="C549" s="162"/>
      <c r="D549" s="142"/>
      <c r="E549" s="144"/>
      <c r="F549" s="144"/>
      <c r="G549" s="144"/>
      <c r="H549" s="144"/>
      <c r="I549" s="182"/>
      <c r="J549" s="144"/>
      <c r="K549" s="145"/>
      <c r="L549" s="150"/>
      <c r="M549" s="146"/>
      <c r="N549" s="146"/>
      <c r="O549" s="146"/>
      <c r="P549" s="146"/>
      <c r="Q549" s="146"/>
      <c r="R549" s="190"/>
      <c r="S549" s="190"/>
      <c r="T549" s="190"/>
      <c r="U549" s="190"/>
      <c r="V549" s="190"/>
      <c r="W549" s="190"/>
      <c r="X549" s="190"/>
      <c r="Y549" s="190"/>
      <c r="Z549" s="190"/>
    </row>
    <row r="550" ht="15.75" customHeight="1">
      <c r="A550" s="228"/>
      <c r="B550" s="165"/>
      <c r="C550" s="162"/>
      <c r="D550" s="142"/>
      <c r="E550" s="144"/>
      <c r="F550" s="144"/>
      <c r="G550" s="144"/>
      <c r="H550" s="144"/>
      <c r="I550" s="182"/>
      <c r="J550" s="144"/>
      <c r="K550" s="145"/>
      <c r="L550" s="150"/>
      <c r="M550" s="146"/>
      <c r="N550" s="146"/>
      <c r="O550" s="146"/>
      <c r="P550" s="146"/>
      <c r="Q550" s="146"/>
      <c r="R550" s="190"/>
      <c r="S550" s="190"/>
      <c r="T550" s="190"/>
      <c r="U550" s="190"/>
      <c r="V550" s="190"/>
      <c r="W550" s="190"/>
      <c r="X550" s="190"/>
      <c r="Y550" s="190"/>
      <c r="Z550" s="190"/>
    </row>
    <row r="551" ht="15.75" customHeight="1">
      <c r="A551" s="228"/>
      <c r="B551" s="165"/>
      <c r="C551" s="162"/>
      <c r="D551" s="142"/>
      <c r="E551" s="144"/>
      <c r="F551" s="144"/>
      <c r="G551" s="144"/>
      <c r="H551" s="144"/>
      <c r="I551" s="182"/>
      <c r="J551" s="144"/>
      <c r="K551" s="145"/>
      <c r="L551" s="150"/>
      <c r="M551" s="146"/>
      <c r="N551" s="146"/>
      <c r="O551" s="146"/>
      <c r="P551" s="146"/>
      <c r="Q551" s="146"/>
      <c r="R551" s="190"/>
      <c r="S551" s="190"/>
      <c r="T551" s="190"/>
      <c r="U551" s="190"/>
      <c r="V551" s="190"/>
      <c r="W551" s="190"/>
      <c r="X551" s="190"/>
      <c r="Y551" s="190"/>
      <c r="Z551" s="190"/>
    </row>
    <row r="552" ht="15.75" customHeight="1">
      <c r="A552" s="228"/>
      <c r="B552" s="165"/>
      <c r="C552" s="162"/>
      <c r="D552" s="142"/>
      <c r="E552" s="144"/>
      <c r="F552" s="144"/>
      <c r="G552" s="144"/>
      <c r="H552" s="144"/>
      <c r="I552" s="182"/>
      <c r="J552" s="144"/>
      <c r="K552" s="145"/>
      <c r="L552" s="150"/>
      <c r="M552" s="146"/>
      <c r="N552" s="146"/>
      <c r="O552" s="146"/>
      <c r="P552" s="146"/>
      <c r="Q552" s="146"/>
      <c r="R552" s="190"/>
      <c r="S552" s="190"/>
      <c r="T552" s="190"/>
      <c r="U552" s="190"/>
      <c r="V552" s="190"/>
      <c r="W552" s="190"/>
      <c r="X552" s="190"/>
      <c r="Y552" s="190"/>
      <c r="Z552" s="190"/>
    </row>
    <row r="553" ht="15.75" customHeight="1">
      <c r="A553" s="228"/>
      <c r="B553" s="165"/>
      <c r="C553" s="162"/>
      <c r="D553" s="142"/>
      <c r="E553" s="144"/>
      <c r="F553" s="144"/>
      <c r="G553" s="144"/>
      <c r="H553" s="144"/>
      <c r="I553" s="182"/>
      <c r="J553" s="144"/>
      <c r="K553" s="145"/>
      <c r="L553" s="150"/>
      <c r="M553" s="146"/>
      <c r="N553" s="146"/>
      <c r="O553" s="146"/>
      <c r="P553" s="146"/>
      <c r="Q553" s="146"/>
      <c r="R553" s="190"/>
      <c r="S553" s="190"/>
      <c r="T553" s="190"/>
      <c r="U553" s="190"/>
      <c r="V553" s="190"/>
      <c r="W553" s="190"/>
      <c r="X553" s="190"/>
      <c r="Y553" s="190"/>
      <c r="Z553" s="190"/>
    </row>
    <row r="554" ht="15.75" customHeight="1">
      <c r="A554" s="228"/>
      <c r="B554" s="165"/>
      <c r="C554" s="162"/>
      <c r="D554" s="142"/>
      <c r="E554" s="144"/>
      <c r="F554" s="144"/>
      <c r="G554" s="144"/>
      <c r="H554" s="144"/>
      <c r="I554" s="182"/>
      <c r="J554" s="144"/>
      <c r="K554" s="145"/>
      <c r="L554" s="150"/>
      <c r="M554" s="146"/>
      <c r="N554" s="146"/>
      <c r="O554" s="146"/>
      <c r="P554" s="146"/>
      <c r="Q554" s="146"/>
      <c r="R554" s="190"/>
      <c r="S554" s="190"/>
      <c r="T554" s="190"/>
      <c r="U554" s="190"/>
      <c r="V554" s="190"/>
      <c r="W554" s="190"/>
      <c r="X554" s="190"/>
      <c r="Y554" s="190"/>
      <c r="Z554" s="190"/>
    </row>
    <row r="555" ht="15.75" customHeight="1">
      <c r="A555" s="228"/>
      <c r="B555" s="165"/>
      <c r="C555" s="162"/>
      <c r="D555" s="142"/>
      <c r="E555" s="144"/>
      <c r="F555" s="144"/>
      <c r="G555" s="144"/>
      <c r="H555" s="144"/>
      <c r="I555" s="182"/>
      <c r="J555" s="144"/>
      <c r="K555" s="145"/>
      <c r="L555" s="150"/>
      <c r="M555" s="146"/>
      <c r="N555" s="146"/>
      <c r="O555" s="146"/>
      <c r="P555" s="146"/>
      <c r="Q555" s="146"/>
      <c r="R555" s="190"/>
      <c r="S555" s="190"/>
      <c r="T555" s="190"/>
      <c r="U555" s="190"/>
      <c r="V555" s="190"/>
      <c r="W555" s="190"/>
      <c r="X555" s="190"/>
      <c r="Y555" s="190"/>
      <c r="Z555" s="190"/>
    </row>
    <row r="556" ht="15.75" customHeight="1">
      <c r="A556" s="228"/>
      <c r="B556" s="165"/>
      <c r="C556" s="162"/>
      <c r="D556" s="142"/>
      <c r="E556" s="144"/>
      <c r="F556" s="144"/>
      <c r="G556" s="144"/>
      <c r="H556" s="144"/>
      <c r="I556" s="182"/>
      <c r="J556" s="144"/>
      <c r="K556" s="145"/>
      <c r="L556" s="150"/>
      <c r="M556" s="146"/>
      <c r="N556" s="146"/>
      <c r="O556" s="146"/>
      <c r="P556" s="146"/>
      <c r="Q556" s="146"/>
      <c r="R556" s="190"/>
      <c r="S556" s="190"/>
      <c r="T556" s="190"/>
      <c r="U556" s="190"/>
      <c r="V556" s="190"/>
      <c r="W556" s="190"/>
      <c r="X556" s="190"/>
      <c r="Y556" s="190"/>
      <c r="Z556" s="190"/>
    </row>
    <row r="557" ht="15.75" customHeight="1">
      <c r="A557" s="228"/>
      <c r="B557" s="165"/>
      <c r="C557" s="162"/>
      <c r="D557" s="142"/>
      <c r="E557" s="144"/>
      <c r="F557" s="144"/>
      <c r="G557" s="144"/>
      <c r="H557" s="144"/>
      <c r="I557" s="182"/>
      <c r="J557" s="144"/>
      <c r="K557" s="145"/>
      <c r="L557" s="150"/>
      <c r="M557" s="146"/>
      <c r="N557" s="146"/>
      <c r="O557" s="146"/>
      <c r="P557" s="146"/>
      <c r="Q557" s="146"/>
      <c r="R557" s="190"/>
      <c r="S557" s="190"/>
      <c r="T557" s="190"/>
      <c r="U557" s="190"/>
      <c r="V557" s="190"/>
      <c r="W557" s="190"/>
      <c r="X557" s="190"/>
      <c r="Y557" s="190"/>
      <c r="Z557" s="190"/>
    </row>
    <row r="558" ht="15.75" customHeight="1">
      <c r="A558" s="228"/>
      <c r="B558" s="165"/>
      <c r="C558" s="162"/>
      <c r="D558" s="142"/>
      <c r="E558" s="144"/>
      <c r="F558" s="144"/>
      <c r="G558" s="144"/>
      <c r="H558" s="144"/>
      <c r="I558" s="182"/>
      <c r="J558" s="144"/>
      <c r="K558" s="145"/>
      <c r="L558" s="150"/>
      <c r="M558" s="146"/>
      <c r="N558" s="146"/>
      <c r="O558" s="146"/>
      <c r="P558" s="146"/>
      <c r="Q558" s="146"/>
      <c r="R558" s="190"/>
      <c r="S558" s="190"/>
      <c r="T558" s="190"/>
      <c r="U558" s="190"/>
      <c r="V558" s="190"/>
      <c r="W558" s="190"/>
      <c r="X558" s="190"/>
      <c r="Y558" s="190"/>
      <c r="Z558" s="190"/>
    </row>
    <row r="559" ht="15.75" customHeight="1">
      <c r="A559" s="228"/>
      <c r="B559" s="165"/>
      <c r="C559" s="162"/>
      <c r="D559" s="142"/>
      <c r="E559" s="144"/>
      <c r="F559" s="144"/>
      <c r="G559" s="144"/>
      <c r="H559" s="144"/>
      <c r="I559" s="182"/>
      <c r="J559" s="144"/>
      <c r="K559" s="145"/>
      <c r="L559" s="150"/>
      <c r="M559" s="146"/>
      <c r="N559" s="146"/>
      <c r="O559" s="146"/>
      <c r="P559" s="146"/>
      <c r="Q559" s="146"/>
      <c r="R559" s="190"/>
      <c r="S559" s="190"/>
      <c r="T559" s="190"/>
      <c r="U559" s="190"/>
      <c r="V559" s="190"/>
      <c r="W559" s="190"/>
      <c r="X559" s="190"/>
      <c r="Y559" s="190"/>
      <c r="Z559" s="190"/>
    </row>
    <row r="560" ht="15.75" customHeight="1">
      <c r="A560" s="228"/>
      <c r="B560" s="165"/>
      <c r="C560" s="162"/>
      <c r="D560" s="142"/>
      <c r="E560" s="144"/>
      <c r="F560" s="144"/>
      <c r="G560" s="144"/>
      <c r="H560" s="144"/>
      <c r="I560" s="182"/>
      <c r="J560" s="144"/>
      <c r="K560" s="145"/>
      <c r="L560" s="150"/>
      <c r="M560" s="146"/>
      <c r="N560" s="146"/>
      <c r="O560" s="146"/>
      <c r="P560" s="146"/>
      <c r="Q560" s="146"/>
      <c r="R560" s="190"/>
      <c r="S560" s="190"/>
      <c r="T560" s="190"/>
      <c r="U560" s="190"/>
      <c r="V560" s="190"/>
      <c r="W560" s="190"/>
      <c r="X560" s="190"/>
      <c r="Y560" s="190"/>
      <c r="Z560" s="190"/>
    </row>
    <row r="561" ht="15.75" customHeight="1">
      <c r="A561" s="228"/>
      <c r="B561" s="165"/>
      <c r="C561" s="162"/>
      <c r="D561" s="142"/>
      <c r="E561" s="144"/>
      <c r="F561" s="144"/>
      <c r="G561" s="144"/>
      <c r="H561" s="144"/>
      <c r="I561" s="182"/>
      <c r="J561" s="144"/>
      <c r="K561" s="145"/>
      <c r="L561" s="150"/>
      <c r="M561" s="146"/>
      <c r="N561" s="146"/>
      <c r="O561" s="146"/>
      <c r="P561" s="146"/>
      <c r="Q561" s="146"/>
      <c r="R561" s="190"/>
      <c r="S561" s="190"/>
      <c r="T561" s="190"/>
      <c r="U561" s="190"/>
      <c r="V561" s="190"/>
      <c r="W561" s="190"/>
      <c r="X561" s="190"/>
      <c r="Y561" s="190"/>
      <c r="Z561" s="190"/>
    </row>
    <row r="562" ht="15.75" customHeight="1">
      <c r="A562" s="228"/>
      <c r="B562" s="165"/>
      <c r="C562" s="162"/>
      <c r="D562" s="142"/>
      <c r="E562" s="144"/>
      <c r="F562" s="144"/>
      <c r="G562" s="144"/>
      <c r="H562" s="144"/>
      <c r="I562" s="182"/>
      <c r="J562" s="144"/>
      <c r="K562" s="145"/>
      <c r="L562" s="150"/>
      <c r="M562" s="146"/>
      <c r="N562" s="146"/>
      <c r="O562" s="146"/>
      <c r="P562" s="146"/>
      <c r="Q562" s="146"/>
      <c r="R562" s="190"/>
      <c r="S562" s="190"/>
      <c r="T562" s="190"/>
      <c r="U562" s="190"/>
      <c r="V562" s="190"/>
      <c r="W562" s="190"/>
      <c r="X562" s="190"/>
      <c r="Y562" s="190"/>
      <c r="Z562" s="190"/>
    </row>
    <row r="563" ht="15.75" customHeight="1">
      <c r="A563" s="228"/>
      <c r="B563" s="165"/>
      <c r="C563" s="162"/>
      <c r="D563" s="142"/>
      <c r="E563" s="144"/>
      <c r="F563" s="144"/>
      <c r="G563" s="144"/>
      <c r="H563" s="144"/>
      <c r="I563" s="182"/>
      <c r="J563" s="144"/>
      <c r="K563" s="145"/>
      <c r="L563" s="150"/>
      <c r="M563" s="146"/>
      <c r="N563" s="146"/>
      <c r="O563" s="146"/>
      <c r="P563" s="146"/>
      <c r="Q563" s="146"/>
      <c r="R563" s="190"/>
      <c r="S563" s="190"/>
      <c r="T563" s="190"/>
      <c r="U563" s="190"/>
      <c r="V563" s="190"/>
      <c r="W563" s="190"/>
      <c r="X563" s="190"/>
      <c r="Y563" s="190"/>
      <c r="Z563" s="190"/>
    </row>
    <row r="564" ht="15.75" customHeight="1">
      <c r="A564" s="228"/>
      <c r="B564" s="165"/>
      <c r="C564" s="162"/>
      <c r="D564" s="142"/>
      <c r="E564" s="144"/>
      <c r="F564" s="144"/>
      <c r="G564" s="144"/>
      <c r="H564" s="144"/>
      <c r="I564" s="182"/>
      <c r="J564" s="144"/>
      <c r="K564" s="145"/>
      <c r="L564" s="150"/>
      <c r="M564" s="146"/>
      <c r="N564" s="146"/>
      <c r="O564" s="146"/>
      <c r="P564" s="146"/>
      <c r="Q564" s="146"/>
      <c r="R564" s="190"/>
      <c r="S564" s="190"/>
      <c r="T564" s="190"/>
      <c r="U564" s="190"/>
      <c r="V564" s="190"/>
      <c r="W564" s="190"/>
      <c r="X564" s="190"/>
      <c r="Y564" s="190"/>
      <c r="Z564" s="190"/>
    </row>
    <row r="565" ht="15.75" customHeight="1">
      <c r="A565" s="228"/>
      <c r="B565" s="165"/>
      <c r="C565" s="162"/>
      <c r="D565" s="142"/>
      <c r="E565" s="144"/>
      <c r="F565" s="144"/>
      <c r="G565" s="144"/>
      <c r="H565" s="144"/>
      <c r="I565" s="182"/>
      <c r="J565" s="144"/>
      <c r="K565" s="145"/>
      <c r="L565" s="150"/>
      <c r="M565" s="146"/>
      <c r="N565" s="146"/>
      <c r="O565" s="146"/>
      <c r="P565" s="146"/>
      <c r="Q565" s="146"/>
      <c r="R565" s="190"/>
      <c r="S565" s="190"/>
      <c r="T565" s="190"/>
      <c r="U565" s="190"/>
      <c r="V565" s="190"/>
      <c r="W565" s="190"/>
      <c r="X565" s="190"/>
      <c r="Y565" s="190"/>
      <c r="Z565" s="190"/>
    </row>
    <row r="566" ht="15.75" customHeight="1">
      <c r="A566" s="228"/>
      <c r="B566" s="165"/>
      <c r="C566" s="162"/>
      <c r="D566" s="142"/>
      <c r="E566" s="144"/>
      <c r="F566" s="144"/>
      <c r="G566" s="144"/>
      <c r="H566" s="144"/>
      <c r="I566" s="182"/>
      <c r="J566" s="144"/>
      <c r="K566" s="145"/>
      <c r="L566" s="150"/>
      <c r="M566" s="146"/>
      <c r="N566" s="146"/>
      <c r="O566" s="146"/>
      <c r="P566" s="146"/>
      <c r="Q566" s="146"/>
      <c r="R566" s="190"/>
      <c r="S566" s="190"/>
      <c r="T566" s="190"/>
      <c r="U566" s="190"/>
      <c r="V566" s="190"/>
      <c r="W566" s="190"/>
      <c r="X566" s="190"/>
      <c r="Y566" s="190"/>
      <c r="Z566" s="190"/>
    </row>
    <row r="567" ht="15.75" customHeight="1">
      <c r="A567" s="228"/>
      <c r="B567" s="165"/>
      <c r="C567" s="162"/>
      <c r="D567" s="142"/>
      <c r="E567" s="144"/>
      <c r="F567" s="144"/>
      <c r="G567" s="144"/>
      <c r="H567" s="144"/>
      <c r="I567" s="182"/>
      <c r="J567" s="144"/>
      <c r="K567" s="145"/>
      <c r="L567" s="150"/>
      <c r="M567" s="146"/>
      <c r="N567" s="146"/>
      <c r="O567" s="146"/>
      <c r="P567" s="146"/>
      <c r="Q567" s="146"/>
      <c r="R567" s="190"/>
      <c r="S567" s="190"/>
      <c r="T567" s="190"/>
      <c r="U567" s="190"/>
      <c r="V567" s="190"/>
      <c r="W567" s="190"/>
      <c r="X567" s="190"/>
      <c r="Y567" s="190"/>
      <c r="Z567" s="190"/>
    </row>
    <row r="568" ht="15.75" customHeight="1">
      <c r="A568" s="228"/>
      <c r="B568" s="165"/>
      <c r="C568" s="162"/>
      <c r="D568" s="142"/>
      <c r="E568" s="144"/>
      <c r="F568" s="144"/>
      <c r="G568" s="144"/>
      <c r="H568" s="144"/>
      <c r="I568" s="182"/>
      <c r="J568" s="144"/>
      <c r="K568" s="145"/>
      <c r="L568" s="150"/>
      <c r="M568" s="146"/>
      <c r="N568" s="146"/>
      <c r="O568" s="146"/>
      <c r="P568" s="146"/>
      <c r="Q568" s="146"/>
      <c r="R568" s="190"/>
      <c r="S568" s="190"/>
      <c r="T568" s="190"/>
      <c r="U568" s="190"/>
      <c r="V568" s="190"/>
      <c r="W568" s="190"/>
      <c r="X568" s="190"/>
      <c r="Y568" s="190"/>
      <c r="Z568" s="190"/>
    </row>
    <row r="569" ht="15.75" customHeight="1">
      <c r="A569" s="228"/>
      <c r="B569" s="165"/>
      <c r="C569" s="162"/>
      <c r="D569" s="142"/>
      <c r="E569" s="144"/>
      <c r="F569" s="144"/>
      <c r="G569" s="144"/>
      <c r="H569" s="144"/>
      <c r="I569" s="182"/>
      <c r="J569" s="144"/>
      <c r="K569" s="145"/>
      <c r="L569" s="150"/>
      <c r="M569" s="146"/>
      <c r="N569" s="146"/>
      <c r="O569" s="146"/>
      <c r="P569" s="146"/>
      <c r="Q569" s="146"/>
      <c r="R569" s="190"/>
      <c r="S569" s="190"/>
      <c r="T569" s="190"/>
      <c r="U569" s="190"/>
      <c r="V569" s="190"/>
      <c r="W569" s="190"/>
      <c r="X569" s="190"/>
      <c r="Y569" s="190"/>
      <c r="Z569" s="190"/>
    </row>
    <row r="570" ht="15.75" customHeight="1">
      <c r="A570" s="228"/>
      <c r="B570" s="165"/>
      <c r="C570" s="162"/>
      <c r="D570" s="142"/>
      <c r="E570" s="144"/>
      <c r="F570" s="144"/>
      <c r="G570" s="144"/>
      <c r="H570" s="144"/>
      <c r="I570" s="182"/>
      <c r="J570" s="144"/>
      <c r="K570" s="145"/>
      <c r="L570" s="150"/>
      <c r="M570" s="146"/>
      <c r="N570" s="146"/>
      <c r="O570" s="146"/>
      <c r="P570" s="146"/>
      <c r="Q570" s="146"/>
      <c r="R570" s="190"/>
      <c r="S570" s="190"/>
      <c r="T570" s="190"/>
      <c r="U570" s="190"/>
      <c r="V570" s="190"/>
      <c r="W570" s="190"/>
      <c r="X570" s="190"/>
      <c r="Y570" s="190"/>
      <c r="Z570" s="190"/>
    </row>
    <row r="571" ht="15.75" customHeight="1">
      <c r="A571" s="228"/>
      <c r="B571" s="165"/>
      <c r="C571" s="162"/>
      <c r="D571" s="142"/>
      <c r="E571" s="144"/>
      <c r="F571" s="144"/>
      <c r="G571" s="144"/>
      <c r="H571" s="144"/>
      <c r="I571" s="182"/>
      <c r="J571" s="144"/>
      <c r="K571" s="145"/>
      <c r="L571" s="150"/>
      <c r="M571" s="146"/>
      <c r="N571" s="146"/>
      <c r="O571" s="146"/>
      <c r="P571" s="146"/>
      <c r="Q571" s="146"/>
      <c r="R571" s="190"/>
      <c r="S571" s="190"/>
      <c r="T571" s="190"/>
      <c r="U571" s="190"/>
      <c r="V571" s="190"/>
      <c r="W571" s="190"/>
      <c r="X571" s="190"/>
      <c r="Y571" s="190"/>
      <c r="Z571" s="190"/>
    </row>
    <row r="572" ht="15.75" customHeight="1">
      <c r="A572" s="228"/>
      <c r="B572" s="165"/>
      <c r="C572" s="162"/>
      <c r="D572" s="142"/>
      <c r="E572" s="144"/>
      <c r="F572" s="144"/>
      <c r="G572" s="144"/>
      <c r="H572" s="144"/>
      <c r="I572" s="182"/>
      <c r="J572" s="144"/>
      <c r="K572" s="145"/>
      <c r="L572" s="150"/>
      <c r="M572" s="146"/>
      <c r="N572" s="146"/>
      <c r="O572" s="146"/>
      <c r="P572" s="146"/>
      <c r="Q572" s="146"/>
      <c r="R572" s="190"/>
      <c r="S572" s="190"/>
      <c r="T572" s="190"/>
      <c r="U572" s="190"/>
      <c r="V572" s="190"/>
      <c r="W572" s="190"/>
      <c r="X572" s="190"/>
      <c r="Y572" s="190"/>
      <c r="Z572" s="190"/>
    </row>
    <row r="573" ht="15.75" customHeight="1">
      <c r="A573" s="228"/>
      <c r="B573" s="165"/>
      <c r="C573" s="162"/>
      <c r="D573" s="142"/>
      <c r="E573" s="144"/>
      <c r="F573" s="144"/>
      <c r="G573" s="144"/>
      <c r="H573" s="144"/>
      <c r="I573" s="182"/>
      <c r="J573" s="144"/>
      <c r="K573" s="145"/>
      <c r="L573" s="150"/>
      <c r="M573" s="146"/>
      <c r="N573" s="146"/>
      <c r="O573" s="146"/>
      <c r="P573" s="146"/>
      <c r="Q573" s="146"/>
      <c r="R573" s="190"/>
      <c r="S573" s="190"/>
      <c r="T573" s="190"/>
      <c r="U573" s="190"/>
      <c r="V573" s="190"/>
      <c r="W573" s="190"/>
      <c r="X573" s="190"/>
      <c r="Y573" s="190"/>
      <c r="Z573" s="190"/>
    </row>
    <row r="574" ht="15.75" customHeight="1">
      <c r="A574" s="228"/>
      <c r="B574" s="165"/>
      <c r="C574" s="162"/>
      <c r="D574" s="142"/>
      <c r="E574" s="144"/>
      <c r="F574" s="144"/>
      <c r="G574" s="144"/>
      <c r="H574" s="144"/>
      <c r="I574" s="182"/>
      <c r="J574" s="144"/>
      <c r="K574" s="145"/>
      <c r="L574" s="150"/>
      <c r="M574" s="146"/>
      <c r="N574" s="146"/>
      <c r="O574" s="146"/>
      <c r="P574" s="146"/>
      <c r="Q574" s="146"/>
      <c r="R574" s="190"/>
      <c r="S574" s="190"/>
      <c r="T574" s="190"/>
      <c r="U574" s="190"/>
      <c r="V574" s="190"/>
      <c r="W574" s="190"/>
      <c r="X574" s="190"/>
      <c r="Y574" s="190"/>
      <c r="Z574" s="190"/>
    </row>
    <row r="575" ht="15.75" customHeight="1">
      <c r="A575" s="228"/>
      <c r="B575" s="165"/>
      <c r="C575" s="162"/>
      <c r="D575" s="142"/>
      <c r="E575" s="144"/>
      <c r="F575" s="144"/>
      <c r="G575" s="144"/>
      <c r="H575" s="144"/>
      <c r="I575" s="182"/>
      <c r="J575" s="144"/>
      <c r="K575" s="145"/>
      <c r="L575" s="150"/>
      <c r="M575" s="146"/>
      <c r="N575" s="146"/>
      <c r="O575" s="146"/>
      <c r="P575" s="146"/>
      <c r="Q575" s="146"/>
      <c r="R575" s="190"/>
      <c r="S575" s="190"/>
      <c r="T575" s="190"/>
      <c r="U575" s="190"/>
      <c r="V575" s="190"/>
      <c r="W575" s="190"/>
      <c r="X575" s="190"/>
      <c r="Y575" s="190"/>
      <c r="Z575" s="190"/>
    </row>
    <row r="576" ht="15.75" customHeight="1">
      <c r="A576" s="228"/>
      <c r="B576" s="165"/>
      <c r="C576" s="162"/>
      <c r="D576" s="142"/>
      <c r="E576" s="144"/>
      <c r="F576" s="144"/>
      <c r="G576" s="144"/>
      <c r="H576" s="144"/>
      <c r="I576" s="182"/>
      <c r="J576" s="144"/>
      <c r="K576" s="145"/>
      <c r="L576" s="150"/>
      <c r="M576" s="146"/>
      <c r="N576" s="146"/>
      <c r="O576" s="146"/>
      <c r="P576" s="146"/>
      <c r="Q576" s="146"/>
      <c r="R576" s="190"/>
      <c r="S576" s="190"/>
      <c r="T576" s="190"/>
      <c r="U576" s="190"/>
      <c r="V576" s="190"/>
      <c r="W576" s="190"/>
      <c r="X576" s="190"/>
      <c r="Y576" s="190"/>
      <c r="Z576" s="190"/>
    </row>
    <row r="577" ht="15.75" customHeight="1">
      <c r="A577" s="228"/>
      <c r="B577" s="165"/>
      <c r="C577" s="162"/>
      <c r="D577" s="142"/>
      <c r="E577" s="144"/>
      <c r="F577" s="144"/>
      <c r="G577" s="144"/>
      <c r="H577" s="144"/>
      <c r="I577" s="182"/>
      <c r="J577" s="144"/>
      <c r="K577" s="145"/>
      <c r="L577" s="150"/>
      <c r="M577" s="146"/>
      <c r="N577" s="146"/>
      <c r="O577" s="146"/>
      <c r="P577" s="146"/>
      <c r="Q577" s="146"/>
      <c r="R577" s="190"/>
      <c r="S577" s="190"/>
      <c r="T577" s="190"/>
      <c r="U577" s="190"/>
      <c r="V577" s="190"/>
      <c r="W577" s="190"/>
      <c r="X577" s="190"/>
      <c r="Y577" s="190"/>
      <c r="Z577" s="190"/>
    </row>
    <row r="578" ht="15.75" customHeight="1">
      <c r="A578" s="228"/>
      <c r="B578" s="165"/>
      <c r="C578" s="162"/>
      <c r="D578" s="142"/>
      <c r="E578" s="144"/>
      <c r="F578" s="144"/>
      <c r="G578" s="144"/>
      <c r="H578" s="144"/>
      <c r="I578" s="182"/>
      <c r="J578" s="144"/>
      <c r="K578" s="145"/>
      <c r="L578" s="150"/>
      <c r="M578" s="146"/>
      <c r="N578" s="146"/>
      <c r="O578" s="146"/>
      <c r="P578" s="146"/>
      <c r="Q578" s="146"/>
      <c r="R578" s="190"/>
      <c r="S578" s="190"/>
      <c r="T578" s="190"/>
      <c r="U578" s="190"/>
      <c r="V578" s="190"/>
      <c r="W578" s="190"/>
      <c r="X578" s="190"/>
      <c r="Y578" s="190"/>
      <c r="Z578" s="190"/>
    </row>
    <row r="579" ht="15.75" customHeight="1">
      <c r="A579" s="228"/>
      <c r="B579" s="165"/>
      <c r="C579" s="162"/>
      <c r="D579" s="142"/>
      <c r="E579" s="144"/>
      <c r="F579" s="144"/>
      <c r="G579" s="144"/>
      <c r="H579" s="144"/>
      <c r="I579" s="182"/>
      <c r="J579" s="144"/>
      <c r="K579" s="145"/>
      <c r="L579" s="150"/>
      <c r="M579" s="146"/>
      <c r="N579" s="146"/>
      <c r="O579" s="146"/>
      <c r="P579" s="146"/>
      <c r="Q579" s="146"/>
      <c r="R579" s="190"/>
      <c r="S579" s="190"/>
      <c r="T579" s="190"/>
      <c r="U579" s="190"/>
      <c r="V579" s="190"/>
      <c r="W579" s="190"/>
      <c r="X579" s="190"/>
      <c r="Y579" s="190"/>
      <c r="Z579" s="190"/>
    </row>
    <row r="580" ht="15.75" customHeight="1">
      <c r="A580" s="228"/>
      <c r="B580" s="165"/>
      <c r="C580" s="162"/>
      <c r="D580" s="142"/>
      <c r="E580" s="144"/>
      <c r="F580" s="144"/>
      <c r="G580" s="144"/>
      <c r="H580" s="144"/>
      <c r="I580" s="182"/>
      <c r="J580" s="144"/>
      <c r="K580" s="145"/>
      <c r="L580" s="150"/>
      <c r="M580" s="146"/>
      <c r="N580" s="146"/>
      <c r="O580" s="146"/>
      <c r="P580" s="146"/>
      <c r="Q580" s="146"/>
      <c r="R580" s="190"/>
      <c r="S580" s="190"/>
      <c r="T580" s="190"/>
      <c r="U580" s="190"/>
      <c r="V580" s="190"/>
      <c r="W580" s="190"/>
      <c r="X580" s="190"/>
      <c r="Y580" s="190"/>
      <c r="Z580" s="190"/>
    </row>
    <row r="581" ht="15.75" customHeight="1">
      <c r="A581" s="228"/>
      <c r="B581" s="165"/>
      <c r="C581" s="162"/>
      <c r="D581" s="142"/>
      <c r="E581" s="144"/>
      <c r="F581" s="144"/>
      <c r="G581" s="144"/>
      <c r="H581" s="144"/>
      <c r="I581" s="182"/>
      <c r="J581" s="144"/>
      <c r="K581" s="145"/>
      <c r="L581" s="150"/>
      <c r="M581" s="146"/>
      <c r="N581" s="146"/>
      <c r="O581" s="146"/>
      <c r="P581" s="146"/>
      <c r="Q581" s="146"/>
      <c r="R581" s="190"/>
      <c r="S581" s="190"/>
      <c r="T581" s="190"/>
      <c r="U581" s="190"/>
      <c r="V581" s="190"/>
      <c r="W581" s="190"/>
      <c r="X581" s="190"/>
      <c r="Y581" s="190"/>
      <c r="Z581" s="190"/>
    </row>
    <row r="582" ht="15.75" customHeight="1">
      <c r="A582" s="228"/>
      <c r="B582" s="165"/>
      <c r="C582" s="162"/>
      <c r="D582" s="142"/>
      <c r="E582" s="144"/>
      <c r="F582" s="144"/>
      <c r="G582" s="144"/>
      <c r="H582" s="144"/>
      <c r="I582" s="182"/>
      <c r="J582" s="144"/>
      <c r="K582" s="145"/>
      <c r="L582" s="150"/>
      <c r="M582" s="146"/>
      <c r="N582" s="146"/>
      <c r="O582" s="146"/>
      <c r="P582" s="146"/>
      <c r="Q582" s="146"/>
      <c r="R582" s="190"/>
      <c r="S582" s="190"/>
      <c r="T582" s="190"/>
      <c r="U582" s="190"/>
      <c r="V582" s="190"/>
      <c r="W582" s="190"/>
      <c r="X582" s="190"/>
      <c r="Y582" s="190"/>
      <c r="Z582" s="190"/>
    </row>
    <row r="583" ht="15.75" customHeight="1">
      <c r="A583" s="228"/>
      <c r="B583" s="165"/>
      <c r="C583" s="162"/>
      <c r="D583" s="142"/>
      <c r="E583" s="144"/>
      <c r="F583" s="144"/>
      <c r="G583" s="144"/>
      <c r="H583" s="144"/>
      <c r="I583" s="182"/>
      <c r="J583" s="144"/>
      <c r="K583" s="145"/>
      <c r="L583" s="150"/>
      <c r="M583" s="146"/>
      <c r="N583" s="146"/>
      <c r="O583" s="146"/>
      <c r="P583" s="146"/>
      <c r="Q583" s="146"/>
      <c r="R583" s="190"/>
      <c r="S583" s="190"/>
      <c r="T583" s="190"/>
      <c r="U583" s="190"/>
      <c r="V583" s="190"/>
      <c r="W583" s="190"/>
      <c r="X583" s="190"/>
      <c r="Y583" s="190"/>
      <c r="Z583" s="190"/>
    </row>
    <row r="584" ht="15.75" customHeight="1">
      <c r="A584" s="228"/>
      <c r="B584" s="165"/>
      <c r="C584" s="162"/>
      <c r="D584" s="142"/>
      <c r="E584" s="144"/>
      <c r="F584" s="144"/>
      <c r="G584" s="144"/>
      <c r="H584" s="144"/>
      <c r="I584" s="182"/>
      <c r="J584" s="144"/>
      <c r="K584" s="145"/>
      <c r="L584" s="150"/>
      <c r="M584" s="146"/>
      <c r="N584" s="146"/>
      <c r="O584" s="146"/>
      <c r="P584" s="146"/>
      <c r="Q584" s="146"/>
      <c r="R584" s="190"/>
      <c r="S584" s="190"/>
      <c r="T584" s="190"/>
      <c r="U584" s="190"/>
      <c r="V584" s="190"/>
      <c r="W584" s="190"/>
      <c r="X584" s="190"/>
      <c r="Y584" s="190"/>
      <c r="Z584" s="190"/>
    </row>
    <row r="585" ht="15.75" customHeight="1">
      <c r="A585" s="228"/>
      <c r="B585" s="165"/>
      <c r="C585" s="162"/>
      <c r="D585" s="142"/>
      <c r="E585" s="144"/>
      <c r="F585" s="144"/>
      <c r="G585" s="144"/>
      <c r="H585" s="144"/>
      <c r="I585" s="182"/>
      <c r="J585" s="144"/>
      <c r="K585" s="145"/>
      <c r="L585" s="150"/>
      <c r="M585" s="146"/>
      <c r="N585" s="146"/>
      <c r="O585" s="146"/>
      <c r="P585" s="146"/>
      <c r="Q585" s="146"/>
      <c r="R585" s="190"/>
      <c r="S585" s="190"/>
      <c r="T585" s="190"/>
      <c r="U585" s="190"/>
      <c r="V585" s="190"/>
      <c r="W585" s="190"/>
      <c r="X585" s="190"/>
      <c r="Y585" s="190"/>
      <c r="Z585" s="190"/>
    </row>
    <row r="586" ht="15.75" customHeight="1">
      <c r="A586" s="228"/>
      <c r="B586" s="165"/>
      <c r="C586" s="162"/>
      <c r="D586" s="142"/>
      <c r="E586" s="144"/>
      <c r="F586" s="144"/>
      <c r="G586" s="144"/>
      <c r="H586" s="144"/>
      <c r="I586" s="182"/>
      <c r="J586" s="144"/>
      <c r="K586" s="145"/>
      <c r="L586" s="150"/>
      <c r="M586" s="146"/>
      <c r="N586" s="146"/>
      <c r="O586" s="146"/>
      <c r="P586" s="146"/>
      <c r="Q586" s="146"/>
      <c r="R586" s="190"/>
      <c r="S586" s="190"/>
      <c r="T586" s="190"/>
      <c r="U586" s="190"/>
      <c r="V586" s="190"/>
      <c r="W586" s="190"/>
      <c r="X586" s="190"/>
      <c r="Y586" s="190"/>
      <c r="Z586" s="190"/>
    </row>
    <row r="587" ht="15.75" customHeight="1">
      <c r="A587" s="228"/>
      <c r="B587" s="165"/>
      <c r="C587" s="162"/>
      <c r="D587" s="142"/>
      <c r="E587" s="144"/>
      <c r="F587" s="144"/>
      <c r="G587" s="144"/>
      <c r="H587" s="144"/>
      <c r="I587" s="182"/>
      <c r="J587" s="144"/>
      <c r="K587" s="145"/>
      <c r="L587" s="150"/>
      <c r="M587" s="146"/>
      <c r="N587" s="146"/>
      <c r="O587" s="146"/>
      <c r="P587" s="146"/>
      <c r="Q587" s="146"/>
      <c r="R587" s="190"/>
      <c r="S587" s="190"/>
      <c r="T587" s="190"/>
      <c r="U587" s="190"/>
      <c r="V587" s="190"/>
      <c r="W587" s="190"/>
      <c r="X587" s="190"/>
      <c r="Y587" s="190"/>
      <c r="Z587" s="190"/>
    </row>
    <row r="588" ht="15.75" customHeight="1">
      <c r="A588" s="228"/>
      <c r="B588" s="165"/>
      <c r="C588" s="162"/>
      <c r="D588" s="142"/>
      <c r="E588" s="144"/>
      <c r="F588" s="144"/>
      <c r="G588" s="144"/>
      <c r="H588" s="144"/>
      <c r="I588" s="182"/>
      <c r="J588" s="144"/>
      <c r="K588" s="145"/>
      <c r="L588" s="150"/>
      <c r="M588" s="146"/>
      <c r="N588" s="146"/>
      <c r="O588" s="146"/>
      <c r="P588" s="146"/>
      <c r="Q588" s="146"/>
      <c r="R588" s="190"/>
      <c r="S588" s="190"/>
      <c r="T588" s="190"/>
      <c r="U588" s="190"/>
      <c r="V588" s="190"/>
      <c r="W588" s="190"/>
      <c r="X588" s="190"/>
      <c r="Y588" s="190"/>
      <c r="Z588" s="190"/>
    </row>
    <row r="589" ht="15.75" customHeight="1">
      <c r="A589" s="228"/>
      <c r="B589" s="165"/>
      <c r="C589" s="162"/>
      <c r="D589" s="142"/>
      <c r="E589" s="144"/>
      <c r="F589" s="144"/>
      <c r="G589" s="144"/>
      <c r="H589" s="144"/>
      <c r="I589" s="182"/>
      <c r="J589" s="144"/>
      <c r="K589" s="145"/>
      <c r="L589" s="150"/>
      <c r="M589" s="146"/>
      <c r="N589" s="146"/>
      <c r="O589" s="146"/>
      <c r="P589" s="146"/>
      <c r="Q589" s="146"/>
      <c r="R589" s="190"/>
      <c r="S589" s="190"/>
      <c r="T589" s="190"/>
      <c r="U589" s="190"/>
      <c r="V589" s="190"/>
      <c r="W589" s="190"/>
      <c r="X589" s="190"/>
      <c r="Y589" s="190"/>
      <c r="Z589" s="190"/>
    </row>
    <row r="590" ht="15.75" customHeight="1">
      <c r="A590" s="228"/>
      <c r="B590" s="165"/>
      <c r="C590" s="162"/>
      <c r="D590" s="142"/>
      <c r="E590" s="144"/>
      <c r="F590" s="144"/>
      <c r="G590" s="144"/>
      <c r="H590" s="144"/>
      <c r="I590" s="182"/>
      <c r="J590" s="144"/>
      <c r="K590" s="145"/>
      <c r="L590" s="150"/>
      <c r="M590" s="146"/>
      <c r="N590" s="146"/>
      <c r="O590" s="146"/>
      <c r="P590" s="146"/>
      <c r="Q590" s="146"/>
      <c r="R590" s="190"/>
      <c r="S590" s="190"/>
      <c r="T590" s="190"/>
      <c r="U590" s="190"/>
      <c r="V590" s="190"/>
      <c r="W590" s="190"/>
      <c r="X590" s="190"/>
      <c r="Y590" s="190"/>
      <c r="Z590" s="190"/>
    </row>
    <row r="591" ht="15.75" customHeight="1">
      <c r="A591" s="228"/>
      <c r="B591" s="165"/>
      <c r="C591" s="162"/>
      <c r="D591" s="142"/>
      <c r="E591" s="144"/>
      <c r="F591" s="144"/>
      <c r="G591" s="144"/>
      <c r="H591" s="144"/>
      <c r="I591" s="182"/>
      <c r="J591" s="144"/>
      <c r="K591" s="145"/>
      <c r="L591" s="150"/>
      <c r="M591" s="146"/>
      <c r="N591" s="146"/>
      <c r="O591" s="146"/>
      <c r="P591" s="146"/>
      <c r="Q591" s="146"/>
      <c r="R591" s="190"/>
      <c r="S591" s="190"/>
      <c r="T591" s="190"/>
      <c r="U591" s="190"/>
      <c r="V591" s="190"/>
      <c r="W591" s="190"/>
      <c r="X591" s="190"/>
      <c r="Y591" s="190"/>
      <c r="Z591" s="190"/>
    </row>
    <row r="592" ht="15.75" customHeight="1">
      <c r="A592" s="228"/>
      <c r="B592" s="165"/>
      <c r="C592" s="162"/>
      <c r="D592" s="142"/>
      <c r="E592" s="144"/>
      <c r="F592" s="144"/>
      <c r="G592" s="144"/>
      <c r="H592" s="144"/>
      <c r="I592" s="182"/>
      <c r="J592" s="144"/>
      <c r="K592" s="145"/>
      <c r="L592" s="150"/>
      <c r="M592" s="146"/>
      <c r="N592" s="146"/>
      <c r="O592" s="146"/>
      <c r="P592" s="146"/>
      <c r="Q592" s="146"/>
      <c r="R592" s="190"/>
      <c r="S592" s="190"/>
      <c r="T592" s="190"/>
      <c r="U592" s="190"/>
      <c r="V592" s="190"/>
      <c r="W592" s="190"/>
      <c r="X592" s="190"/>
      <c r="Y592" s="190"/>
      <c r="Z592" s="190"/>
    </row>
    <row r="593" ht="15.75" customHeight="1">
      <c r="A593" s="228"/>
      <c r="B593" s="165"/>
      <c r="C593" s="162"/>
      <c r="D593" s="142"/>
      <c r="E593" s="144"/>
      <c r="F593" s="144"/>
      <c r="G593" s="144"/>
      <c r="H593" s="144"/>
      <c r="I593" s="182"/>
      <c r="J593" s="144"/>
      <c r="K593" s="145"/>
      <c r="L593" s="150"/>
      <c r="M593" s="146"/>
      <c r="N593" s="146"/>
      <c r="O593" s="146"/>
      <c r="P593" s="146"/>
      <c r="Q593" s="146"/>
      <c r="R593" s="190"/>
      <c r="S593" s="190"/>
      <c r="T593" s="190"/>
      <c r="U593" s="190"/>
      <c r="V593" s="190"/>
      <c r="W593" s="190"/>
      <c r="X593" s="190"/>
      <c r="Y593" s="190"/>
      <c r="Z593" s="190"/>
    </row>
    <row r="594" ht="15.75" customHeight="1">
      <c r="A594" s="228"/>
      <c r="B594" s="165"/>
      <c r="C594" s="162"/>
      <c r="D594" s="142"/>
      <c r="E594" s="144"/>
      <c r="F594" s="144"/>
      <c r="G594" s="144"/>
      <c r="H594" s="144"/>
      <c r="I594" s="182"/>
      <c r="J594" s="144"/>
      <c r="K594" s="145"/>
      <c r="L594" s="150"/>
      <c r="M594" s="146"/>
      <c r="N594" s="146"/>
      <c r="O594" s="146"/>
      <c r="P594" s="146"/>
      <c r="Q594" s="146"/>
      <c r="R594" s="190"/>
      <c r="S594" s="190"/>
      <c r="T594" s="190"/>
      <c r="U594" s="190"/>
      <c r="V594" s="190"/>
      <c r="W594" s="190"/>
      <c r="X594" s="190"/>
      <c r="Y594" s="190"/>
      <c r="Z594" s="190"/>
    </row>
    <row r="595" ht="15.75" customHeight="1">
      <c r="A595" s="228"/>
      <c r="B595" s="165"/>
      <c r="C595" s="162"/>
      <c r="D595" s="142"/>
      <c r="E595" s="144"/>
      <c r="F595" s="144"/>
      <c r="G595" s="144"/>
      <c r="H595" s="144"/>
      <c r="I595" s="182"/>
      <c r="J595" s="144"/>
      <c r="K595" s="145"/>
      <c r="L595" s="150"/>
      <c r="M595" s="146"/>
      <c r="N595" s="146"/>
      <c r="O595" s="146"/>
      <c r="P595" s="146"/>
      <c r="Q595" s="146"/>
      <c r="R595" s="190"/>
      <c r="S595" s="190"/>
      <c r="T595" s="190"/>
      <c r="U595" s="190"/>
      <c r="V595" s="190"/>
      <c r="W595" s="190"/>
      <c r="X595" s="190"/>
      <c r="Y595" s="190"/>
      <c r="Z595" s="190"/>
    </row>
    <row r="596" ht="15.75" customHeight="1">
      <c r="A596" s="228"/>
      <c r="B596" s="165"/>
      <c r="C596" s="162"/>
      <c r="D596" s="142"/>
      <c r="E596" s="144"/>
      <c r="F596" s="144"/>
      <c r="G596" s="144"/>
      <c r="H596" s="144"/>
      <c r="I596" s="182"/>
      <c r="J596" s="144"/>
      <c r="K596" s="145"/>
      <c r="L596" s="150"/>
      <c r="M596" s="146"/>
      <c r="N596" s="146"/>
      <c r="O596" s="146"/>
      <c r="P596" s="146"/>
      <c r="Q596" s="146"/>
      <c r="R596" s="190"/>
      <c r="S596" s="190"/>
      <c r="T596" s="190"/>
      <c r="U596" s="190"/>
      <c r="V596" s="190"/>
      <c r="W596" s="190"/>
      <c r="X596" s="190"/>
      <c r="Y596" s="190"/>
      <c r="Z596" s="190"/>
    </row>
    <row r="597" ht="15.75" customHeight="1">
      <c r="A597" s="228"/>
      <c r="B597" s="165"/>
      <c r="C597" s="162"/>
      <c r="D597" s="142"/>
      <c r="E597" s="144"/>
      <c r="F597" s="144"/>
      <c r="G597" s="144"/>
      <c r="H597" s="144"/>
      <c r="I597" s="182"/>
      <c r="J597" s="144"/>
      <c r="K597" s="145"/>
      <c r="L597" s="150"/>
      <c r="M597" s="146"/>
      <c r="N597" s="146"/>
      <c r="O597" s="146"/>
      <c r="P597" s="146"/>
      <c r="Q597" s="146"/>
      <c r="R597" s="190"/>
      <c r="S597" s="190"/>
      <c r="T597" s="190"/>
      <c r="U597" s="190"/>
      <c r="V597" s="190"/>
      <c r="W597" s="190"/>
      <c r="X597" s="190"/>
      <c r="Y597" s="190"/>
      <c r="Z597" s="190"/>
    </row>
    <row r="598" ht="15.75" customHeight="1">
      <c r="A598" s="228"/>
      <c r="B598" s="165"/>
      <c r="C598" s="162"/>
      <c r="D598" s="142"/>
      <c r="E598" s="144"/>
      <c r="F598" s="144"/>
      <c r="G598" s="144"/>
      <c r="H598" s="144"/>
      <c r="I598" s="182"/>
      <c r="J598" s="144"/>
      <c r="K598" s="145"/>
      <c r="L598" s="150"/>
      <c r="M598" s="146"/>
      <c r="N598" s="146"/>
      <c r="O598" s="146"/>
      <c r="P598" s="146"/>
      <c r="Q598" s="146"/>
      <c r="R598" s="190"/>
      <c r="S598" s="190"/>
      <c r="T598" s="190"/>
      <c r="U598" s="190"/>
      <c r="V598" s="190"/>
      <c r="W598" s="190"/>
      <c r="X598" s="190"/>
      <c r="Y598" s="190"/>
      <c r="Z598" s="190"/>
    </row>
    <row r="599" ht="15.75" customHeight="1">
      <c r="A599" s="228"/>
      <c r="B599" s="165"/>
      <c r="C599" s="162"/>
      <c r="D599" s="142"/>
      <c r="E599" s="144"/>
      <c r="F599" s="144"/>
      <c r="G599" s="144"/>
      <c r="H599" s="144"/>
      <c r="I599" s="182"/>
      <c r="J599" s="144"/>
      <c r="K599" s="145"/>
      <c r="L599" s="150"/>
      <c r="M599" s="146"/>
      <c r="N599" s="146"/>
      <c r="O599" s="146"/>
      <c r="P599" s="146"/>
      <c r="Q599" s="146"/>
      <c r="R599" s="190"/>
      <c r="S599" s="190"/>
      <c r="T599" s="190"/>
      <c r="U599" s="190"/>
      <c r="V599" s="190"/>
      <c r="W599" s="190"/>
      <c r="X599" s="190"/>
      <c r="Y599" s="190"/>
      <c r="Z599" s="190"/>
    </row>
    <row r="600" ht="15.75" customHeight="1">
      <c r="A600" s="228"/>
      <c r="B600" s="165"/>
      <c r="C600" s="162"/>
      <c r="D600" s="142"/>
      <c r="E600" s="144"/>
      <c r="F600" s="144"/>
      <c r="G600" s="144"/>
      <c r="H600" s="144"/>
      <c r="I600" s="182"/>
      <c r="J600" s="144"/>
      <c r="K600" s="145"/>
      <c r="L600" s="150"/>
      <c r="M600" s="146"/>
      <c r="N600" s="146"/>
      <c r="O600" s="146"/>
      <c r="P600" s="146"/>
      <c r="Q600" s="146"/>
      <c r="R600" s="190"/>
      <c r="S600" s="190"/>
      <c r="T600" s="190"/>
      <c r="U600" s="190"/>
      <c r="V600" s="190"/>
      <c r="W600" s="190"/>
      <c r="X600" s="190"/>
      <c r="Y600" s="190"/>
      <c r="Z600" s="190"/>
    </row>
    <row r="601" ht="15.75" customHeight="1">
      <c r="A601" s="228"/>
      <c r="B601" s="165"/>
      <c r="C601" s="162"/>
      <c r="D601" s="142"/>
      <c r="E601" s="144"/>
      <c r="F601" s="144"/>
      <c r="G601" s="144"/>
      <c r="H601" s="144"/>
      <c r="I601" s="182"/>
      <c r="J601" s="144"/>
      <c r="K601" s="145"/>
      <c r="L601" s="150"/>
      <c r="M601" s="146"/>
      <c r="N601" s="146"/>
      <c r="O601" s="146"/>
      <c r="P601" s="146"/>
      <c r="Q601" s="146"/>
      <c r="R601" s="190"/>
      <c r="S601" s="190"/>
      <c r="T601" s="190"/>
      <c r="U601" s="190"/>
      <c r="V601" s="190"/>
      <c r="W601" s="190"/>
      <c r="X601" s="190"/>
      <c r="Y601" s="190"/>
      <c r="Z601" s="190"/>
    </row>
    <row r="602" ht="15.75" customHeight="1">
      <c r="A602" s="228"/>
      <c r="B602" s="165"/>
      <c r="C602" s="162"/>
      <c r="D602" s="142"/>
      <c r="E602" s="144"/>
      <c r="F602" s="144"/>
      <c r="G602" s="144"/>
      <c r="H602" s="144"/>
      <c r="I602" s="182"/>
      <c r="J602" s="144"/>
      <c r="K602" s="145"/>
      <c r="L602" s="150"/>
      <c r="M602" s="146"/>
      <c r="N602" s="146"/>
      <c r="O602" s="146"/>
      <c r="P602" s="146"/>
      <c r="Q602" s="146"/>
      <c r="R602" s="190"/>
      <c r="S602" s="190"/>
      <c r="T602" s="190"/>
      <c r="U602" s="190"/>
      <c r="V602" s="190"/>
      <c r="W602" s="190"/>
      <c r="X602" s="190"/>
      <c r="Y602" s="190"/>
      <c r="Z602" s="190"/>
    </row>
    <row r="603" ht="15.75" customHeight="1">
      <c r="A603" s="228"/>
      <c r="B603" s="165"/>
      <c r="C603" s="162"/>
      <c r="D603" s="142"/>
      <c r="E603" s="144"/>
      <c r="F603" s="144"/>
      <c r="G603" s="144"/>
      <c r="H603" s="144"/>
      <c r="I603" s="182"/>
      <c r="J603" s="144"/>
      <c r="K603" s="145"/>
      <c r="L603" s="150"/>
      <c r="M603" s="146"/>
      <c r="N603" s="146"/>
      <c r="O603" s="146"/>
      <c r="P603" s="146"/>
      <c r="Q603" s="146"/>
      <c r="R603" s="190"/>
      <c r="S603" s="190"/>
      <c r="T603" s="190"/>
      <c r="U603" s="190"/>
      <c r="V603" s="190"/>
      <c r="W603" s="190"/>
      <c r="X603" s="190"/>
      <c r="Y603" s="190"/>
      <c r="Z603" s="190"/>
    </row>
    <row r="604" ht="15.75" customHeight="1">
      <c r="A604" s="228"/>
      <c r="B604" s="165"/>
      <c r="C604" s="162"/>
      <c r="D604" s="142"/>
      <c r="E604" s="144"/>
      <c r="F604" s="144"/>
      <c r="G604" s="144"/>
      <c r="H604" s="144"/>
      <c r="I604" s="182"/>
      <c r="J604" s="144"/>
      <c r="K604" s="145"/>
      <c r="L604" s="150"/>
      <c r="M604" s="146"/>
      <c r="N604" s="146"/>
      <c r="O604" s="146"/>
      <c r="P604" s="146"/>
      <c r="Q604" s="146"/>
      <c r="R604" s="190"/>
      <c r="S604" s="190"/>
      <c r="T604" s="190"/>
      <c r="U604" s="190"/>
      <c r="V604" s="190"/>
      <c r="W604" s="190"/>
      <c r="X604" s="190"/>
      <c r="Y604" s="190"/>
      <c r="Z604" s="190"/>
    </row>
    <row r="605" ht="15.75" customHeight="1">
      <c r="A605" s="228"/>
      <c r="B605" s="165"/>
      <c r="C605" s="162"/>
      <c r="D605" s="142"/>
      <c r="E605" s="144"/>
      <c r="F605" s="144"/>
      <c r="G605" s="144"/>
      <c r="H605" s="144"/>
      <c r="I605" s="182"/>
      <c r="J605" s="144"/>
      <c r="K605" s="145"/>
      <c r="L605" s="150"/>
      <c r="M605" s="146"/>
      <c r="N605" s="146"/>
      <c r="O605" s="146"/>
      <c r="P605" s="146"/>
      <c r="Q605" s="146"/>
      <c r="R605" s="190"/>
      <c r="S605" s="190"/>
      <c r="T605" s="190"/>
      <c r="U605" s="190"/>
      <c r="V605" s="190"/>
      <c r="W605" s="190"/>
      <c r="X605" s="190"/>
      <c r="Y605" s="190"/>
      <c r="Z605" s="190"/>
    </row>
    <row r="606" ht="15.75" customHeight="1">
      <c r="A606" s="228"/>
      <c r="B606" s="165"/>
      <c r="C606" s="162"/>
      <c r="D606" s="142"/>
      <c r="E606" s="144"/>
      <c r="F606" s="144"/>
      <c r="G606" s="144"/>
      <c r="H606" s="144"/>
      <c r="I606" s="182"/>
      <c r="J606" s="144"/>
      <c r="K606" s="145"/>
      <c r="L606" s="150"/>
      <c r="M606" s="146"/>
      <c r="N606" s="146"/>
      <c r="O606" s="146"/>
      <c r="P606" s="146"/>
      <c r="Q606" s="146"/>
      <c r="R606" s="190"/>
      <c r="S606" s="190"/>
      <c r="T606" s="190"/>
      <c r="U606" s="190"/>
      <c r="V606" s="190"/>
      <c r="W606" s="190"/>
      <c r="X606" s="190"/>
      <c r="Y606" s="190"/>
      <c r="Z606" s="190"/>
    </row>
    <row r="607" ht="15.75" customHeight="1">
      <c r="A607" s="228"/>
      <c r="B607" s="165"/>
      <c r="C607" s="162"/>
      <c r="D607" s="142"/>
      <c r="E607" s="144"/>
      <c r="F607" s="144"/>
      <c r="G607" s="144"/>
      <c r="H607" s="144"/>
      <c r="I607" s="182"/>
      <c r="J607" s="144"/>
      <c r="K607" s="145"/>
      <c r="L607" s="150"/>
      <c r="M607" s="146"/>
      <c r="N607" s="146"/>
      <c r="O607" s="146"/>
      <c r="P607" s="146"/>
      <c r="Q607" s="146"/>
      <c r="R607" s="190"/>
      <c r="S607" s="190"/>
      <c r="T607" s="190"/>
      <c r="U607" s="190"/>
      <c r="V607" s="190"/>
      <c r="W607" s="190"/>
      <c r="X607" s="190"/>
      <c r="Y607" s="190"/>
      <c r="Z607" s="190"/>
    </row>
    <row r="608" ht="15.75" customHeight="1">
      <c r="A608" s="228"/>
      <c r="B608" s="165"/>
      <c r="C608" s="162"/>
      <c r="D608" s="142"/>
      <c r="E608" s="144"/>
      <c r="F608" s="144"/>
      <c r="G608" s="144"/>
      <c r="H608" s="144"/>
      <c r="I608" s="182"/>
      <c r="J608" s="144"/>
      <c r="K608" s="145"/>
      <c r="L608" s="150"/>
      <c r="M608" s="146"/>
      <c r="N608" s="146"/>
      <c r="O608" s="146"/>
      <c r="P608" s="146"/>
      <c r="Q608" s="146"/>
      <c r="R608" s="190"/>
      <c r="S608" s="190"/>
      <c r="T608" s="190"/>
      <c r="U608" s="190"/>
      <c r="V608" s="190"/>
      <c r="W608" s="190"/>
      <c r="X608" s="190"/>
      <c r="Y608" s="190"/>
      <c r="Z608" s="190"/>
    </row>
    <row r="609" ht="15.75" customHeight="1">
      <c r="A609" s="228"/>
      <c r="B609" s="165"/>
      <c r="C609" s="162"/>
      <c r="D609" s="142"/>
      <c r="E609" s="144"/>
      <c r="F609" s="144"/>
      <c r="G609" s="144"/>
      <c r="H609" s="144"/>
      <c r="I609" s="182"/>
      <c r="J609" s="144"/>
      <c r="K609" s="145"/>
      <c r="L609" s="150"/>
      <c r="M609" s="146"/>
      <c r="N609" s="146"/>
      <c r="O609" s="146"/>
      <c r="P609" s="146"/>
      <c r="Q609" s="146"/>
      <c r="R609" s="190"/>
      <c r="S609" s="190"/>
      <c r="T609" s="190"/>
      <c r="U609" s="190"/>
      <c r="V609" s="190"/>
      <c r="W609" s="190"/>
      <c r="X609" s="190"/>
      <c r="Y609" s="190"/>
      <c r="Z609" s="190"/>
    </row>
    <row r="610" ht="15.75" customHeight="1">
      <c r="A610" s="228"/>
      <c r="B610" s="165"/>
      <c r="C610" s="162"/>
      <c r="D610" s="142"/>
      <c r="E610" s="144"/>
      <c r="F610" s="144"/>
      <c r="G610" s="144"/>
      <c r="H610" s="144"/>
      <c r="I610" s="182"/>
      <c r="J610" s="144"/>
      <c r="K610" s="145"/>
      <c r="L610" s="150"/>
      <c r="M610" s="146"/>
      <c r="N610" s="146"/>
      <c r="O610" s="146"/>
      <c r="P610" s="146"/>
      <c r="Q610" s="146"/>
      <c r="R610" s="190"/>
      <c r="S610" s="190"/>
      <c r="T610" s="190"/>
      <c r="U610" s="190"/>
      <c r="V610" s="190"/>
      <c r="W610" s="190"/>
      <c r="X610" s="190"/>
      <c r="Y610" s="190"/>
      <c r="Z610" s="190"/>
    </row>
    <row r="611" ht="15.75" customHeight="1">
      <c r="A611" s="228"/>
      <c r="B611" s="165"/>
      <c r="C611" s="162"/>
      <c r="D611" s="142"/>
      <c r="E611" s="144"/>
      <c r="F611" s="144"/>
      <c r="G611" s="144"/>
      <c r="H611" s="144"/>
      <c r="I611" s="182"/>
      <c r="J611" s="144"/>
      <c r="K611" s="145"/>
      <c r="L611" s="150"/>
      <c r="M611" s="146"/>
      <c r="N611" s="146"/>
      <c r="O611" s="146"/>
      <c r="P611" s="146"/>
      <c r="Q611" s="146"/>
      <c r="R611" s="190"/>
      <c r="S611" s="190"/>
      <c r="T611" s="190"/>
      <c r="U611" s="190"/>
      <c r="V611" s="190"/>
      <c r="W611" s="190"/>
      <c r="X611" s="190"/>
      <c r="Y611" s="190"/>
      <c r="Z611" s="190"/>
    </row>
    <row r="612" ht="15.75" customHeight="1">
      <c r="A612" s="228"/>
      <c r="B612" s="165"/>
      <c r="C612" s="162"/>
      <c r="D612" s="142"/>
      <c r="E612" s="144"/>
      <c r="F612" s="144"/>
      <c r="G612" s="144"/>
      <c r="H612" s="144"/>
      <c r="I612" s="182"/>
      <c r="J612" s="144"/>
      <c r="K612" s="145"/>
      <c r="L612" s="150"/>
      <c r="M612" s="146"/>
      <c r="N612" s="146"/>
      <c r="O612" s="146"/>
      <c r="P612" s="146"/>
      <c r="Q612" s="146"/>
      <c r="R612" s="190"/>
      <c r="S612" s="190"/>
      <c r="T612" s="190"/>
      <c r="U612" s="190"/>
      <c r="V612" s="190"/>
      <c r="W612" s="190"/>
      <c r="X612" s="190"/>
      <c r="Y612" s="190"/>
      <c r="Z612" s="190"/>
    </row>
    <row r="613" ht="15.75" customHeight="1">
      <c r="A613" s="228"/>
      <c r="B613" s="165"/>
      <c r="C613" s="162"/>
      <c r="D613" s="142"/>
      <c r="E613" s="144"/>
      <c r="F613" s="144"/>
      <c r="G613" s="144"/>
      <c r="H613" s="144"/>
      <c r="I613" s="182"/>
      <c r="J613" s="144"/>
      <c r="K613" s="145"/>
      <c r="L613" s="150"/>
      <c r="M613" s="146"/>
      <c r="N613" s="146"/>
      <c r="O613" s="146"/>
      <c r="P613" s="146"/>
      <c r="Q613" s="146"/>
      <c r="R613" s="190"/>
      <c r="S613" s="190"/>
      <c r="T613" s="190"/>
      <c r="U613" s="190"/>
      <c r="V613" s="190"/>
      <c r="W613" s="190"/>
      <c r="X613" s="190"/>
      <c r="Y613" s="190"/>
      <c r="Z613" s="190"/>
    </row>
    <row r="614" ht="15.75" customHeight="1">
      <c r="A614" s="228"/>
      <c r="B614" s="165"/>
      <c r="C614" s="162"/>
      <c r="D614" s="142"/>
      <c r="E614" s="144"/>
      <c r="F614" s="144"/>
      <c r="G614" s="144"/>
      <c r="H614" s="144"/>
      <c r="I614" s="182"/>
      <c r="J614" s="144"/>
      <c r="K614" s="145"/>
      <c r="L614" s="150"/>
      <c r="M614" s="146"/>
      <c r="N614" s="146"/>
      <c r="O614" s="146"/>
      <c r="P614" s="146"/>
      <c r="Q614" s="146"/>
      <c r="R614" s="190"/>
      <c r="S614" s="190"/>
      <c r="T614" s="190"/>
      <c r="U614" s="190"/>
      <c r="V614" s="190"/>
      <c r="W614" s="190"/>
      <c r="X614" s="190"/>
      <c r="Y614" s="190"/>
      <c r="Z614" s="190"/>
    </row>
    <row r="615" ht="15.75" customHeight="1">
      <c r="A615" s="228"/>
      <c r="B615" s="165"/>
      <c r="C615" s="162"/>
      <c r="D615" s="142"/>
      <c r="E615" s="144"/>
      <c r="F615" s="144"/>
      <c r="G615" s="144"/>
      <c r="H615" s="144"/>
      <c r="I615" s="182"/>
      <c r="J615" s="144"/>
      <c r="K615" s="145"/>
      <c r="L615" s="150"/>
      <c r="M615" s="146"/>
      <c r="N615" s="146"/>
      <c r="O615" s="146"/>
      <c r="P615" s="146"/>
      <c r="Q615" s="146"/>
      <c r="R615" s="190"/>
      <c r="S615" s="190"/>
      <c r="T615" s="190"/>
      <c r="U615" s="190"/>
      <c r="V615" s="190"/>
      <c r="W615" s="190"/>
      <c r="X615" s="190"/>
      <c r="Y615" s="190"/>
      <c r="Z615" s="190"/>
    </row>
    <row r="616" ht="15.75" customHeight="1">
      <c r="A616" s="228"/>
      <c r="B616" s="165"/>
      <c r="C616" s="162"/>
      <c r="D616" s="142"/>
      <c r="E616" s="144"/>
      <c r="F616" s="144"/>
      <c r="G616" s="144"/>
      <c r="H616" s="144"/>
      <c r="I616" s="182"/>
      <c r="J616" s="144"/>
      <c r="K616" s="145"/>
      <c r="L616" s="150"/>
      <c r="M616" s="146"/>
      <c r="N616" s="146"/>
      <c r="O616" s="146"/>
      <c r="P616" s="146"/>
      <c r="Q616" s="146"/>
      <c r="R616" s="190"/>
      <c r="S616" s="190"/>
      <c r="T616" s="190"/>
      <c r="U616" s="190"/>
      <c r="V616" s="190"/>
      <c r="W616" s="190"/>
      <c r="X616" s="190"/>
      <c r="Y616" s="190"/>
      <c r="Z616" s="190"/>
    </row>
    <row r="617" ht="15.75" customHeight="1">
      <c r="A617" s="228"/>
      <c r="B617" s="165"/>
      <c r="C617" s="162"/>
      <c r="D617" s="142"/>
      <c r="E617" s="144"/>
      <c r="F617" s="144"/>
      <c r="G617" s="144"/>
      <c r="H617" s="144"/>
      <c r="I617" s="182"/>
      <c r="J617" s="144"/>
      <c r="K617" s="145"/>
      <c r="L617" s="150"/>
      <c r="M617" s="146"/>
      <c r="N617" s="146"/>
      <c r="O617" s="146"/>
      <c r="P617" s="146"/>
      <c r="Q617" s="146"/>
      <c r="R617" s="190"/>
      <c r="S617" s="190"/>
      <c r="T617" s="190"/>
      <c r="U617" s="190"/>
      <c r="V617" s="190"/>
      <c r="W617" s="190"/>
      <c r="X617" s="190"/>
      <c r="Y617" s="190"/>
      <c r="Z617" s="190"/>
    </row>
    <row r="618" ht="15.75" customHeight="1">
      <c r="A618" s="228"/>
      <c r="B618" s="165"/>
      <c r="C618" s="162"/>
      <c r="D618" s="142"/>
      <c r="E618" s="144"/>
      <c r="F618" s="144"/>
      <c r="G618" s="144"/>
      <c r="H618" s="144"/>
      <c r="I618" s="182"/>
      <c r="J618" s="144"/>
      <c r="K618" s="145"/>
      <c r="L618" s="150"/>
      <c r="M618" s="146"/>
      <c r="N618" s="146"/>
      <c r="O618" s="146"/>
      <c r="P618" s="146"/>
      <c r="Q618" s="146"/>
      <c r="R618" s="190"/>
      <c r="S618" s="190"/>
      <c r="T618" s="190"/>
      <c r="U618" s="190"/>
      <c r="V618" s="190"/>
      <c r="W618" s="190"/>
      <c r="X618" s="190"/>
      <c r="Y618" s="190"/>
      <c r="Z618" s="190"/>
    </row>
    <row r="619" ht="15.75" customHeight="1">
      <c r="A619" s="228"/>
      <c r="B619" s="165"/>
      <c r="C619" s="162"/>
      <c r="D619" s="142"/>
      <c r="E619" s="144"/>
      <c r="F619" s="144"/>
      <c r="G619" s="144"/>
      <c r="H619" s="144"/>
      <c r="I619" s="182"/>
      <c r="J619" s="144"/>
      <c r="K619" s="145"/>
      <c r="L619" s="150"/>
      <c r="M619" s="146"/>
      <c r="N619" s="146"/>
      <c r="O619" s="146"/>
      <c r="P619" s="146"/>
      <c r="Q619" s="146"/>
      <c r="R619" s="190"/>
      <c r="S619" s="190"/>
      <c r="T619" s="190"/>
      <c r="U619" s="190"/>
      <c r="V619" s="190"/>
      <c r="W619" s="190"/>
      <c r="X619" s="190"/>
      <c r="Y619" s="190"/>
      <c r="Z619" s="190"/>
    </row>
    <row r="620" ht="15.75" customHeight="1">
      <c r="A620" s="228"/>
      <c r="B620" s="165"/>
      <c r="C620" s="162"/>
      <c r="D620" s="142"/>
      <c r="E620" s="144"/>
      <c r="F620" s="144"/>
      <c r="G620" s="144"/>
      <c r="H620" s="144"/>
      <c r="I620" s="182"/>
      <c r="J620" s="144"/>
      <c r="K620" s="145"/>
      <c r="L620" s="150"/>
      <c r="M620" s="146"/>
      <c r="N620" s="146"/>
      <c r="O620" s="146"/>
      <c r="P620" s="146"/>
      <c r="Q620" s="146"/>
      <c r="R620" s="190"/>
      <c r="S620" s="190"/>
      <c r="T620" s="190"/>
      <c r="U620" s="190"/>
      <c r="V620" s="190"/>
      <c r="W620" s="190"/>
      <c r="X620" s="190"/>
      <c r="Y620" s="190"/>
      <c r="Z620" s="190"/>
    </row>
    <row r="621" ht="15.75" customHeight="1">
      <c r="A621" s="228"/>
      <c r="B621" s="165"/>
      <c r="C621" s="162"/>
      <c r="D621" s="142"/>
      <c r="E621" s="144"/>
      <c r="F621" s="144"/>
      <c r="G621" s="144"/>
      <c r="H621" s="144"/>
      <c r="I621" s="182"/>
      <c r="J621" s="144"/>
      <c r="K621" s="145"/>
      <c r="L621" s="150"/>
      <c r="M621" s="146"/>
      <c r="N621" s="146"/>
      <c r="O621" s="146"/>
      <c r="P621" s="146"/>
      <c r="Q621" s="146"/>
      <c r="R621" s="190"/>
      <c r="S621" s="190"/>
      <c r="T621" s="190"/>
      <c r="U621" s="190"/>
      <c r="V621" s="190"/>
      <c r="W621" s="190"/>
      <c r="X621" s="190"/>
      <c r="Y621" s="190"/>
      <c r="Z621" s="190"/>
    </row>
    <row r="622" ht="15.75" customHeight="1">
      <c r="A622" s="228"/>
      <c r="B622" s="165"/>
      <c r="C622" s="162"/>
      <c r="D622" s="142"/>
      <c r="E622" s="144"/>
      <c r="F622" s="144"/>
      <c r="G622" s="144"/>
      <c r="H622" s="144"/>
      <c r="I622" s="182"/>
      <c r="J622" s="144"/>
      <c r="K622" s="145"/>
      <c r="L622" s="150"/>
      <c r="M622" s="146"/>
      <c r="N622" s="146"/>
      <c r="O622" s="146"/>
      <c r="P622" s="146"/>
      <c r="Q622" s="146"/>
      <c r="R622" s="190"/>
      <c r="S622" s="190"/>
      <c r="T622" s="190"/>
      <c r="U622" s="190"/>
      <c r="V622" s="190"/>
      <c r="W622" s="190"/>
      <c r="X622" s="190"/>
      <c r="Y622" s="190"/>
      <c r="Z622" s="190"/>
    </row>
    <row r="623" ht="15.75" customHeight="1">
      <c r="A623" s="228"/>
      <c r="B623" s="165"/>
      <c r="C623" s="162"/>
      <c r="D623" s="142"/>
      <c r="E623" s="144"/>
      <c r="F623" s="144"/>
      <c r="G623" s="144"/>
      <c r="H623" s="144"/>
      <c r="I623" s="182"/>
      <c r="J623" s="144"/>
      <c r="K623" s="145"/>
      <c r="L623" s="150"/>
      <c r="M623" s="146"/>
      <c r="N623" s="146"/>
      <c r="O623" s="146"/>
      <c r="P623" s="146"/>
      <c r="Q623" s="146"/>
      <c r="R623" s="190"/>
      <c r="S623" s="190"/>
      <c r="T623" s="190"/>
      <c r="U623" s="190"/>
      <c r="V623" s="190"/>
      <c r="W623" s="190"/>
      <c r="X623" s="190"/>
      <c r="Y623" s="190"/>
      <c r="Z623" s="190"/>
    </row>
    <row r="624" ht="15.75" customHeight="1">
      <c r="A624" s="228"/>
      <c r="B624" s="165"/>
      <c r="C624" s="162"/>
      <c r="D624" s="142"/>
      <c r="E624" s="144"/>
      <c r="F624" s="144"/>
      <c r="G624" s="144"/>
      <c r="H624" s="144"/>
      <c r="I624" s="182"/>
      <c r="J624" s="144"/>
      <c r="K624" s="145"/>
      <c r="L624" s="150"/>
      <c r="M624" s="146"/>
      <c r="N624" s="146"/>
      <c r="O624" s="146"/>
      <c r="P624" s="146"/>
      <c r="Q624" s="146"/>
      <c r="R624" s="190"/>
      <c r="S624" s="190"/>
      <c r="T624" s="190"/>
      <c r="U624" s="190"/>
      <c r="V624" s="190"/>
      <c r="W624" s="190"/>
      <c r="X624" s="190"/>
      <c r="Y624" s="190"/>
      <c r="Z624" s="190"/>
    </row>
    <row r="625" ht="15.75" customHeight="1">
      <c r="A625" s="228"/>
      <c r="B625" s="165"/>
      <c r="C625" s="162"/>
      <c r="D625" s="142"/>
      <c r="E625" s="144"/>
      <c r="F625" s="144"/>
      <c r="G625" s="144"/>
      <c r="H625" s="144"/>
      <c r="I625" s="182"/>
      <c r="J625" s="144"/>
      <c r="K625" s="145"/>
      <c r="L625" s="150"/>
      <c r="M625" s="146"/>
      <c r="N625" s="146"/>
      <c r="O625" s="146"/>
      <c r="P625" s="146"/>
      <c r="Q625" s="146"/>
      <c r="R625" s="190"/>
      <c r="S625" s="190"/>
      <c r="T625" s="190"/>
      <c r="U625" s="190"/>
      <c r="V625" s="190"/>
      <c r="W625" s="190"/>
      <c r="X625" s="190"/>
      <c r="Y625" s="190"/>
      <c r="Z625" s="190"/>
    </row>
    <row r="626" ht="15.75" customHeight="1">
      <c r="A626" s="228"/>
      <c r="B626" s="165"/>
      <c r="C626" s="162"/>
      <c r="D626" s="142"/>
      <c r="E626" s="144"/>
      <c r="F626" s="144"/>
      <c r="G626" s="144"/>
      <c r="H626" s="144"/>
      <c r="I626" s="182"/>
      <c r="J626" s="144"/>
      <c r="K626" s="145"/>
      <c r="L626" s="150"/>
      <c r="M626" s="146"/>
      <c r="N626" s="146"/>
      <c r="O626" s="146"/>
      <c r="P626" s="146"/>
      <c r="Q626" s="146"/>
      <c r="R626" s="190"/>
      <c r="S626" s="190"/>
      <c r="T626" s="190"/>
      <c r="U626" s="190"/>
      <c r="V626" s="190"/>
      <c r="W626" s="190"/>
      <c r="X626" s="190"/>
      <c r="Y626" s="190"/>
      <c r="Z626" s="190"/>
    </row>
    <row r="627" ht="15.75" customHeight="1">
      <c r="A627" s="228"/>
      <c r="B627" s="165"/>
      <c r="C627" s="162"/>
      <c r="D627" s="142"/>
      <c r="E627" s="144"/>
      <c r="F627" s="144"/>
      <c r="G627" s="144"/>
      <c r="H627" s="144"/>
      <c r="I627" s="182"/>
      <c r="J627" s="144"/>
      <c r="K627" s="145"/>
      <c r="L627" s="150"/>
      <c r="M627" s="146"/>
      <c r="N627" s="146"/>
      <c r="O627" s="146"/>
      <c r="P627" s="146"/>
      <c r="Q627" s="146"/>
      <c r="R627" s="190"/>
      <c r="S627" s="190"/>
      <c r="T627" s="190"/>
      <c r="U627" s="190"/>
      <c r="V627" s="190"/>
      <c r="W627" s="190"/>
      <c r="X627" s="190"/>
      <c r="Y627" s="190"/>
      <c r="Z627" s="190"/>
    </row>
    <row r="628" ht="15.75" customHeight="1">
      <c r="A628" s="228"/>
      <c r="B628" s="165"/>
      <c r="C628" s="162"/>
      <c r="D628" s="142"/>
      <c r="E628" s="144"/>
      <c r="F628" s="144"/>
      <c r="G628" s="144"/>
      <c r="H628" s="144"/>
      <c r="I628" s="182"/>
      <c r="J628" s="144"/>
      <c r="K628" s="145"/>
      <c r="L628" s="150"/>
      <c r="M628" s="146"/>
      <c r="N628" s="146"/>
      <c r="O628" s="146"/>
      <c r="P628" s="146"/>
      <c r="Q628" s="146"/>
      <c r="R628" s="190"/>
      <c r="S628" s="190"/>
      <c r="T628" s="190"/>
      <c r="U628" s="190"/>
      <c r="V628" s="190"/>
      <c r="W628" s="190"/>
      <c r="X628" s="190"/>
      <c r="Y628" s="190"/>
      <c r="Z628" s="190"/>
    </row>
    <row r="629" ht="15.75" customHeight="1">
      <c r="A629" s="228"/>
      <c r="B629" s="165"/>
      <c r="C629" s="162"/>
      <c r="D629" s="142"/>
      <c r="E629" s="144"/>
      <c r="F629" s="144"/>
      <c r="G629" s="144"/>
      <c r="H629" s="144"/>
      <c r="I629" s="182"/>
      <c r="J629" s="144"/>
      <c r="K629" s="145"/>
      <c r="L629" s="150"/>
      <c r="M629" s="146"/>
      <c r="N629" s="146"/>
      <c r="O629" s="146"/>
      <c r="P629" s="146"/>
      <c r="Q629" s="146"/>
      <c r="R629" s="190"/>
      <c r="S629" s="190"/>
      <c r="T629" s="190"/>
      <c r="U629" s="190"/>
      <c r="V629" s="190"/>
      <c r="W629" s="190"/>
      <c r="X629" s="190"/>
      <c r="Y629" s="190"/>
      <c r="Z629" s="190"/>
    </row>
    <row r="630" ht="15.75" customHeight="1">
      <c r="A630" s="228"/>
      <c r="B630" s="165"/>
      <c r="C630" s="162"/>
      <c r="D630" s="142"/>
      <c r="E630" s="144"/>
      <c r="F630" s="144"/>
      <c r="G630" s="144"/>
      <c r="H630" s="144"/>
      <c r="I630" s="182"/>
      <c r="J630" s="144"/>
      <c r="K630" s="145"/>
      <c r="L630" s="150"/>
      <c r="M630" s="146"/>
      <c r="N630" s="146"/>
      <c r="O630" s="146"/>
      <c r="P630" s="146"/>
      <c r="Q630" s="146"/>
      <c r="R630" s="190"/>
      <c r="S630" s="190"/>
      <c r="T630" s="190"/>
      <c r="U630" s="190"/>
      <c r="V630" s="190"/>
      <c r="W630" s="190"/>
      <c r="X630" s="190"/>
      <c r="Y630" s="190"/>
      <c r="Z630" s="190"/>
    </row>
    <row r="631" ht="15.75" customHeight="1">
      <c r="A631" s="228"/>
      <c r="B631" s="165"/>
      <c r="C631" s="162"/>
      <c r="D631" s="142"/>
      <c r="E631" s="144"/>
      <c r="F631" s="144"/>
      <c r="G631" s="144"/>
      <c r="H631" s="144"/>
      <c r="I631" s="182"/>
      <c r="J631" s="144"/>
      <c r="K631" s="145"/>
      <c r="L631" s="150"/>
      <c r="M631" s="146"/>
      <c r="N631" s="146"/>
      <c r="O631" s="146"/>
      <c r="P631" s="146"/>
      <c r="Q631" s="146"/>
      <c r="R631" s="190"/>
      <c r="S631" s="190"/>
      <c r="T631" s="190"/>
      <c r="U631" s="190"/>
      <c r="V631" s="190"/>
      <c r="W631" s="190"/>
      <c r="X631" s="190"/>
      <c r="Y631" s="190"/>
      <c r="Z631" s="190"/>
    </row>
    <row r="632" ht="15.75" customHeight="1">
      <c r="A632" s="228"/>
      <c r="B632" s="165"/>
      <c r="C632" s="162"/>
      <c r="D632" s="142"/>
      <c r="E632" s="144"/>
      <c r="F632" s="144"/>
      <c r="G632" s="144"/>
      <c r="H632" s="144"/>
      <c r="I632" s="182"/>
      <c r="J632" s="144"/>
      <c r="K632" s="145"/>
      <c r="L632" s="150"/>
      <c r="M632" s="146"/>
      <c r="N632" s="146"/>
      <c r="O632" s="146"/>
      <c r="P632" s="146"/>
      <c r="Q632" s="146"/>
      <c r="R632" s="190"/>
      <c r="S632" s="190"/>
      <c r="T632" s="190"/>
      <c r="U632" s="190"/>
      <c r="V632" s="190"/>
      <c r="W632" s="190"/>
      <c r="X632" s="190"/>
      <c r="Y632" s="190"/>
      <c r="Z632" s="190"/>
    </row>
    <row r="633" ht="15.75" customHeight="1">
      <c r="A633" s="228"/>
      <c r="B633" s="165"/>
      <c r="C633" s="162"/>
      <c r="D633" s="142"/>
      <c r="E633" s="144"/>
      <c r="F633" s="144"/>
      <c r="G633" s="144"/>
      <c r="H633" s="144"/>
      <c r="I633" s="182"/>
      <c r="J633" s="144"/>
      <c r="K633" s="145"/>
      <c r="L633" s="150"/>
      <c r="M633" s="146"/>
      <c r="N633" s="146"/>
      <c r="O633" s="146"/>
      <c r="P633" s="146"/>
      <c r="Q633" s="146"/>
      <c r="R633" s="190"/>
      <c r="S633" s="190"/>
      <c r="T633" s="190"/>
      <c r="U633" s="190"/>
      <c r="V633" s="190"/>
      <c r="W633" s="190"/>
      <c r="X633" s="190"/>
      <c r="Y633" s="190"/>
      <c r="Z633" s="190"/>
    </row>
    <row r="634" ht="15.75" customHeight="1">
      <c r="A634" s="228"/>
      <c r="B634" s="165"/>
      <c r="C634" s="162"/>
      <c r="D634" s="142"/>
      <c r="E634" s="144"/>
      <c r="F634" s="144"/>
      <c r="G634" s="144"/>
      <c r="H634" s="144"/>
      <c r="I634" s="182"/>
      <c r="J634" s="144"/>
      <c r="K634" s="145"/>
      <c r="L634" s="150"/>
      <c r="M634" s="146"/>
      <c r="N634" s="146"/>
      <c r="O634" s="146"/>
      <c r="P634" s="146"/>
      <c r="Q634" s="146"/>
      <c r="R634" s="190"/>
      <c r="S634" s="190"/>
      <c r="T634" s="190"/>
      <c r="U634" s="190"/>
      <c r="V634" s="190"/>
      <c r="W634" s="190"/>
      <c r="X634" s="190"/>
      <c r="Y634" s="190"/>
      <c r="Z634" s="190"/>
    </row>
    <row r="635" ht="15.75" customHeight="1">
      <c r="A635" s="228"/>
      <c r="B635" s="165"/>
      <c r="C635" s="162"/>
      <c r="D635" s="142"/>
      <c r="E635" s="144"/>
      <c r="F635" s="144"/>
      <c r="G635" s="144"/>
      <c r="H635" s="144"/>
      <c r="I635" s="182"/>
      <c r="J635" s="144"/>
      <c r="K635" s="145"/>
      <c r="L635" s="150"/>
      <c r="M635" s="146"/>
      <c r="N635" s="146"/>
      <c r="O635" s="146"/>
      <c r="P635" s="146"/>
      <c r="Q635" s="146"/>
      <c r="R635" s="190"/>
      <c r="S635" s="190"/>
      <c r="T635" s="190"/>
      <c r="U635" s="190"/>
      <c r="V635" s="190"/>
      <c r="W635" s="190"/>
      <c r="X635" s="190"/>
      <c r="Y635" s="190"/>
      <c r="Z635" s="190"/>
    </row>
    <row r="636" ht="15.75" customHeight="1">
      <c r="A636" s="228"/>
      <c r="B636" s="165"/>
      <c r="C636" s="162"/>
      <c r="D636" s="142"/>
      <c r="E636" s="144"/>
      <c r="F636" s="144"/>
      <c r="G636" s="144"/>
      <c r="H636" s="144"/>
      <c r="I636" s="182"/>
      <c r="J636" s="144"/>
      <c r="K636" s="145"/>
      <c r="L636" s="150"/>
      <c r="M636" s="146"/>
      <c r="N636" s="146"/>
      <c r="O636" s="146"/>
      <c r="P636" s="146"/>
      <c r="Q636" s="146"/>
      <c r="R636" s="190"/>
      <c r="S636" s="190"/>
      <c r="T636" s="190"/>
      <c r="U636" s="190"/>
      <c r="V636" s="190"/>
      <c r="W636" s="190"/>
      <c r="X636" s="190"/>
      <c r="Y636" s="190"/>
      <c r="Z636" s="190"/>
    </row>
    <row r="637" ht="15.75" customHeight="1">
      <c r="A637" s="228"/>
      <c r="B637" s="165"/>
      <c r="C637" s="162"/>
      <c r="D637" s="142"/>
      <c r="E637" s="144"/>
      <c r="F637" s="144"/>
      <c r="G637" s="144"/>
      <c r="H637" s="144"/>
      <c r="I637" s="182"/>
      <c r="J637" s="144"/>
      <c r="K637" s="145"/>
      <c r="L637" s="150"/>
      <c r="M637" s="146"/>
      <c r="N637" s="146"/>
      <c r="O637" s="146"/>
      <c r="P637" s="146"/>
      <c r="Q637" s="146"/>
      <c r="R637" s="190"/>
      <c r="S637" s="190"/>
      <c r="T637" s="190"/>
      <c r="U637" s="190"/>
      <c r="V637" s="190"/>
      <c r="W637" s="190"/>
      <c r="X637" s="190"/>
      <c r="Y637" s="190"/>
      <c r="Z637" s="190"/>
    </row>
    <row r="638" ht="15.75" customHeight="1">
      <c r="A638" s="228"/>
      <c r="B638" s="165"/>
      <c r="C638" s="162"/>
      <c r="D638" s="142"/>
      <c r="E638" s="144"/>
      <c r="F638" s="144"/>
      <c r="G638" s="144"/>
      <c r="H638" s="144"/>
      <c r="I638" s="182"/>
      <c r="J638" s="144"/>
      <c r="K638" s="145"/>
      <c r="L638" s="150"/>
      <c r="M638" s="146"/>
      <c r="N638" s="146"/>
      <c r="O638" s="146"/>
      <c r="P638" s="146"/>
      <c r="Q638" s="146"/>
      <c r="R638" s="190"/>
      <c r="S638" s="190"/>
      <c r="T638" s="190"/>
      <c r="U638" s="190"/>
      <c r="V638" s="190"/>
      <c r="W638" s="190"/>
      <c r="X638" s="190"/>
      <c r="Y638" s="190"/>
      <c r="Z638" s="190"/>
    </row>
    <row r="639" ht="15.75" customHeight="1">
      <c r="A639" s="228"/>
      <c r="B639" s="165"/>
      <c r="C639" s="162"/>
      <c r="D639" s="142"/>
      <c r="E639" s="144"/>
      <c r="F639" s="144"/>
      <c r="G639" s="144"/>
      <c r="H639" s="144"/>
      <c r="I639" s="182"/>
      <c r="J639" s="144"/>
      <c r="K639" s="145"/>
      <c r="L639" s="150"/>
      <c r="M639" s="146"/>
      <c r="N639" s="146"/>
      <c r="O639" s="146"/>
      <c r="P639" s="146"/>
      <c r="Q639" s="146"/>
      <c r="R639" s="190"/>
      <c r="S639" s="190"/>
      <c r="T639" s="190"/>
      <c r="U639" s="190"/>
      <c r="V639" s="190"/>
      <c r="W639" s="190"/>
      <c r="X639" s="190"/>
      <c r="Y639" s="190"/>
      <c r="Z639" s="190"/>
    </row>
    <row r="640" ht="15.75" customHeight="1">
      <c r="A640" s="228"/>
      <c r="B640" s="165"/>
      <c r="C640" s="162"/>
      <c r="D640" s="142"/>
      <c r="E640" s="144"/>
      <c r="F640" s="144"/>
      <c r="G640" s="144"/>
      <c r="H640" s="144"/>
      <c r="I640" s="182"/>
      <c r="J640" s="144"/>
      <c r="K640" s="145"/>
      <c r="L640" s="150"/>
      <c r="M640" s="146"/>
      <c r="N640" s="146"/>
      <c r="O640" s="146"/>
      <c r="P640" s="146"/>
      <c r="Q640" s="146"/>
      <c r="R640" s="190"/>
      <c r="S640" s="190"/>
      <c r="T640" s="190"/>
      <c r="U640" s="190"/>
      <c r="V640" s="190"/>
      <c r="W640" s="190"/>
      <c r="X640" s="190"/>
      <c r="Y640" s="190"/>
      <c r="Z640" s="190"/>
    </row>
    <row r="641" ht="15.75" customHeight="1">
      <c r="A641" s="228"/>
      <c r="B641" s="165"/>
      <c r="C641" s="162"/>
      <c r="D641" s="142"/>
      <c r="E641" s="144"/>
      <c r="F641" s="144"/>
      <c r="G641" s="144"/>
      <c r="H641" s="144"/>
      <c r="I641" s="182"/>
      <c r="J641" s="144"/>
      <c r="K641" s="145"/>
      <c r="L641" s="150"/>
      <c r="M641" s="146"/>
      <c r="N641" s="146"/>
      <c r="O641" s="146"/>
      <c r="P641" s="146"/>
      <c r="Q641" s="146"/>
      <c r="R641" s="190"/>
      <c r="S641" s="190"/>
      <c r="T641" s="190"/>
      <c r="U641" s="190"/>
      <c r="V641" s="190"/>
      <c r="W641" s="190"/>
      <c r="X641" s="190"/>
      <c r="Y641" s="190"/>
      <c r="Z641" s="190"/>
    </row>
    <row r="642" ht="15.75" customHeight="1">
      <c r="A642" s="228"/>
      <c r="B642" s="165"/>
      <c r="C642" s="162"/>
      <c r="D642" s="142"/>
      <c r="E642" s="144"/>
      <c r="F642" s="144"/>
      <c r="G642" s="144"/>
      <c r="H642" s="144"/>
      <c r="I642" s="182"/>
      <c r="J642" s="144"/>
      <c r="K642" s="145"/>
      <c r="L642" s="150"/>
      <c r="M642" s="146"/>
      <c r="N642" s="146"/>
      <c r="O642" s="146"/>
      <c r="P642" s="146"/>
      <c r="Q642" s="146"/>
      <c r="R642" s="190"/>
      <c r="S642" s="190"/>
      <c r="T642" s="190"/>
      <c r="U642" s="190"/>
      <c r="V642" s="190"/>
      <c r="W642" s="190"/>
      <c r="X642" s="190"/>
      <c r="Y642" s="190"/>
      <c r="Z642" s="190"/>
    </row>
    <row r="643" ht="15.75" customHeight="1">
      <c r="A643" s="228"/>
      <c r="B643" s="165"/>
      <c r="C643" s="162"/>
      <c r="D643" s="142"/>
      <c r="E643" s="144"/>
      <c r="F643" s="144"/>
      <c r="G643" s="144"/>
      <c r="H643" s="144"/>
      <c r="I643" s="182"/>
      <c r="J643" s="144"/>
      <c r="K643" s="145"/>
      <c r="L643" s="150"/>
      <c r="M643" s="146"/>
      <c r="N643" s="146"/>
      <c r="O643" s="146"/>
      <c r="P643" s="146"/>
      <c r="Q643" s="146"/>
      <c r="R643" s="190"/>
      <c r="S643" s="190"/>
      <c r="T643" s="190"/>
      <c r="U643" s="190"/>
      <c r="V643" s="190"/>
      <c r="W643" s="190"/>
      <c r="X643" s="190"/>
      <c r="Y643" s="190"/>
      <c r="Z643" s="190"/>
    </row>
    <row r="644" ht="15.75" customHeight="1">
      <c r="A644" s="228"/>
      <c r="B644" s="165"/>
      <c r="C644" s="162"/>
      <c r="D644" s="142"/>
      <c r="E644" s="144"/>
      <c r="F644" s="144"/>
      <c r="G644" s="144"/>
      <c r="H644" s="144"/>
      <c r="I644" s="182"/>
      <c r="J644" s="144"/>
      <c r="K644" s="145"/>
      <c r="L644" s="150"/>
      <c r="M644" s="146"/>
      <c r="N644" s="146"/>
      <c r="O644" s="146"/>
      <c r="P644" s="146"/>
      <c r="Q644" s="146"/>
      <c r="R644" s="190"/>
      <c r="S644" s="190"/>
      <c r="T644" s="190"/>
      <c r="U644" s="190"/>
      <c r="V644" s="190"/>
      <c r="W644" s="190"/>
      <c r="X644" s="190"/>
      <c r="Y644" s="190"/>
      <c r="Z644" s="190"/>
    </row>
    <row r="645" ht="15.75" customHeight="1">
      <c r="A645" s="228"/>
      <c r="B645" s="165"/>
      <c r="C645" s="162"/>
      <c r="D645" s="142"/>
      <c r="E645" s="144"/>
      <c r="F645" s="144"/>
      <c r="G645" s="144"/>
      <c r="H645" s="144"/>
      <c r="I645" s="182"/>
      <c r="J645" s="144"/>
      <c r="K645" s="145"/>
      <c r="L645" s="150"/>
      <c r="M645" s="146"/>
      <c r="N645" s="146"/>
      <c r="O645" s="146"/>
      <c r="P645" s="146"/>
      <c r="Q645" s="146"/>
      <c r="R645" s="190"/>
      <c r="S645" s="190"/>
      <c r="T645" s="190"/>
      <c r="U645" s="190"/>
      <c r="V645" s="190"/>
      <c r="W645" s="190"/>
      <c r="X645" s="190"/>
      <c r="Y645" s="190"/>
      <c r="Z645" s="190"/>
    </row>
    <row r="646" ht="15.75" customHeight="1">
      <c r="A646" s="228"/>
      <c r="B646" s="165"/>
      <c r="C646" s="162"/>
      <c r="D646" s="142"/>
      <c r="E646" s="144"/>
      <c r="F646" s="144"/>
      <c r="G646" s="144"/>
      <c r="H646" s="144"/>
      <c r="I646" s="182"/>
      <c r="J646" s="144"/>
      <c r="K646" s="145"/>
      <c r="L646" s="150"/>
      <c r="M646" s="146"/>
      <c r="N646" s="146"/>
      <c r="O646" s="146"/>
      <c r="P646" s="146"/>
      <c r="Q646" s="146"/>
      <c r="R646" s="190"/>
      <c r="S646" s="190"/>
      <c r="T646" s="190"/>
      <c r="U646" s="190"/>
      <c r="V646" s="190"/>
      <c r="W646" s="190"/>
      <c r="X646" s="190"/>
      <c r="Y646" s="190"/>
      <c r="Z646" s="190"/>
    </row>
    <row r="647" ht="15.75" customHeight="1">
      <c r="A647" s="228"/>
      <c r="B647" s="165"/>
      <c r="C647" s="162"/>
      <c r="D647" s="142"/>
      <c r="E647" s="144"/>
      <c r="F647" s="144"/>
      <c r="G647" s="144"/>
      <c r="H647" s="144"/>
      <c r="I647" s="182"/>
      <c r="J647" s="144"/>
      <c r="K647" s="145"/>
      <c r="L647" s="150"/>
      <c r="M647" s="146"/>
      <c r="N647" s="146"/>
      <c r="O647" s="146"/>
      <c r="P647" s="146"/>
      <c r="Q647" s="146"/>
      <c r="R647" s="190"/>
      <c r="S647" s="190"/>
      <c r="T647" s="190"/>
      <c r="U647" s="190"/>
      <c r="V647" s="190"/>
      <c r="W647" s="190"/>
      <c r="X647" s="190"/>
      <c r="Y647" s="190"/>
      <c r="Z647" s="190"/>
    </row>
    <row r="648" ht="15.75" customHeight="1">
      <c r="A648" s="228"/>
      <c r="B648" s="165"/>
      <c r="C648" s="162"/>
      <c r="D648" s="142"/>
      <c r="E648" s="144"/>
      <c r="F648" s="144"/>
      <c r="G648" s="144"/>
      <c r="H648" s="144"/>
      <c r="I648" s="182"/>
      <c r="J648" s="144"/>
      <c r="K648" s="145"/>
      <c r="L648" s="150"/>
      <c r="M648" s="146"/>
      <c r="N648" s="146"/>
      <c r="O648" s="146"/>
      <c r="P648" s="146"/>
      <c r="Q648" s="146"/>
      <c r="R648" s="190"/>
      <c r="S648" s="190"/>
      <c r="T648" s="190"/>
      <c r="U648" s="190"/>
      <c r="V648" s="190"/>
      <c r="W648" s="190"/>
      <c r="X648" s="190"/>
      <c r="Y648" s="190"/>
      <c r="Z648" s="190"/>
    </row>
    <row r="649" ht="15.75" customHeight="1">
      <c r="A649" s="228"/>
      <c r="B649" s="165"/>
      <c r="C649" s="162"/>
      <c r="D649" s="142"/>
      <c r="E649" s="144"/>
      <c r="F649" s="144"/>
      <c r="G649" s="144"/>
      <c r="H649" s="144"/>
      <c r="I649" s="182"/>
      <c r="J649" s="144"/>
      <c r="K649" s="145"/>
      <c r="L649" s="150"/>
      <c r="M649" s="146"/>
      <c r="N649" s="146"/>
      <c r="O649" s="146"/>
      <c r="P649" s="146"/>
      <c r="Q649" s="146"/>
      <c r="R649" s="190"/>
      <c r="S649" s="190"/>
      <c r="T649" s="190"/>
      <c r="U649" s="190"/>
      <c r="V649" s="190"/>
      <c r="W649" s="190"/>
      <c r="X649" s="190"/>
      <c r="Y649" s="190"/>
      <c r="Z649" s="190"/>
    </row>
    <row r="650" ht="15.75" customHeight="1">
      <c r="A650" s="228"/>
      <c r="B650" s="165"/>
      <c r="C650" s="162"/>
      <c r="D650" s="142"/>
      <c r="E650" s="144"/>
      <c r="F650" s="144"/>
      <c r="G650" s="144"/>
      <c r="H650" s="144"/>
      <c r="I650" s="182"/>
      <c r="J650" s="144"/>
      <c r="K650" s="145"/>
      <c r="L650" s="150"/>
      <c r="M650" s="146"/>
      <c r="N650" s="146"/>
      <c r="O650" s="146"/>
      <c r="P650" s="146"/>
      <c r="Q650" s="146"/>
      <c r="R650" s="190"/>
      <c r="S650" s="190"/>
      <c r="T650" s="190"/>
      <c r="U650" s="190"/>
      <c r="V650" s="190"/>
      <c r="W650" s="190"/>
      <c r="X650" s="190"/>
      <c r="Y650" s="190"/>
      <c r="Z650" s="190"/>
    </row>
    <row r="651" ht="15.75" customHeight="1">
      <c r="A651" s="228"/>
      <c r="B651" s="165"/>
      <c r="C651" s="162"/>
      <c r="D651" s="142"/>
      <c r="E651" s="144"/>
      <c r="F651" s="144"/>
      <c r="G651" s="144"/>
      <c r="H651" s="144"/>
      <c r="I651" s="182"/>
      <c r="J651" s="144"/>
      <c r="K651" s="145"/>
      <c r="L651" s="150"/>
      <c r="M651" s="146"/>
      <c r="N651" s="146"/>
      <c r="O651" s="146"/>
      <c r="P651" s="146"/>
      <c r="Q651" s="146"/>
      <c r="R651" s="190"/>
      <c r="S651" s="190"/>
      <c r="T651" s="190"/>
      <c r="U651" s="190"/>
      <c r="V651" s="190"/>
      <c r="W651" s="190"/>
      <c r="X651" s="190"/>
      <c r="Y651" s="190"/>
      <c r="Z651" s="190"/>
    </row>
    <row r="652" ht="15.75" customHeight="1">
      <c r="A652" s="228"/>
      <c r="B652" s="165"/>
      <c r="C652" s="162"/>
      <c r="D652" s="142"/>
      <c r="E652" s="144"/>
      <c r="F652" s="144"/>
      <c r="G652" s="144"/>
      <c r="H652" s="144"/>
      <c r="I652" s="182"/>
      <c r="J652" s="144"/>
      <c r="K652" s="145"/>
      <c r="L652" s="150"/>
      <c r="M652" s="146"/>
      <c r="N652" s="146"/>
      <c r="O652" s="146"/>
      <c r="P652" s="146"/>
      <c r="Q652" s="146"/>
      <c r="R652" s="190"/>
      <c r="S652" s="190"/>
      <c r="T652" s="190"/>
      <c r="U652" s="190"/>
      <c r="V652" s="190"/>
      <c r="W652" s="190"/>
      <c r="X652" s="190"/>
      <c r="Y652" s="190"/>
      <c r="Z652" s="190"/>
    </row>
    <row r="653" ht="15.75" customHeight="1">
      <c r="A653" s="228"/>
      <c r="B653" s="165"/>
      <c r="C653" s="162"/>
      <c r="D653" s="142"/>
      <c r="E653" s="144"/>
      <c r="F653" s="144"/>
      <c r="G653" s="144"/>
      <c r="H653" s="144"/>
      <c r="I653" s="182"/>
      <c r="J653" s="144"/>
      <c r="K653" s="145"/>
      <c r="L653" s="150"/>
      <c r="M653" s="146"/>
      <c r="N653" s="146"/>
      <c r="O653" s="146"/>
      <c r="P653" s="146"/>
      <c r="Q653" s="146"/>
      <c r="R653" s="190"/>
      <c r="S653" s="190"/>
      <c r="T653" s="190"/>
      <c r="U653" s="190"/>
      <c r="V653" s="190"/>
      <c r="W653" s="190"/>
      <c r="X653" s="190"/>
      <c r="Y653" s="190"/>
      <c r="Z653" s="190"/>
    </row>
    <row r="654" ht="15.75" customHeight="1">
      <c r="A654" s="228"/>
      <c r="B654" s="165"/>
      <c r="C654" s="162"/>
      <c r="D654" s="142"/>
      <c r="E654" s="144"/>
      <c r="F654" s="144"/>
      <c r="G654" s="144"/>
      <c r="H654" s="144"/>
      <c r="I654" s="182"/>
      <c r="J654" s="144"/>
      <c r="K654" s="145"/>
      <c r="L654" s="150"/>
      <c r="M654" s="146"/>
      <c r="N654" s="146"/>
      <c r="O654" s="146"/>
      <c r="P654" s="146"/>
      <c r="Q654" s="146"/>
      <c r="R654" s="190"/>
      <c r="S654" s="190"/>
      <c r="T654" s="190"/>
      <c r="U654" s="190"/>
      <c r="V654" s="190"/>
      <c r="W654" s="190"/>
      <c r="X654" s="190"/>
      <c r="Y654" s="190"/>
      <c r="Z654" s="190"/>
    </row>
    <row r="655" ht="15.75" customHeight="1">
      <c r="A655" s="228"/>
      <c r="B655" s="165"/>
      <c r="C655" s="162"/>
      <c r="D655" s="142"/>
      <c r="E655" s="144"/>
      <c r="F655" s="144"/>
      <c r="G655" s="144"/>
      <c r="H655" s="144"/>
      <c r="I655" s="182"/>
      <c r="J655" s="144"/>
      <c r="K655" s="145"/>
      <c r="L655" s="150"/>
      <c r="M655" s="146"/>
      <c r="N655" s="146"/>
      <c r="O655" s="146"/>
      <c r="P655" s="146"/>
      <c r="Q655" s="146"/>
      <c r="R655" s="190"/>
      <c r="S655" s="190"/>
      <c r="T655" s="190"/>
      <c r="U655" s="190"/>
      <c r="V655" s="190"/>
      <c r="W655" s="190"/>
      <c r="X655" s="190"/>
      <c r="Y655" s="190"/>
      <c r="Z655" s="190"/>
    </row>
    <row r="656" ht="15.75" customHeight="1">
      <c r="A656" s="228"/>
      <c r="B656" s="165"/>
      <c r="C656" s="162"/>
      <c r="D656" s="142"/>
      <c r="E656" s="144"/>
      <c r="F656" s="144"/>
      <c r="G656" s="144"/>
      <c r="H656" s="144"/>
      <c r="I656" s="182"/>
      <c r="J656" s="144"/>
      <c r="K656" s="145"/>
      <c r="L656" s="150"/>
      <c r="M656" s="146"/>
      <c r="N656" s="146"/>
      <c r="O656" s="146"/>
      <c r="P656" s="146"/>
      <c r="Q656" s="146"/>
      <c r="R656" s="190"/>
      <c r="S656" s="190"/>
      <c r="T656" s="190"/>
      <c r="U656" s="190"/>
      <c r="V656" s="190"/>
      <c r="W656" s="190"/>
      <c r="X656" s="190"/>
      <c r="Y656" s="190"/>
      <c r="Z656" s="190"/>
    </row>
    <row r="657" ht="15.75" customHeight="1">
      <c r="A657" s="228"/>
      <c r="B657" s="165"/>
      <c r="C657" s="162"/>
      <c r="D657" s="142"/>
      <c r="E657" s="144"/>
      <c r="F657" s="144"/>
      <c r="G657" s="144"/>
      <c r="H657" s="144"/>
      <c r="I657" s="182"/>
      <c r="J657" s="144"/>
      <c r="K657" s="145"/>
      <c r="L657" s="150"/>
      <c r="M657" s="146"/>
      <c r="N657" s="146"/>
      <c r="O657" s="146"/>
      <c r="P657" s="146"/>
      <c r="Q657" s="146"/>
      <c r="R657" s="190"/>
      <c r="S657" s="190"/>
      <c r="T657" s="190"/>
      <c r="U657" s="190"/>
      <c r="V657" s="190"/>
      <c r="W657" s="190"/>
      <c r="X657" s="190"/>
      <c r="Y657" s="190"/>
      <c r="Z657" s="190"/>
    </row>
    <row r="658" ht="15.75" customHeight="1">
      <c r="A658" s="228"/>
      <c r="B658" s="165"/>
      <c r="C658" s="162"/>
      <c r="D658" s="142"/>
      <c r="E658" s="144"/>
      <c r="F658" s="144"/>
      <c r="G658" s="144"/>
      <c r="H658" s="144"/>
      <c r="I658" s="182"/>
      <c r="J658" s="144"/>
      <c r="K658" s="145"/>
      <c r="L658" s="150"/>
      <c r="M658" s="146"/>
      <c r="N658" s="146"/>
      <c r="O658" s="146"/>
      <c r="P658" s="146"/>
      <c r="Q658" s="146"/>
      <c r="R658" s="190"/>
      <c r="S658" s="190"/>
      <c r="T658" s="190"/>
      <c r="U658" s="190"/>
      <c r="V658" s="190"/>
      <c r="W658" s="190"/>
      <c r="X658" s="190"/>
      <c r="Y658" s="190"/>
      <c r="Z658" s="190"/>
    </row>
    <row r="659" ht="15.75" customHeight="1">
      <c r="A659" s="228"/>
      <c r="B659" s="165"/>
      <c r="C659" s="162"/>
      <c r="D659" s="142"/>
      <c r="E659" s="144"/>
      <c r="F659" s="144"/>
      <c r="G659" s="144"/>
      <c r="H659" s="144"/>
      <c r="I659" s="182"/>
      <c r="J659" s="144"/>
      <c r="K659" s="145"/>
      <c r="L659" s="150"/>
      <c r="M659" s="146"/>
      <c r="N659" s="146"/>
      <c r="O659" s="146"/>
      <c r="P659" s="146"/>
      <c r="Q659" s="146"/>
      <c r="R659" s="190"/>
      <c r="S659" s="190"/>
      <c r="T659" s="190"/>
      <c r="U659" s="190"/>
      <c r="V659" s="190"/>
      <c r="W659" s="190"/>
      <c r="X659" s="190"/>
      <c r="Y659" s="190"/>
      <c r="Z659" s="190"/>
    </row>
    <row r="660" ht="15.75" customHeight="1">
      <c r="A660" s="228"/>
      <c r="B660" s="165"/>
      <c r="C660" s="162"/>
      <c r="D660" s="142"/>
      <c r="E660" s="144"/>
      <c r="F660" s="144"/>
      <c r="G660" s="144"/>
      <c r="H660" s="144"/>
      <c r="I660" s="182"/>
      <c r="J660" s="144"/>
      <c r="K660" s="145"/>
      <c r="L660" s="150"/>
      <c r="M660" s="146"/>
      <c r="N660" s="146"/>
      <c r="O660" s="146"/>
      <c r="P660" s="146"/>
      <c r="Q660" s="146"/>
      <c r="R660" s="190"/>
      <c r="S660" s="190"/>
      <c r="T660" s="190"/>
      <c r="U660" s="190"/>
      <c r="V660" s="190"/>
      <c r="W660" s="190"/>
      <c r="X660" s="190"/>
      <c r="Y660" s="190"/>
      <c r="Z660" s="190"/>
    </row>
    <row r="661" ht="15.75" customHeight="1">
      <c r="A661" s="228"/>
      <c r="B661" s="165"/>
      <c r="C661" s="162"/>
      <c r="D661" s="142"/>
      <c r="E661" s="144"/>
      <c r="F661" s="144"/>
      <c r="G661" s="144"/>
      <c r="H661" s="144"/>
      <c r="I661" s="182"/>
      <c r="J661" s="144"/>
      <c r="K661" s="145"/>
      <c r="L661" s="150"/>
      <c r="M661" s="146"/>
      <c r="N661" s="146"/>
      <c r="O661" s="146"/>
      <c r="P661" s="146"/>
      <c r="Q661" s="146"/>
      <c r="R661" s="190"/>
      <c r="S661" s="190"/>
      <c r="T661" s="190"/>
      <c r="U661" s="190"/>
      <c r="V661" s="190"/>
      <c r="W661" s="190"/>
      <c r="X661" s="190"/>
      <c r="Y661" s="190"/>
      <c r="Z661" s="190"/>
    </row>
    <row r="662" ht="15.75" customHeight="1">
      <c r="A662" s="228"/>
      <c r="B662" s="165"/>
      <c r="C662" s="162"/>
      <c r="D662" s="142"/>
      <c r="E662" s="144"/>
      <c r="F662" s="144"/>
      <c r="G662" s="144"/>
      <c r="H662" s="144"/>
      <c r="I662" s="182"/>
      <c r="J662" s="144"/>
      <c r="K662" s="145"/>
      <c r="L662" s="150"/>
      <c r="M662" s="146"/>
      <c r="N662" s="146"/>
      <c r="O662" s="146"/>
      <c r="P662" s="146"/>
      <c r="Q662" s="146"/>
      <c r="R662" s="190"/>
      <c r="S662" s="190"/>
      <c r="T662" s="190"/>
      <c r="U662" s="190"/>
      <c r="V662" s="190"/>
      <c r="W662" s="190"/>
      <c r="X662" s="190"/>
      <c r="Y662" s="190"/>
      <c r="Z662" s="190"/>
    </row>
    <row r="663" ht="15.75" customHeight="1">
      <c r="A663" s="228"/>
      <c r="B663" s="165"/>
      <c r="C663" s="162"/>
      <c r="D663" s="142"/>
      <c r="E663" s="144"/>
      <c r="F663" s="144"/>
      <c r="G663" s="144"/>
      <c r="H663" s="144"/>
      <c r="I663" s="182"/>
      <c r="J663" s="144"/>
      <c r="K663" s="145"/>
      <c r="L663" s="150"/>
      <c r="M663" s="146"/>
      <c r="N663" s="146"/>
      <c r="O663" s="146"/>
      <c r="P663" s="146"/>
      <c r="Q663" s="146"/>
      <c r="R663" s="190"/>
      <c r="S663" s="190"/>
      <c r="T663" s="190"/>
      <c r="U663" s="190"/>
      <c r="V663" s="190"/>
      <c r="W663" s="190"/>
      <c r="X663" s="190"/>
      <c r="Y663" s="190"/>
      <c r="Z663" s="190"/>
    </row>
    <row r="664" ht="15.75" customHeight="1">
      <c r="A664" s="228"/>
      <c r="B664" s="165"/>
      <c r="C664" s="162"/>
      <c r="D664" s="142"/>
      <c r="E664" s="144"/>
      <c r="F664" s="144"/>
      <c r="G664" s="144"/>
      <c r="H664" s="144"/>
      <c r="I664" s="182"/>
      <c r="J664" s="144"/>
      <c r="K664" s="145"/>
      <c r="L664" s="150"/>
      <c r="M664" s="146"/>
      <c r="N664" s="146"/>
      <c r="O664" s="146"/>
      <c r="P664" s="146"/>
      <c r="Q664" s="146"/>
      <c r="R664" s="190"/>
      <c r="S664" s="190"/>
      <c r="T664" s="190"/>
      <c r="U664" s="190"/>
      <c r="V664" s="190"/>
      <c r="W664" s="190"/>
      <c r="X664" s="190"/>
      <c r="Y664" s="190"/>
      <c r="Z664" s="190"/>
    </row>
    <row r="665" ht="15.75" customHeight="1">
      <c r="A665" s="228"/>
      <c r="B665" s="165"/>
      <c r="C665" s="162"/>
      <c r="D665" s="142"/>
      <c r="E665" s="144"/>
      <c r="F665" s="144"/>
      <c r="G665" s="144"/>
      <c r="H665" s="144"/>
      <c r="I665" s="182"/>
      <c r="J665" s="144"/>
      <c r="K665" s="145"/>
      <c r="L665" s="150"/>
      <c r="M665" s="146"/>
      <c r="N665" s="146"/>
      <c r="O665" s="146"/>
      <c r="P665" s="146"/>
      <c r="Q665" s="146"/>
      <c r="R665" s="190"/>
      <c r="S665" s="190"/>
      <c r="T665" s="190"/>
      <c r="U665" s="190"/>
      <c r="V665" s="190"/>
      <c r="W665" s="190"/>
      <c r="X665" s="190"/>
      <c r="Y665" s="190"/>
      <c r="Z665" s="190"/>
    </row>
    <row r="666" ht="15.75" customHeight="1">
      <c r="A666" s="228"/>
      <c r="B666" s="165"/>
      <c r="C666" s="162"/>
      <c r="D666" s="142"/>
      <c r="E666" s="144"/>
      <c r="F666" s="144"/>
      <c r="G666" s="144"/>
      <c r="H666" s="144"/>
      <c r="I666" s="182"/>
      <c r="J666" s="144"/>
      <c r="K666" s="145"/>
      <c r="L666" s="150"/>
      <c r="M666" s="146"/>
      <c r="N666" s="146"/>
      <c r="O666" s="146"/>
      <c r="P666" s="146"/>
      <c r="Q666" s="146"/>
      <c r="R666" s="190"/>
      <c r="S666" s="190"/>
      <c r="T666" s="190"/>
      <c r="U666" s="190"/>
      <c r="V666" s="190"/>
      <c r="W666" s="190"/>
      <c r="X666" s="190"/>
      <c r="Y666" s="190"/>
      <c r="Z666" s="190"/>
    </row>
    <row r="667" ht="15.75" customHeight="1">
      <c r="A667" s="228"/>
      <c r="B667" s="165"/>
      <c r="C667" s="162"/>
      <c r="D667" s="142"/>
      <c r="E667" s="144"/>
      <c r="F667" s="144"/>
      <c r="G667" s="144"/>
      <c r="H667" s="144"/>
      <c r="I667" s="182"/>
      <c r="J667" s="144"/>
      <c r="K667" s="145"/>
      <c r="L667" s="150"/>
      <c r="M667" s="146"/>
      <c r="N667" s="146"/>
      <c r="O667" s="146"/>
      <c r="P667" s="146"/>
      <c r="Q667" s="146"/>
      <c r="R667" s="190"/>
      <c r="S667" s="190"/>
      <c r="T667" s="190"/>
      <c r="U667" s="190"/>
      <c r="V667" s="190"/>
      <c r="W667" s="190"/>
      <c r="X667" s="190"/>
      <c r="Y667" s="190"/>
      <c r="Z667" s="190"/>
    </row>
    <row r="668" ht="15.75" customHeight="1">
      <c r="A668" s="228"/>
      <c r="B668" s="165"/>
      <c r="C668" s="162"/>
      <c r="D668" s="142"/>
      <c r="E668" s="144"/>
      <c r="F668" s="144"/>
      <c r="G668" s="144"/>
      <c r="H668" s="144"/>
      <c r="I668" s="182"/>
      <c r="J668" s="144"/>
      <c r="K668" s="145"/>
      <c r="L668" s="150"/>
      <c r="M668" s="146"/>
      <c r="N668" s="146"/>
      <c r="O668" s="146"/>
      <c r="P668" s="146"/>
      <c r="Q668" s="146"/>
      <c r="R668" s="190"/>
      <c r="S668" s="190"/>
      <c r="T668" s="190"/>
      <c r="U668" s="190"/>
      <c r="V668" s="190"/>
      <c r="W668" s="190"/>
      <c r="X668" s="190"/>
      <c r="Y668" s="190"/>
      <c r="Z668" s="190"/>
    </row>
    <row r="669" ht="15.75" customHeight="1">
      <c r="A669" s="228"/>
      <c r="B669" s="165"/>
      <c r="C669" s="162"/>
      <c r="D669" s="142"/>
      <c r="E669" s="144"/>
      <c r="F669" s="144"/>
      <c r="G669" s="144"/>
      <c r="H669" s="144"/>
      <c r="I669" s="182"/>
      <c r="J669" s="144"/>
      <c r="K669" s="145"/>
      <c r="L669" s="150"/>
      <c r="M669" s="146"/>
      <c r="N669" s="146"/>
      <c r="O669" s="146"/>
      <c r="P669" s="146"/>
      <c r="Q669" s="146"/>
      <c r="R669" s="190"/>
      <c r="S669" s="190"/>
      <c r="T669" s="190"/>
      <c r="U669" s="190"/>
      <c r="V669" s="190"/>
      <c r="W669" s="190"/>
      <c r="X669" s="190"/>
      <c r="Y669" s="190"/>
      <c r="Z669" s="190"/>
    </row>
    <row r="670" ht="15.75" customHeight="1">
      <c r="A670" s="228"/>
      <c r="B670" s="165"/>
      <c r="C670" s="162"/>
      <c r="D670" s="142"/>
      <c r="E670" s="144"/>
      <c r="F670" s="144"/>
      <c r="G670" s="144"/>
      <c r="H670" s="144"/>
      <c r="I670" s="182"/>
      <c r="J670" s="144"/>
      <c r="K670" s="145"/>
      <c r="L670" s="150"/>
      <c r="M670" s="146"/>
      <c r="N670" s="146"/>
      <c r="O670" s="146"/>
      <c r="P670" s="146"/>
      <c r="Q670" s="146"/>
      <c r="R670" s="190"/>
      <c r="S670" s="190"/>
      <c r="T670" s="190"/>
      <c r="U670" s="190"/>
      <c r="V670" s="190"/>
      <c r="W670" s="190"/>
      <c r="X670" s="190"/>
      <c r="Y670" s="190"/>
      <c r="Z670" s="190"/>
    </row>
    <row r="671" ht="15.75" customHeight="1">
      <c r="A671" s="228"/>
      <c r="B671" s="165"/>
      <c r="C671" s="162"/>
      <c r="D671" s="142"/>
      <c r="E671" s="144"/>
      <c r="F671" s="144"/>
      <c r="G671" s="144"/>
      <c r="H671" s="144"/>
      <c r="I671" s="182"/>
      <c r="J671" s="144"/>
      <c r="K671" s="145"/>
      <c r="L671" s="150"/>
      <c r="M671" s="146"/>
      <c r="N671" s="146"/>
      <c r="O671" s="146"/>
      <c r="P671" s="146"/>
      <c r="Q671" s="146"/>
      <c r="R671" s="190"/>
      <c r="S671" s="190"/>
      <c r="T671" s="190"/>
      <c r="U671" s="190"/>
      <c r="V671" s="190"/>
      <c r="W671" s="190"/>
      <c r="X671" s="190"/>
      <c r="Y671" s="190"/>
      <c r="Z671" s="190"/>
    </row>
    <row r="672" ht="15.75" customHeight="1">
      <c r="A672" s="228"/>
      <c r="B672" s="165"/>
      <c r="C672" s="162"/>
      <c r="D672" s="142"/>
      <c r="E672" s="144"/>
      <c r="F672" s="144"/>
      <c r="G672" s="144"/>
      <c r="H672" s="144"/>
      <c r="I672" s="182"/>
      <c r="J672" s="144"/>
      <c r="K672" s="145"/>
      <c r="L672" s="150"/>
      <c r="M672" s="146"/>
      <c r="N672" s="146"/>
      <c r="O672" s="146"/>
      <c r="P672" s="146"/>
      <c r="Q672" s="146"/>
      <c r="R672" s="190"/>
      <c r="S672" s="190"/>
      <c r="T672" s="190"/>
      <c r="U672" s="190"/>
      <c r="V672" s="190"/>
      <c r="W672" s="190"/>
      <c r="X672" s="190"/>
      <c r="Y672" s="190"/>
      <c r="Z672" s="190"/>
    </row>
    <row r="673" ht="15.75" customHeight="1">
      <c r="A673" s="228"/>
      <c r="B673" s="165"/>
      <c r="C673" s="162"/>
      <c r="D673" s="142"/>
      <c r="E673" s="144"/>
      <c r="F673" s="144"/>
      <c r="G673" s="144"/>
      <c r="H673" s="144"/>
      <c r="I673" s="182"/>
      <c r="J673" s="144"/>
      <c r="K673" s="145"/>
      <c r="L673" s="150"/>
      <c r="M673" s="146"/>
      <c r="N673" s="146"/>
      <c r="O673" s="146"/>
      <c r="P673" s="146"/>
      <c r="Q673" s="146"/>
      <c r="R673" s="190"/>
      <c r="S673" s="190"/>
      <c r="T673" s="190"/>
      <c r="U673" s="190"/>
      <c r="V673" s="190"/>
      <c r="W673" s="190"/>
      <c r="X673" s="190"/>
      <c r="Y673" s="190"/>
      <c r="Z673" s="190"/>
    </row>
    <row r="674" ht="15.75" customHeight="1">
      <c r="A674" s="228"/>
      <c r="B674" s="165"/>
      <c r="C674" s="162"/>
      <c r="D674" s="142"/>
      <c r="E674" s="144"/>
      <c r="F674" s="144"/>
      <c r="G674" s="144"/>
      <c r="H674" s="144"/>
      <c r="I674" s="182"/>
      <c r="J674" s="144"/>
      <c r="K674" s="145"/>
      <c r="L674" s="150"/>
      <c r="M674" s="146"/>
      <c r="N674" s="146"/>
      <c r="O674" s="146"/>
      <c r="P674" s="146"/>
      <c r="Q674" s="146"/>
      <c r="R674" s="190"/>
      <c r="S674" s="190"/>
      <c r="T674" s="190"/>
      <c r="U674" s="190"/>
      <c r="V674" s="190"/>
      <c r="W674" s="190"/>
      <c r="X674" s="190"/>
      <c r="Y674" s="190"/>
      <c r="Z674" s="190"/>
    </row>
    <row r="675" ht="15.75" customHeight="1">
      <c r="A675" s="228"/>
      <c r="B675" s="165"/>
      <c r="C675" s="162"/>
      <c r="D675" s="142"/>
      <c r="E675" s="144"/>
      <c r="F675" s="144"/>
      <c r="G675" s="144"/>
      <c r="H675" s="144"/>
      <c r="I675" s="182"/>
      <c r="J675" s="144"/>
      <c r="K675" s="145"/>
      <c r="L675" s="150"/>
      <c r="M675" s="146"/>
      <c r="N675" s="146"/>
      <c r="O675" s="146"/>
      <c r="P675" s="146"/>
      <c r="Q675" s="146"/>
      <c r="R675" s="190"/>
      <c r="S675" s="190"/>
      <c r="T675" s="190"/>
      <c r="U675" s="190"/>
      <c r="V675" s="190"/>
      <c r="W675" s="190"/>
      <c r="X675" s="190"/>
      <c r="Y675" s="190"/>
      <c r="Z675" s="190"/>
    </row>
    <row r="676" ht="15.75" customHeight="1">
      <c r="A676" s="228"/>
      <c r="B676" s="165"/>
      <c r="C676" s="162"/>
      <c r="D676" s="142"/>
      <c r="E676" s="144"/>
      <c r="F676" s="144"/>
      <c r="G676" s="144"/>
      <c r="H676" s="144"/>
      <c r="I676" s="182"/>
      <c r="J676" s="144"/>
      <c r="K676" s="145"/>
      <c r="L676" s="150"/>
      <c r="M676" s="146"/>
      <c r="N676" s="146"/>
      <c r="O676" s="146"/>
      <c r="P676" s="146"/>
      <c r="Q676" s="146"/>
      <c r="R676" s="190"/>
      <c r="S676" s="190"/>
      <c r="T676" s="190"/>
      <c r="U676" s="190"/>
      <c r="V676" s="190"/>
      <c r="W676" s="190"/>
      <c r="X676" s="190"/>
      <c r="Y676" s="190"/>
      <c r="Z676" s="190"/>
    </row>
    <row r="677" ht="15.75" customHeight="1">
      <c r="A677" s="228"/>
      <c r="B677" s="165"/>
      <c r="C677" s="162"/>
      <c r="D677" s="142"/>
      <c r="E677" s="144"/>
      <c r="F677" s="144"/>
      <c r="G677" s="144"/>
      <c r="H677" s="144"/>
      <c r="I677" s="182"/>
      <c r="J677" s="144"/>
      <c r="K677" s="145"/>
      <c r="L677" s="150"/>
      <c r="M677" s="146"/>
      <c r="N677" s="146"/>
      <c r="O677" s="146"/>
      <c r="P677" s="146"/>
      <c r="Q677" s="146"/>
      <c r="R677" s="190"/>
      <c r="S677" s="190"/>
      <c r="T677" s="190"/>
      <c r="U677" s="190"/>
      <c r="V677" s="190"/>
      <c r="W677" s="190"/>
      <c r="X677" s="190"/>
      <c r="Y677" s="190"/>
      <c r="Z677" s="190"/>
    </row>
    <row r="678" ht="15.75" customHeight="1">
      <c r="A678" s="228"/>
      <c r="B678" s="165"/>
      <c r="C678" s="162"/>
      <c r="D678" s="142"/>
      <c r="E678" s="144"/>
      <c r="F678" s="144"/>
      <c r="G678" s="144"/>
      <c r="H678" s="144"/>
      <c r="I678" s="182"/>
      <c r="J678" s="144"/>
      <c r="K678" s="145"/>
      <c r="L678" s="150"/>
      <c r="M678" s="146"/>
      <c r="N678" s="146"/>
      <c r="O678" s="146"/>
      <c r="P678" s="146"/>
      <c r="Q678" s="146"/>
      <c r="R678" s="190"/>
      <c r="S678" s="190"/>
      <c r="T678" s="190"/>
      <c r="U678" s="190"/>
      <c r="V678" s="190"/>
      <c r="W678" s="190"/>
      <c r="X678" s="190"/>
      <c r="Y678" s="190"/>
      <c r="Z678" s="190"/>
    </row>
    <row r="679" ht="15.75" customHeight="1">
      <c r="A679" s="228"/>
      <c r="B679" s="165"/>
      <c r="C679" s="162"/>
      <c r="D679" s="142"/>
      <c r="E679" s="144"/>
      <c r="F679" s="144"/>
      <c r="G679" s="144"/>
      <c r="H679" s="144"/>
      <c r="I679" s="182"/>
      <c r="J679" s="144"/>
      <c r="K679" s="145"/>
      <c r="L679" s="150"/>
      <c r="M679" s="146"/>
      <c r="N679" s="146"/>
      <c r="O679" s="146"/>
      <c r="P679" s="146"/>
      <c r="Q679" s="146"/>
      <c r="R679" s="190"/>
      <c r="S679" s="190"/>
      <c r="T679" s="190"/>
      <c r="U679" s="190"/>
      <c r="V679" s="190"/>
      <c r="W679" s="190"/>
      <c r="X679" s="190"/>
      <c r="Y679" s="190"/>
      <c r="Z679" s="190"/>
    </row>
    <row r="680" ht="15.75" customHeight="1">
      <c r="A680" s="228"/>
      <c r="B680" s="165"/>
      <c r="C680" s="162"/>
      <c r="D680" s="142"/>
      <c r="E680" s="144"/>
      <c r="F680" s="144"/>
      <c r="G680" s="144"/>
      <c r="H680" s="144"/>
      <c r="I680" s="182"/>
      <c r="J680" s="144"/>
      <c r="K680" s="145"/>
      <c r="L680" s="150"/>
      <c r="M680" s="146"/>
      <c r="N680" s="146"/>
      <c r="O680" s="146"/>
      <c r="P680" s="146"/>
      <c r="Q680" s="146"/>
      <c r="R680" s="190"/>
      <c r="S680" s="190"/>
      <c r="T680" s="190"/>
      <c r="U680" s="190"/>
      <c r="V680" s="190"/>
      <c r="W680" s="190"/>
      <c r="X680" s="190"/>
      <c r="Y680" s="190"/>
      <c r="Z680" s="190"/>
    </row>
    <row r="681" ht="15.75" customHeight="1">
      <c r="A681" s="228"/>
      <c r="B681" s="165"/>
      <c r="C681" s="162"/>
      <c r="D681" s="142"/>
      <c r="E681" s="144"/>
      <c r="F681" s="144"/>
      <c r="G681" s="144"/>
      <c r="H681" s="144"/>
      <c r="I681" s="182"/>
      <c r="J681" s="144"/>
      <c r="K681" s="145"/>
      <c r="L681" s="150"/>
      <c r="M681" s="146"/>
      <c r="N681" s="146"/>
      <c r="O681" s="146"/>
      <c r="P681" s="146"/>
      <c r="Q681" s="146"/>
      <c r="R681" s="190"/>
      <c r="S681" s="190"/>
      <c r="T681" s="190"/>
      <c r="U681" s="190"/>
      <c r="V681" s="190"/>
      <c r="W681" s="190"/>
      <c r="X681" s="190"/>
      <c r="Y681" s="190"/>
      <c r="Z681" s="190"/>
    </row>
    <row r="682" ht="15.75" customHeight="1">
      <c r="A682" s="228"/>
      <c r="B682" s="165"/>
      <c r="C682" s="162"/>
      <c r="D682" s="142"/>
      <c r="E682" s="144"/>
      <c r="F682" s="144"/>
      <c r="G682" s="144"/>
      <c r="H682" s="144"/>
      <c r="I682" s="182"/>
      <c r="J682" s="144"/>
      <c r="K682" s="145"/>
      <c r="L682" s="150"/>
      <c r="M682" s="146"/>
      <c r="N682" s="146"/>
      <c r="O682" s="146"/>
      <c r="P682" s="146"/>
      <c r="Q682" s="146"/>
      <c r="R682" s="190"/>
      <c r="S682" s="190"/>
      <c r="T682" s="190"/>
      <c r="U682" s="190"/>
      <c r="V682" s="190"/>
      <c r="W682" s="190"/>
      <c r="X682" s="190"/>
      <c r="Y682" s="190"/>
      <c r="Z682" s="190"/>
    </row>
    <row r="683" ht="15.75" customHeight="1">
      <c r="A683" s="228"/>
      <c r="B683" s="165"/>
      <c r="C683" s="162"/>
      <c r="D683" s="142"/>
      <c r="E683" s="144"/>
      <c r="F683" s="144"/>
      <c r="G683" s="144"/>
      <c r="H683" s="144"/>
      <c r="I683" s="182"/>
      <c r="J683" s="144"/>
      <c r="K683" s="145"/>
      <c r="L683" s="150"/>
      <c r="M683" s="146"/>
      <c r="N683" s="146"/>
      <c r="O683" s="146"/>
      <c r="P683" s="146"/>
      <c r="Q683" s="146"/>
      <c r="R683" s="190"/>
      <c r="S683" s="190"/>
      <c r="T683" s="190"/>
      <c r="U683" s="190"/>
      <c r="V683" s="190"/>
      <c r="W683" s="190"/>
      <c r="X683" s="190"/>
      <c r="Y683" s="190"/>
      <c r="Z683" s="190"/>
    </row>
    <row r="684" ht="15.75" customHeight="1">
      <c r="A684" s="228"/>
      <c r="B684" s="165"/>
      <c r="C684" s="162"/>
      <c r="D684" s="142"/>
      <c r="E684" s="144"/>
      <c r="F684" s="144"/>
      <c r="G684" s="144"/>
      <c r="H684" s="144"/>
      <c r="I684" s="182"/>
      <c r="J684" s="144"/>
      <c r="K684" s="145"/>
      <c r="L684" s="150"/>
      <c r="M684" s="146"/>
      <c r="N684" s="146"/>
      <c r="O684" s="146"/>
      <c r="P684" s="146"/>
      <c r="Q684" s="146"/>
      <c r="R684" s="190"/>
      <c r="S684" s="190"/>
      <c r="T684" s="190"/>
      <c r="U684" s="190"/>
      <c r="V684" s="190"/>
      <c r="W684" s="190"/>
      <c r="X684" s="190"/>
      <c r="Y684" s="190"/>
      <c r="Z684" s="190"/>
    </row>
    <row r="685" ht="15.75" customHeight="1">
      <c r="A685" s="228"/>
      <c r="B685" s="165"/>
      <c r="C685" s="162"/>
      <c r="D685" s="142"/>
      <c r="E685" s="144"/>
      <c r="F685" s="144"/>
      <c r="G685" s="144"/>
      <c r="H685" s="144"/>
      <c r="I685" s="182"/>
      <c r="J685" s="144"/>
      <c r="K685" s="145"/>
      <c r="L685" s="150"/>
      <c r="M685" s="146"/>
      <c r="N685" s="146"/>
      <c r="O685" s="146"/>
      <c r="P685" s="146"/>
      <c r="Q685" s="146"/>
      <c r="R685" s="190"/>
      <c r="S685" s="190"/>
      <c r="T685" s="190"/>
      <c r="U685" s="190"/>
      <c r="V685" s="190"/>
      <c r="W685" s="190"/>
      <c r="X685" s="190"/>
      <c r="Y685" s="190"/>
      <c r="Z685" s="190"/>
    </row>
    <row r="686" ht="15.75" customHeight="1">
      <c r="A686" s="228"/>
      <c r="B686" s="165"/>
      <c r="C686" s="162"/>
      <c r="D686" s="142"/>
      <c r="E686" s="144"/>
      <c r="F686" s="144"/>
      <c r="G686" s="144"/>
      <c r="H686" s="144"/>
      <c r="I686" s="182"/>
      <c r="J686" s="144"/>
      <c r="K686" s="145"/>
      <c r="L686" s="150"/>
      <c r="M686" s="146"/>
      <c r="N686" s="146"/>
      <c r="O686" s="146"/>
      <c r="P686" s="146"/>
      <c r="Q686" s="146"/>
      <c r="R686" s="190"/>
      <c r="S686" s="190"/>
      <c r="T686" s="190"/>
      <c r="U686" s="190"/>
      <c r="V686" s="190"/>
      <c r="W686" s="190"/>
      <c r="X686" s="190"/>
      <c r="Y686" s="190"/>
      <c r="Z686" s="190"/>
    </row>
    <row r="687" ht="15.75" customHeight="1">
      <c r="A687" s="228"/>
      <c r="B687" s="165"/>
      <c r="C687" s="162"/>
      <c r="D687" s="142"/>
      <c r="E687" s="144"/>
      <c r="F687" s="144"/>
      <c r="G687" s="144"/>
      <c r="H687" s="144"/>
      <c r="I687" s="182"/>
      <c r="J687" s="144"/>
      <c r="K687" s="145"/>
      <c r="L687" s="150"/>
      <c r="M687" s="146"/>
      <c r="N687" s="146"/>
      <c r="O687" s="146"/>
      <c r="P687" s="146"/>
      <c r="Q687" s="146"/>
      <c r="R687" s="190"/>
      <c r="S687" s="190"/>
      <c r="T687" s="190"/>
      <c r="U687" s="190"/>
      <c r="V687" s="190"/>
      <c r="W687" s="190"/>
      <c r="X687" s="190"/>
      <c r="Y687" s="190"/>
      <c r="Z687" s="190"/>
    </row>
    <row r="688" ht="15.75" customHeight="1">
      <c r="A688" s="228"/>
      <c r="B688" s="165"/>
      <c r="C688" s="162"/>
      <c r="D688" s="142"/>
      <c r="E688" s="144"/>
      <c r="F688" s="144"/>
      <c r="G688" s="144"/>
      <c r="H688" s="144"/>
      <c r="I688" s="182"/>
      <c r="J688" s="144"/>
      <c r="K688" s="145"/>
      <c r="L688" s="150"/>
      <c r="M688" s="146"/>
      <c r="N688" s="146"/>
      <c r="O688" s="146"/>
      <c r="P688" s="146"/>
      <c r="Q688" s="146"/>
      <c r="R688" s="190"/>
      <c r="S688" s="190"/>
      <c r="T688" s="190"/>
      <c r="U688" s="190"/>
      <c r="V688" s="190"/>
      <c r="W688" s="190"/>
      <c r="X688" s="190"/>
      <c r="Y688" s="190"/>
      <c r="Z688" s="190"/>
    </row>
    <row r="689" ht="15.75" customHeight="1">
      <c r="A689" s="228"/>
      <c r="B689" s="165"/>
      <c r="C689" s="162"/>
      <c r="D689" s="142"/>
      <c r="E689" s="144"/>
      <c r="F689" s="144"/>
      <c r="G689" s="144"/>
      <c r="H689" s="144"/>
      <c r="I689" s="182"/>
      <c r="J689" s="144"/>
      <c r="K689" s="145"/>
      <c r="L689" s="150"/>
      <c r="M689" s="146"/>
      <c r="N689" s="146"/>
      <c r="O689" s="146"/>
      <c r="P689" s="146"/>
      <c r="Q689" s="146"/>
      <c r="R689" s="190"/>
      <c r="S689" s="190"/>
      <c r="T689" s="190"/>
      <c r="U689" s="190"/>
      <c r="V689" s="190"/>
      <c r="W689" s="190"/>
      <c r="X689" s="190"/>
      <c r="Y689" s="190"/>
      <c r="Z689" s="190"/>
    </row>
    <row r="690" ht="15.75" customHeight="1">
      <c r="A690" s="228"/>
      <c r="B690" s="165"/>
      <c r="C690" s="162"/>
      <c r="D690" s="142"/>
      <c r="E690" s="144"/>
      <c r="F690" s="144"/>
      <c r="G690" s="144"/>
      <c r="H690" s="144"/>
      <c r="I690" s="182"/>
      <c r="J690" s="144"/>
      <c r="K690" s="145"/>
      <c r="L690" s="150"/>
      <c r="M690" s="146"/>
      <c r="N690" s="146"/>
      <c r="O690" s="146"/>
      <c r="P690" s="146"/>
      <c r="Q690" s="146"/>
      <c r="R690" s="190"/>
      <c r="S690" s="190"/>
      <c r="T690" s="190"/>
      <c r="U690" s="190"/>
      <c r="V690" s="190"/>
      <c r="W690" s="190"/>
      <c r="X690" s="190"/>
      <c r="Y690" s="190"/>
      <c r="Z690" s="190"/>
    </row>
    <row r="691" ht="15.75" customHeight="1">
      <c r="A691" s="228"/>
      <c r="B691" s="165"/>
      <c r="C691" s="162"/>
      <c r="D691" s="142"/>
      <c r="E691" s="144"/>
      <c r="F691" s="144"/>
      <c r="G691" s="144"/>
      <c r="H691" s="144"/>
      <c r="I691" s="182"/>
      <c r="J691" s="144"/>
      <c r="K691" s="145"/>
      <c r="L691" s="150"/>
      <c r="M691" s="146"/>
      <c r="N691" s="146"/>
      <c r="O691" s="146"/>
      <c r="P691" s="146"/>
      <c r="Q691" s="146"/>
      <c r="R691" s="190"/>
      <c r="S691" s="190"/>
      <c r="T691" s="190"/>
      <c r="U691" s="190"/>
      <c r="V691" s="190"/>
      <c r="W691" s="190"/>
      <c r="X691" s="190"/>
      <c r="Y691" s="190"/>
      <c r="Z691" s="190"/>
    </row>
    <row r="692" ht="15.75" customHeight="1">
      <c r="A692" s="228"/>
      <c r="B692" s="165"/>
      <c r="C692" s="162"/>
      <c r="D692" s="142"/>
      <c r="E692" s="144"/>
      <c r="F692" s="144"/>
      <c r="G692" s="144"/>
      <c r="H692" s="144"/>
      <c r="I692" s="182"/>
      <c r="J692" s="144"/>
      <c r="K692" s="145"/>
      <c r="L692" s="150"/>
      <c r="M692" s="146"/>
      <c r="N692" s="146"/>
      <c r="O692" s="146"/>
      <c r="P692" s="146"/>
      <c r="Q692" s="146"/>
      <c r="R692" s="190"/>
      <c r="S692" s="190"/>
      <c r="T692" s="190"/>
      <c r="U692" s="190"/>
      <c r="V692" s="190"/>
      <c r="W692" s="190"/>
      <c r="X692" s="190"/>
      <c r="Y692" s="190"/>
      <c r="Z692" s="190"/>
    </row>
    <row r="693" ht="15.75" customHeight="1">
      <c r="A693" s="228"/>
      <c r="B693" s="165"/>
      <c r="C693" s="162"/>
      <c r="D693" s="142"/>
      <c r="E693" s="144"/>
      <c r="F693" s="144"/>
      <c r="G693" s="144"/>
      <c r="H693" s="144"/>
      <c r="I693" s="182"/>
      <c r="J693" s="144"/>
      <c r="K693" s="145"/>
      <c r="L693" s="150"/>
      <c r="M693" s="146"/>
      <c r="N693" s="146"/>
      <c r="O693" s="146"/>
      <c r="P693" s="146"/>
      <c r="Q693" s="146"/>
      <c r="R693" s="190"/>
      <c r="S693" s="190"/>
      <c r="T693" s="190"/>
      <c r="U693" s="190"/>
      <c r="V693" s="190"/>
      <c r="W693" s="190"/>
      <c r="X693" s="190"/>
      <c r="Y693" s="190"/>
      <c r="Z693" s="190"/>
    </row>
    <row r="694" ht="15.75" customHeight="1">
      <c r="A694" s="228"/>
      <c r="B694" s="165"/>
      <c r="C694" s="162"/>
      <c r="D694" s="142"/>
      <c r="E694" s="144"/>
      <c r="F694" s="144"/>
      <c r="G694" s="144"/>
      <c r="H694" s="144"/>
      <c r="I694" s="182"/>
      <c r="J694" s="144"/>
      <c r="K694" s="145"/>
      <c r="L694" s="150"/>
      <c r="M694" s="146"/>
      <c r="N694" s="146"/>
      <c r="O694" s="146"/>
      <c r="P694" s="146"/>
      <c r="Q694" s="146"/>
      <c r="R694" s="190"/>
      <c r="S694" s="190"/>
      <c r="T694" s="190"/>
      <c r="U694" s="190"/>
      <c r="V694" s="190"/>
      <c r="W694" s="190"/>
      <c r="X694" s="190"/>
      <c r="Y694" s="190"/>
      <c r="Z694" s="190"/>
    </row>
    <row r="695" ht="15.75" customHeight="1">
      <c r="A695" s="228"/>
      <c r="B695" s="165"/>
      <c r="C695" s="162"/>
      <c r="D695" s="142"/>
      <c r="E695" s="144"/>
      <c r="F695" s="144"/>
      <c r="G695" s="144"/>
      <c r="H695" s="144"/>
      <c r="I695" s="182"/>
      <c r="J695" s="144"/>
      <c r="K695" s="145"/>
      <c r="L695" s="150"/>
      <c r="M695" s="146"/>
      <c r="N695" s="146"/>
      <c r="O695" s="146"/>
      <c r="P695" s="146"/>
      <c r="Q695" s="146"/>
      <c r="R695" s="190"/>
      <c r="S695" s="190"/>
      <c r="T695" s="190"/>
      <c r="U695" s="190"/>
      <c r="V695" s="190"/>
      <c r="W695" s="190"/>
      <c r="X695" s="190"/>
      <c r="Y695" s="190"/>
      <c r="Z695" s="190"/>
    </row>
    <row r="696" ht="15.75" customHeight="1">
      <c r="A696" s="228"/>
      <c r="B696" s="165"/>
      <c r="C696" s="162"/>
      <c r="D696" s="142"/>
      <c r="E696" s="144"/>
      <c r="F696" s="144"/>
      <c r="G696" s="144"/>
      <c r="H696" s="144"/>
      <c r="I696" s="182"/>
      <c r="J696" s="144"/>
      <c r="K696" s="145"/>
      <c r="L696" s="150"/>
      <c r="M696" s="146"/>
      <c r="N696" s="146"/>
      <c r="O696" s="146"/>
      <c r="P696" s="146"/>
      <c r="Q696" s="146"/>
      <c r="R696" s="190"/>
      <c r="S696" s="190"/>
      <c r="T696" s="190"/>
      <c r="U696" s="190"/>
      <c r="V696" s="190"/>
      <c r="W696" s="190"/>
      <c r="X696" s="190"/>
      <c r="Y696" s="190"/>
      <c r="Z696" s="190"/>
    </row>
    <row r="697" ht="15.75" customHeight="1">
      <c r="A697" s="228"/>
      <c r="B697" s="165"/>
      <c r="C697" s="162"/>
      <c r="D697" s="142"/>
      <c r="E697" s="144"/>
      <c r="F697" s="144"/>
      <c r="G697" s="144"/>
      <c r="H697" s="144"/>
      <c r="I697" s="182"/>
      <c r="J697" s="144"/>
      <c r="K697" s="145"/>
      <c r="L697" s="150"/>
      <c r="M697" s="146"/>
      <c r="N697" s="146"/>
      <c r="O697" s="146"/>
      <c r="P697" s="146"/>
      <c r="Q697" s="146"/>
      <c r="R697" s="190"/>
      <c r="S697" s="190"/>
      <c r="T697" s="190"/>
      <c r="U697" s="190"/>
      <c r="V697" s="190"/>
      <c r="W697" s="190"/>
      <c r="X697" s="190"/>
      <c r="Y697" s="190"/>
      <c r="Z697" s="190"/>
    </row>
    <row r="698" ht="15.75" customHeight="1">
      <c r="A698" s="228"/>
      <c r="B698" s="165"/>
      <c r="C698" s="162"/>
      <c r="D698" s="142"/>
      <c r="E698" s="144"/>
      <c r="F698" s="144"/>
      <c r="G698" s="144"/>
      <c r="H698" s="144"/>
      <c r="I698" s="182"/>
      <c r="J698" s="144"/>
      <c r="K698" s="145"/>
      <c r="L698" s="150"/>
      <c r="M698" s="146"/>
      <c r="N698" s="146"/>
      <c r="O698" s="146"/>
      <c r="P698" s="146"/>
      <c r="Q698" s="146"/>
      <c r="R698" s="190"/>
      <c r="S698" s="190"/>
      <c r="T698" s="190"/>
      <c r="U698" s="190"/>
      <c r="V698" s="190"/>
      <c r="W698" s="190"/>
      <c r="X698" s="190"/>
      <c r="Y698" s="190"/>
      <c r="Z698" s="190"/>
    </row>
    <row r="699" ht="15.75" customHeight="1">
      <c r="A699" s="228"/>
      <c r="B699" s="165"/>
      <c r="C699" s="162"/>
      <c r="D699" s="142"/>
      <c r="E699" s="144"/>
      <c r="F699" s="144"/>
      <c r="G699" s="144"/>
      <c r="H699" s="144"/>
      <c r="I699" s="182"/>
      <c r="J699" s="144"/>
      <c r="K699" s="145"/>
      <c r="L699" s="150"/>
      <c r="M699" s="146"/>
      <c r="N699" s="146"/>
      <c r="O699" s="146"/>
      <c r="P699" s="146"/>
      <c r="Q699" s="146"/>
      <c r="R699" s="190"/>
      <c r="S699" s="190"/>
      <c r="T699" s="190"/>
      <c r="U699" s="190"/>
      <c r="V699" s="190"/>
      <c r="W699" s="190"/>
      <c r="X699" s="190"/>
      <c r="Y699" s="190"/>
      <c r="Z699" s="190"/>
    </row>
    <row r="700" ht="15.75" customHeight="1">
      <c r="A700" s="228"/>
      <c r="B700" s="165"/>
      <c r="C700" s="162"/>
      <c r="D700" s="142"/>
      <c r="E700" s="144"/>
      <c r="F700" s="144"/>
      <c r="G700" s="144"/>
      <c r="H700" s="144"/>
      <c r="I700" s="182"/>
      <c r="J700" s="144"/>
      <c r="K700" s="145"/>
      <c r="L700" s="150"/>
      <c r="M700" s="146"/>
      <c r="N700" s="146"/>
      <c r="O700" s="146"/>
      <c r="P700" s="146"/>
      <c r="Q700" s="146"/>
      <c r="R700" s="190"/>
      <c r="S700" s="190"/>
      <c r="T700" s="190"/>
      <c r="U700" s="190"/>
      <c r="V700" s="190"/>
      <c r="W700" s="190"/>
      <c r="X700" s="190"/>
      <c r="Y700" s="190"/>
      <c r="Z700" s="190"/>
    </row>
    <row r="701" ht="15.75" customHeight="1">
      <c r="A701" s="228"/>
      <c r="B701" s="165"/>
      <c r="C701" s="162"/>
      <c r="D701" s="142"/>
      <c r="E701" s="144"/>
      <c r="F701" s="144"/>
      <c r="G701" s="144"/>
      <c r="H701" s="144"/>
      <c r="I701" s="182"/>
      <c r="J701" s="144"/>
      <c r="K701" s="145"/>
      <c r="L701" s="150"/>
      <c r="M701" s="146"/>
      <c r="N701" s="146"/>
      <c r="O701" s="146"/>
      <c r="P701" s="146"/>
      <c r="Q701" s="146"/>
      <c r="R701" s="190"/>
      <c r="S701" s="190"/>
      <c r="T701" s="190"/>
      <c r="U701" s="190"/>
      <c r="V701" s="190"/>
      <c r="W701" s="190"/>
      <c r="X701" s="190"/>
      <c r="Y701" s="190"/>
      <c r="Z701" s="190"/>
    </row>
    <row r="702" ht="15.75" customHeight="1">
      <c r="A702" s="228"/>
      <c r="B702" s="165"/>
      <c r="C702" s="162"/>
      <c r="D702" s="142"/>
      <c r="E702" s="144"/>
      <c r="F702" s="144"/>
      <c r="G702" s="144"/>
      <c r="H702" s="144"/>
      <c r="I702" s="182"/>
      <c r="J702" s="144"/>
      <c r="K702" s="145"/>
      <c r="L702" s="150"/>
      <c r="M702" s="146"/>
      <c r="N702" s="146"/>
      <c r="O702" s="146"/>
      <c r="P702" s="146"/>
      <c r="Q702" s="146"/>
      <c r="R702" s="190"/>
      <c r="S702" s="190"/>
      <c r="T702" s="190"/>
      <c r="U702" s="190"/>
      <c r="V702" s="190"/>
      <c r="W702" s="190"/>
      <c r="X702" s="190"/>
      <c r="Y702" s="190"/>
      <c r="Z702" s="190"/>
    </row>
    <row r="703" ht="15.75" customHeight="1">
      <c r="A703" s="228"/>
      <c r="B703" s="165"/>
      <c r="C703" s="162"/>
      <c r="D703" s="142"/>
      <c r="E703" s="144"/>
      <c r="F703" s="144"/>
      <c r="G703" s="144"/>
      <c r="H703" s="144"/>
      <c r="I703" s="182"/>
      <c r="J703" s="144"/>
      <c r="K703" s="145"/>
      <c r="L703" s="150"/>
      <c r="M703" s="146"/>
      <c r="N703" s="146"/>
      <c r="O703" s="146"/>
      <c r="P703" s="146"/>
      <c r="Q703" s="146"/>
      <c r="R703" s="190"/>
      <c r="S703" s="190"/>
      <c r="T703" s="190"/>
      <c r="U703" s="190"/>
      <c r="V703" s="190"/>
      <c r="W703" s="190"/>
      <c r="X703" s="190"/>
      <c r="Y703" s="190"/>
      <c r="Z703" s="190"/>
    </row>
    <row r="704" ht="15.75" customHeight="1">
      <c r="A704" s="228"/>
      <c r="B704" s="165"/>
      <c r="C704" s="162"/>
      <c r="D704" s="142"/>
      <c r="E704" s="144"/>
      <c r="F704" s="144"/>
      <c r="G704" s="144"/>
      <c r="H704" s="144"/>
      <c r="I704" s="182"/>
      <c r="J704" s="144"/>
      <c r="K704" s="145"/>
      <c r="L704" s="150"/>
      <c r="M704" s="146"/>
      <c r="N704" s="146"/>
      <c r="O704" s="146"/>
      <c r="P704" s="146"/>
      <c r="Q704" s="146"/>
      <c r="R704" s="190"/>
      <c r="S704" s="190"/>
      <c r="T704" s="190"/>
      <c r="U704" s="190"/>
      <c r="V704" s="190"/>
      <c r="W704" s="190"/>
      <c r="X704" s="190"/>
      <c r="Y704" s="190"/>
      <c r="Z704" s="190"/>
    </row>
    <row r="705" ht="15.75" customHeight="1">
      <c r="A705" s="228"/>
      <c r="B705" s="165"/>
      <c r="C705" s="162"/>
      <c r="D705" s="142"/>
      <c r="E705" s="144"/>
      <c r="F705" s="144"/>
      <c r="G705" s="144"/>
      <c r="H705" s="144"/>
      <c r="I705" s="182"/>
      <c r="J705" s="144"/>
      <c r="K705" s="145"/>
      <c r="L705" s="150"/>
      <c r="M705" s="146"/>
      <c r="N705" s="146"/>
      <c r="O705" s="146"/>
      <c r="P705" s="146"/>
      <c r="Q705" s="146"/>
      <c r="R705" s="190"/>
      <c r="S705" s="190"/>
      <c r="T705" s="190"/>
      <c r="U705" s="190"/>
      <c r="V705" s="190"/>
      <c r="W705" s="190"/>
      <c r="X705" s="190"/>
      <c r="Y705" s="190"/>
      <c r="Z705" s="190"/>
    </row>
    <row r="706" ht="15.75" customHeight="1">
      <c r="A706" s="228"/>
      <c r="B706" s="165"/>
      <c r="C706" s="162"/>
      <c r="D706" s="142"/>
      <c r="E706" s="144"/>
      <c r="F706" s="144"/>
      <c r="G706" s="144"/>
      <c r="H706" s="144"/>
      <c r="I706" s="182"/>
      <c r="J706" s="144"/>
      <c r="K706" s="145"/>
      <c r="L706" s="150"/>
      <c r="M706" s="146"/>
      <c r="N706" s="146"/>
      <c r="O706" s="146"/>
      <c r="P706" s="146"/>
      <c r="Q706" s="146"/>
      <c r="R706" s="190"/>
      <c r="S706" s="190"/>
      <c r="T706" s="190"/>
      <c r="U706" s="190"/>
      <c r="V706" s="190"/>
      <c r="W706" s="190"/>
      <c r="X706" s="190"/>
      <c r="Y706" s="190"/>
      <c r="Z706" s="190"/>
    </row>
    <row r="707" ht="15.75" customHeight="1">
      <c r="A707" s="228"/>
      <c r="B707" s="165"/>
      <c r="C707" s="162"/>
      <c r="D707" s="142"/>
      <c r="E707" s="144"/>
      <c r="F707" s="144"/>
      <c r="G707" s="144"/>
      <c r="H707" s="144"/>
      <c r="I707" s="182"/>
      <c r="J707" s="144"/>
      <c r="K707" s="145"/>
      <c r="L707" s="150"/>
      <c r="M707" s="146"/>
      <c r="N707" s="146"/>
      <c r="O707" s="146"/>
      <c r="P707" s="146"/>
      <c r="Q707" s="146"/>
      <c r="R707" s="190"/>
      <c r="S707" s="190"/>
      <c r="T707" s="190"/>
      <c r="U707" s="190"/>
      <c r="V707" s="190"/>
      <c r="W707" s="190"/>
      <c r="X707" s="190"/>
      <c r="Y707" s="190"/>
      <c r="Z707" s="190"/>
    </row>
    <row r="708" ht="15.75" customHeight="1">
      <c r="A708" s="228"/>
      <c r="B708" s="165"/>
      <c r="C708" s="162"/>
      <c r="D708" s="142"/>
      <c r="E708" s="144"/>
      <c r="F708" s="144"/>
      <c r="G708" s="144"/>
      <c r="H708" s="144"/>
      <c r="I708" s="182"/>
      <c r="J708" s="144"/>
      <c r="K708" s="145"/>
      <c r="L708" s="150"/>
      <c r="M708" s="146"/>
      <c r="N708" s="146"/>
      <c r="O708" s="146"/>
      <c r="P708" s="146"/>
      <c r="Q708" s="146"/>
      <c r="R708" s="190"/>
      <c r="S708" s="190"/>
      <c r="T708" s="190"/>
      <c r="U708" s="190"/>
      <c r="V708" s="190"/>
      <c r="W708" s="190"/>
      <c r="X708" s="190"/>
      <c r="Y708" s="190"/>
      <c r="Z708" s="190"/>
    </row>
    <row r="709" ht="15.75" customHeight="1">
      <c r="A709" s="228"/>
      <c r="B709" s="165"/>
      <c r="C709" s="162"/>
      <c r="D709" s="142"/>
      <c r="E709" s="144"/>
      <c r="F709" s="144"/>
      <c r="G709" s="144"/>
      <c r="H709" s="144"/>
      <c r="I709" s="182"/>
      <c r="J709" s="144"/>
      <c r="K709" s="145"/>
      <c r="L709" s="150"/>
      <c r="M709" s="146"/>
      <c r="N709" s="146"/>
      <c r="O709" s="146"/>
      <c r="P709" s="146"/>
      <c r="Q709" s="146"/>
      <c r="R709" s="190"/>
      <c r="S709" s="190"/>
      <c r="T709" s="190"/>
      <c r="U709" s="190"/>
      <c r="V709" s="190"/>
      <c r="W709" s="190"/>
      <c r="X709" s="190"/>
      <c r="Y709" s="190"/>
      <c r="Z709" s="190"/>
    </row>
    <row r="710" ht="15.75" customHeight="1">
      <c r="A710" s="228"/>
      <c r="B710" s="165"/>
      <c r="C710" s="162"/>
      <c r="D710" s="142"/>
      <c r="E710" s="144"/>
      <c r="F710" s="144"/>
      <c r="G710" s="144"/>
      <c r="H710" s="144"/>
      <c r="I710" s="182"/>
      <c r="J710" s="144"/>
      <c r="K710" s="145"/>
      <c r="L710" s="150"/>
      <c r="M710" s="146"/>
      <c r="N710" s="146"/>
      <c r="O710" s="146"/>
      <c r="P710" s="146"/>
      <c r="Q710" s="146"/>
      <c r="R710" s="190"/>
      <c r="S710" s="190"/>
      <c r="T710" s="190"/>
      <c r="U710" s="190"/>
      <c r="V710" s="190"/>
      <c r="W710" s="190"/>
      <c r="X710" s="190"/>
      <c r="Y710" s="190"/>
      <c r="Z710" s="190"/>
    </row>
    <row r="711" ht="15.75" customHeight="1">
      <c r="A711" s="228"/>
      <c r="B711" s="165"/>
      <c r="C711" s="162"/>
      <c r="D711" s="142"/>
      <c r="E711" s="144"/>
      <c r="F711" s="144"/>
      <c r="G711" s="144"/>
      <c r="H711" s="144"/>
      <c r="I711" s="182"/>
      <c r="J711" s="144"/>
      <c r="K711" s="145"/>
      <c r="L711" s="150"/>
      <c r="M711" s="146"/>
      <c r="N711" s="146"/>
      <c r="O711" s="146"/>
      <c r="P711" s="146"/>
      <c r="Q711" s="146"/>
      <c r="R711" s="190"/>
      <c r="S711" s="190"/>
      <c r="T711" s="190"/>
      <c r="U711" s="190"/>
      <c r="V711" s="190"/>
      <c r="W711" s="190"/>
      <c r="X711" s="190"/>
      <c r="Y711" s="190"/>
      <c r="Z711" s="190"/>
    </row>
    <row r="712" ht="15.75" customHeight="1">
      <c r="A712" s="228"/>
      <c r="B712" s="165"/>
      <c r="C712" s="162"/>
      <c r="D712" s="142"/>
      <c r="E712" s="144"/>
      <c r="F712" s="144"/>
      <c r="G712" s="144"/>
      <c r="H712" s="144"/>
      <c r="I712" s="182"/>
      <c r="J712" s="144"/>
      <c r="K712" s="145"/>
      <c r="L712" s="150"/>
      <c r="M712" s="146"/>
      <c r="N712" s="146"/>
      <c r="O712" s="146"/>
      <c r="P712" s="146"/>
      <c r="Q712" s="146"/>
      <c r="R712" s="190"/>
      <c r="S712" s="190"/>
      <c r="T712" s="190"/>
      <c r="U712" s="190"/>
      <c r="V712" s="190"/>
      <c r="W712" s="190"/>
      <c r="X712" s="190"/>
      <c r="Y712" s="190"/>
      <c r="Z712" s="190"/>
    </row>
    <row r="713" ht="15.75" customHeight="1">
      <c r="A713" s="228"/>
      <c r="B713" s="165"/>
      <c r="C713" s="162"/>
      <c r="D713" s="142"/>
      <c r="E713" s="144"/>
      <c r="F713" s="144"/>
      <c r="G713" s="144"/>
      <c r="H713" s="144"/>
      <c r="I713" s="182"/>
      <c r="J713" s="144"/>
      <c r="K713" s="145"/>
      <c r="L713" s="150"/>
      <c r="M713" s="146"/>
      <c r="N713" s="146"/>
      <c r="O713" s="146"/>
      <c r="P713" s="146"/>
      <c r="Q713" s="146"/>
      <c r="R713" s="190"/>
      <c r="S713" s="190"/>
      <c r="T713" s="190"/>
      <c r="U713" s="190"/>
      <c r="V713" s="190"/>
      <c r="W713" s="190"/>
      <c r="X713" s="190"/>
      <c r="Y713" s="190"/>
      <c r="Z713" s="190"/>
    </row>
    <row r="714" ht="15.75" customHeight="1">
      <c r="A714" s="228"/>
      <c r="B714" s="165"/>
      <c r="C714" s="162"/>
      <c r="D714" s="142"/>
      <c r="E714" s="144"/>
      <c r="F714" s="144"/>
      <c r="G714" s="144"/>
      <c r="H714" s="144"/>
      <c r="I714" s="182"/>
      <c r="J714" s="144"/>
      <c r="K714" s="145"/>
      <c r="L714" s="150"/>
      <c r="M714" s="146"/>
      <c r="N714" s="146"/>
      <c r="O714" s="146"/>
      <c r="P714" s="146"/>
      <c r="Q714" s="146"/>
      <c r="R714" s="190"/>
      <c r="S714" s="190"/>
      <c r="T714" s="190"/>
      <c r="U714" s="190"/>
      <c r="V714" s="190"/>
      <c r="W714" s="190"/>
      <c r="X714" s="190"/>
      <c r="Y714" s="190"/>
      <c r="Z714" s="190"/>
    </row>
    <row r="715" ht="15.75" customHeight="1">
      <c r="A715" s="228"/>
      <c r="B715" s="165"/>
      <c r="C715" s="162"/>
      <c r="D715" s="142"/>
      <c r="E715" s="144"/>
      <c r="F715" s="144"/>
      <c r="G715" s="144"/>
      <c r="H715" s="144"/>
      <c r="I715" s="182"/>
      <c r="J715" s="144"/>
      <c r="K715" s="145"/>
      <c r="L715" s="150"/>
      <c r="M715" s="146"/>
      <c r="N715" s="146"/>
      <c r="O715" s="146"/>
      <c r="P715" s="146"/>
      <c r="Q715" s="146"/>
      <c r="R715" s="190"/>
      <c r="S715" s="190"/>
      <c r="T715" s="190"/>
      <c r="U715" s="190"/>
      <c r="V715" s="190"/>
      <c r="W715" s="190"/>
      <c r="X715" s="190"/>
      <c r="Y715" s="190"/>
      <c r="Z715" s="190"/>
    </row>
    <row r="716" ht="15.75" customHeight="1">
      <c r="A716" s="228"/>
      <c r="B716" s="165"/>
      <c r="C716" s="162"/>
      <c r="D716" s="142"/>
      <c r="E716" s="144"/>
      <c r="F716" s="144"/>
      <c r="G716" s="144"/>
      <c r="H716" s="144"/>
      <c r="I716" s="182"/>
      <c r="J716" s="144"/>
      <c r="K716" s="145"/>
      <c r="L716" s="150"/>
      <c r="M716" s="146"/>
      <c r="N716" s="146"/>
      <c r="O716" s="146"/>
      <c r="P716" s="146"/>
      <c r="Q716" s="146"/>
      <c r="R716" s="190"/>
      <c r="S716" s="190"/>
      <c r="T716" s="190"/>
      <c r="U716" s="190"/>
      <c r="V716" s="190"/>
      <c r="W716" s="190"/>
      <c r="X716" s="190"/>
      <c r="Y716" s="190"/>
      <c r="Z716" s="190"/>
    </row>
    <row r="717" ht="15.75" customHeight="1">
      <c r="A717" s="228"/>
      <c r="B717" s="165"/>
      <c r="C717" s="162"/>
      <c r="D717" s="142"/>
      <c r="E717" s="144"/>
      <c r="F717" s="144"/>
      <c r="G717" s="144"/>
      <c r="H717" s="144"/>
      <c r="I717" s="182"/>
      <c r="J717" s="144"/>
      <c r="K717" s="145"/>
      <c r="L717" s="150"/>
      <c r="M717" s="146"/>
      <c r="N717" s="146"/>
      <c r="O717" s="146"/>
      <c r="P717" s="146"/>
      <c r="Q717" s="146"/>
      <c r="R717" s="190"/>
      <c r="S717" s="190"/>
      <c r="T717" s="190"/>
      <c r="U717" s="190"/>
      <c r="V717" s="190"/>
      <c r="W717" s="190"/>
      <c r="X717" s="190"/>
      <c r="Y717" s="190"/>
      <c r="Z717" s="190"/>
    </row>
    <row r="718" ht="15.75" customHeight="1">
      <c r="A718" s="228"/>
      <c r="B718" s="165"/>
      <c r="C718" s="162"/>
      <c r="D718" s="142"/>
      <c r="E718" s="144"/>
      <c r="F718" s="144"/>
      <c r="G718" s="144"/>
      <c r="H718" s="144"/>
      <c r="I718" s="182"/>
      <c r="J718" s="144"/>
      <c r="K718" s="145"/>
      <c r="L718" s="150"/>
      <c r="M718" s="146"/>
      <c r="N718" s="146"/>
      <c r="O718" s="146"/>
      <c r="P718" s="146"/>
      <c r="Q718" s="146"/>
      <c r="R718" s="190"/>
      <c r="S718" s="190"/>
      <c r="T718" s="190"/>
      <c r="U718" s="190"/>
      <c r="V718" s="190"/>
      <c r="W718" s="190"/>
      <c r="X718" s="190"/>
      <c r="Y718" s="190"/>
      <c r="Z718" s="190"/>
    </row>
    <row r="719" ht="15.75" customHeight="1">
      <c r="A719" s="228"/>
      <c r="B719" s="165"/>
      <c r="C719" s="162"/>
      <c r="D719" s="142"/>
      <c r="E719" s="144"/>
      <c r="F719" s="144"/>
      <c r="G719" s="144"/>
      <c r="H719" s="144"/>
      <c r="I719" s="182"/>
      <c r="J719" s="144"/>
      <c r="K719" s="145"/>
      <c r="L719" s="150"/>
      <c r="M719" s="146"/>
      <c r="N719" s="146"/>
      <c r="O719" s="146"/>
      <c r="P719" s="146"/>
      <c r="Q719" s="146"/>
      <c r="R719" s="190"/>
      <c r="S719" s="190"/>
      <c r="T719" s="190"/>
      <c r="U719" s="190"/>
      <c r="V719" s="190"/>
      <c r="W719" s="190"/>
      <c r="X719" s="190"/>
      <c r="Y719" s="190"/>
      <c r="Z719" s="190"/>
    </row>
    <row r="720" ht="15.75" customHeight="1">
      <c r="A720" s="228"/>
      <c r="B720" s="165"/>
      <c r="C720" s="162"/>
      <c r="D720" s="142"/>
      <c r="E720" s="144"/>
      <c r="F720" s="144"/>
      <c r="G720" s="144"/>
      <c r="H720" s="144"/>
      <c r="I720" s="182"/>
      <c r="J720" s="144"/>
      <c r="K720" s="145"/>
      <c r="L720" s="150"/>
      <c r="M720" s="146"/>
      <c r="N720" s="146"/>
      <c r="O720" s="146"/>
      <c r="P720" s="146"/>
      <c r="Q720" s="146"/>
      <c r="R720" s="190"/>
      <c r="S720" s="190"/>
      <c r="T720" s="190"/>
      <c r="U720" s="190"/>
      <c r="V720" s="190"/>
      <c r="W720" s="190"/>
      <c r="X720" s="190"/>
      <c r="Y720" s="190"/>
      <c r="Z720" s="190"/>
    </row>
    <row r="721" ht="15.75" customHeight="1">
      <c r="A721" s="228"/>
      <c r="B721" s="165"/>
      <c r="C721" s="162"/>
      <c r="D721" s="142"/>
      <c r="E721" s="144"/>
      <c r="F721" s="144"/>
      <c r="G721" s="144"/>
      <c r="H721" s="144"/>
      <c r="I721" s="182"/>
      <c r="J721" s="144"/>
      <c r="K721" s="145"/>
      <c r="L721" s="150"/>
      <c r="M721" s="146"/>
      <c r="N721" s="146"/>
      <c r="O721" s="146"/>
      <c r="P721" s="146"/>
      <c r="Q721" s="146"/>
      <c r="R721" s="190"/>
      <c r="S721" s="190"/>
      <c r="T721" s="190"/>
      <c r="U721" s="190"/>
      <c r="V721" s="190"/>
      <c r="W721" s="190"/>
      <c r="X721" s="190"/>
      <c r="Y721" s="190"/>
      <c r="Z721" s="190"/>
    </row>
    <row r="722" ht="15.75" customHeight="1">
      <c r="A722" s="228"/>
      <c r="B722" s="165"/>
      <c r="C722" s="162"/>
      <c r="D722" s="142"/>
      <c r="E722" s="144"/>
      <c r="F722" s="144"/>
      <c r="G722" s="144"/>
      <c r="H722" s="144"/>
      <c r="I722" s="182"/>
      <c r="J722" s="144"/>
      <c r="K722" s="145"/>
      <c r="L722" s="150"/>
      <c r="M722" s="146"/>
      <c r="N722" s="146"/>
      <c r="O722" s="146"/>
      <c r="P722" s="146"/>
      <c r="Q722" s="146"/>
      <c r="R722" s="190"/>
      <c r="S722" s="190"/>
      <c r="T722" s="190"/>
      <c r="U722" s="190"/>
      <c r="V722" s="190"/>
      <c r="W722" s="190"/>
      <c r="X722" s="190"/>
      <c r="Y722" s="190"/>
      <c r="Z722" s="190"/>
    </row>
    <row r="723" ht="15.75" customHeight="1">
      <c r="A723" s="228"/>
      <c r="B723" s="165"/>
      <c r="C723" s="162"/>
      <c r="D723" s="142"/>
      <c r="E723" s="144"/>
      <c r="F723" s="144"/>
      <c r="G723" s="144"/>
      <c r="H723" s="144"/>
      <c r="I723" s="182"/>
      <c r="J723" s="144"/>
      <c r="K723" s="145"/>
      <c r="L723" s="150"/>
      <c r="M723" s="146"/>
      <c r="N723" s="146"/>
      <c r="O723" s="146"/>
      <c r="P723" s="146"/>
      <c r="Q723" s="146"/>
      <c r="R723" s="190"/>
      <c r="S723" s="190"/>
      <c r="T723" s="190"/>
      <c r="U723" s="190"/>
      <c r="V723" s="190"/>
      <c r="W723" s="190"/>
      <c r="X723" s="190"/>
      <c r="Y723" s="190"/>
      <c r="Z723" s="190"/>
    </row>
    <row r="724" ht="15.75" customHeight="1">
      <c r="A724" s="228"/>
      <c r="B724" s="165"/>
      <c r="C724" s="162"/>
      <c r="D724" s="142"/>
      <c r="E724" s="144"/>
      <c r="F724" s="144"/>
      <c r="G724" s="144"/>
      <c r="H724" s="144"/>
      <c r="I724" s="182"/>
      <c r="J724" s="144"/>
      <c r="K724" s="145"/>
      <c r="L724" s="150"/>
      <c r="M724" s="146"/>
      <c r="N724" s="146"/>
      <c r="O724" s="146"/>
      <c r="P724" s="146"/>
      <c r="Q724" s="146"/>
      <c r="R724" s="190"/>
      <c r="S724" s="190"/>
      <c r="T724" s="190"/>
      <c r="U724" s="190"/>
      <c r="V724" s="190"/>
      <c r="W724" s="190"/>
      <c r="X724" s="190"/>
      <c r="Y724" s="190"/>
      <c r="Z724" s="190"/>
    </row>
    <row r="725" ht="15.75" customHeight="1">
      <c r="A725" s="228"/>
      <c r="B725" s="165"/>
      <c r="C725" s="162"/>
      <c r="D725" s="142"/>
      <c r="E725" s="144"/>
      <c r="F725" s="144"/>
      <c r="G725" s="144"/>
      <c r="H725" s="144"/>
      <c r="I725" s="182"/>
      <c r="J725" s="144"/>
      <c r="K725" s="145"/>
      <c r="L725" s="150"/>
      <c r="M725" s="146"/>
      <c r="N725" s="146"/>
      <c r="O725" s="146"/>
      <c r="P725" s="146"/>
      <c r="Q725" s="146"/>
      <c r="R725" s="190"/>
      <c r="S725" s="190"/>
      <c r="T725" s="190"/>
      <c r="U725" s="190"/>
      <c r="V725" s="190"/>
      <c r="W725" s="190"/>
      <c r="X725" s="190"/>
      <c r="Y725" s="190"/>
      <c r="Z725" s="190"/>
    </row>
    <row r="726" ht="15.75" customHeight="1">
      <c r="A726" s="228"/>
      <c r="B726" s="165"/>
      <c r="C726" s="162"/>
      <c r="D726" s="142"/>
      <c r="E726" s="144"/>
      <c r="F726" s="144"/>
      <c r="G726" s="144"/>
      <c r="H726" s="144"/>
      <c r="I726" s="182"/>
      <c r="J726" s="144"/>
      <c r="K726" s="145"/>
      <c r="L726" s="150"/>
      <c r="M726" s="146"/>
      <c r="N726" s="146"/>
      <c r="O726" s="146"/>
      <c r="P726" s="146"/>
      <c r="Q726" s="146"/>
      <c r="R726" s="190"/>
      <c r="S726" s="190"/>
      <c r="T726" s="190"/>
      <c r="U726" s="190"/>
      <c r="V726" s="190"/>
      <c r="W726" s="190"/>
      <c r="X726" s="190"/>
      <c r="Y726" s="190"/>
      <c r="Z726" s="190"/>
    </row>
    <row r="727" ht="15.75" customHeight="1">
      <c r="A727" s="228"/>
      <c r="B727" s="165"/>
      <c r="C727" s="162"/>
      <c r="D727" s="142"/>
      <c r="E727" s="144"/>
      <c r="F727" s="144"/>
      <c r="G727" s="144"/>
      <c r="H727" s="144"/>
      <c r="I727" s="182"/>
      <c r="J727" s="144"/>
      <c r="K727" s="145"/>
      <c r="L727" s="150"/>
      <c r="M727" s="146"/>
      <c r="N727" s="146"/>
      <c r="O727" s="146"/>
      <c r="P727" s="146"/>
      <c r="Q727" s="146"/>
      <c r="R727" s="190"/>
      <c r="S727" s="190"/>
      <c r="T727" s="190"/>
      <c r="U727" s="190"/>
      <c r="V727" s="190"/>
      <c r="W727" s="190"/>
      <c r="X727" s="190"/>
      <c r="Y727" s="190"/>
      <c r="Z727" s="190"/>
    </row>
    <row r="728" ht="15.75" customHeight="1">
      <c r="A728" s="228"/>
      <c r="B728" s="165"/>
      <c r="C728" s="162"/>
      <c r="D728" s="142"/>
      <c r="E728" s="144"/>
      <c r="F728" s="144"/>
      <c r="G728" s="144"/>
      <c r="H728" s="144"/>
      <c r="I728" s="182"/>
      <c r="J728" s="144"/>
      <c r="K728" s="145"/>
      <c r="L728" s="150"/>
      <c r="M728" s="146"/>
      <c r="N728" s="146"/>
      <c r="O728" s="146"/>
      <c r="P728" s="146"/>
      <c r="Q728" s="146"/>
      <c r="R728" s="190"/>
      <c r="S728" s="190"/>
      <c r="T728" s="190"/>
      <c r="U728" s="190"/>
      <c r="V728" s="190"/>
      <c r="W728" s="190"/>
      <c r="X728" s="190"/>
      <c r="Y728" s="190"/>
      <c r="Z728" s="190"/>
    </row>
    <row r="729" ht="15.75" customHeight="1">
      <c r="A729" s="228"/>
      <c r="B729" s="165"/>
      <c r="C729" s="162"/>
      <c r="D729" s="142"/>
      <c r="E729" s="144"/>
      <c r="F729" s="144"/>
      <c r="G729" s="144"/>
      <c r="H729" s="144"/>
      <c r="I729" s="182"/>
      <c r="J729" s="144"/>
      <c r="K729" s="145"/>
      <c r="L729" s="150"/>
      <c r="M729" s="146"/>
      <c r="N729" s="146"/>
      <c r="O729" s="146"/>
      <c r="P729" s="146"/>
      <c r="Q729" s="146"/>
      <c r="R729" s="190"/>
      <c r="S729" s="190"/>
      <c r="T729" s="190"/>
      <c r="U729" s="190"/>
      <c r="V729" s="190"/>
      <c r="W729" s="190"/>
      <c r="X729" s="190"/>
      <c r="Y729" s="190"/>
      <c r="Z729" s="190"/>
    </row>
    <row r="730" ht="15.75" customHeight="1">
      <c r="A730" s="228"/>
      <c r="B730" s="165"/>
      <c r="C730" s="162"/>
      <c r="D730" s="142"/>
      <c r="E730" s="144"/>
      <c r="F730" s="144"/>
      <c r="G730" s="144"/>
      <c r="H730" s="144"/>
      <c r="I730" s="182"/>
      <c r="J730" s="144"/>
      <c r="K730" s="145"/>
      <c r="L730" s="150"/>
      <c r="M730" s="146"/>
      <c r="N730" s="146"/>
      <c r="O730" s="146"/>
      <c r="P730" s="146"/>
      <c r="Q730" s="146"/>
      <c r="R730" s="190"/>
      <c r="S730" s="190"/>
      <c r="T730" s="190"/>
      <c r="U730" s="190"/>
      <c r="V730" s="190"/>
      <c r="W730" s="190"/>
      <c r="X730" s="190"/>
      <c r="Y730" s="190"/>
      <c r="Z730" s="190"/>
    </row>
    <row r="731" ht="15.75" customHeight="1">
      <c r="A731" s="228"/>
      <c r="B731" s="165"/>
      <c r="C731" s="162"/>
      <c r="D731" s="142"/>
      <c r="E731" s="144"/>
      <c r="F731" s="144"/>
      <c r="G731" s="144"/>
      <c r="H731" s="144"/>
      <c r="I731" s="182"/>
      <c r="J731" s="144"/>
      <c r="K731" s="145"/>
      <c r="L731" s="150"/>
      <c r="M731" s="146"/>
      <c r="N731" s="146"/>
      <c r="O731" s="146"/>
      <c r="P731" s="146"/>
      <c r="Q731" s="146"/>
      <c r="R731" s="190"/>
      <c r="S731" s="190"/>
      <c r="T731" s="190"/>
      <c r="U731" s="190"/>
      <c r="V731" s="190"/>
      <c r="W731" s="190"/>
      <c r="X731" s="190"/>
      <c r="Y731" s="190"/>
      <c r="Z731" s="190"/>
    </row>
    <row r="732" ht="15.75" customHeight="1">
      <c r="A732" s="228"/>
      <c r="B732" s="165"/>
      <c r="C732" s="162"/>
      <c r="D732" s="142"/>
      <c r="E732" s="144"/>
      <c r="F732" s="144"/>
      <c r="G732" s="144"/>
      <c r="H732" s="144"/>
      <c r="I732" s="182"/>
      <c r="J732" s="144"/>
      <c r="K732" s="145"/>
      <c r="L732" s="150"/>
      <c r="M732" s="146"/>
      <c r="N732" s="146"/>
      <c r="O732" s="146"/>
      <c r="P732" s="146"/>
      <c r="Q732" s="146"/>
      <c r="R732" s="190"/>
      <c r="S732" s="190"/>
      <c r="T732" s="190"/>
      <c r="U732" s="190"/>
      <c r="V732" s="190"/>
      <c r="W732" s="190"/>
      <c r="X732" s="190"/>
      <c r="Y732" s="190"/>
      <c r="Z732" s="190"/>
    </row>
    <row r="733" ht="15.75" customHeight="1">
      <c r="A733" s="228"/>
      <c r="B733" s="165"/>
      <c r="C733" s="162"/>
      <c r="D733" s="142"/>
      <c r="E733" s="144"/>
      <c r="F733" s="144"/>
      <c r="G733" s="144"/>
      <c r="H733" s="144"/>
      <c r="I733" s="182"/>
      <c r="J733" s="144"/>
      <c r="K733" s="145"/>
      <c r="L733" s="150"/>
      <c r="M733" s="146"/>
      <c r="N733" s="146"/>
      <c r="O733" s="146"/>
      <c r="P733" s="146"/>
      <c r="Q733" s="146"/>
      <c r="R733" s="190"/>
      <c r="S733" s="190"/>
      <c r="T733" s="190"/>
      <c r="U733" s="190"/>
      <c r="V733" s="190"/>
      <c r="W733" s="190"/>
      <c r="X733" s="190"/>
      <c r="Y733" s="190"/>
      <c r="Z733" s="190"/>
    </row>
    <row r="734" ht="15.75" customHeight="1">
      <c r="A734" s="228"/>
      <c r="B734" s="165"/>
      <c r="C734" s="162"/>
      <c r="D734" s="142"/>
      <c r="E734" s="144"/>
      <c r="F734" s="144"/>
      <c r="G734" s="144"/>
      <c r="H734" s="144"/>
      <c r="I734" s="182"/>
      <c r="J734" s="144"/>
      <c r="K734" s="145"/>
      <c r="L734" s="150"/>
      <c r="M734" s="146"/>
      <c r="N734" s="146"/>
      <c r="O734" s="146"/>
      <c r="P734" s="146"/>
      <c r="Q734" s="146"/>
      <c r="R734" s="190"/>
      <c r="S734" s="190"/>
      <c r="T734" s="190"/>
      <c r="U734" s="190"/>
      <c r="V734" s="190"/>
      <c r="W734" s="190"/>
      <c r="X734" s="190"/>
      <c r="Y734" s="190"/>
      <c r="Z734" s="190"/>
    </row>
    <row r="735" ht="15.75" customHeight="1">
      <c r="A735" s="228"/>
      <c r="B735" s="165"/>
      <c r="C735" s="162"/>
      <c r="D735" s="142"/>
      <c r="E735" s="144"/>
      <c r="F735" s="144"/>
      <c r="G735" s="144"/>
      <c r="H735" s="144"/>
      <c r="I735" s="182"/>
      <c r="J735" s="144"/>
      <c r="K735" s="145"/>
      <c r="L735" s="150"/>
      <c r="M735" s="146"/>
      <c r="N735" s="146"/>
      <c r="O735" s="146"/>
      <c r="P735" s="146"/>
      <c r="Q735" s="146"/>
      <c r="R735" s="190"/>
      <c r="S735" s="190"/>
      <c r="T735" s="190"/>
      <c r="U735" s="190"/>
      <c r="V735" s="190"/>
      <c r="W735" s="190"/>
      <c r="X735" s="190"/>
      <c r="Y735" s="190"/>
      <c r="Z735" s="190"/>
    </row>
    <row r="736" ht="15.75" customHeight="1">
      <c r="A736" s="228"/>
      <c r="B736" s="165"/>
      <c r="C736" s="162"/>
      <c r="D736" s="142"/>
      <c r="E736" s="144"/>
      <c r="F736" s="144"/>
      <c r="G736" s="144"/>
      <c r="H736" s="144"/>
      <c r="I736" s="182"/>
      <c r="J736" s="144"/>
      <c r="K736" s="145"/>
      <c r="L736" s="150"/>
      <c r="M736" s="146"/>
      <c r="N736" s="146"/>
      <c r="O736" s="146"/>
      <c r="P736" s="146"/>
      <c r="Q736" s="146"/>
      <c r="R736" s="190"/>
      <c r="S736" s="190"/>
      <c r="T736" s="190"/>
      <c r="U736" s="190"/>
      <c r="V736" s="190"/>
      <c r="W736" s="190"/>
      <c r="X736" s="190"/>
      <c r="Y736" s="190"/>
      <c r="Z736" s="190"/>
    </row>
    <row r="737" ht="15.75" customHeight="1">
      <c r="A737" s="228"/>
      <c r="B737" s="165"/>
      <c r="C737" s="162"/>
      <c r="D737" s="142"/>
      <c r="E737" s="144"/>
      <c r="F737" s="144"/>
      <c r="G737" s="144"/>
      <c r="H737" s="144"/>
      <c r="I737" s="182"/>
      <c r="J737" s="144"/>
      <c r="K737" s="145"/>
      <c r="L737" s="150"/>
      <c r="M737" s="146"/>
      <c r="N737" s="146"/>
      <c r="O737" s="146"/>
      <c r="P737" s="146"/>
      <c r="Q737" s="146"/>
      <c r="R737" s="190"/>
      <c r="S737" s="190"/>
      <c r="T737" s="190"/>
      <c r="U737" s="190"/>
      <c r="V737" s="190"/>
      <c r="W737" s="190"/>
      <c r="X737" s="190"/>
      <c r="Y737" s="190"/>
      <c r="Z737" s="190"/>
    </row>
    <row r="738" ht="15.75" customHeight="1">
      <c r="A738" s="228"/>
      <c r="B738" s="165"/>
      <c r="C738" s="162"/>
      <c r="D738" s="142"/>
      <c r="E738" s="144"/>
      <c r="F738" s="144"/>
      <c r="G738" s="144"/>
      <c r="H738" s="144"/>
      <c r="I738" s="182"/>
      <c r="J738" s="144"/>
      <c r="K738" s="145"/>
      <c r="L738" s="150"/>
      <c r="M738" s="146"/>
      <c r="N738" s="146"/>
      <c r="O738" s="146"/>
      <c r="P738" s="146"/>
      <c r="Q738" s="146"/>
      <c r="R738" s="190"/>
      <c r="S738" s="190"/>
      <c r="T738" s="190"/>
      <c r="U738" s="190"/>
      <c r="V738" s="190"/>
      <c r="W738" s="190"/>
      <c r="X738" s="190"/>
      <c r="Y738" s="190"/>
      <c r="Z738" s="190"/>
    </row>
    <row r="739" ht="15.75" customHeight="1">
      <c r="A739" s="228"/>
      <c r="B739" s="165"/>
      <c r="C739" s="162"/>
      <c r="D739" s="142"/>
      <c r="E739" s="144"/>
      <c r="F739" s="144"/>
      <c r="G739" s="144"/>
      <c r="H739" s="144"/>
      <c r="I739" s="182"/>
      <c r="J739" s="144"/>
      <c r="K739" s="145"/>
      <c r="L739" s="150"/>
      <c r="M739" s="146"/>
      <c r="N739" s="146"/>
      <c r="O739" s="146"/>
      <c r="P739" s="146"/>
      <c r="Q739" s="146"/>
      <c r="R739" s="190"/>
      <c r="S739" s="190"/>
      <c r="T739" s="190"/>
      <c r="U739" s="190"/>
      <c r="V739" s="190"/>
      <c r="W739" s="190"/>
      <c r="X739" s="190"/>
      <c r="Y739" s="190"/>
      <c r="Z739" s="190"/>
    </row>
    <row r="740" ht="15.75" customHeight="1">
      <c r="A740" s="228"/>
      <c r="B740" s="165"/>
      <c r="C740" s="162"/>
      <c r="D740" s="142"/>
      <c r="E740" s="144"/>
      <c r="F740" s="144"/>
      <c r="G740" s="144"/>
      <c r="H740" s="144"/>
      <c r="I740" s="182"/>
      <c r="J740" s="144"/>
      <c r="K740" s="145"/>
      <c r="L740" s="150"/>
      <c r="M740" s="146"/>
      <c r="N740" s="146"/>
      <c r="O740" s="146"/>
      <c r="P740" s="146"/>
      <c r="Q740" s="146"/>
      <c r="R740" s="190"/>
      <c r="S740" s="190"/>
      <c r="T740" s="190"/>
      <c r="U740" s="190"/>
      <c r="V740" s="190"/>
      <c r="W740" s="190"/>
      <c r="X740" s="190"/>
      <c r="Y740" s="190"/>
      <c r="Z740" s="190"/>
    </row>
    <row r="741" ht="15.75" customHeight="1">
      <c r="A741" s="228"/>
      <c r="B741" s="165"/>
      <c r="C741" s="162"/>
      <c r="D741" s="142"/>
      <c r="E741" s="144"/>
      <c r="F741" s="144"/>
      <c r="G741" s="144"/>
      <c r="H741" s="144"/>
      <c r="I741" s="182"/>
      <c r="J741" s="144"/>
      <c r="K741" s="145"/>
      <c r="L741" s="150"/>
      <c r="M741" s="146"/>
      <c r="N741" s="146"/>
      <c r="O741" s="146"/>
      <c r="P741" s="146"/>
      <c r="Q741" s="146"/>
      <c r="R741" s="190"/>
      <c r="S741" s="190"/>
      <c r="T741" s="190"/>
      <c r="U741" s="190"/>
      <c r="V741" s="190"/>
      <c r="W741" s="190"/>
      <c r="X741" s="190"/>
      <c r="Y741" s="190"/>
      <c r="Z741" s="190"/>
    </row>
    <row r="742" ht="15.75" customHeight="1">
      <c r="A742" s="228"/>
      <c r="B742" s="165"/>
      <c r="C742" s="162"/>
      <c r="D742" s="142"/>
      <c r="E742" s="144"/>
      <c r="F742" s="144"/>
      <c r="G742" s="144"/>
      <c r="H742" s="144"/>
      <c r="I742" s="182"/>
      <c r="J742" s="144"/>
      <c r="K742" s="145"/>
      <c r="L742" s="150"/>
      <c r="M742" s="146"/>
      <c r="N742" s="146"/>
      <c r="O742" s="146"/>
      <c r="P742" s="146"/>
      <c r="Q742" s="146"/>
      <c r="R742" s="190"/>
      <c r="S742" s="190"/>
      <c r="T742" s="190"/>
      <c r="U742" s="190"/>
      <c r="V742" s="190"/>
      <c r="W742" s="190"/>
      <c r="X742" s="190"/>
      <c r="Y742" s="190"/>
      <c r="Z742" s="190"/>
    </row>
    <row r="743" ht="15.75" customHeight="1">
      <c r="A743" s="228"/>
      <c r="B743" s="165"/>
      <c r="C743" s="162"/>
      <c r="D743" s="142"/>
      <c r="E743" s="144"/>
      <c r="F743" s="144"/>
      <c r="G743" s="144"/>
      <c r="H743" s="144"/>
      <c r="I743" s="182"/>
      <c r="J743" s="144"/>
      <c r="K743" s="145"/>
      <c r="L743" s="150"/>
      <c r="M743" s="146"/>
      <c r="N743" s="146"/>
      <c r="O743" s="146"/>
      <c r="P743" s="146"/>
      <c r="Q743" s="146"/>
      <c r="R743" s="190"/>
      <c r="S743" s="190"/>
      <c r="T743" s="190"/>
      <c r="U743" s="190"/>
      <c r="V743" s="190"/>
      <c r="W743" s="190"/>
      <c r="X743" s="190"/>
      <c r="Y743" s="190"/>
      <c r="Z743" s="190"/>
    </row>
    <row r="744" ht="15.75" customHeight="1">
      <c r="A744" s="228"/>
      <c r="B744" s="165"/>
      <c r="C744" s="162"/>
      <c r="D744" s="142"/>
      <c r="E744" s="144"/>
      <c r="F744" s="144"/>
      <c r="G744" s="144"/>
      <c r="H744" s="144"/>
      <c r="I744" s="182"/>
      <c r="J744" s="144"/>
      <c r="K744" s="145"/>
      <c r="L744" s="150"/>
      <c r="M744" s="146"/>
      <c r="N744" s="146"/>
      <c r="O744" s="146"/>
      <c r="P744" s="146"/>
      <c r="Q744" s="146"/>
      <c r="R744" s="190"/>
      <c r="S744" s="190"/>
      <c r="T744" s="190"/>
      <c r="U744" s="190"/>
      <c r="V744" s="190"/>
      <c r="W744" s="190"/>
      <c r="X744" s="190"/>
      <c r="Y744" s="190"/>
      <c r="Z744" s="190"/>
    </row>
    <row r="745" ht="15.75" customHeight="1">
      <c r="A745" s="228"/>
      <c r="B745" s="165"/>
      <c r="C745" s="162"/>
      <c r="D745" s="142"/>
      <c r="E745" s="144"/>
      <c r="F745" s="144"/>
      <c r="G745" s="144"/>
      <c r="H745" s="144"/>
      <c r="I745" s="182"/>
      <c r="J745" s="144"/>
      <c r="K745" s="145"/>
      <c r="L745" s="150"/>
      <c r="M745" s="146"/>
      <c r="N745" s="146"/>
      <c r="O745" s="146"/>
      <c r="P745" s="146"/>
      <c r="Q745" s="146"/>
      <c r="R745" s="190"/>
      <c r="S745" s="190"/>
      <c r="T745" s="190"/>
      <c r="U745" s="190"/>
      <c r="V745" s="190"/>
      <c r="W745" s="190"/>
      <c r="X745" s="190"/>
      <c r="Y745" s="190"/>
      <c r="Z745" s="190"/>
    </row>
    <row r="746" ht="15.75" customHeight="1">
      <c r="A746" s="228"/>
      <c r="B746" s="165"/>
      <c r="C746" s="162"/>
      <c r="D746" s="142"/>
      <c r="E746" s="144"/>
      <c r="F746" s="144"/>
      <c r="G746" s="144"/>
      <c r="H746" s="144"/>
      <c r="I746" s="182"/>
      <c r="J746" s="144"/>
      <c r="K746" s="145"/>
      <c r="L746" s="150"/>
      <c r="M746" s="146"/>
      <c r="N746" s="146"/>
      <c r="O746" s="146"/>
      <c r="P746" s="146"/>
      <c r="Q746" s="146"/>
      <c r="R746" s="190"/>
      <c r="S746" s="190"/>
      <c r="T746" s="190"/>
      <c r="U746" s="190"/>
      <c r="V746" s="190"/>
      <c r="W746" s="190"/>
      <c r="X746" s="190"/>
      <c r="Y746" s="190"/>
      <c r="Z746" s="190"/>
    </row>
    <row r="747" ht="15.75" customHeight="1">
      <c r="A747" s="228"/>
      <c r="B747" s="165"/>
      <c r="C747" s="162"/>
      <c r="D747" s="142"/>
      <c r="E747" s="144"/>
      <c r="F747" s="144"/>
      <c r="G747" s="144"/>
      <c r="H747" s="144"/>
      <c r="I747" s="182"/>
      <c r="J747" s="144"/>
      <c r="K747" s="145"/>
      <c r="L747" s="150"/>
      <c r="M747" s="146"/>
      <c r="N747" s="146"/>
      <c r="O747" s="146"/>
      <c r="P747" s="146"/>
      <c r="Q747" s="146"/>
      <c r="R747" s="190"/>
      <c r="S747" s="190"/>
      <c r="T747" s="190"/>
      <c r="U747" s="190"/>
      <c r="V747" s="190"/>
      <c r="W747" s="190"/>
      <c r="X747" s="190"/>
      <c r="Y747" s="190"/>
      <c r="Z747" s="190"/>
    </row>
    <row r="748" ht="15.75" customHeight="1">
      <c r="A748" s="228"/>
      <c r="B748" s="165"/>
      <c r="C748" s="162"/>
      <c r="D748" s="142"/>
      <c r="E748" s="144"/>
      <c r="F748" s="144"/>
      <c r="G748" s="144"/>
      <c r="H748" s="144"/>
      <c r="I748" s="182"/>
      <c r="J748" s="144"/>
      <c r="K748" s="145"/>
      <c r="L748" s="150"/>
      <c r="M748" s="146"/>
      <c r="N748" s="146"/>
      <c r="O748" s="146"/>
      <c r="P748" s="146"/>
      <c r="Q748" s="146"/>
      <c r="R748" s="190"/>
      <c r="S748" s="190"/>
      <c r="T748" s="190"/>
      <c r="U748" s="190"/>
      <c r="V748" s="190"/>
      <c r="W748" s="190"/>
      <c r="X748" s="190"/>
      <c r="Y748" s="190"/>
      <c r="Z748" s="190"/>
    </row>
    <row r="749" ht="15.75" customHeight="1">
      <c r="A749" s="228"/>
      <c r="B749" s="165"/>
      <c r="C749" s="162"/>
      <c r="D749" s="142"/>
      <c r="E749" s="144"/>
      <c r="F749" s="144"/>
      <c r="G749" s="144"/>
      <c r="H749" s="144"/>
      <c r="I749" s="182"/>
      <c r="J749" s="144"/>
      <c r="K749" s="145"/>
      <c r="L749" s="150"/>
      <c r="M749" s="146"/>
      <c r="N749" s="146"/>
      <c r="O749" s="146"/>
      <c r="P749" s="146"/>
      <c r="Q749" s="146"/>
      <c r="R749" s="190"/>
      <c r="S749" s="190"/>
      <c r="T749" s="190"/>
      <c r="U749" s="190"/>
      <c r="V749" s="190"/>
      <c r="W749" s="190"/>
      <c r="X749" s="190"/>
      <c r="Y749" s="190"/>
      <c r="Z749" s="190"/>
    </row>
    <row r="750" ht="15.75" customHeight="1">
      <c r="A750" s="228"/>
      <c r="B750" s="165"/>
      <c r="C750" s="162"/>
      <c r="D750" s="142"/>
      <c r="E750" s="144"/>
      <c r="F750" s="144"/>
      <c r="G750" s="144"/>
      <c r="H750" s="144"/>
      <c r="I750" s="182"/>
      <c r="J750" s="144"/>
      <c r="K750" s="145"/>
      <c r="L750" s="150"/>
      <c r="M750" s="146"/>
      <c r="N750" s="146"/>
      <c r="O750" s="146"/>
      <c r="P750" s="146"/>
      <c r="Q750" s="146"/>
      <c r="R750" s="190"/>
      <c r="S750" s="190"/>
      <c r="T750" s="190"/>
      <c r="U750" s="190"/>
      <c r="V750" s="190"/>
      <c r="W750" s="190"/>
      <c r="X750" s="190"/>
      <c r="Y750" s="190"/>
      <c r="Z750" s="190"/>
    </row>
    <row r="751" ht="15.75" customHeight="1">
      <c r="A751" s="228"/>
      <c r="B751" s="165"/>
      <c r="C751" s="162"/>
      <c r="D751" s="142"/>
      <c r="E751" s="144"/>
      <c r="F751" s="144"/>
      <c r="G751" s="144"/>
      <c r="H751" s="144"/>
      <c r="I751" s="182"/>
      <c r="J751" s="144"/>
      <c r="K751" s="145"/>
      <c r="L751" s="150"/>
      <c r="M751" s="146"/>
      <c r="N751" s="146"/>
      <c r="O751" s="146"/>
      <c r="P751" s="146"/>
      <c r="Q751" s="146"/>
      <c r="R751" s="190"/>
      <c r="S751" s="190"/>
      <c r="T751" s="190"/>
      <c r="U751" s="190"/>
      <c r="V751" s="190"/>
      <c r="W751" s="190"/>
      <c r="X751" s="190"/>
      <c r="Y751" s="190"/>
      <c r="Z751" s="190"/>
    </row>
    <row r="752" ht="15.75" customHeight="1">
      <c r="A752" s="228"/>
      <c r="B752" s="165"/>
      <c r="C752" s="162"/>
      <c r="D752" s="142"/>
      <c r="E752" s="144"/>
      <c r="F752" s="144"/>
      <c r="G752" s="144"/>
      <c r="H752" s="144"/>
      <c r="I752" s="182"/>
      <c r="J752" s="144"/>
      <c r="K752" s="145"/>
      <c r="L752" s="150"/>
      <c r="M752" s="146"/>
      <c r="N752" s="146"/>
      <c r="O752" s="146"/>
      <c r="P752" s="146"/>
      <c r="Q752" s="146"/>
      <c r="R752" s="190"/>
      <c r="S752" s="190"/>
      <c r="T752" s="190"/>
      <c r="U752" s="190"/>
      <c r="V752" s="190"/>
      <c r="W752" s="190"/>
      <c r="X752" s="190"/>
      <c r="Y752" s="190"/>
      <c r="Z752" s="190"/>
    </row>
    <row r="753" ht="15.75" customHeight="1">
      <c r="A753" s="228"/>
      <c r="B753" s="165"/>
      <c r="C753" s="162"/>
      <c r="D753" s="142"/>
      <c r="E753" s="144"/>
      <c r="F753" s="144"/>
      <c r="G753" s="144"/>
      <c r="H753" s="144"/>
      <c r="I753" s="182"/>
      <c r="J753" s="144"/>
      <c r="K753" s="145"/>
      <c r="L753" s="150"/>
      <c r="M753" s="146"/>
      <c r="N753" s="146"/>
      <c r="O753" s="146"/>
      <c r="P753" s="146"/>
      <c r="Q753" s="146"/>
      <c r="R753" s="190"/>
      <c r="S753" s="190"/>
      <c r="T753" s="190"/>
      <c r="U753" s="190"/>
      <c r="V753" s="190"/>
      <c r="W753" s="190"/>
      <c r="X753" s="190"/>
      <c r="Y753" s="190"/>
      <c r="Z753" s="190"/>
    </row>
    <row r="754" ht="15.75" customHeight="1">
      <c r="A754" s="228"/>
      <c r="B754" s="165"/>
      <c r="C754" s="162"/>
      <c r="D754" s="142"/>
      <c r="E754" s="144"/>
      <c r="F754" s="144"/>
      <c r="G754" s="144"/>
      <c r="H754" s="144"/>
      <c r="I754" s="182"/>
      <c r="J754" s="144"/>
      <c r="K754" s="145"/>
      <c r="L754" s="150"/>
      <c r="M754" s="146"/>
      <c r="N754" s="146"/>
      <c r="O754" s="146"/>
      <c r="P754" s="146"/>
      <c r="Q754" s="146"/>
      <c r="R754" s="190"/>
      <c r="S754" s="190"/>
      <c r="T754" s="190"/>
      <c r="U754" s="190"/>
      <c r="V754" s="190"/>
      <c r="W754" s="190"/>
      <c r="X754" s="190"/>
      <c r="Y754" s="190"/>
      <c r="Z754" s="190"/>
    </row>
    <row r="755" ht="15.75" customHeight="1">
      <c r="A755" s="228"/>
      <c r="B755" s="165"/>
      <c r="C755" s="162"/>
      <c r="D755" s="142"/>
      <c r="E755" s="144"/>
      <c r="F755" s="144"/>
      <c r="G755" s="144"/>
      <c r="H755" s="144"/>
      <c r="I755" s="182"/>
      <c r="J755" s="144"/>
      <c r="K755" s="145"/>
      <c r="L755" s="150"/>
      <c r="M755" s="146"/>
      <c r="N755" s="146"/>
      <c r="O755" s="146"/>
      <c r="P755" s="146"/>
      <c r="Q755" s="146"/>
      <c r="R755" s="190"/>
      <c r="S755" s="190"/>
      <c r="T755" s="190"/>
      <c r="U755" s="190"/>
      <c r="V755" s="190"/>
      <c r="W755" s="190"/>
      <c r="X755" s="190"/>
      <c r="Y755" s="190"/>
      <c r="Z755" s="190"/>
    </row>
    <row r="756" ht="15.75" customHeight="1">
      <c r="A756" s="228"/>
      <c r="B756" s="165"/>
      <c r="C756" s="162"/>
      <c r="D756" s="142"/>
      <c r="E756" s="144"/>
      <c r="F756" s="144"/>
      <c r="G756" s="144"/>
      <c r="H756" s="144"/>
      <c r="I756" s="182"/>
      <c r="J756" s="144"/>
      <c r="K756" s="145"/>
      <c r="L756" s="150"/>
      <c r="M756" s="146"/>
      <c r="N756" s="146"/>
      <c r="O756" s="146"/>
      <c r="P756" s="146"/>
      <c r="Q756" s="146"/>
      <c r="R756" s="190"/>
      <c r="S756" s="190"/>
      <c r="T756" s="190"/>
      <c r="U756" s="190"/>
      <c r="V756" s="190"/>
      <c r="W756" s="190"/>
      <c r="X756" s="190"/>
      <c r="Y756" s="190"/>
      <c r="Z756" s="190"/>
    </row>
    <row r="757" ht="15.75" customHeight="1">
      <c r="A757" s="228"/>
      <c r="B757" s="165"/>
      <c r="C757" s="162"/>
      <c r="D757" s="142"/>
      <c r="E757" s="144"/>
      <c r="F757" s="144"/>
      <c r="G757" s="144"/>
      <c r="H757" s="144"/>
      <c r="I757" s="182"/>
      <c r="J757" s="144"/>
      <c r="K757" s="145"/>
      <c r="L757" s="150"/>
      <c r="M757" s="146"/>
      <c r="N757" s="146"/>
      <c r="O757" s="146"/>
      <c r="P757" s="146"/>
      <c r="Q757" s="146"/>
      <c r="R757" s="190"/>
      <c r="S757" s="190"/>
      <c r="T757" s="190"/>
      <c r="U757" s="190"/>
      <c r="V757" s="190"/>
      <c r="W757" s="190"/>
      <c r="X757" s="190"/>
      <c r="Y757" s="190"/>
      <c r="Z757" s="190"/>
    </row>
    <row r="758" ht="15.75" customHeight="1">
      <c r="A758" s="228"/>
      <c r="B758" s="165"/>
      <c r="C758" s="162"/>
      <c r="D758" s="142"/>
      <c r="E758" s="144"/>
      <c r="F758" s="144"/>
      <c r="G758" s="144"/>
      <c r="H758" s="144"/>
      <c r="I758" s="182"/>
      <c r="J758" s="144"/>
      <c r="K758" s="145"/>
      <c r="L758" s="150"/>
      <c r="M758" s="146"/>
      <c r="N758" s="146"/>
      <c r="O758" s="146"/>
      <c r="P758" s="146"/>
      <c r="Q758" s="146"/>
      <c r="R758" s="190"/>
      <c r="S758" s="190"/>
      <c r="T758" s="190"/>
      <c r="U758" s="190"/>
      <c r="V758" s="190"/>
      <c r="W758" s="190"/>
      <c r="X758" s="190"/>
      <c r="Y758" s="190"/>
      <c r="Z758" s="190"/>
    </row>
    <row r="759" ht="15.75" customHeight="1">
      <c r="A759" s="228"/>
      <c r="B759" s="165"/>
      <c r="C759" s="162"/>
      <c r="D759" s="142"/>
      <c r="E759" s="144"/>
      <c r="F759" s="144"/>
      <c r="G759" s="144"/>
      <c r="H759" s="144"/>
      <c r="I759" s="182"/>
      <c r="J759" s="144"/>
      <c r="K759" s="145"/>
      <c r="L759" s="150"/>
      <c r="M759" s="146"/>
      <c r="N759" s="146"/>
      <c r="O759" s="146"/>
      <c r="P759" s="146"/>
      <c r="Q759" s="146"/>
      <c r="R759" s="190"/>
      <c r="S759" s="190"/>
      <c r="T759" s="190"/>
      <c r="U759" s="190"/>
      <c r="V759" s="190"/>
      <c r="W759" s="190"/>
      <c r="X759" s="190"/>
      <c r="Y759" s="190"/>
      <c r="Z759" s="190"/>
    </row>
    <row r="760" ht="15.75" customHeight="1">
      <c r="A760" s="228"/>
      <c r="B760" s="165"/>
      <c r="C760" s="162"/>
      <c r="D760" s="142"/>
      <c r="E760" s="144"/>
      <c r="F760" s="144"/>
      <c r="G760" s="144"/>
      <c r="H760" s="144"/>
      <c r="I760" s="182"/>
      <c r="J760" s="144"/>
      <c r="K760" s="145"/>
      <c r="L760" s="150"/>
      <c r="M760" s="146"/>
      <c r="N760" s="146"/>
      <c r="O760" s="146"/>
      <c r="P760" s="146"/>
      <c r="Q760" s="146"/>
      <c r="R760" s="190"/>
      <c r="S760" s="190"/>
      <c r="T760" s="190"/>
      <c r="U760" s="190"/>
      <c r="V760" s="190"/>
      <c r="W760" s="190"/>
      <c r="X760" s="190"/>
      <c r="Y760" s="190"/>
      <c r="Z760" s="190"/>
    </row>
    <row r="761" ht="15.75" customHeight="1">
      <c r="A761" s="228"/>
      <c r="B761" s="165"/>
      <c r="C761" s="162"/>
      <c r="D761" s="142"/>
      <c r="E761" s="144"/>
      <c r="F761" s="144"/>
      <c r="G761" s="144"/>
      <c r="H761" s="144"/>
      <c r="I761" s="182"/>
      <c r="J761" s="144"/>
      <c r="K761" s="145"/>
      <c r="L761" s="150"/>
      <c r="M761" s="146"/>
      <c r="N761" s="146"/>
      <c r="O761" s="146"/>
      <c r="P761" s="146"/>
      <c r="Q761" s="146"/>
      <c r="R761" s="190"/>
      <c r="S761" s="190"/>
      <c r="T761" s="190"/>
      <c r="U761" s="190"/>
      <c r="V761" s="190"/>
      <c r="W761" s="190"/>
      <c r="X761" s="190"/>
      <c r="Y761" s="190"/>
      <c r="Z761" s="190"/>
    </row>
    <row r="762" ht="15.75" customHeight="1">
      <c r="A762" s="228"/>
      <c r="B762" s="165"/>
      <c r="C762" s="162"/>
      <c r="D762" s="142"/>
      <c r="E762" s="144"/>
      <c r="F762" s="144"/>
      <c r="G762" s="144"/>
      <c r="H762" s="144"/>
      <c r="I762" s="182"/>
      <c r="J762" s="144"/>
      <c r="K762" s="145"/>
      <c r="L762" s="150"/>
      <c r="M762" s="146"/>
      <c r="N762" s="146"/>
      <c r="O762" s="146"/>
      <c r="P762" s="146"/>
      <c r="Q762" s="146"/>
      <c r="R762" s="190"/>
      <c r="S762" s="190"/>
      <c r="T762" s="190"/>
      <c r="U762" s="190"/>
      <c r="V762" s="190"/>
      <c r="W762" s="190"/>
      <c r="X762" s="190"/>
      <c r="Y762" s="190"/>
      <c r="Z762" s="190"/>
    </row>
    <row r="763" ht="15.75" customHeight="1">
      <c r="A763" s="228"/>
      <c r="B763" s="165"/>
      <c r="C763" s="162"/>
      <c r="D763" s="142"/>
      <c r="E763" s="144"/>
      <c r="F763" s="144"/>
      <c r="G763" s="144"/>
      <c r="H763" s="144"/>
      <c r="I763" s="182"/>
      <c r="J763" s="144"/>
      <c r="K763" s="145"/>
      <c r="L763" s="150"/>
      <c r="M763" s="146"/>
      <c r="N763" s="146"/>
      <c r="O763" s="146"/>
      <c r="P763" s="146"/>
      <c r="Q763" s="146"/>
      <c r="R763" s="190"/>
      <c r="S763" s="190"/>
      <c r="T763" s="190"/>
      <c r="U763" s="190"/>
      <c r="V763" s="190"/>
      <c r="W763" s="190"/>
      <c r="X763" s="190"/>
      <c r="Y763" s="190"/>
      <c r="Z763" s="190"/>
    </row>
    <row r="764" ht="15.75" customHeight="1">
      <c r="A764" s="228"/>
      <c r="B764" s="165"/>
      <c r="C764" s="162"/>
      <c r="D764" s="142"/>
      <c r="E764" s="144"/>
      <c r="F764" s="144"/>
      <c r="G764" s="144"/>
      <c r="H764" s="144"/>
      <c r="I764" s="182"/>
      <c r="J764" s="144"/>
      <c r="K764" s="145"/>
      <c r="L764" s="150"/>
      <c r="M764" s="146"/>
      <c r="N764" s="146"/>
      <c r="O764" s="146"/>
      <c r="P764" s="146"/>
      <c r="Q764" s="146"/>
      <c r="R764" s="190"/>
      <c r="S764" s="190"/>
      <c r="T764" s="190"/>
      <c r="U764" s="190"/>
      <c r="V764" s="190"/>
      <c r="W764" s="190"/>
      <c r="X764" s="190"/>
      <c r="Y764" s="190"/>
      <c r="Z764" s="190"/>
    </row>
    <row r="765" ht="15.75" customHeight="1">
      <c r="A765" s="228"/>
      <c r="B765" s="165"/>
      <c r="C765" s="162"/>
      <c r="D765" s="142"/>
      <c r="E765" s="144"/>
      <c r="F765" s="144"/>
      <c r="G765" s="144"/>
      <c r="H765" s="144"/>
      <c r="I765" s="182"/>
      <c r="J765" s="144"/>
      <c r="K765" s="145"/>
      <c r="L765" s="150"/>
      <c r="M765" s="146"/>
      <c r="N765" s="146"/>
      <c r="O765" s="146"/>
      <c r="P765" s="146"/>
      <c r="Q765" s="146"/>
      <c r="R765" s="190"/>
      <c r="S765" s="190"/>
      <c r="T765" s="190"/>
      <c r="U765" s="190"/>
      <c r="V765" s="190"/>
      <c r="W765" s="190"/>
      <c r="X765" s="190"/>
      <c r="Y765" s="190"/>
      <c r="Z765" s="190"/>
    </row>
    <row r="766" ht="15.75" customHeight="1">
      <c r="A766" s="228"/>
      <c r="B766" s="165"/>
      <c r="C766" s="162"/>
      <c r="D766" s="142"/>
      <c r="E766" s="144"/>
      <c r="F766" s="144"/>
      <c r="G766" s="144"/>
      <c r="H766" s="144"/>
      <c r="I766" s="182"/>
      <c r="J766" s="144"/>
      <c r="K766" s="145"/>
      <c r="L766" s="150"/>
      <c r="M766" s="146"/>
      <c r="N766" s="146"/>
      <c r="O766" s="146"/>
      <c r="P766" s="146"/>
      <c r="Q766" s="146"/>
      <c r="R766" s="190"/>
      <c r="S766" s="190"/>
      <c r="T766" s="190"/>
      <c r="U766" s="190"/>
      <c r="V766" s="190"/>
      <c r="W766" s="190"/>
      <c r="X766" s="190"/>
      <c r="Y766" s="190"/>
      <c r="Z766" s="190"/>
    </row>
    <row r="767" ht="15.75" customHeight="1">
      <c r="A767" s="228"/>
      <c r="B767" s="165"/>
      <c r="C767" s="162"/>
      <c r="D767" s="142"/>
      <c r="E767" s="144"/>
      <c r="F767" s="144"/>
      <c r="G767" s="144"/>
      <c r="H767" s="144"/>
      <c r="I767" s="182"/>
      <c r="J767" s="144"/>
      <c r="K767" s="145"/>
      <c r="L767" s="150"/>
      <c r="M767" s="146"/>
      <c r="N767" s="146"/>
      <c r="O767" s="146"/>
      <c r="P767" s="146"/>
      <c r="Q767" s="146"/>
      <c r="R767" s="190"/>
      <c r="S767" s="190"/>
      <c r="T767" s="190"/>
      <c r="U767" s="190"/>
      <c r="V767" s="190"/>
      <c r="W767" s="190"/>
      <c r="X767" s="190"/>
      <c r="Y767" s="190"/>
      <c r="Z767" s="190"/>
    </row>
    <row r="768" ht="15.75" customHeight="1">
      <c r="A768" s="228"/>
      <c r="B768" s="165"/>
      <c r="C768" s="162"/>
      <c r="D768" s="142"/>
      <c r="E768" s="144"/>
      <c r="F768" s="144"/>
      <c r="G768" s="144"/>
      <c r="H768" s="144"/>
      <c r="I768" s="182"/>
      <c r="J768" s="144"/>
      <c r="K768" s="145"/>
      <c r="L768" s="150"/>
      <c r="M768" s="146"/>
      <c r="N768" s="146"/>
      <c r="O768" s="146"/>
      <c r="P768" s="146"/>
      <c r="Q768" s="146"/>
      <c r="R768" s="190"/>
      <c r="S768" s="190"/>
      <c r="T768" s="190"/>
      <c r="U768" s="190"/>
      <c r="V768" s="190"/>
      <c r="W768" s="190"/>
      <c r="X768" s="190"/>
      <c r="Y768" s="190"/>
      <c r="Z768" s="190"/>
    </row>
    <row r="769" ht="15.75" customHeight="1">
      <c r="A769" s="228"/>
      <c r="B769" s="165"/>
      <c r="C769" s="162"/>
      <c r="D769" s="142"/>
      <c r="E769" s="144"/>
      <c r="F769" s="144"/>
      <c r="G769" s="144"/>
      <c r="H769" s="144"/>
      <c r="I769" s="182"/>
      <c r="J769" s="144"/>
      <c r="K769" s="145"/>
      <c r="L769" s="150"/>
      <c r="M769" s="146"/>
      <c r="N769" s="146"/>
      <c r="O769" s="146"/>
      <c r="P769" s="146"/>
      <c r="Q769" s="146"/>
      <c r="R769" s="190"/>
      <c r="S769" s="190"/>
      <c r="T769" s="190"/>
      <c r="U769" s="190"/>
      <c r="V769" s="190"/>
      <c r="W769" s="190"/>
      <c r="X769" s="190"/>
      <c r="Y769" s="190"/>
      <c r="Z769" s="190"/>
    </row>
    <row r="770" ht="15.75" customHeight="1">
      <c r="A770" s="228"/>
      <c r="B770" s="165"/>
      <c r="C770" s="162"/>
      <c r="D770" s="142"/>
      <c r="E770" s="144"/>
      <c r="F770" s="144"/>
      <c r="G770" s="144"/>
      <c r="H770" s="144"/>
      <c r="I770" s="182"/>
      <c r="J770" s="144"/>
      <c r="K770" s="145"/>
      <c r="L770" s="150"/>
      <c r="M770" s="146"/>
      <c r="N770" s="146"/>
      <c r="O770" s="146"/>
      <c r="P770" s="146"/>
      <c r="Q770" s="146"/>
      <c r="R770" s="190"/>
      <c r="S770" s="190"/>
      <c r="T770" s="190"/>
      <c r="U770" s="190"/>
      <c r="V770" s="190"/>
      <c r="W770" s="190"/>
      <c r="X770" s="190"/>
      <c r="Y770" s="190"/>
      <c r="Z770" s="190"/>
    </row>
    <row r="771" ht="15.75" customHeight="1">
      <c r="A771" s="228"/>
      <c r="B771" s="165"/>
      <c r="C771" s="162"/>
      <c r="D771" s="142"/>
      <c r="E771" s="144"/>
      <c r="F771" s="144"/>
      <c r="G771" s="144"/>
      <c r="H771" s="144"/>
      <c r="I771" s="182"/>
      <c r="J771" s="144"/>
      <c r="K771" s="145"/>
      <c r="L771" s="150"/>
      <c r="M771" s="146"/>
      <c r="N771" s="146"/>
      <c r="O771" s="146"/>
      <c r="P771" s="146"/>
      <c r="Q771" s="146"/>
      <c r="R771" s="190"/>
      <c r="S771" s="190"/>
      <c r="T771" s="190"/>
      <c r="U771" s="190"/>
      <c r="V771" s="190"/>
      <c r="W771" s="190"/>
      <c r="X771" s="190"/>
      <c r="Y771" s="190"/>
      <c r="Z771" s="190"/>
    </row>
    <row r="772" ht="15.75" customHeight="1">
      <c r="A772" s="228"/>
      <c r="B772" s="165"/>
      <c r="C772" s="162"/>
      <c r="D772" s="142"/>
      <c r="E772" s="144"/>
      <c r="F772" s="144"/>
      <c r="G772" s="144"/>
      <c r="H772" s="144"/>
      <c r="I772" s="182"/>
      <c r="J772" s="144"/>
      <c r="K772" s="145"/>
      <c r="L772" s="150"/>
      <c r="M772" s="146"/>
      <c r="N772" s="146"/>
      <c r="O772" s="146"/>
      <c r="P772" s="146"/>
      <c r="Q772" s="146"/>
      <c r="R772" s="190"/>
      <c r="S772" s="190"/>
      <c r="T772" s="190"/>
      <c r="U772" s="190"/>
      <c r="V772" s="190"/>
      <c r="W772" s="190"/>
      <c r="X772" s="190"/>
      <c r="Y772" s="190"/>
      <c r="Z772" s="190"/>
    </row>
    <row r="773" ht="15.75" customHeight="1">
      <c r="A773" s="228"/>
      <c r="B773" s="165"/>
      <c r="C773" s="162"/>
      <c r="D773" s="142"/>
      <c r="E773" s="144"/>
      <c r="F773" s="144"/>
      <c r="G773" s="144"/>
      <c r="H773" s="144"/>
      <c r="I773" s="182"/>
      <c r="J773" s="144"/>
      <c r="K773" s="145"/>
      <c r="L773" s="150"/>
      <c r="M773" s="146"/>
      <c r="N773" s="146"/>
      <c r="O773" s="146"/>
      <c r="P773" s="146"/>
      <c r="Q773" s="146"/>
      <c r="R773" s="190"/>
      <c r="S773" s="190"/>
      <c r="T773" s="190"/>
      <c r="U773" s="190"/>
      <c r="V773" s="190"/>
      <c r="W773" s="190"/>
      <c r="X773" s="190"/>
      <c r="Y773" s="190"/>
      <c r="Z773" s="190"/>
    </row>
    <row r="774" ht="15.75" customHeight="1">
      <c r="A774" s="228"/>
      <c r="B774" s="165"/>
      <c r="C774" s="162"/>
      <c r="D774" s="142"/>
      <c r="E774" s="144"/>
      <c r="F774" s="144"/>
      <c r="G774" s="144"/>
      <c r="H774" s="144"/>
      <c r="I774" s="182"/>
      <c r="J774" s="144"/>
      <c r="K774" s="145"/>
      <c r="L774" s="150"/>
      <c r="M774" s="146"/>
      <c r="N774" s="146"/>
      <c r="O774" s="146"/>
      <c r="P774" s="146"/>
      <c r="Q774" s="146"/>
      <c r="R774" s="190"/>
      <c r="S774" s="190"/>
      <c r="T774" s="190"/>
      <c r="U774" s="190"/>
      <c r="V774" s="190"/>
      <c r="W774" s="190"/>
      <c r="X774" s="190"/>
      <c r="Y774" s="190"/>
      <c r="Z774" s="190"/>
    </row>
    <row r="775" ht="15.75" customHeight="1">
      <c r="A775" s="228"/>
      <c r="B775" s="165"/>
      <c r="C775" s="162"/>
      <c r="D775" s="142"/>
      <c r="E775" s="144"/>
      <c r="F775" s="144"/>
      <c r="G775" s="144"/>
      <c r="H775" s="144"/>
      <c r="I775" s="182"/>
      <c r="J775" s="144"/>
      <c r="K775" s="145"/>
      <c r="L775" s="150"/>
      <c r="M775" s="146"/>
      <c r="N775" s="146"/>
      <c r="O775" s="146"/>
      <c r="P775" s="146"/>
      <c r="Q775" s="146"/>
      <c r="R775" s="190"/>
      <c r="S775" s="190"/>
      <c r="T775" s="190"/>
      <c r="U775" s="190"/>
      <c r="V775" s="190"/>
      <c r="W775" s="190"/>
      <c r="X775" s="190"/>
      <c r="Y775" s="190"/>
      <c r="Z775" s="190"/>
    </row>
    <row r="776" ht="15.75" customHeight="1">
      <c r="A776" s="228"/>
      <c r="B776" s="165"/>
      <c r="C776" s="162"/>
      <c r="D776" s="142"/>
      <c r="E776" s="144"/>
      <c r="F776" s="144"/>
      <c r="G776" s="144"/>
      <c r="H776" s="144"/>
      <c r="I776" s="182"/>
      <c r="J776" s="144"/>
      <c r="K776" s="145"/>
      <c r="L776" s="150"/>
      <c r="M776" s="146"/>
      <c r="N776" s="146"/>
      <c r="O776" s="146"/>
      <c r="P776" s="146"/>
      <c r="Q776" s="146"/>
      <c r="R776" s="190"/>
      <c r="S776" s="190"/>
      <c r="T776" s="190"/>
      <c r="U776" s="190"/>
      <c r="V776" s="190"/>
      <c r="W776" s="190"/>
      <c r="X776" s="190"/>
      <c r="Y776" s="190"/>
      <c r="Z776" s="190"/>
    </row>
    <row r="777" ht="15.75" customHeight="1">
      <c r="A777" s="228"/>
      <c r="B777" s="165"/>
      <c r="C777" s="162"/>
      <c r="D777" s="142"/>
      <c r="E777" s="144"/>
      <c r="F777" s="144"/>
      <c r="G777" s="144"/>
      <c r="H777" s="144"/>
      <c r="I777" s="182"/>
      <c r="J777" s="144"/>
      <c r="K777" s="145"/>
      <c r="L777" s="150"/>
      <c r="M777" s="146"/>
      <c r="N777" s="146"/>
      <c r="O777" s="146"/>
      <c r="P777" s="146"/>
      <c r="Q777" s="146"/>
      <c r="R777" s="190"/>
      <c r="S777" s="190"/>
      <c r="T777" s="190"/>
      <c r="U777" s="190"/>
      <c r="V777" s="190"/>
      <c r="W777" s="190"/>
      <c r="X777" s="190"/>
      <c r="Y777" s="190"/>
      <c r="Z777" s="190"/>
    </row>
    <row r="778" ht="15.75" customHeight="1">
      <c r="A778" s="228"/>
      <c r="B778" s="165"/>
      <c r="C778" s="162"/>
      <c r="D778" s="142"/>
      <c r="E778" s="144"/>
      <c r="F778" s="144"/>
      <c r="G778" s="144"/>
      <c r="H778" s="144"/>
      <c r="I778" s="182"/>
      <c r="J778" s="144"/>
      <c r="K778" s="145"/>
      <c r="L778" s="150"/>
      <c r="M778" s="146"/>
      <c r="N778" s="146"/>
      <c r="O778" s="146"/>
      <c r="P778" s="146"/>
      <c r="Q778" s="146"/>
      <c r="R778" s="190"/>
      <c r="S778" s="190"/>
      <c r="T778" s="190"/>
      <c r="U778" s="190"/>
      <c r="V778" s="190"/>
      <c r="W778" s="190"/>
      <c r="X778" s="190"/>
      <c r="Y778" s="190"/>
      <c r="Z778" s="190"/>
    </row>
    <row r="779" ht="15.75" customHeight="1">
      <c r="A779" s="228"/>
      <c r="B779" s="165"/>
      <c r="C779" s="162"/>
      <c r="D779" s="142"/>
      <c r="E779" s="144"/>
      <c r="F779" s="144"/>
      <c r="G779" s="144"/>
      <c r="H779" s="144"/>
      <c r="I779" s="182"/>
      <c r="J779" s="144"/>
      <c r="K779" s="145"/>
      <c r="L779" s="150"/>
      <c r="M779" s="146"/>
      <c r="N779" s="146"/>
      <c r="O779" s="146"/>
      <c r="P779" s="146"/>
      <c r="Q779" s="146"/>
      <c r="R779" s="190"/>
      <c r="S779" s="190"/>
      <c r="T779" s="190"/>
      <c r="U779" s="190"/>
      <c r="V779" s="190"/>
      <c r="W779" s="190"/>
      <c r="X779" s="190"/>
      <c r="Y779" s="190"/>
      <c r="Z779" s="190"/>
    </row>
    <row r="780" ht="15.75" customHeight="1">
      <c r="A780" s="228"/>
      <c r="B780" s="165"/>
      <c r="C780" s="162"/>
      <c r="D780" s="142"/>
      <c r="E780" s="144"/>
      <c r="F780" s="144"/>
      <c r="G780" s="144"/>
      <c r="H780" s="144"/>
      <c r="I780" s="182"/>
      <c r="J780" s="144"/>
      <c r="K780" s="145"/>
      <c r="L780" s="150"/>
      <c r="M780" s="146"/>
      <c r="N780" s="146"/>
      <c r="O780" s="146"/>
      <c r="P780" s="146"/>
      <c r="Q780" s="146"/>
      <c r="R780" s="190"/>
      <c r="S780" s="190"/>
      <c r="T780" s="190"/>
      <c r="U780" s="190"/>
      <c r="V780" s="190"/>
      <c r="W780" s="190"/>
      <c r="X780" s="190"/>
      <c r="Y780" s="190"/>
      <c r="Z780" s="190"/>
    </row>
    <row r="781" ht="15.75" customHeight="1">
      <c r="A781" s="228"/>
      <c r="B781" s="165"/>
      <c r="C781" s="162"/>
      <c r="D781" s="142"/>
      <c r="E781" s="144"/>
      <c r="F781" s="144"/>
      <c r="G781" s="144"/>
      <c r="H781" s="144"/>
      <c r="I781" s="182"/>
      <c r="J781" s="144"/>
      <c r="K781" s="145"/>
      <c r="L781" s="150"/>
      <c r="M781" s="146"/>
      <c r="N781" s="146"/>
      <c r="O781" s="146"/>
      <c r="P781" s="146"/>
      <c r="Q781" s="146"/>
      <c r="R781" s="190"/>
      <c r="S781" s="190"/>
      <c r="T781" s="190"/>
      <c r="U781" s="190"/>
      <c r="V781" s="190"/>
      <c r="W781" s="190"/>
      <c r="X781" s="190"/>
      <c r="Y781" s="190"/>
      <c r="Z781" s="190"/>
    </row>
    <row r="782" ht="15.75" customHeight="1">
      <c r="A782" s="228"/>
      <c r="B782" s="165"/>
      <c r="C782" s="162"/>
      <c r="D782" s="142"/>
      <c r="E782" s="144"/>
      <c r="F782" s="144"/>
      <c r="G782" s="144"/>
      <c r="H782" s="144"/>
      <c r="I782" s="182"/>
      <c r="J782" s="144"/>
      <c r="K782" s="145"/>
      <c r="L782" s="150"/>
      <c r="M782" s="146"/>
      <c r="N782" s="146"/>
      <c r="O782" s="146"/>
      <c r="P782" s="146"/>
      <c r="Q782" s="146"/>
      <c r="R782" s="190"/>
      <c r="S782" s="190"/>
      <c r="T782" s="190"/>
      <c r="U782" s="190"/>
      <c r="V782" s="190"/>
      <c r="W782" s="190"/>
      <c r="X782" s="190"/>
      <c r="Y782" s="190"/>
      <c r="Z782" s="190"/>
    </row>
    <row r="783" ht="15.75" customHeight="1">
      <c r="A783" s="228"/>
      <c r="B783" s="165"/>
      <c r="C783" s="162"/>
      <c r="D783" s="142"/>
      <c r="E783" s="144"/>
      <c r="F783" s="144"/>
      <c r="G783" s="144"/>
      <c r="H783" s="144"/>
      <c r="I783" s="182"/>
      <c r="J783" s="144"/>
      <c r="K783" s="145"/>
      <c r="L783" s="150"/>
      <c r="M783" s="146"/>
      <c r="N783" s="146"/>
      <c r="O783" s="146"/>
      <c r="P783" s="146"/>
      <c r="Q783" s="146"/>
      <c r="R783" s="190"/>
      <c r="S783" s="190"/>
      <c r="T783" s="190"/>
      <c r="U783" s="190"/>
      <c r="V783" s="190"/>
      <c r="W783" s="190"/>
      <c r="X783" s="190"/>
      <c r="Y783" s="190"/>
      <c r="Z783" s="190"/>
    </row>
    <row r="784" ht="15.75" customHeight="1">
      <c r="A784" s="228"/>
      <c r="B784" s="165"/>
      <c r="C784" s="162"/>
      <c r="D784" s="142"/>
      <c r="E784" s="144"/>
      <c r="F784" s="144"/>
      <c r="G784" s="144"/>
      <c r="H784" s="144"/>
      <c r="I784" s="182"/>
      <c r="J784" s="144"/>
      <c r="K784" s="145"/>
      <c r="L784" s="150"/>
      <c r="M784" s="146"/>
      <c r="N784" s="146"/>
      <c r="O784" s="146"/>
      <c r="P784" s="146"/>
      <c r="Q784" s="146"/>
      <c r="R784" s="190"/>
      <c r="S784" s="190"/>
      <c r="T784" s="190"/>
      <c r="U784" s="190"/>
      <c r="V784" s="190"/>
      <c r="W784" s="190"/>
      <c r="X784" s="190"/>
      <c r="Y784" s="190"/>
      <c r="Z784" s="190"/>
    </row>
    <row r="785" ht="15.75" customHeight="1">
      <c r="A785" s="228"/>
      <c r="B785" s="165"/>
      <c r="C785" s="162"/>
      <c r="D785" s="142"/>
      <c r="E785" s="144"/>
      <c r="F785" s="144"/>
      <c r="G785" s="144"/>
      <c r="H785" s="144"/>
      <c r="I785" s="182"/>
      <c r="J785" s="144"/>
      <c r="K785" s="145"/>
      <c r="L785" s="150"/>
      <c r="M785" s="146"/>
      <c r="N785" s="146"/>
      <c r="O785" s="146"/>
      <c r="P785" s="146"/>
      <c r="Q785" s="146"/>
      <c r="R785" s="190"/>
      <c r="S785" s="190"/>
      <c r="T785" s="190"/>
      <c r="U785" s="190"/>
      <c r="V785" s="190"/>
      <c r="W785" s="190"/>
      <c r="X785" s="190"/>
      <c r="Y785" s="190"/>
      <c r="Z785" s="190"/>
    </row>
    <row r="786" ht="15.75" customHeight="1">
      <c r="A786" s="228"/>
      <c r="B786" s="165"/>
      <c r="C786" s="162"/>
      <c r="D786" s="142"/>
      <c r="E786" s="144"/>
      <c r="F786" s="144"/>
      <c r="G786" s="144"/>
      <c r="H786" s="144"/>
      <c r="I786" s="182"/>
      <c r="J786" s="144"/>
      <c r="K786" s="145"/>
      <c r="L786" s="150"/>
      <c r="M786" s="146"/>
      <c r="N786" s="146"/>
      <c r="O786" s="146"/>
      <c r="P786" s="146"/>
      <c r="Q786" s="146"/>
      <c r="R786" s="190"/>
      <c r="S786" s="190"/>
      <c r="T786" s="190"/>
      <c r="U786" s="190"/>
      <c r="V786" s="190"/>
      <c r="W786" s="190"/>
      <c r="X786" s="190"/>
      <c r="Y786" s="190"/>
      <c r="Z786" s="190"/>
    </row>
    <row r="787" ht="15.75" customHeight="1">
      <c r="A787" s="228"/>
      <c r="B787" s="165"/>
      <c r="C787" s="162"/>
      <c r="D787" s="142"/>
      <c r="E787" s="144"/>
      <c r="F787" s="144"/>
      <c r="G787" s="144"/>
      <c r="H787" s="144"/>
      <c r="I787" s="182"/>
      <c r="J787" s="144"/>
      <c r="K787" s="145"/>
      <c r="L787" s="150"/>
      <c r="M787" s="146"/>
      <c r="N787" s="146"/>
      <c r="O787" s="146"/>
      <c r="P787" s="146"/>
      <c r="Q787" s="146"/>
      <c r="R787" s="190"/>
      <c r="S787" s="190"/>
      <c r="T787" s="190"/>
      <c r="U787" s="190"/>
      <c r="V787" s="190"/>
      <c r="W787" s="190"/>
      <c r="X787" s="190"/>
      <c r="Y787" s="190"/>
      <c r="Z787" s="190"/>
    </row>
    <row r="788" ht="15.75" customHeight="1">
      <c r="A788" s="228"/>
      <c r="B788" s="165"/>
      <c r="C788" s="162"/>
      <c r="D788" s="142"/>
      <c r="E788" s="144"/>
      <c r="F788" s="144"/>
      <c r="G788" s="144"/>
      <c r="H788" s="144"/>
      <c r="I788" s="182"/>
      <c r="J788" s="144"/>
      <c r="K788" s="145"/>
      <c r="L788" s="150"/>
      <c r="M788" s="146"/>
      <c r="N788" s="146"/>
      <c r="O788" s="146"/>
      <c r="P788" s="146"/>
      <c r="Q788" s="146"/>
      <c r="R788" s="190"/>
      <c r="S788" s="190"/>
      <c r="T788" s="190"/>
      <c r="U788" s="190"/>
      <c r="V788" s="190"/>
      <c r="W788" s="190"/>
      <c r="X788" s="190"/>
      <c r="Y788" s="190"/>
      <c r="Z788" s="190"/>
    </row>
    <row r="789" ht="15.75" customHeight="1">
      <c r="A789" s="228"/>
      <c r="B789" s="165"/>
      <c r="C789" s="162"/>
      <c r="D789" s="142"/>
      <c r="E789" s="144"/>
      <c r="F789" s="144"/>
      <c r="G789" s="144"/>
      <c r="H789" s="144"/>
      <c r="I789" s="182"/>
      <c r="J789" s="144"/>
      <c r="K789" s="145"/>
      <c r="L789" s="150"/>
      <c r="M789" s="146"/>
      <c r="N789" s="146"/>
      <c r="O789" s="146"/>
      <c r="P789" s="146"/>
      <c r="Q789" s="146"/>
      <c r="R789" s="190"/>
      <c r="S789" s="190"/>
      <c r="T789" s="190"/>
      <c r="U789" s="190"/>
      <c r="V789" s="190"/>
      <c r="W789" s="190"/>
      <c r="X789" s="190"/>
      <c r="Y789" s="190"/>
      <c r="Z789" s="190"/>
    </row>
    <row r="790" ht="15.75" customHeight="1">
      <c r="A790" s="228"/>
      <c r="B790" s="165"/>
      <c r="C790" s="162"/>
      <c r="D790" s="142"/>
      <c r="E790" s="144"/>
      <c r="F790" s="144"/>
      <c r="G790" s="144"/>
      <c r="H790" s="144"/>
      <c r="I790" s="182"/>
      <c r="J790" s="144"/>
      <c r="K790" s="145"/>
      <c r="L790" s="150"/>
      <c r="M790" s="146"/>
      <c r="N790" s="146"/>
      <c r="O790" s="146"/>
      <c r="P790" s="146"/>
      <c r="Q790" s="146"/>
      <c r="R790" s="190"/>
      <c r="S790" s="190"/>
      <c r="T790" s="190"/>
      <c r="U790" s="190"/>
      <c r="V790" s="190"/>
      <c r="W790" s="190"/>
      <c r="X790" s="190"/>
      <c r="Y790" s="190"/>
      <c r="Z790" s="190"/>
    </row>
    <row r="791" ht="15.75" customHeight="1">
      <c r="A791" s="228"/>
      <c r="B791" s="165"/>
      <c r="C791" s="162"/>
      <c r="D791" s="142"/>
      <c r="E791" s="144"/>
      <c r="F791" s="144"/>
      <c r="G791" s="144"/>
      <c r="H791" s="144"/>
      <c r="I791" s="182"/>
      <c r="J791" s="144"/>
      <c r="K791" s="145"/>
      <c r="L791" s="150"/>
      <c r="M791" s="146"/>
      <c r="N791" s="146"/>
      <c r="O791" s="146"/>
      <c r="P791" s="146"/>
      <c r="Q791" s="146"/>
      <c r="R791" s="190"/>
      <c r="S791" s="190"/>
      <c r="T791" s="190"/>
      <c r="U791" s="190"/>
      <c r="V791" s="190"/>
      <c r="W791" s="190"/>
      <c r="X791" s="190"/>
      <c r="Y791" s="190"/>
      <c r="Z791" s="190"/>
    </row>
    <row r="792" ht="15.75" customHeight="1">
      <c r="A792" s="228"/>
      <c r="B792" s="165"/>
      <c r="C792" s="162"/>
      <c r="D792" s="142"/>
      <c r="E792" s="144"/>
      <c r="F792" s="144"/>
      <c r="G792" s="144"/>
      <c r="H792" s="144"/>
      <c r="I792" s="182"/>
      <c r="J792" s="144"/>
      <c r="K792" s="145"/>
      <c r="L792" s="150"/>
      <c r="M792" s="146"/>
      <c r="N792" s="146"/>
      <c r="O792" s="146"/>
      <c r="P792" s="146"/>
      <c r="Q792" s="146"/>
      <c r="R792" s="190"/>
      <c r="S792" s="190"/>
      <c r="T792" s="190"/>
      <c r="U792" s="190"/>
      <c r="V792" s="190"/>
      <c r="W792" s="190"/>
      <c r="X792" s="190"/>
      <c r="Y792" s="190"/>
      <c r="Z792" s="190"/>
    </row>
    <row r="793" ht="15.75" customHeight="1">
      <c r="A793" s="228"/>
      <c r="B793" s="165"/>
      <c r="C793" s="162"/>
      <c r="D793" s="142"/>
      <c r="E793" s="144"/>
      <c r="F793" s="144"/>
      <c r="G793" s="144"/>
      <c r="H793" s="144"/>
      <c r="I793" s="182"/>
      <c r="J793" s="144"/>
      <c r="K793" s="145"/>
      <c r="L793" s="150"/>
      <c r="M793" s="146"/>
      <c r="N793" s="146"/>
      <c r="O793" s="146"/>
      <c r="P793" s="146"/>
      <c r="Q793" s="146"/>
      <c r="R793" s="190"/>
      <c r="S793" s="190"/>
      <c r="T793" s="190"/>
      <c r="U793" s="190"/>
      <c r="V793" s="190"/>
      <c r="W793" s="190"/>
      <c r="X793" s="190"/>
      <c r="Y793" s="190"/>
      <c r="Z793" s="190"/>
    </row>
    <row r="794" ht="15.75" customHeight="1">
      <c r="A794" s="228"/>
      <c r="B794" s="165"/>
      <c r="C794" s="162"/>
      <c r="D794" s="142"/>
      <c r="E794" s="144"/>
      <c r="F794" s="144"/>
      <c r="G794" s="144"/>
      <c r="H794" s="144"/>
      <c r="I794" s="182"/>
      <c r="J794" s="144"/>
      <c r="K794" s="145"/>
      <c r="L794" s="150"/>
      <c r="M794" s="146"/>
      <c r="N794" s="146"/>
      <c r="O794" s="146"/>
      <c r="P794" s="146"/>
      <c r="Q794" s="146"/>
      <c r="R794" s="190"/>
      <c r="S794" s="190"/>
      <c r="T794" s="190"/>
      <c r="U794" s="190"/>
      <c r="V794" s="190"/>
      <c r="W794" s="190"/>
      <c r="X794" s="190"/>
      <c r="Y794" s="190"/>
      <c r="Z794" s="190"/>
    </row>
    <row r="795" ht="15.75" customHeight="1">
      <c r="A795" s="228"/>
      <c r="B795" s="165"/>
      <c r="C795" s="162"/>
      <c r="D795" s="142"/>
      <c r="E795" s="144"/>
      <c r="F795" s="144"/>
      <c r="G795" s="144"/>
      <c r="H795" s="144"/>
      <c r="I795" s="182"/>
      <c r="J795" s="144"/>
      <c r="K795" s="145"/>
      <c r="L795" s="150"/>
      <c r="M795" s="146"/>
      <c r="N795" s="146"/>
      <c r="O795" s="146"/>
      <c r="P795" s="146"/>
      <c r="Q795" s="146"/>
      <c r="R795" s="190"/>
      <c r="S795" s="190"/>
      <c r="T795" s="190"/>
      <c r="U795" s="190"/>
      <c r="V795" s="190"/>
      <c r="W795" s="190"/>
      <c r="X795" s="190"/>
      <c r="Y795" s="190"/>
      <c r="Z795" s="190"/>
    </row>
    <row r="796" ht="15.75" customHeight="1">
      <c r="A796" s="228"/>
      <c r="B796" s="165"/>
      <c r="C796" s="162"/>
      <c r="D796" s="142"/>
      <c r="E796" s="144"/>
      <c r="F796" s="144"/>
      <c r="G796" s="144"/>
      <c r="H796" s="144"/>
      <c r="I796" s="182"/>
      <c r="J796" s="144"/>
      <c r="K796" s="145"/>
      <c r="L796" s="150"/>
      <c r="M796" s="146"/>
      <c r="N796" s="146"/>
      <c r="O796" s="146"/>
      <c r="P796" s="146"/>
      <c r="Q796" s="146"/>
      <c r="R796" s="190"/>
      <c r="S796" s="190"/>
      <c r="T796" s="190"/>
      <c r="U796" s="190"/>
      <c r="V796" s="190"/>
      <c r="W796" s="190"/>
      <c r="X796" s="190"/>
      <c r="Y796" s="190"/>
      <c r="Z796" s="190"/>
    </row>
    <row r="797" ht="15.75" customHeight="1">
      <c r="A797" s="228"/>
      <c r="B797" s="165"/>
      <c r="C797" s="162"/>
      <c r="D797" s="142"/>
      <c r="E797" s="144"/>
      <c r="F797" s="144"/>
      <c r="G797" s="144"/>
      <c r="H797" s="144"/>
      <c r="I797" s="182"/>
      <c r="J797" s="144"/>
      <c r="K797" s="145"/>
      <c r="L797" s="150"/>
      <c r="M797" s="146"/>
      <c r="N797" s="146"/>
      <c r="O797" s="146"/>
      <c r="P797" s="146"/>
      <c r="Q797" s="146"/>
      <c r="R797" s="190"/>
      <c r="S797" s="190"/>
      <c r="T797" s="190"/>
      <c r="U797" s="190"/>
      <c r="V797" s="190"/>
      <c r="W797" s="190"/>
      <c r="X797" s="190"/>
      <c r="Y797" s="190"/>
      <c r="Z797" s="190"/>
    </row>
    <row r="798" ht="15.75" customHeight="1">
      <c r="A798" s="228"/>
      <c r="B798" s="165"/>
      <c r="C798" s="162"/>
      <c r="D798" s="142"/>
      <c r="E798" s="144"/>
      <c r="F798" s="144"/>
      <c r="G798" s="144"/>
      <c r="H798" s="144"/>
      <c r="I798" s="182"/>
      <c r="J798" s="144"/>
      <c r="K798" s="145"/>
      <c r="L798" s="150"/>
      <c r="M798" s="146"/>
      <c r="N798" s="146"/>
      <c r="O798" s="146"/>
      <c r="P798" s="146"/>
      <c r="Q798" s="146"/>
      <c r="R798" s="190"/>
      <c r="S798" s="190"/>
      <c r="T798" s="190"/>
      <c r="U798" s="190"/>
      <c r="V798" s="190"/>
      <c r="W798" s="190"/>
      <c r="X798" s="190"/>
      <c r="Y798" s="190"/>
      <c r="Z798" s="190"/>
    </row>
    <row r="799" ht="15.75" customHeight="1">
      <c r="A799" s="228"/>
      <c r="B799" s="165"/>
      <c r="C799" s="162"/>
      <c r="D799" s="142"/>
      <c r="E799" s="144"/>
      <c r="F799" s="144"/>
      <c r="G799" s="144"/>
      <c r="H799" s="144"/>
      <c r="I799" s="182"/>
      <c r="J799" s="144"/>
      <c r="K799" s="145"/>
      <c r="L799" s="150"/>
      <c r="M799" s="146"/>
      <c r="N799" s="146"/>
      <c r="O799" s="146"/>
      <c r="P799" s="146"/>
      <c r="Q799" s="146"/>
      <c r="R799" s="190"/>
      <c r="S799" s="190"/>
      <c r="T799" s="190"/>
      <c r="U799" s="190"/>
      <c r="V799" s="190"/>
      <c r="W799" s="190"/>
      <c r="X799" s="190"/>
      <c r="Y799" s="190"/>
      <c r="Z799" s="190"/>
    </row>
    <row r="800" ht="15.75" customHeight="1">
      <c r="A800" s="228"/>
      <c r="B800" s="165"/>
      <c r="C800" s="162"/>
      <c r="D800" s="142"/>
      <c r="E800" s="144"/>
      <c r="F800" s="144"/>
      <c r="G800" s="144"/>
      <c r="H800" s="144"/>
      <c r="I800" s="182"/>
      <c r="J800" s="144"/>
      <c r="K800" s="145"/>
      <c r="L800" s="150"/>
      <c r="M800" s="146"/>
      <c r="N800" s="146"/>
      <c r="O800" s="146"/>
      <c r="P800" s="146"/>
      <c r="Q800" s="146"/>
      <c r="R800" s="190"/>
      <c r="S800" s="190"/>
      <c r="T800" s="190"/>
      <c r="U800" s="190"/>
      <c r="V800" s="190"/>
      <c r="W800" s="190"/>
      <c r="X800" s="190"/>
      <c r="Y800" s="190"/>
      <c r="Z800" s="190"/>
    </row>
    <row r="801" ht="15.75" customHeight="1">
      <c r="A801" s="228"/>
      <c r="B801" s="165"/>
      <c r="C801" s="162"/>
      <c r="D801" s="142"/>
      <c r="E801" s="144"/>
      <c r="F801" s="144"/>
      <c r="G801" s="144"/>
      <c r="H801" s="144"/>
      <c r="I801" s="182"/>
      <c r="J801" s="144"/>
      <c r="K801" s="145"/>
      <c r="L801" s="150"/>
      <c r="M801" s="146"/>
      <c r="N801" s="146"/>
      <c r="O801" s="146"/>
      <c r="P801" s="146"/>
      <c r="Q801" s="146"/>
      <c r="R801" s="190"/>
      <c r="S801" s="190"/>
      <c r="T801" s="190"/>
      <c r="U801" s="190"/>
      <c r="V801" s="190"/>
      <c r="W801" s="190"/>
      <c r="X801" s="190"/>
      <c r="Y801" s="190"/>
      <c r="Z801" s="190"/>
    </row>
    <row r="802" ht="15.75" customHeight="1">
      <c r="A802" s="228"/>
      <c r="B802" s="165"/>
      <c r="C802" s="162"/>
      <c r="D802" s="142"/>
      <c r="E802" s="144"/>
      <c r="F802" s="144"/>
      <c r="G802" s="144"/>
      <c r="H802" s="144"/>
      <c r="I802" s="182"/>
      <c r="J802" s="144"/>
      <c r="K802" s="145"/>
      <c r="L802" s="150"/>
      <c r="M802" s="146"/>
      <c r="N802" s="146"/>
      <c r="O802" s="146"/>
      <c r="P802" s="146"/>
      <c r="Q802" s="146"/>
      <c r="R802" s="190"/>
      <c r="S802" s="190"/>
      <c r="T802" s="190"/>
      <c r="U802" s="190"/>
      <c r="V802" s="190"/>
      <c r="W802" s="190"/>
      <c r="X802" s="190"/>
      <c r="Y802" s="190"/>
      <c r="Z802" s="190"/>
    </row>
    <row r="803" ht="15.75" customHeight="1">
      <c r="A803" s="228"/>
      <c r="B803" s="165"/>
      <c r="C803" s="162"/>
      <c r="D803" s="142"/>
      <c r="E803" s="144"/>
      <c r="F803" s="144"/>
      <c r="G803" s="144"/>
      <c r="H803" s="144"/>
      <c r="I803" s="182"/>
      <c r="J803" s="144"/>
      <c r="K803" s="145"/>
      <c r="L803" s="150"/>
      <c r="M803" s="146"/>
      <c r="N803" s="146"/>
      <c r="O803" s="146"/>
      <c r="P803" s="146"/>
      <c r="Q803" s="146"/>
      <c r="R803" s="190"/>
      <c r="S803" s="190"/>
      <c r="T803" s="190"/>
      <c r="U803" s="190"/>
      <c r="V803" s="190"/>
      <c r="W803" s="190"/>
      <c r="X803" s="190"/>
      <c r="Y803" s="190"/>
      <c r="Z803" s="190"/>
    </row>
    <row r="804" ht="15.75" customHeight="1">
      <c r="A804" s="228"/>
      <c r="B804" s="165"/>
      <c r="C804" s="162"/>
      <c r="D804" s="142"/>
      <c r="E804" s="144"/>
      <c r="F804" s="144"/>
      <c r="G804" s="144"/>
      <c r="H804" s="144"/>
      <c r="I804" s="182"/>
      <c r="J804" s="144"/>
      <c r="K804" s="145"/>
      <c r="L804" s="150"/>
      <c r="M804" s="146"/>
      <c r="N804" s="146"/>
      <c r="O804" s="146"/>
      <c r="P804" s="146"/>
      <c r="Q804" s="146"/>
      <c r="R804" s="190"/>
      <c r="S804" s="190"/>
      <c r="T804" s="190"/>
      <c r="U804" s="190"/>
      <c r="V804" s="190"/>
      <c r="W804" s="190"/>
      <c r="X804" s="190"/>
      <c r="Y804" s="190"/>
      <c r="Z804" s="190"/>
    </row>
    <row r="805" ht="15.75" customHeight="1">
      <c r="A805" s="228"/>
      <c r="B805" s="165"/>
      <c r="C805" s="162"/>
      <c r="D805" s="142"/>
      <c r="E805" s="144"/>
      <c r="F805" s="144"/>
      <c r="G805" s="144"/>
      <c r="H805" s="144"/>
      <c r="I805" s="182"/>
      <c r="J805" s="144"/>
      <c r="K805" s="145"/>
      <c r="L805" s="150"/>
      <c r="M805" s="146"/>
      <c r="N805" s="146"/>
      <c r="O805" s="146"/>
      <c r="P805" s="146"/>
      <c r="Q805" s="146"/>
      <c r="R805" s="190"/>
      <c r="S805" s="190"/>
      <c r="T805" s="190"/>
      <c r="U805" s="190"/>
      <c r="V805" s="190"/>
      <c r="W805" s="190"/>
      <c r="X805" s="190"/>
      <c r="Y805" s="190"/>
      <c r="Z805" s="190"/>
    </row>
    <row r="806" ht="15.75" customHeight="1">
      <c r="A806" s="228"/>
      <c r="B806" s="165"/>
      <c r="C806" s="162"/>
      <c r="D806" s="142"/>
      <c r="E806" s="144"/>
      <c r="F806" s="144"/>
      <c r="G806" s="144"/>
      <c r="H806" s="144"/>
      <c r="I806" s="182"/>
      <c r="J806" s="144"/>
      <c r="K806" s="145"/>
      <c r="L806" s="150"/>
      <c r="M806" s="146"/>
      <c r="N806" s="146"/>
      <c r="O806" s="146"/>
      <c r="P806" s="146"/>
      <c r="Q806" s="146"/>
      <c r="R806" s="190"/>
      <c r="S806" s="190"/>
      <c r="T806" s="190"/>
      <c r="U806" s="190"/>
      <c r="V806" s="190"/>
      <c r="W806" s="190"/>
      <c r="X806" s="190"/>
      <c r="Y806" s="190"/>
      <c r="Z806" s="190"/>
    </row>
    <row r="807" ht="15.75" customHeight="1">
      <c r="A807" s="228"/>
      <c r="B807" s="165"/>
      <c r="C807" s="162"/>
      <c r="D807" s="142"/>
      <c r="E807" s="144"/>
      <c r="F807" s="144"/>
      <c r="G807" s="144"/>
      <c r="H807" s="144"/>
      <c r="I807" s="182"/>
      <c r="J807" s="144"/>
      <c r="K807" s="145"/>
      <c r="L807" s="150"/>
      <c r="M807" s="146"/>
      <c r="N807" s="146"/>
      <c r="O807" s="146"/>
      <c r="P807" s="146"/>
      <c r="Q807" s="146"/>
      <c r="R807" s="190"/>
      <c r="S807" s="190"/>
      <c r="T807" s="190"/>
      <c r="U807" s="190"/>
      <c r="V807" s="190"/>
      <c r="W807" s="190"/>
      <c r="X807" s="190"/>
      <c r="Y807" s="190"/>
      <c r="Z807" s="190"/>
    </row>
    <row r="808" ht="15.75" customHeight="1">
      <c r="A808" s="228"/>
      <c r="B808" s="165"/>
      <c r="C808" s="162"/>
      <c r="D808" s="142"/>
      <c r="E808" s="144"/>
      <c r="F808" s="144"/>
      <c r="G808" s="144"/>
      <c r="H808" s="144"/>
      <c r="I808" s="182"/>
      <c r="J808" s="144"/>
      <c r="K808" s="145"/>
      <c r="L808" s="150"/>
      <c r="M808" s="146"/>
      <c r="N808" s="146"/>
      <c r="O808" s="146"/>
      <c r="P808" s="146"/>
      <c r="Q808" s="146"/>
      <c r="R808" s="190"/>
      <c r="S808" s="190"/>
      <c r="T808" s="190"/>
      <c r="U808" s="190"/>
      <c r="V808" s="190"/>
      <c r="W808" s="190"/>
      <c r="X808" s="190"/>
      <c r="Y808" s="190"/>
      <c r="Z808" s="190"/>
    </row>
    <row r="809" ht="15.75" customHeight="1">
      <c r="A809" s="228"/>
      <c r="B809" s="165"/>
      <c r="C809" s="162"/>
      <c r="D809" s="142"/>
      <c r="E809" s="144"/>
      <c r="F809" s="144"/>
      <c r="G809" s="144"/>
      <c r="H809" s="144"/>
      <c r="I809" s="182"/>
      <c r="J809" s="144"/>
      <c r="K809" s="145"/>
      <c r="L809" s="150"/>
      <c r="M809" s="146"/>
      <c r="N809" s="146"/>
      <c r="O809" s="146"/>
      <c r="P809" s="146"/>
      <c r="Q809" s="146"/>
      <c r="R809" s="190"/>
      <c r="S809" s="190"/>
      <c r="T809" s="190"/>
      <c r="U809" s="190"/>
      <c r="V809" s="190"/>
      <c r="W809" s="190"/>
      <c r="X809" s="190"/>
      <c r="Y809" s="190"/>
      <c r="Z809" s="190"/>
    </row>
    <row r="810" ht="15.75" customHeight="1">
      <c r="A810" s="228"/>
      <c r="B810" s="165"/>
      <c r="C810" s="162"/>
      <c r="D810" s="142"/>
      <c r="E810" s="144"/>
      <c r="F810" s="144"/>
      <c r="G810" s="144"/>
      <c r="H810" s="144"/>
      <c r="I810" s="182"/>
      <c r="J810" s="144"/>
      <c r="K810" s="145"/>
      <c r="L810" s="150"/>
      <c r="M810" s="146"/>
      <c r="N810" s="146"/>
      <c r="O810" s="146"/>
      <c r="P810" s="146"/>
      <c r="Q810" s="146"/>
      <c r="R810" s="190"/>
      <c r="S810" s="190"/>
      <c r="T810" s="190"/>
      <c r="U810" s="190"/>
      <c r="V810" s="190"/>
      <c r="W810" s="190"/>
      <c r="X810" s="190"/>
      <c r="Y810" s="190"/>
      <c r="Z810" s="190"/>
    </row>
    <row r="811" ht="15.75" customHeight="1">
      <c r="A811" s="228"/>
      <c r="B811" s="165"/>
      <c r="C811" s="162"/>
      <c r="D811" s="142"/>
      <c r="E811" s="144"/>
      <c r="F811" s="144"/>
      <c r="G811" s="144"/>
      <c r="H811" s="144"/>
      <c r="I811" s="182"/>
      <c r="J811" s="144"/>
      <c r="K811" s="145"/>
      <c r="L811" s="150"/>
      <c r="M811" s="146"/>
      <c r="N811" s="146"/>
      <c r="O811" s="146"/>
      <c r="P811" s="146"/>
      <c r="Q811" s="146"/>
      <c r="R811" s="190"/>
      <c r="S811" s="190"/>
      <c r="T811" s="190"/>
      <c r="U811" s="190"/>
      <c r="V811" s="190"/>
      <c r="W811" s="190"/>
      <c r="X811" s="190"/>
      <c r="Y811" s="190"/>
      <c r="Z811" s="190"/>
    </row>
    <row r="812" ht="15.75" customHeight="1">
      <c r="A812" s="228"/>
      <c r="B812" s="165"/>
      <c r="C812" s="162"/>
      <c r="D812" s="142"/>
      <c r="E812" s="144"/>
      <c r="F812" s="144"/>
      <c r="G812" s="144"/>
      <c r="H812" s="144"/>
      <c r="I812" s="182"/>
      <c r="J812" s="144"/>
      <c r="K812" s="145"/>
      <c r="L812" s="150"/>
      <c r="M812" s="146"/>
      <c r="N812" s="146"/>
      <c r="O812" s="146"/>
      <c r="P812" s="146"/>
      <c r="Q812" s="146"/>
      <c r="R812" s="190"/>
      <c r="S812" s="190"/>
      <c r="T812" s="190"/>
      <c r="U812" s="190"/>
      <c r="V812" s="190"/>
      <c r="W812" s="190"/>
      <c r="X812" s="190"/>
      <c r="Y812" s="190"/>
      <c r="Z812" s="190"/>
    </row>
    <row r="813" ht="15.75" customHeight="1">
      <c r="A813" s="228"/>
      <c r="B813" s="165"/>
      <c r="C813" s="162"/>
      <c r="D813" s="142"/>
      <c r="E813" s="144"/>
      <c r="F813" s="144"/>
      <c r="G813" s="144"/>
      <c r="H813" s="144"/>
      <c r="I813" s="182"/>
      <c r="J813" s="144"/>
      <c r="K813" s="145"/>
      <c r="L813" s="150"/>
      <c r="M813" s="146"/>
      <c r="N813" s="146"/>
      <c r="O813" s="146"/>
      <c r="P813" s="146"/>
      <c r="Q813" s="146"/>
      <c r="R813" s="190"/>
      <c r="S813" s="190"/>
      <c r="T813" s="190"/>
      <c r="U813" s="190"/>
      <c r="V813" s="190"/>
      <c r="W813" s="190"/>
      <c r="X813" s="190"/>
      <c r="Y813" s="190"/>
      <c r="Z813" s="190"/>
    </row>
    <row r="814" ht="15.75" customHeight="1">
      <c r="A814" s="228"/>
      <c r="B814" s="165"/>
      <c r="C814" s="162"/>
      <c r="D814" s="142"/>
      <c r="E814" s="144"/>
      <c r="F814" s="144"/>
      <c r="G814" s="144"/>
      <c r="H814" s="144"/>
      <c r="I814" s="182"/>
      <c r="J814" s="144"/>
      <c r="K814" s="145"/>
      <c r="L814" s="150"/>
      <c r="M814" s="146"/>
      <c r="N814" s="146"/>
      <c r="O814" s="146"/>
      <c r="P814" s="146"/>
      <c r="Q814" s="146"/>
      <c r="R814" s="190"/>
      <c r="S814" s="190"/>
      <c r="T814" s="190"/>
      <c r="U814" s="190"/>
      <c r="V814" s="190"/>
      <c r="W814" s="190"/>
      <c r="X814" s="190"/>
      <c r="Y814" s="190"/>
      <c r="Z814" s="190"/>
    </row>
    <row r="815" ht="15.75" customHeight="1">
      <c r="A815" s="228"/>
      <c r="B815" s="165"/>
      <c r="C815" s="162"/>
      <c r="D815" s="142"/>
      <c r="E815" s="144"/>
      <c r="F815" s="144"/>
      <c r="G815" s="144"/>
      <c r="H815" s="144"/>
      <c r="I815" s="182"/>
      <c r="J815" s="144"/>
      <c r="K815" s="145"/>
      <c r="L815" s="150"/>
      <c r="M815" s="146"/>
      <c r="N815" s="146"/>
      <c r="O815" s="146"/>
      <c r="P815" s="146"/>
      <c r="Q815" s="146"/>
      <c r="R815" s="190"/>
      <c r="S815" s="190"/>
      <c r="T815" s="190"/>
      <c r="U815" s="190"/>
      <c r="V815" s="190"/>
      <c r="W815" s="190"/>
      <c r="X815" s="190"/>
      <c r="Y815" s="190"/>
      <c r="Z815" s="190"/>
    </row>
    <row r="816" ht="15.75" customHeight="1">
      <c r="A816" s="228"/>
      <c r="B816" s="165"/>
      <c r="C816" s="162"/>
      <c r="D816" s="142"/>
      <c r="E816" s="144"/>
      <c r="F816" s="144"/>
      <c r="G816" s="144"/>
      <c r="H816" s="144"/>
      <c r="I816" s="182"/>
      <c r="J816" s="144"/>
      <c r="K816" s="145"/>
      <c r="L816" s="150"/>
      <c r="M816" s="146"/>
      <c r="N816" s="146"/>
      <c r="O816" s="146"/>
      <c r="P816" s="146"/>
      <c r="Q816" s="146"/>
      <c r="R816" s="190"/>
      <c r="S816" s="190"/>
      <c r="T816" s="190"/>
      <c r="U816" s="190"/>
      <c r="V816" s="190"/>
      <c r="W816" s="190"/>
      <c r="X816" s="190"/>
      <c r="Y816" s="190"/>
      <c r="Z816" s="190"/>
    </row>
    <row r="817" ht="15.75" customHeight="1">
      <c r="A817" s="228"/>
      <c r="B817" s="165"/>
      <c r="C817" s="162"/>
      <c r="D817" s="142"/>
      <c r="E817" s="144"/>
      <c r="F817" s="144"/>
      <c r="G817" s="144"/>
      <c r="H817" s="144"/>
      <c r="I817" s="182"/>
      <c r="J817" s="144"/>
      <c r="K817" s="145"/>
      <c r="L817" s="150"/>
      <c r="M817" s="146"/>
      <c r="N817" s="146"/>
      <c r="O817" s="146"/>
      <c r="P817" s="146"/>
      <c r="Q817" s="146"/>
      <c r="R817" s="190"/>
      <c r="S817" s="190"/>
      <c r="T817" s="190"/>
      <c r="U817" s="190"/>
      <c r="V817" s="190"/>
      <c r="W817" s="190"/>
      <c r="X817" s="190"/>
      <c r="Y817" s="190"/>
      <c r="Z817" s="190"/>
    </row>
    <row r="818" ht="15.75" customHeight="1">
      <c r="A818" s="228"/>
      <c r="B818" s="165"/>
      <c r="C818" s="162"/>
      <c r="D818" s="142"/>
      <c r="E818" s="144"/>
      <c r="F818" s="144"/>
      <c r="G818" s="144"/>
      <c r="H818" s="144"/>
      <c r="I818" s="182"/>
      <c r="J818" s="144"/>
      <c r="K818" s="145"/>
      <c r="L818" s="150"/>
      <c r="M818" s="146"/>
      <c r="N818" s="146"/>
      <c r="O818" s="146"/>
      <c r="P818" s="146"/>
      <c r="Q818" s="146"/>
      <c r="R818" s="190"/>
      <c r="S818" s="190"/>
      <c r="T818" s="190"/>
      <c r="U818" s="190"/>
      <c r="V818" s="190"/>
      <c r="W818" s="190"/>
      <c r="X818" s="190"/>
      <c r="Y818" s="190"/>
      <c r="Z818" s="190"/>
    </row>
    <row r="819" ht="15.75" customHeight="1">
      <c r="A819" s="228"/>
      <c r="B819" s="165"/>
      <c r="C819" s="162"/>
      <c r="D819" s="142"/>
      <c r="E819" s="144"/>
      <c r="F819" s="144"/>
      <c r="G819" s="144"/>
      <c r="H819" s="144"/>
      <c r="I819" s="182"/>
      <c r="J819" s="144"/>
      <c r="K819" s="145"/>
      <c r="L819" s="150"/>
      <c r="M819" s="146"/>
      <c r="N819" s="146"/>
      <c r="O819" s="146"/>
      <c r="P819" s="146"/>
      <c r="Q819" s="146"/>
      <c r="R819" s="190"/>
      <c r="S819" s="190"/>
      <c r="T819" s="190"/>
      <c r="U819" s="190"/>
      <c r="V819" s="190"/>
      <c r="W819" s="190"/>
      <c r="X819" s="190"/>
      <c r="Y819" s="190"/>
      <c r="Z819" s="190"/>
    </row>
    <row r="820" ht="15.75" customHeight="1">
      <c r="A820" s="228"/>
      <c r="B820" s="165"/>
      <c r="C820" s="162"/>
      <c r="D820" s="142"/>
      <c r="E820" s="144"/>
      <c r="F820" s="144"/>
      <c r="G820" s="144"/>
      <c r="H820" s="144"/>
      <c r="I820" s="182"/>
      <c r="J820" s="144"/>
      <c r="K820" s="145"/>
      <c r="L820" s="150"/>
      <c r="M820" s="146"/>
      <c r="N820" s="146"/>
      <c r="O820" s="146"/>
      <c r="P820" s="146"/>
      <c r="Q820" s="146"/>
      <c r="R820" s="190"/>
      <c r="S820" s="190"/>
      <c r="T820" s="190"/>
      <c r="U820" s="190"/>
      <c r="V820" s="190"/>
      <c r="W820" s="190"/>
      <c r="X820" s="190"/>
      <c r="Y820" s="190"/>
      <c r="Z820" s="190"/>
    </row>
    <row r="821" ht="15.75" customHeight="1">
      <c r="A821" s="228"/>
      <c r="B821" s="165"/>
      <c r="C821" s="162"/>
      <c r="D821" s="142"/>
      <c r="E821" s="144"/>
      <c r="F821" s="144"/>
      <c r="G821" s="144"/>
      <c r="H821" s="144"/>
      <c r="I821" s="182"/>
      <c r="J821" s="144"/>
      <c r="K821" s="145"/>
      <c r="L821" s="150"/>
      <c r="M821" s="146"/>
      <c r="N821" s="146"/>
      <c r="O821" s="146"/>
      <c r="P821" s="146"/>
      <c r="Q821" s="146"/>
      <c r="R821" s="190"/>
      <c r="S821" s="190"/>
      <c r="T821" s="190"/>
      <c r="U821" s="190"/>
      <c r="V821" s="190"/>
      <c r="W821" s="190"/>
      <c r="X821" s="190"/>
      <c r="Y821" s="190"/>
      <c r="Z821" s="190"/>
    </row>
    <row r="822" ht="15.75" customHeight="1">
      <c r="A822" s="228"/>
      <c r="B822" s="165"/>
      <c r="C822" s="162"/>
      <c r="D822" s="142"/>
      <c r="E822" s="144"/>
      <c r="F822" s="144"/>
      <c r="G822" s="144"/>
      <c r="H822" s="144"/>
      <c r="I822" s="182"/>
      <c r="J822" s="144"/>
      <c r="K822" s="145"/>
      <c r="L822" s="150"/>
      <c r="M822" s="146"/>
      <c r="N822" s="146"/>
      <c r="O822" s="146"/>
      <c r="P822" s="146"/>
      <c r="Q822" s="146"/>
      <c r="R822" s="190"/>
      <c r="S822" s="190"/>
      <c r="T822" s="190"/>
      <c r="U822" s="190"/>
      <c r="V822" s="190"/>
      <c r="W822" s="190"/>
      <c r="X822" s="190"/>
      <c r="Y822" s="190"/>
      <c r="Z822" s="190"/>
    </row>
    <row r="823" ht="15.75" customHeight="1">
      <c r="A823" s="228"/>
      <c r="B823" s="165"/>
      <c r="C823" s="162"/>
      <c r="D823" s="142"/>
      <c r="E823" s="144"/>
      <c r="F823" s="144"/>
      <c r="G823" s="144"/>
      <c r="H823" s="144"/>
      <c r="I823" s="182"/>
      <c r="J823" s="144"/>
      <c r="K823" s="145"/>
      <c r="L823" s="150"/>
      <c r="M823" s="146"/>
      <c r="N823" s="146"/>
      <c r="O823" s="146"/>
      <c r="P823" s="146"/>
      <c r="Q823" s="146"/>
      <c r="R823" s="190"/>
      <c r="S823" s="190"/>
      <c r="T823" s="190"/>
      <c r="U823" s="190"/>
      <c r="V823" s="190"/>
      <c r="W823" s="190"/>
      <c r="X823" s="190"/>
      <c r="Y823" s="190"/>
      <c r="Z823" s="190"/>
    </row>
    <row r="824" ht="15.75" customHeight="1">
      <c r="A824" s="228"/>
      <c r="B824" s="165"/>
      <c r="C824" s="162"/>
      <c r="D824" s="142"/>
      <c r="E824" s="144"/>
      <c r="F824" s="144"/>
      <c r="G824" s="144"/>
      <c r="H824" s="144"/>
      <c r="I824" s="182"/>
      <c r="J824" s="144"/>
      <c r="K824" s="145"/>
      <c r="L824" s="150"/>
      <c r="M824" s="146"/>
      <c r="N824" s="146"/>
      <c r="O824" s="146"/>
      <c r="P824" s="146"/>
      <c r="Q824" s="146"/>
      <c r="R824" s="190"/>
      <c r="S824" s="190"/>
      <c r="T824" s="190"/>
      <c r="U824" s="190"/>
      <c r="V824" s="190"/>
      <c r="W824" s="190"/>
      <c r="X824" s="190"/>
      <c r="Y824" s="190"/>
      <c r="Z824" s="190"/>
    </row>
    <row r="825" ht="15.75" customHeight="1">
      <c r="A825" s="228"/>
      <c r="B825" s="165"/>
      <c r="C825" s="162"/>
      <c r="D825" s="142"/>
      <c r="E825" s="144"/>
      <c r="F825" s="144"/>
      <c r="G825" s="144"/>
      <c r="H825" s="144"/>
      <c r="I825" s="182"/>
      <c r="J825" s="144"/>
      <c r="K825" s="145"/>
      <c r="L825" s="150"/>
      <c r="M825" s="146"/>
      <c r="N825" s="146"/>
      <c r="O825" s="146"/>
      <c r="P825" s="146"/>
      <c r="Q825" s="146"/>
      <c r="R825" s="190"/>
      <c r="S825" s="190"/>
      <c r="T825" s="190"/>
      <c r="U825" s="190"/>
      <c r="V825" s="190"/>
      <c r="W825" s="190"/>
      <c r="X825" s="190"/>
      <c r="Y825" s="190"/>
      <c r="Z825" s="190"/>
    </row>
    <row r="826" ht="15.75" customHeight="1">
      <c r="A826" s="228"/>
      <c r="B826" s="165"/>
      <c r="C826" s="162"/>
      <c r="D826" s="142"/>
      <c r="E826" s="144"/>
      <c r="F826" s="144"/>
      <c r="G826" s="144"/>
      <c r="H826" s="144"/>
      <c r="I826" s="182"/>
      <c r="J826" s="144"/>
      <c r="K826" s="145"/>
      <c r="L826" s="150"/>
      <c r="M826" s="146"/>
      <c r="N826" s="146"/>
      <c r="O826" s="146"/>
      <c r="P826" s="146"/>
      <c r="Q826" s="146"/>
      <c r="R826" s="190"/>
      <c r="S826" s="190"/>
      <c r="T826" s="190"/>
      <c r="U826" s="190"/>
      <c r="V826" s="190"/>
      <c r="W826" s="190"/>
      <c r="X826" s="190"/>
      <c r="Y826" s="190"/>
      <c r="Z826" s="190"/>
    </row>
    <row r="827" ht="15.75" customHeight="1">
      <c r="A827" s="228"/>
      <c r="B827" s="165"/>
      <c r="C827" s="162"/>
      <c r="D827" s="142"/>
      <c r="E827" s="144"/>
      <c r="F827" s="144"/>
      <c r="G827" s="144"/>
      <c r="H827" s="144"/>
      <c r="I827" s="182"/>
      <c r="J827" s="144"/>
      <c r="K827" s="145"/>
      <c r="L827" s="150"/>
      <c r="M827" s="146"/>
      <c r="N827" s="146"/>
      <c r="O827" s="146"/>
      <c r="P827" s="146"/>
      <c r="Q827" s="146"/>
      <c r="R827" s="190"/>
      <c r="S827" s="190"/>
      <c r="T827" s="190"/>
      <c r="U827" s="190"/>
      <c r="V827" s="190"/>
      <c r="W827" s="190"/>
      <c r="X827" s="190"/>
      <c r="Y827" s="190"/>
      <c r="Z827" s="190"/>
    </row>
    <row r="828" ht="15.75" customHeight="1">
      <c r="A828" s="228"/>
      <c r="B828" s="165"/>
      <c r="C828" s="162"/>
      <c r="D828" s="142"/>
      <c r="E828" s="144"/>
      <c r="F828" s="144"/>
      <c r="G828" s="144"/>
      <c r="H828" s="144"/>
      <c r="I828" s="182"/>
      <c r="J828" s="144"/>
      <c r="K828" s="145"/>
      <c r="L828" s="150"/>
      <c r="M828" s="146"/>
      <c r="N828" s="146"/>
      <c r="O828" s="146"/>
      <c r="P828" s="146"/>
      <c r="Q828" s="146"/>
      <c r="R828" s="190"/>
      <c r="S828" s="190"/>
      <c r="T828" s="190"/>
      <c r="U828" s="190"/>
      <c r="V828" s="190"/>
      <c r="W828" s="190"/>
      <c r="X828" s="190"/>
      <c r="Y828" s="190"/>
      <c r="Z828" s="190"/>
    </row>
    <row r="829" ht="15.75" customHeight="1">
      <c r="A829" s="228"/>
      <c r="B829" s="165"/>
      <c r="C829" s="162"/>
      <c r="D829" s="142"/>
      <c r="E829" s="144"/>
      <c r="F829" s="144"/>
      <c r="G829" s="144"/>
      <c r="H829" s="144"/>
      <c r="I829" s="182"/>
      <c r="J829" s="144"/>
      <c r="K829" s="145"/>
      <c r="L829" s="150"/>
      <c r="M829" s="146"/>
      <c r="N829" s="146"/>
      <c r="O829" s="146"/>
      <c r="P829" s="146"/>
      <c r="Q829" s="146"/>
      <c r="R829" s="190"/>
      <c r="S829" s="190"/>
      <c r="T829" s="190"/>
      <c r="U829" s="190"/>
      <c r="V829" s="190"/>
      <c r="W829" s="190"/>
      <c r="X829" s="190"/>
      <c r="Y829" s="190"/>
      <c r="Z829" s="190"/>
    </row>
    <row r="830" ht="15.75" customHeight="1">
      <c r="A830" s="228"/>
      <c r="B830" s="165"/>
      <c r="C830" s="162"/>
      <c r="D830" s="142"/>
      <c r="E830" s="144"/>
      <c r="F830" s="144"/>
      <c r="G830" s="144"/>
      <c r="H830" s="144"/>
      <c r="I830" s="182"/>
      <c r="J830" s="144"/>
      <c r="K830" s="145"/>
      <c r="L830" s="150"/>
      <c r="M830" s="146"/>
      <c r="N830" s="146"/>
      <c r="O830" s="146"/>
      <c r="P830" s="146"/>
      <c r="Q830" s="146"/>
      <c r="R830" s="190"/>
      <c r="S830" s="190"/>
      <c r="T830" s="190"/>
      <c r="U830" s="190"/>
      <c r="V830" s="190"/>
      <c r="W830" s="190"/>
      <c r="X830" s="190"/>
      <c r="Y830" s="190"/>
      <c r="Z830" s="190"/>
    </row>
    <row r="831" ht="15.75" customHeight="1">
      <c r="A831" s="228"/>
      <c r="B831" s="165"/>
      <c r="C831" s="162"/>
      <c r="D831" s="142"/>
      <c r="E831" s="144"/>
      <c r="F831" s="144"/>
      <c r="G831" s="144"/>
      <c r="H831" s="144"/>
      <c r="I831" s="182"/>
      <c r="J831" s="144"/>
      <c r="K831" s="145"/>
      <c r="L831" s="150"/>
      <c r="M831" s="146"/>
      <c r="N831" s="146"/>
      <c r="O831" s="146"/>
      <c r="P831" s="146"/>
      <c r="Q831" s="146"/>
      <c r="R831" s="190"/>
      <c r="S831" s="190"/>
      <c r="T831" s="190"/>
      <c r="U831" s="190"/>
      <c r="V831" s="190"/>
      <c r="W831" s="190"/>
      <c r="X831" s="190"/>
      <c r="Y831" s="190"/>
      <c r="Z831" s="190"/>
    </row>
    <row r="832" ht="15.75" customHeight="1">
      <c r="A832" s="228"/>
      <c r="B832" s="165"/>
      <c r="C832" s="162"/>
      <c r="D832" s="142"/>
      <c r="E832" s="144"/>
      <c r="F832" s="144"/>
      <c r="G832" s="144"/>
      <c r="H832" s="144"/>
      <c r="I832" s="182"/>
      <c r="J832" s="144"/>
      <c r="K832" s="145"/>
      <c r="L832" s="150"/>
      <c r="M832" s="146"/>
      <c r="N832" s="146"/>
      <c r="O832" s="146"/>
      <c r="P832" s="146"/>
      <c r="Q832" s="146"/>
      <c r="R832" s="190"/>
      <c r="S832" s="190"/>
      <c r="T832" s="190"/>
      <c r="U832" s="190"/>
      <c r="V832" s="190"/>
      <c r="W832" s="190"/>
      <c r="X832" s="190"/>
      <c r="Y832" s="190"/>
      <c r="Z832" s="190"/>
    </row>
    <row r="833" ht="15.75" customHeight="1">
      <c r="A833" s="228"/>
      <c r="B833" s="165"/>
      <c r="C833" s="162"/>
      <c r="D833" s="142"/>
      <c r="E833" s="144"/>
      <c r="F833" s="144"/>
      <c r="G833" s="144"/>
      <c r="H833" s="144"/>
      <c r="I833" s="182"/>
      <c r="J833" s="144"/>
      <c r="K833" s="145"/>
      <c r="L833" s="150"/>
      <c r="M833" s="146"/>
      <c r="N833" s="146"/>
      <c r="O833" s="146"/>
      <c r="P833" s="146"/>
      <c r="Q833" s="146"/>
      <c r="R833" s="190"/>
      <c r="S833" s="190"/>
      <c r="T833" s="190"/>
      <c r="U833" s="190"/>
      <c r="V833" s="190"/>
      <c r="W833" s="190"/>
      <c r="X833" s="190"/>
      <c r="Y833" s="190"/>
      <c r="Z833" s="190"/>
    </row>
    <row r="834" ht="15.75" customHeight="1">
      <c r="A834" s="228"/>
      <c r="B834" s="165"/>
      <c r="C834" s="162"/>
      <c r="D834" s="142"/>
      <c r="E834" s="144"/>
      <c r="F834" s="144"/>
      <c r="G834" s="144"/>
      <c r="H834" s="144"/>
      <c r="I834" s="182"/>
      <c r="J834" s="144"/>
      <c r="K834" s="145"/>
      <c r="L834" s="150"/>
      <c r="M834" s="146"/>
      <c r="N834" s="146"/>
      <c r="O834" s="146"/>
      <c r="P834" s="146"/>
      <c r="Q834" s="146"/>
      <c r="R834" s="190"/>
      <c r="S834" s="190"/>
      <c r="T834" s="190"/>
      <c r="U834" s="190"/>
      <c r="V834" s="190"/>
      <c r="W834" s="190"/>
      <c r="X834" s="190"/>
      <c r="Y834" s="190"/>
      <c r="Z834" s="190"/>
    </row>
    <row r="835" ht="15.75" customHeight="1">
      <c r="A835" s="228"/>
      <c r="B835" s="165"/>
      <c r="C835" s="162"/>
      <c r="D835" s="142"/>
      <c r="E835" s="144"/>
      <c r="F835" s="144"/>
      <c r="G835" s="144"/>
      <c r="H835" s="144"/>
      <c r="I835" s="182"/>
      <c r="J835" s="144"/>
      <c r="K835" s="145"/>
      <c r="L835" s="150"/>
      <c r="M835" s="146"/>
      <c r="N835" s="146"/>
      <c r="O835" s="146"/>
      <c r="P835" s="146"/>
      <c r="Q835" s="146"/>
      <c r="R835" s="190"/>
      <c r="S835" s="190"/>
      <c r="T835" s="190"/>
      <c r="U835" s="190"/>
      <c r="V835" s="190"/>
      <c r="W835" s="190"/>
      <c r="X835" s="190"/>
      <c r="Y835" s="190"/>
      <c r="Z835" s="190"/>
    </row>
    <row r="836" ht="15.75" customHeight="1">
      <c r="A836" s="228"/>
      <c r="B836" s="165"/>
      <c r="C836" s="162"/>
      <c r="D836" s="142"/>
      <c r="E836" s="144"/>
      <c r="F836" s="144"/>
      <c r="G836" s="144"/>
      <c r="H836" s="144"/>
      <c r="I836" s="182"/>
      <c r="J836" s="144"/>
      <c r="K836" s="145"/>
      <c r="L836" s="150"/>
      <c r="M836" s="146"/>
      <c r="N836" s="146"/>
      <c r="O836" s="146"/>
      <c r="P836" s="146"/>
      <c r="Q836" s="146"/>
      <c r="R836" s="190"/>
      <c r="S836" s="190"/>
      <c r="T836" s="190"/>
      <c r="U836" s="190"/>
      <c r="V836" s="190"/>
      <c r="W836" s="190"/>
      <c r="X836" s="190"/>
      <c r="Y836" s="190"/>
      <c r="Z836" s="190"/>
    </row>
    <row r="837" ht="15.75" customHeight="1">
      <c r="A837" s="228"/>
      <c r="B837" s="165"/>
      <c r="C837" s="162"/>
      <c r="D837" s="142"/>
      <c r="E837" s="144"/>
      <c r="F837" s="144"/>
      <c r="G837" s="144"/>
      <c r="H837" s="144"/>
      <c r="I837" s="182"/>
      <c r="J837" s="144"/>
      <c r="K837" s="145"/>
      <c r="L837" s="150"/>
      <c r="M837" s="146"/>
      <c r="N837" s="146"/>
      <c r="O837" s="146"/>
      <c r="P837" s="146"/>
      <c r="Q837" s="146"/>
      <c r="R837" s="190"/>
      <c r="S837" s="190"/>
      <c r="T837" s="190"/>
      <c r="U837" s="190"/>
      <c r="V837" s="190"/>
      <c r="W837" s="190"/>
      <c r="X837" s="190"/>
      <c r="Y837" s="190"/>
      <c r="Z837" s="190"/>
    </row>
    <row r="838" ht="15.75" customHeight="1">
      <c r="A838" s="228"/>
      <c r="B838" s="165"/>
      <c r="C838" s="162"/>
      <c r="D838" s="142"/>
      <c r="E838" s="144"/>
      <c r="F838" s="144"/>
      <c r="G838" s="144"/>
      <c r="H838" s="144"/>
      <c r="I838" s="182"/>
      <c r="J838" s="144"/>
      <c r="K838" s="145"/>
      <c r="L838" s="150"/>
      <c r="M838" s="146"/>
      <c r="N838" s="146"/>
      <c r="O838" s="146"/>
      <c r="P838" s="146"/>
      <c r="Q838" s="146"/>
      <c r="R838" s="190"/>
      <c r="S838" s="190"/>
      <c r="T838" s="190"/>
      <c r="U838" s="190"/>
      <c r="V838" s="190"/>
      <c r="W838" s="190"/>
      <c r="X838" s="190"/>
      <c r="Y838" s="190"/>
      <c r="Z838" s="190"/>
    </row>
    <row r="839" ht="15.75" customHeight="1">
      <c r="A839" s="228"/>
      <c r="B839" s="165"/>
      <c r="C839" s="162"/>
      <c r="D839" s="142"/>
      <c r="E839" s="144"/>
      <c r="F839" s="144"/>
      <c r="G839" s="144"/>
      <c r="H839" s="144"/>
      <c r="I839" s="182"/>
      <c r="J839" s="144"/>
      <c r="K839" s="145"/>
      <c r="L839" s="150"/>
      <c r="M839" s="146"/>
      <c r="N839" s="146"/>
      <c r="O839" s="146"/>
      <c r="P839" s="146"/>
      <c r="Q839" s="146"/>
      <c r="R839" s="190"/>
      <c r="S839" s="190"/>
      <c r="T839" s="190"/>
      <c r="U839" s="190"/>
      <c r="V839" s="190"/>
      <c r="W839" s="190"/>
      <c r="X839" s="190"/>
      <c r="Y839" s="190"/>
      <c r="Z839" s="190"/>
    </row>
    <row r="840" ht="15.75" customHeight="1">
      <c r="A840" s="228"/>
      <c r="B840" s="165"/>
      <c r="C840" s="162"/>
      <c r="D840" s="142"/>
      <c r="E840" s="144"/>
      <c r="F840" s="144"/>
      <c r="G840" s="144"/>
      <c r="H840" s="144"/>
      <c r="I840" s="182"/>
      <c r="J840" s="144"/>
      <c r="K840" s="145"/>
      <c r="L840" s="150"/>
      <c r="M840" s="146"/>
      <c r="N840" s="146"/>
      <c r="O840" s="146"/>
      <c r="P840" s="146"/>
      <c r="Q840" s="146"/>
      <c r="R840" s="190"/>
      <c r="S840" s="190"/>
      <c r="T840" s="190"/>
      <c r="U840" s="190"/>
      <c r="V840" s="190"/>
      <c r="W840" s="190"/>
      <c r="X840" s="190"/>
      <c r="Y840" s="190"/>
      <c r="Z840" s="190"/>
    </row>
    <row r="841" ht="15.75" customHeight="1">
      <c r="A841" s="228"/>
      <c r="B841" s="165"/>
      <c r="C841" s="162"/>
      <c r="D841" s="142"/>
      <c r="E841" s="144"/>
      <c r="F841" s="144"/>
      <c r="G841" s="144"/>
      <c r="H841" s="144"/>
      <c r="I841" s="182"/>
      <c r="J841" s="144"/>
      <c r="K841" s="145"/>
      <c r="L841" s="150"/>
      <c r="M841" s="146"/>
      <c r="N841" s="146"/>
      <c r="O841" s="146"/>
      <c r="P841" s="146"/>
      <c r="Q841" s="146"/>
      <c r="R841" s="190"/>
      <c r="S841" s="190"/>
      <c r="T841" s="190"/>
      <c r="U841" s="190"/>
      <c r="V841" s="190"/>
      <c r="W841" s="190"/>
      <c r="X841" s="190"/>
      <c r="Y841" s="190"/>
      <c r="Z841" s="190"/>
    </row>
    <row r="842" ht="15.75" customHeight="1">
      <c r="A842" s="228"/>
      <c r="B842" s="165"/>
      <c r="C842" s="162"/>
      <c r="D842" s="142"/>
      <c r="E842" s="144"/>
      <c r="F842" s="144"/>
      <c r="G842" s="144"/>
      <c r="H842" s="144"/>
      <c r="I842" s="182"/>
      <c r="J842" s="144"/>
      <c r="K842" s="145"/>
      <c r="L842" s="150"/>
      <c r="M842" s="146"/>
      <c r="N842" s="146"/>
      <c r="O842" s="146"/>
      <c r="P842" s="146"/>
      <c r="Q842" s="146"/>
      <c r="R842" s="190"/>
      <c r="S842" s="190"/>
      <c r="T842" s="190"/>
      <c r="U842" s="190"/>
      <c r="V842" s="190"/>
      <c r="W842" s="190"/>
      <c r="X842" s="190"/>
      <c r="Y842" s="190"/>
      <c r="Z842" s="190"/>
    </row>
    <row r="843" ht="15.75" customHeight="1">
      <c r="A843" s="228"/>
      <c r="B843" s="165"/>
      <c r="C843" s="162"/>
      <c r="D843" s="142"/>
      <c r="E843" s="144"/>
      <c r="F843" s="144"/>
      <c r="G843" s="144"/>
      <c r="H843" s="144"/>
      <c r="I843" s="182"/>
      <c r="J843" s="144"/>
      <c r="K843" s="145"/>
      <c r="L843" s="150"/>
      <c r="M843" s="146"/>
      <c r="N843" s="146"/>
      <c r="O843" s="146"/>
      <c r="P843" s="146"/>
      <c r="Q843" s="146"/>
      <c r="R843" s="190"/>
      <c r="S843" s="190"/>
      <c r="T843" s="190"/>
      <c r="U843" s="190"/>
      <c r="V843" s="190"/>
      <c r="W843" s="190"/>
      <c r="X843" s="190"/>
      <c r="Y843" s="190"/>
      <c r="Z843" s="190"/>
    </row>
    <row r="844" ht="15.75" customHeight="1">
      <c r="A844" s="228"/>
      <c r="B844" s="165"/>
      <c r="C844" s="162"/>
      <c r="D844" s="142"/>
      <c r="E844" s="144"/>
      <c r="F844" s="144"/>
      <c r="G844" s="144"/>
      <c r="H844" s="144"/>
      <c r="I844" s="182"/>
      <c r="J844" s="144"/>
      <c r="K844" s="145"/>
      <c r="L844" s="150"/>
      <c r="M844" s="146"/>
      <c r="N844" s="146"/>
      <c r="O844" s="146"/>
      <c r="P844" s="146"/>
      <c r="Q844" s="146"/>
      <c r="R844" s="190"/>
      <c r="S844" s="190"/>
      <c r="T844" s="190"/>
      <c r="U844" s="190"/>
      <c r="V844" s="190"/>
      <c r="W844" s="190"/>
      <c r="X844" s="190"/>
      <c r="Y844" s="190"/>
      <c r="Z844" s="190"/>
    </row>
    <row r="845" ht="15.75" customHeight="1">
      <c r="A845" s="228"/>
      <c r="B845" s="165"/>
      <c r="C845" s="162"/>
      <c r="D845" s="142"/>
      <c r="E845" s="144"/>
      <c r="F845" s="144"/>
      <c r="G845" s="144"/>
      <c r="H845" s="144"/>
      <c r="I845" s="182"/>
      <c r="J845" s="144"/>
      <c r="K845" s="145"/>
      <c r="L845" s="150"/>
      <c r="M845" s="146"/>
      <c r="N845" s="146"/>
      <c r="O845" s="146"/>
      <c r="P845" s="146"/>
      <c r="Q845" s="146"/>
      <c r="R845" s="190"/>
      <c r="S845" s="190"/>
      <c r="T845" s="190"/>
      <c r="U845" s="190"/>
      <c r="V845" s="190"/>
      <c r="W845" s="190"/>
      <c r="X845" s="190"/>
      <c r="Y845" s="190"/>
      <c r="Z845" s="190"/>
    </row>
    <row r="846" ht="15.75" customHeight="1">
      <c r="A846" s="228"/>
      <c r="B846" s="165"/>
      <c r="C846" s="162"/>
      <c r="D846" s="142"/>
      <c r="E846" s="144"/>
      <c r="F846" s="144"/>
      <c r="G846" s="144"/>
      <c r="H846" s="144"/>
      <c r="I846" s="182"/>
      <c r="J846" s="144"/>
      <c r="K846" s="145"/>
      <c r="L846" s="150"/>
      <c r="M846" s="146"/>
      <c r="N846" s="146"/>
      <c r="O846" s="146"/>
      <c r="P846" s="146"/>
      <c r="Q846" s="146"/>
      <c r="R846" s="190"/>
      <c r="S846" s="190"/>
      <c r="T846" s="190"/>
      <c r="U846" s="190"/>
      <c r="V846" s="190"/>
      <c r="W846" s="190"/>
      <c r="X846" s="190"/>
      <c r="Y846" s="190"/>
      <c r="Z846" s="190"/>
    </row>
    <row r="847" ht="15.75" customHeight="1">
      <c r="A847" s="228"/>
      <c r="B847" s="165"/>
      <c r="C847" s="162"/>
      <c r="D847" s="142"/>
      <c r="E847" s="144"/>
      <c r="F847" s="144"/>
      <c r="G847" s="144"/>
      <c r="H847" s="144"/>
      <c r="I847" s="182"/>
      <c r="J847" s="144"/>
      <c r="K847" s="145"/>
      <c r="L847" s="150"/>
      <c r="M847" s="146"/>
      <c r="N847" s="146"/>
      <c r="O847" s="146"/>
      <c r="P847" s="146"/>
      <c r="Q847" s="146"/>
      <c r="R847" s="190"/>
      <c r="S847" s="190"/>
      <c r="T847" s="190"/>
      <c r="U847" s="190"/>
      <c r="V847" s="190"/>
      <c r="W847" s="190"/>
      <c r="X847" s="190"/>
      <c r="Y847" s="190"/>
      <c r="Z847" s="190"/>
    </row>
    <row r="848" ht="15.75" customHeight="1">
      <c r="A848" s="228"/>
      <c r="B848" s="165"/>
      <c r="C848" s="162"/>
      <c r="D848" s="142"/>
      <c r="E848" s="144"/>
      <c r="F848" s="144"/>
      <c r="G848" s="144"/>
      <c r="H848" s="144"/>
      <c r="I848" s="182"/>
      <c r="J848" s="144"/>
      <c r="K848" s="145"/>
      <c r="L848" s="150"/>
      <c r="M848" s="146"/>
      <c r="N848" s="146"/>
      <c r="O848" s="146"/>
      <c r="P848" s="146"/>
      <c r="Q848" s="146"/>
      <c r="R848" s="190"/>
      <c r="S848" s="190"/>
      <c r="T848" s="190"/>
      <c r="U848" s="190"/>
      <c r="V848" s="190"/>
      <c r="W848" s="190"/>
      <c r="X848" s="190"/>
      <c r="Y848" s="190"/>
      <c r="Z848" s="190"/>
    </row>
    <row r="849" ht="15.75" customHeight="1">
      <c r="A849" s="228"/>
      <c r="B849" s="165"/>
      <c r="C849" s="162"/>
      <c r="D849" s="142"/>
      <c r="E849" s="144"/>
      <c r="F849" s="144"/>
      <c r="G849" s="144"/>
      <c r="H849" s="144"/>
      <c r="I849" s="182"/>
      <c r="J849" s="144"/>
      <c r="K849" s="145"/>
      <c r="L849" s="150"/>
      <c r="M849" s="146"/>
      <c r="N849" s="146"/>
      <c r="O849" s="146"/>
      <c r="P849" s="146"/>
      <c r="Q849" s="146"/>
      <c r="R849" s="190"/>
      <c r="S849" s="190"/>
      <c r="T849" s="190"/>
      <c r="U849" s="190"/>
      <c r="V849" s="190"/>
      <c r="W849" s="190"/>
      <c r="X849" s="190"/>
      <c r="Y849" s="190"/>
      <c r="Z849" s="190"/>
    </row>
    <row r="850" ht="15.75" customHeight="1">
      <c r="A850" s="228"/>
      <c r="B850" s="165"/>
      <c r="C850" s="162"/>
      <c r="D850" s="142"/>
      <c r="E850" s="144"/>
      <c r="F850" s="144"/>
      <c r="G850" s="144"/>
      <c r="H850" s="144"/>
      <c r="I850" s="182"/>
      <c r="J850" s="144"/>
      <c r="K850" s="145"/>
      <c r="L850" s="150"/>
      <c r="M850" s="146"/>
      <c r="N850" s="146"/>
      <c r="O850" s="146"/>
      <c r="P850" s="146"/>
      <c r="Q850" s="146"/>
      <c r="R850" s="190"/>
      <c r="S850" s="190"/>
      <c r="T850" s="190"/>
      <c r="U850" s="190"/>
      <c r="V850" s="190"/>
      <c r="W850" s="190"/>
      <c r="X850" s="190"/>
      <c r="Y850" s="190"/>
      <c r="Z850" s="190"/>
    </row>
    <row r="851" ht="15.75" customHeight="1">
      <c r="A851" s="228"/>
      <c r="B851" s="165"/>
      <c r="C851" s="162"/>
      <c r="D851" s="142"/>
      <c r="E851" s="144"/>
      <c r="F851" s="144"/>
      <c r="G851" s="144"/>
      <c r="H851" s="144"/>
      <c r="I851" s="182"/>
      <c r="J851" s="144"/>
      <c r="K851" s="145"/>
      <c r="L851" s="150"/>
      <c r="M851" s="146"/>
      <c r="N851" s="146"/>
      <c r="O851" s="146"/>
      <c r="P851" s="146"/>
      <c r="Q851" s="146"/>
      <c r="R851" s="190"/>
      <c r="S851" s="190"/>
      <c r="T851" s="190"/>
      <c r="U851" s="190"/>
      <c r="V851" s="190"/>
      <c r="W851" s="190"/>
      <c r="X851" s="190"/>
      <c r="Y851" s="190"/>
      <c r="Z851" s="190"/>
    </row>
    <row r="852" ht="15.75" customHeight="1">
      <c r="A852" s="228"/>
      <c r="B852" s="165"/>
      <c r="C852" s="162"/>
      <c r="D852" s="142"/>
      <c r="E852" s="144"/>
      <c r="F852" s="144"/>
      <c r="G852" s="144"/>
      <c r="H852" s="144"/>
      <c r="I852" s="182"/>
      <c r="J852" s="144"/>
      <c r="K852" s="145"/>
      <c r="L852" s="150"/>
      <c r="M852" s="146"/>
      <c r="N852" s="146"/>
      <c r="O852" s="146"/>
      <c r="P852" s="146"/>
      <c r="Q852" s="146"/>
      <c r="R852" s="190"/>
      <c r="S852" s="190"/>
      <c r="T852" s="190"/>
      <c r="U852" s="190"/>
      <c r="V852" s="190"/>
      <c r="W852" s="190"/>
      <c r="X852" s="190"/>
      <c r="Y852" s="190"/>
      <c r="Z852" s="190"/>
    </row>
    <row r="853" ht="15.75" customHeight="1">
      <c r="A853" s="228"/>
      <c r="B853" s="165"/>
      <c r="C853" s="162"/>
      <c r="D853" s="142"/>
      <c r="E853" s="144"/>
      <c r="F853" s="144"/>
      <c r="G853" s="144"/>
      <c r="H853" s="144"/>
      <c r="I853" s="182"/>
      <c r="J853" s="144"/>
      <c r="K853" s="145"/>
      <c r="L853" s="150"/>
      <c r="M853" s="146"/>
      <c r="N853" s="146"/>
      <c r="O853" s="146"/>
      <c r="P853" s="146"/>
      <c r="Q853" s="146"/>
      <c r="R853" s="190"/>
      <c r="S853" s="190"/>
      <c r="T853" s="190"/>
      <c r="U853" s="190"/>
      <c r="V853" s="190"/>
      <c r="W853" s="190"/>
      <c r="X853" s="190"/>
      <c r="Y853" s="190"/>
      <c r="Z853" s="190"/>
    </row>
    <row r="854" ht="15.75" customHeight="1">
      <c r="A854" s="228"/>
      <c r="B854" s="165"/>
      <c r="C854" s="162"/>
      <c r="D854" s="142"/>
      <c r="E854" s="144"/>
      <c r="F854" s="144"/>
      <c r="G854" s="144"/>
      <c r="H854" s="144"/>
      <c r="I854" s="182"/>
      <c r="J854" s="144"/>
      <c r="K854" s="145"/>
      <c r="L854" s="150"/>
      <c r="M854" s="146"/>
      <c r="N854" s="146"/>
      <c r="O854" s="146"/>
      <c r="P854" s="146"/>
      <c r="Q854" s="146"/>
      <c r="R854" s="190"/>
      <c r="S854" s="190"/>
      <c r="T854" s="190"/>
      <c r="U854" s="190"/>
      <c r="V854" s="190"/>
      <c r="W854" s="190"/>
      <c r="X854" s="190"/>
      <c r="Y854" s="190"/>
      <c r="Z854" s="190"/>
    </row>
    <row r="855" ht="15.75" customHeight="1">
      <c r="A855" s="228"/>
      <c r="B855" s="165"/>
      <c r="C855" s="162"/>
      <c r="D855" s="142"/>
      <c r="E855" s="144"/>
      <c r="F855" s="144"/>
      <c r="G855" s="144"/>
      <c r="H855" s="144"/>
      <c r="I855" s="182"/>
      <c r="J855" s="144"/>
      <c r="K855" s="145"/>
      <c r="L855" s="150"/>
      <c r="M855" s="146"/>
      <c r="N855" s="146"/>
      <c r="O855" s="146"/>
      <c r="P855" s="146"/>
      <c r="Q855" s="146"/>
      <c r="R855" s="190"/>
      <c r="S855" s="190"/>
      <c r="T855" s="190"/>
      <c r="U855" s="190"/>
      <c r="V855" s="190"/>
      <c r="W855" s="190"/>
      <c r="X855" s="190"/>
      <c r="Y855" s="190"/>
      <c r="Z855" s="190"/>
    </row>
    <row r="856" ht="15.75" customHeight="1">
      <c r="A856" s="228"/>
      <c r="B856" s="165"/>
      <c r="C856" s="162"/>
      <c r="D856" s="142"/>
      <c r="E856" s="144"/>
      <c r="F856" s="144"/>
      <c r="G856" s="144"/>
      <c r="H856" s="144"/>
      <c r="I856" s="182"/>
      <c r="J856" s="144"/>
      <c r="K856" s="145"/>
      <c r="L856" s="150"/>
      <c r="M856" s="146"/>
      <c r="N856" s="146"/>
      <c r="O856" s="146"/>
      <c r="P856" s="146"/>
      <c r="Q856" s="146"/>
      <c r="R856" s="190"/>
      <c r="S856" s="190"/>
      <c r="T856" s="190"/>
      <c r="U856" s="190"/>
      <c r="V856" s="190"/>
      <c r="W856" s="190"/>
      <c r="X856" s="190"/>
      <c r="Y856" s="190"/>
      <c r="Z856" s="190"/>
    </row>
    <row r="857" ht="15.75" customHeight="1">
      <c r="A857" s="228"/>
      <c r="B857" s="165"/>
      <c r="C857" s="162"/>
      <c r="D857" s="142"/>
      <c r="E857" s="144"/>
      <c r="F857" s="144"/>
      <c r="G857" s="144"/>
      <c r="H857" s="144"/>
      <c r="I857" s="182"/>
      <c r="J857" s="144"/>
      <c r="K857" s="145"/>
      <c r="L857" s="150"/>
      <c r="M857" s="146"/>
      <c r="N857" s="146"/>
      <c r="O857" s="146"/>
      <c r="P857" s="146"/>
      <c r="Q857" s="146"/>
      <c r="R857" s="190"/>
      <c r="S857" s="190"/>
      <c r="T857" s="190"/>
      <c r="U857" s="190"/>
      <c r="V857" s="190"/>
      <c r="W857" s="190"/>
      <c r="X857" s="190"/>
      <c r="Y857" s="190"/>
      <c r="Z857" s="190"/>
    </row>
    <row r="858" ht="15.75" customHeight="1">
      <c r="A858" s="228"/>
      <c r="B858" s="165"/>
      <c r="C858" s="162"/>
      <c r="D858" s="142"/>
      <c r="E858" s="144"/>
      <c r="F858" s="144"/>
      <c r="G858" s="144"/>
      <c r="H858" s="144"/>
      <c r="I858" s="182"/>
      <c r="J858" s="144"/>
      <c r="K858" s="145"/>
      <c r="L858" s="150"/>
      <c r="M858" s="146"/>
      <c r="N858" s="146"/>
      <c r="O858" s="146"/>
      <c r="P858" s="146"/>
      <c r="Q858" s="146"/>
      <c r="R858" s="190"/>
      <c r="S858" s="190"/>
      <c r="T858" s="190"/>
      <c r="U858" s="190"/>
      <c r="V858" s="190"/>
      <c r="W858" s="190"/>
      <c r="X858" s="190"/>
      <c r="Y858" s="190"/>
      <c r="Z858" s="190"/>
    </row>
    <row r="859" ht="15.75" customHeight="1">
      <c r="A859" s="228"/>
      <c r="B859" s="165"/>
      <c r="C859" s="162"/>
      <c r="D859" s="142"/>
      <c r="E859" s="144"/>
      <c r="F859" s="144"/>
      <c r="G859" s="144"/>
      <c r="H859" s="144"/>
      <c r="I859" s="182"/>
      <c r="J859" s="144"/>
      <c r="K859" s="145"/>
      <c r="L859" s="150"/>
      <c r="M859" s="146"/>
      <c r="N859" s="146"/>
      <c r="O859" s="146"/>
      <c r="P859" s="146"/>
      <c r="Q859" s="146"/>
      <c r="R859" s="190"/>
      <c r="S859" s="190"/>
      <c r="T859" s="190"/>
      <c r="U859" s="190"/>
      <c r="V859" s="190"/>
      <c r="W859" s="190"/>
      <c r="X859" s="190"/>
      <c r="Y859" s="190"/>
      <c r="Z859" s="190"/>
    </row>
    <row r="860" ht="15.75" customHeight="1">
      <c r="A860" s="228"/>
      <c r="B860" s="165"/>
      <c r="C860" s="162"/>
      <c r="D860" s="142"/>
      <c r="E860" s="144"/>
      <c r="F860" s="144"/>
      <c r="G860" s="144"/>
      <c r="H860" s="144"/>
      <c r="I860" s="182"/>
      <c r="J860" s="144"/>
      <c r="K860" s="145"/>
      <c r="L860" s="150"/>
      <c r="M860" s="146"/>
      <c r="N860" s="146"/>
      <c r="O860" s="146"/>
      <c r="P860" s="146"/>
      <c r="Q860" s="146"/>
      <c r="R860" s="190"/>
      <c r="S860" s="190"/>
      <c r="T860" s="190"/>
      <c r="U860" s="190"/>
      <c r="V860" s="190"/>
      <c r="W860" s="190"/>
      <c r="X860" s="190"/>
      <c r="Y860" s="190"/>
      <c r="Z860" s="190"/>
    </row>
    <row r="861" ht="15.75" customHeight="1">
      <c r="A861" s="228"/>
      <c r="B861" s="165"/>
      <c r="C861" s="162"/>
      <c r="D861" s="142"/>
      <c r="E861" s="144"/>
      <c r="F861" s="144"/>
      <c r="G861" s="144"/>
      <c r="H861" s="144"/>
      <c r="I861" s="182"/>
      <c r="J861" s="144"/>
      <c r="K861" s="145"/>
      <c r="L861" s="150"/>
      <c r="M861" s="146"/>
      <c r="N861" s="146"/>
      <c r="O861" s="146"/>
      <c r="P861" s="146"/>
      <c r="Q861" s="146"/>
      <c r="R861" s="190"/>
      <c r="S861" s="190"/>
      <c r="T861" s="190"/>
      <c r="U861" s="190"/>
      <c r="V861" s="190"/>
      <c r="W861" s="190"/>
      <c r="X861" s="190"/>
      <c r="Y861" s="190"/>
      <c r="Z861" s="190"/>
    </row>
    <row r="862" ht="15.75" customHeight="1">
      <c r="A862" s="228"/>
      <c r="B862" s="165"/>
      <c r="C862" s="162"/>
      <c r="D862" s="142"/>
      <c r="E862" s="144"/>
      <c r="F862" s="144"/>
      <c r="G862" s="144"/>
      <c r="H862" s="144"/>
      <c r="I862" s="182"/>
      <c r="J862" s="144"/>
      <c r="K862" s="145"/>
      <c r="L862" s="150"/>
      <c r="M862" s="146"/>
      <c r="N862" s="146"/>
      <c r="O862" s="146"/>
      <c r="P862" s="146"/>
      <c r="Q862" s="146"/>
      <c r="R862" s="190"/>
      <c r="S862" s="190"/>
      <c r="T862" s="190"/>
      <c r="U862" s="190"/>
      <c r="V862" s="190"/>
      <c r="W862" s="190"/>
      <c r="X862" s="190"/>
      <c r="Y862" s="190"/>
      <c r="Z862" s="190"/>
    </row>
    <row r="863" ht="15.75" customHeight="1">
      <c r="A863" s="228"/>
      <c r="B863" s="165"/>
      <c r="C863" s="162"/>
      <c r="D863" s="142"/>
      <c r="E863" s="144"/>
      <c r="F863" s="144"/>
      <c r="G863" s="144"/>
      <c r="H863" s="144"/>
      <c r="I863" s="182"/>
      <c r="J863" s="144"/>
      <c r="K863" s="145"/>
      <c r="L863" s="150"/>
      <c r="M863" s="146"/>
      <c r="N863" s="146"/>
      <c r="O863" s="146"/>
      <c r="P863" s="146"/>
      <c r="Q863" s="146"/>
      <c r="R863" s="190"/>
      <c r="S863" s="190"/>
      <c r="T863" s="190"/>
      <c r="U863" s="190"/>
      <c r="V863" s="190"/>
      <c r="W863" s="190"/>
      <c r="X863" s="190"/>
      <c r="Y863" s="190"/>
      <c r="Z863" s="190"/>
    </row>
    <row r="864" ht="15.75" customHeight="1">
      <c r="A864" s="228"/>
      <c r="B864" s="165"/>
      <c r="C864" s="162"/>
      <c r="D864" s="142"/>
      <c r="E864" s="144"/>
      <c r="F864" s="144"/>
      <c r="G864" s="144"/>
      <c r="H864" s="144"/>
      <c r="I864" s="182"/>
      <c r="J864" s="144"/>
      <c r="K864" s="145"/>
      <c r="L864" s="150"/>
      <c r="M864" s="146"/>
      <c r="N864" s="146"/>
      <c r="O864" s="146"/>
      <c r="P864" s="146"/>
      <c r="Q864" s="146"/>
      <c r="R864" s="190"/>
      <c r="S864" s="190"/>
      <c r="T864" s="190"/>
      <c r="U864" s="190"/>
      <c r="V864" s="190"/>
      <c r="W864" s="190"/>
      <c r="X864" s="190"/>
      <c r="Y864" s="190"/>
      <c r="Z864" s="190"/>
    </row>
    <row r="865" ht="15.75" customHeight="1">
      <c r="A865" s="228"/>
      <c r="B865" s="165"/>
      <c r="C865" s="162"/>
      <c r="D865" s="142"/>
      <c r="E865" s="144"/>
      <c r="F865" s="144"/>
      <c r="G865" s="144"/>
      <c r="H865" s="144"/>
      <c r="I865" s="182"/>
      <c r="J865" s="144"/>
      <c r="K865" s="145"/>
      <c r="L865" s="150"/>
      <c r="M865" s="146"/>
      <c r="N865" s="146"/>
      <c r="O865" s="146"/>
      <c r="P865" s="146"/>
      <c r="Q865" s="146"/>
      <c r="R865" s="190"/>
      <c r="S865" s="190"/>
      <c r="T865" s="190"/>
      <c r="U865" s="190"/>
      <c r="V865" s="190"/>
      <c r="W865" s="190"/>
      <c r="X865" s="190"/>
      <c r="Y865" s="190"/>
      <c r="Z865" s="190"/>
    </row>
    <row r="866" ht="15.75" customHeight="1">
      <c r="A866" s="228"/>
      <c r="B866" s="165"/>
      <c r="C866" s="162"/>
      <c r="D866" s="142"/>
      <c r="E866" s="144"/>
      <c r="F866" s="144"/>
      <c r="G866" s="144"/>
      <c r="H866" s="144"/>
      <c r="I866" s="182"/>
      <c r="J866" s="144"/>
      <c r="K866" s="145"/>
      <c r="L866" s="150"/>
      <c r="M866" s="146"/>
      <c r="N866" s="146"/>
      <c r="O866" s="146"/>
      <c r="P866" s="146"/>
      <c r="Q866" s="146"/>
      <c r="R866" s="190"/>
      <c r="S866" s="190"/>
      <c r="T866" s="190"/>
      <c r="U866" s="190"/>
      <c r="V866" s="190"/>
      <c r="W866" s="190"/>
      <c r="X866" s="190"/>
      <c r="Y866" s="190"/>
      <c r="Z866" s="190"/>
    </row>
    <row r="867" ht="15.75" customHeight="1">
      <c r="A867" s="228"/>
      <c r="B867" s="165"/>
      <c r="C867" s="162"/>
      <c r="D867" s="142"/>
      <c r="E867" s="144"/>
      <c r="F867" s="144"/>
      <c r="G867" s="144"/>
      <c r="H867" s="144"/>
      <c r="I867" s="182"/>
      <c r="J867" s="144"/>
      <c r="K867" s="145"/>
      <c r="L867" s="150"/>
      <c r="M867" s="146"/>
      <c r="N867" s="146"/>
      <c r="O867" s="146"/>
      <c r="P867" s="146"/>
      <c r="Q867" s="146"/>
      <c r="R867" s="190"/>
      <c r="S867" s="190"/>
      <c r="T867" s="190"/>
      <c r="U867" s="190"/>
      <c r="V867" s="190"/>
      <c r="W867" s="190"/>
      <c r="X867" s="190"/>
      <c r="Y867" s="190"/>
      <c r="Z867" s="190"/>
    </row>
    <row r="868" ht="15.75" customHeight="1">
      <c r="A868" s="228"/>
      <c r="B868" s="165"/>
      <c r="C868" s="162"/>
      <c r="D868" s="142"/>
      <c r="E868" s="144"/>
      <c r="F868" s="144"/>
      <c r="G868" s="144"/>
      <c r="H868" s="144"/>
      <c r="I868" s="182"/>
      <c r="J868" s="144"/>
      <c r="K868" s="145"/>
      <c r="L868" s="150"/>
      <c r="M868" s="146"/>
      <c r="N868" s="146"/>
      <c r="O868" s="146"/>
      <c r="P868" s="146"/>
      <c r="Q868" s="146"/>
      <c r="R868" s="190"/>
      <c r="S868" s="190"/>
      <c r="T868" s="190"/>
      <c r="U868" s="190"/>
      <c r="V868" s="190"/>
      <c r="W868" s="190"/>
      <c r="X868" s="190"/>
      <c r="Y868" s="190"/>
      <c r="Z868" s="190"/>
    </row>
    <row r="869" ht="15.75" customHeight="1">
      <c r="A869" s="228"/>
      <c r="B869" s="165"/>
      <c r="C869" s="162"/>
      <c r="D869" s="142"/>
      <c r="E869" s="144"/>
      <c r="F869" s="144"/>
      <c r="G869" s="144"/>
      <c r="H869" s="144"/>
      <c r="I869" s="182"/>
      <c r="J869" s="144"/>
      <c r="K869" s="145"/>
      <c r="L869" s="150"/>
      <c r="M869" s="146"/>
      <c r="N869" s="146"/>
      <c r="O869" s="146"/>
      <c r="P869" s="146"/>
      <c r="Q869" s="146"/>
      <c r="R869" s="190"/>
      <c r="S869" s="190"/>
      <c r="T869" s="190"/>
      <c r="U869" s="190"/>
      <c r="V869" s="190"/>
      <c r="W869" s="190"/>
      <c r="X869" s="190"/>
      <c r="Y869" s="190"/>
      <c r="Z869" s="190"/>
    </row>
    <row r="870" ht="15.75" customHeight="1">
      <c r="A870" s="228"/>
      <c r="B870" s="165"/>
      <c r="C870" s="162"/>
      <c r="D870" s="142"/>
      <c r="E870" s="144"/>
      <c r="F870" s="144"/>
      <c r="G870" s="144"/>
      <c r="H870" s="144"/>
      <c r="I870" s="182"/>
      <c r="J870" s="144"/>
      <c r="K870" s="145"/>
      <c r="L870" s="150"/>
      <c r="M870" s="146"/>
      <c r="N870" s="146"/>
      <c r="O870" s="146"/>
      <c r="P870" s="146"/>
      <c r="Q870" s="146"/>
      <c r="R870" s="190"/>
      <c r="S870" s="190"/>
      <c r="T870" s="190"/>
      <c r="U870" s="190"/>
      <c r="V870" s="190"/>
      <c r="W870" s="190"/>
      <c r="X870" s="190"/>
      <c r="Y870" s="190"/>
      <c r="Z870" s="190"/>
    </row>
    <row r="871" ht="15.75" customHeight="1">
      <c r="A871" s="228"/>
      <c r="B871" s="165"/>
      <c r="C871" s="162"/>
      <c r="D871" s="142"/>
      <c r="E871" s="144"/>
      <c r="F871" s="144"/>
      <c r="G871" s="144"/>
      <c r="H871" s="144"/>
      <c r="I871" s="182"/>
      <c r="J871" s="144"/>
      <c r="K871" s="145"/>
      <c r="L871" s="150"/>
      <c r="M871" s="146"/>
      <c r="N871" s="146"/>
      <c r="O871" s="146"/>
      <c r="P871" s="146"/>
      <c r="Q871" s="146"/>
      <c r="R871" s="190"/>
      <c r="S871" s="190"/>
      <c r="T871" s="190"/>
      <c r="U871" s="190"/>
      <c r="V871" s="190"/>
      <c r="W871" s="190"/>
      <c r="X871" s="190"/>
      <c r="Y871" s="190"/>
      <c r="Z871" s="190"/>
    </row>
    <row r="872" ht="15.75" customHeight="1">
      <c r="A872" s="228"/>
      <c r="B872" s="165"/>
      <c r="C872" s="162"/>
      <c r="D872" s="142"/>
      <c r="E872" s="144"/>
      <c r="F872" s="144"/>
      <c r="G872" s="144"/>
      <c r="H872" s="144"/>
      <c r="I872" s="182"/>
      <c r="J872" s="144"/>
      <c r="K872" s="145"/>
      <c r="L872" s="150"/>
      <c r="M872" s="146"/>
      <c r="N872" s="146"/>
      <c r="O872" s="146"/>
      <c r="P872" s="146"/>
      <c r="Q872" s="146"/>
      <c r="R872" s="190"/>
      <c r="S872" s="190"/>
      <c r="T872" s="190"/>
      <c r="U872" s="190"/>
      <c r="V872" s="190"/>
      <c r="W872" s="190"/>
      <c r="X872" s="190"/>
      <c r="Y872" s="190"/>
      <c r="Z872" s="190"/>
    </row>
    <row r="873" ht="15.75" customHeight="1">
      <c r="A873" s="228"/>
      <c r="B873" s="165"/>
      <c r="C873" s="162"/>
      <c r="D873" s="142"/>
      <c r="E873" s="144"/>
      <c r="F873" s="144"/>
      <c r="G873" s="144"/>
      <c r="H873" s="144"/>
      <c r="I873" s="182"/>
      <c r="J873" s="144"/>
      <c r="K873" s="145"/>
      <c r="L873" s="150"/>
      <c r="M873" s="146"/>
      <c r="N873" s="146"/>
      <c r="O873" s="146"/>
      <c r="P873" s="146"/>
      <c r="Q873" s="146"/>
      <c r="R873" s="190"/>
      <c r="S873" s="190"/>
      <c r="T873" s="190"/>
      <c r="U873" s="190"/>
      <c r="V873" s="190"/>
      <c r="W873" s="190"/>
      <c r="X873" s="190"/>
      <c r="Y873" s="190"/>
      <c r="Z873" s="190"/>
    </row>
    <row r="874" ht="15.75" customHeight="1">
      <c r="A874" s="228"/>
      <c r="B874" s="165"/>
      <c r="C874" s="162"/>
      <c r="D874" s="142"/>
      <c r="E874" s="144"/>
      <c r="F874" s="144"/>
      <c r="G874" s="144"/>
      <c r="H874" s="144"/>
      <c r="I874" s="182"/>
      <c r="J874" s="144"/>
      <c r="K874" s="145"/>
      <c r="L874" s="150"/>
      <c r="M874" s="146"/>
      <c r="N874" s="146"/>
      <c r="O874" s="146"/>
      <c r="P874" s="146"/>
      <c r="Q874" s="146"/>
      <c r="R874" s="190"/>
      <c r="S874" s="190"/>
      <c r="T874" s="190"/>
      <c r="U874" s="190"/>
      <c r="V874" s="190"/>
      <c r="W874" s="190"/>
      <c r="X874" s="190"/>
      <c r="Y874" s="190"/>
      <c r="Z874" s="190"/>
    </row>
    <row r="875" ht="15.75" customHeight="1">
      <c r="A875" s="228"/>
      <c r="B875" s="165"/>
      <c r="C875" s="162"/>
      <c r="D875" s="142"/>
      <c r="E875" s="144"/>
      <c r="F875" s="144"/>
      <c r="G875" s="144"/>
      <c r="H875" s="144"/>
      <c r="I875" s="182"/>
      <c r="J875" s="144"/>
      <c r="K875" s="145"/>
      <c r="L875" s="150"/>
      <c r="M875" s="146"/>
      <c r="N875" s="146"/>
      <c r="O875" s="146"/>
      <c r="P875" s="146"/>
      <c r="Q875" s="146"/>
      <c r="R875" s="190"/>
      <c r="S875" s="190"/>
      <c r="T875" s="190"/>
      <c r="U875" s="190"/>
      <c r="V875" s="190"/>
      <c r="W875" s="190"/>
      <c r="X875" s="190"/>
      <c r="Y875" s="190"/>
      <c r="Z875" s="190"/>
    </row>
    <row r="876" ht="15.75" customHeight="1">
      <c r="A876" s="228"/>
      <c r="B876" s="165"/>
      <c r="C876" s="162"/>
      <c r="D876" s="142"/>
      <c r="E876" s="144"/>
      <c r="F876" s="144"/>
      <c r="G876" s="144"/>
      <c r="H876" s="144"/>
      <c r="I876" s="182"/>
      <c r="J876" s="144"/>
      <c r="K876" s="145"/>
      <c r="L876" s="150"/>
      <c r="M876" s="146"/>
      <c r="N876" s="146"/>
      <c r="O876" s="146"/>
      <c r="P876" s="146"/>
      <c r="Q876" s="146"/>
      <c r="R876" s="190"/>
      <c r="S876" s="190"/>
      <c r="T876" s="190"/>
      <c r="U876" s="190"/>
      <c r="V876" s="190"/>
      <c r="W876" s="190"/>
      <c r="X876" s="190"/>
      <c r="Y876" s="190"/>
      <c r="Z876" s="190"/>
    </row>
    <row r="877" ht="15.75" customHeight="1">
      <c r="A877" s="228"/>
      <c r="B877" s="165"/>
      <c r="C877" s="162"/>
      <c r="D877" s="142"/>
      <c r="E877" s="144"/>
      <c r="F877" s="144"/>
      <c r="G877" s="144"/>
      <c r="H877" s="144"/>
      <c r="I877" s="182"/>
      <c r="J877" s="144"/>
      <c r="K877" s="145"/>
      <c r="L877" s="150"/>
      <c r="M877" s="146"/>
      <c r="N877" s="146"/>
      <c r="O877" s="146"/>
      <c r="P877" s="146"/>
      <c r="Q877" s="146"/>
      <c r="R877" s="190"/>
      <c r="S877" s="190"/>
      <c r="T877" s="190"/>
      <c r="U877" s="190"/>
      <c r="V877" s="190"/>
      <c r="W877" s="190"/>
      <c r="X877" s="190"/>
      <c r="Y877" s="190"/>
      <c r="Z877" s="190"/>
    </row>
    <row r="878" ht="15.75" customHeight="1">
      <c r="A878" s="228"/>
      <c r="B878" s="165"/>
      <c r="C878" s="162"/>
      <c r="D878" s="142"/>
      <c r="E878" s="144"/>
      <c r="F878" s="144"/>
      <c r="G878" s="144"/>
      <c r="H878" s="144"/>
      <c r="I878" s="182"/>
      <c r="J878" s="144"/>
      <c r="K878" s="145"/>
      <c r="L878" s="150"/>
      <c r="M878" s="146"/>
      <c r="N878" s="146"/>
      <c r="O878" s="146"/>
      <c r="P878" s="146"/>
      <c r="Q878" s="146"/>
      <c r="R878" s="190"/>
      <c r="S878" s="190"/>
      <c r="T878" s="190"/>
      <c r="U878" s="190"/>
      <c r="V878" s="190"/>
      <c r="W878" s="190"/>
      <c r="X878" s="190"/>
      <c r="Y878" s="190"/>
      <c r="Z878" s="190"/>
    </row>
    <row r="879" ht="15.75" customHeight="1">
      <c r="A879" s="228"/>
      <c r="B879" s="165"/>
      <c r="C879" s="162"/>
      <c r="D879" s="142"/>
      <c r="E879" s="144"/>
      <c r="F879" s="144"/>
      <c r="G879" s="144"/>
      <c r="H879" s="144"/>
      <c r="I879" s="182"/>
      <c r="J879" s="144"/>
      <c r="K879" s="145"/>
      <c r="L879" s="150"/>
      <c r="M879" s="146"/>
      <c r="N879" s="146"/>
      <c r="O879" s="146"/>
      <c r="P879" s="146"/>
      <c r="Q879" s="146"/>
      <c r="R879" s="190"/>
      <c r="S879" s="190"/>
      <c r="T879" s="190"/>
      <c r="U879" s="190"/>
      <c r="V879" s="190"/>
      <c r="W879" s="190"/>
      <c r="X879" s="190"/>
      <c r="Y879" s="190"/>
      <c r="Z879" s="190"/>
    </row>
    <row r="880" ht="15.75" customHeight="1">
      <c r="A880" s="228"/>
      <c r="B880" s="165"/>
      <c r="C880" s="162"/>
      <c r="D880" s="142"/>
      <c r="E880" s="144"/>
      <c r="F880" s="144"/>
      <c r="G880" s="144"/>
      <c r="H880" s="144"/>
      <c r="I880" s="182"/>
      <c r="J880" s="144"/>
      <c r="K880" s="145"/>
      <c r="L880" s="150"/>
      <c r="M880" s="146"/>
      <c r="N880" s="146"/>
      <c r="O880" s="146"/>
      <c r="P880" s="146"/>
      <c r="Q880" s="146"/>
      <c r="R880" s="190"/>
      <c r="S880" s="190"/>
      <c r="T880" s="190"/>
      <c r="U880" s="190"/>
      <c r="V880" s="190"/>
      <c r="W880" s="190"/>
      <c r="X880" s="190"/>
      <c r="Y880" s="190"/>
      <c r="Z880" s="190"/>
    </row>
    <row r="881" ht="15.75" customHeight="1">
      <c r="A881" s="228"/>
      <c r="B881" s="165"/>
      <c r="C881" s="162"/>
      <c r="D881" s="142"/>
      <c r="E881" s="144"/>
      <c r="F881" s="144"/>
      <c r="G881" s="144"/>
      <c r="H881" s="144"/>
      <c r="I881" s="182"/>
      <c r="J881" s="144"/>
      <c r="K881" s="145"/>
      <c r="L881" s="150"/>
      <c r="M881" s="146"/>
      <c r="N881" s="146"/>
      <c r="O881" s="146"/>
      <c r="P881" s="146"/>
      <c r="Q881" s="146"/>
      <c r="R881" s="190"/>
      <c r="S881" s="190"/>
      <c r="T881" s="190"/>
      <c r="U881" s="190"/>
      <c r="V881" s="190"/>
      <c r="W881" s="190"/>
      <c r="X881" s="190"/>
      <c r="Y881" s="190"/>
      <c r="Z881" s="190"/>
    </row>
    <row r="882" ht="15.75" customHeight="1">
      <c r="A882" s="228"/>
      <c r="B882" s="165"/>
      <c r="C882" s="162"/>
      <c r="D882" s="142"/>
      <c r="E882" s="144"/>
      <c r="F882" s="144"/>
      <c r="G882" s="144"/>
      <c r="H882" s="144"/>
      <c r="I882" s="182"/>
      <c r="J882" s="144"/>
      <c r="K882" s="145"/>
      <c r="L882" s="150"/>
      <c r="M882" s="146"/>
      <c r="N882" s="146"/>
      <c r="O882" s="146"/>
      <c r="P882" s="146"/>
      <c r="Q882" s="146"/>
      <c r="R882" s="190"/>
      <c r="S882" s="190"/>
      <c r="T882" s="190"/>
      <c r="U882" s="190"/>
      <c r="V882" s="190"/>
      <c r="W882" s="190"/>
      <c r="X882" s="190"/>
      <c r="Y882" s="190"/>
      <c r="Z882" s="190"/>
    </row>
    <row r="883" ht="15.75" customHeight="1">
      <c r="A883" s="228"/>
      <c r="B883" s="165"/>
      <c r="C883" s="162"/>
      <c r="D883" s="142"/>
      <c r="E883" s="144"/>
      <c r="F883" s="144"/>
      <c r="G883" s="144"/>
      <c r="H883" s="144"/>
      <c r="I883" s="182"/>
      <c r="J883" s="144"/>
      <c r="K883" s="145"/>
      <c r="L883" s="150"/>
      <c r="M883" s="146"/>
      <c r="N883" s="146"/>
      <c r="O883" s="146"/>
      <c r="P883" s="146"/>
      <c r="Q883" s="146"/>
      <c r="R883" s="190"/>
      <c r="S883" s="190"/>
      <c r="T883" s="190"/>
      <c r="U883" s="190"/>
      <c r="V883" s="190"/>
      <c r="W883" s="190"/>
      <c r="X883" s="190"/>
      <c r="Y883" s="190"/>
      <c r="Z883" s="190"/>
    </row>
    <row r="884" ht="15.75" customHeight="1">
      <c r="A884" s="228"/>
      <c r="B884" s="165"/>
      <c r="C884" s="162"/>
      <c r="D884" s="142"/>
      <c r="E884" s="144"/>
      <c r="F884" s="144"/>
      <c r="G884" s="144"/>
      <c r="H884" s="144"/>
      <c r="I884" s="182"/>
      <c r="J884" s="144"/>
      <c r="K884" s="145"/>
      <c r="L884" s="150"/>
      <c r="M884" s="146"/>
      <c r="N884" s="146"/>
      <c r="O884" s="146"/>
      <c r="P884" s="146"/>
      <c r="Q884" s="146"/>
      <c r="R884" s="190"/>
      <c r="S884" s="190"/>
      <c r="T884" s="190"/>
      <c r="U884" s="190"/>
      <c r="V884" s="190"/>
      <c r="W884" s="190"/>
      <c r="X884" s="190"/>
      <c r="Y884" s="190"/>
      <c r="Z884" s="190"/>
    </row>
    <row r="885" ht="15.75" customHeight="1">
      <c r="A885" s="228"/>
      <c r="B885" s="165"/>
      <c r="C885" s="162"/>
      <c r="D885" s="142"/>
      <c r="E885" s="144"/>
      <c r="F885" s="144"/>
      <c r="G885" s="144"/>
      <c r="H885" s="144"/>
      <c r="I885" s="182"/>
      <c r="J885" s="144"/>
      <c r="K885" s="145"/>
      <c r="L885" s="150"/>
      <c r="M885" s="146"/>
      <c r="N885" s="146"/>
      <c r="O885" s="146"/>
      <c r="P885" s="146"/>
      <c r="Q885" s="146"/>
      <c r="R885" s="190"/>
      <c r="S885" s="190"/>
      <c r="T885" s="190"/>
      <c r="U885" s="190"/>
      <c r="V885" s="190"/>
      <c r="W885" s="190"/>
      <c r="X885" s="190"/>
      <c r="Y885" s="190"/>
      <c r="Z885" s="190"/>
    </row>
    <row r="886" ht="15.75" customHeight="1">
      <c r="A886" s="228"/>
      <c r="B886" s="165"/>
      <c r="C886" s="162"/>
      <c r="D886" s="142"/>
      <c r="E886" s="144"/>
      <c r="F886" s="144"/>
      <c r="G886" s="144"/>
      <c r="H886" s="144"/>
      <c r="I886" s="182"/>
      <c r="J886" s="144"/>
      <c r="K886" s="145"/>
      <c r="L886" s="150"/>
      <c r="M886" s="146"/>
      <c r="N886" s="146"/>
      <c r="O886" s="146"/>
      <c r="P886" s="146"/>
      <c r="Q886" s="146"/>
      <c r="R886" s="190"/>
      <c r="S886" s="190"/>
      <c r="T886" s="190"/>
      <c r="U886" s="190"/>
      <c r="V886" s="190"/>
      <c r="W886" s="190"/>
      <c r="X886" s="190"/>
      <c r="Y886" s="190"/>
      <c r="Z886" s="190"/>
    </row>
    <row r="887" ht="15.75" customHeight="1">
      <c r="A887" s="228"/>
      <c r="B887" s="165"/>
      <c r="C887" s="162"/>
      <c r="D887" s="142"/>
      <c r="E887" s="144"/>
      <c r="F887" s="144"/>
      <c r="G887" s="144"/>
      <c r="H887" s="144"/>
      <c r="I887" s="182"/>
      <c r="J887" s="144"/>
      <c r="K887" s="145"/>
      <c r="L887" s="150"/>
      <c r="M887" s="146"/>
      <c r="N887" s="146"/>
      <c r="O887" s="146"/>
      <c r="P887" s="146"/>
      <c r="Q887" s="146"/>
      <c r="R887" s="190"/>
      <c r="S887" s="190"/>
      <c r="T887" s="190"/>
      <c r="U887" s="190"/>
      <c r="V887" s="190"/>
      <c r="W887" s="190"/>
      <c r="X887" s="190"/>
      <c r="Y887" s="190"/>
      <c r="Z887" s="190"/>
    </row>
    <row r="888" ht="15.75" customHeight="1">
      <c r="A888" s="228"/>
      <c r="B888" s="165"/>
      <c r="C888" s="162"/>
      <c r="D888" s="142"/>
      <c r="E888" s="144"/>
      <c r="F888" s="144"/>
      <c r="G888" s="144"/>
      <c r="H888" s="144"/>
      <c r="I888" s="182"/>
      <c r="J888" s="144"/>
      <c r="K888" s="145"/>
      <c r="L888" s="150"/>
      <c r="M888" s="146"/>
      <c r="N888" s="146"/>
      <c r="O888" s="146"/>
      <c r="P888" s="146"/>
      <c r="Q888" s="146"/>
      <c r="R888" s="190"/>
      <c r="S888" s="190"/>
      <c r="T888" s="190"/>
      <c r="U888" s="190"/>
      <c r="V888" s="190"/>
      <c r="W888" s="190"/>
      <c r="X888" s="190"/>
      <c r="Y888" s="190"/>
      <c r="Z888" s="190"/>
    </row>
    <row r="889" ht="15.75" customHeight="1">
      <c r="A889" s="228"/>
      <c r="B889" s="165"/>
      <c r="C889" s="162"/>
      <c r="D889" s="142"/>
      <c r="E889" s="144"/>
      <c r="F889" s="144"/>
      <c r="G889" s="144"/>
      <c r="H889" s="144"/>
      <c r="I889" s="182"/>
      <c r="J889" s="144"/>
      <c r="K889" s="145"/>
      <c r="L889" s="150"/>
      <c r="M889" s="146"/>
      <c r="N889" s="146"/>
      <c r="O889" s="146"/>
      <c r="P889" s="146"/>
      <c r="Q889" s="146"/>
      <c r="R889" s="190"/>
      <c r="S889" s="190"/>
      <c r="T889" s="190"/>
      <c r="U889" s="190"/>
      <c r="V889" s="190"/>
      <c r="W889" s="190"/>
      <c r="X889" s="190"/>
      <c r="Y889" s="190"/>
      <c r="Z889" s="190"/>
    </row>
    <row r="890" ht="15.75" customHeight="1">
      <c r="A890" s="228"/>
      <c r="B890" s="165"/>
      <c r="C890" s="162"/>
      <c r="D890" s="142"/>
      <c r="E890" s="144"/>
      <c r="F890" s="144"/>
      <c r="G890" s="144"/>
      <c r="H890" s="144"/>
      <c r="I890" s="182"/>
      <c r="J890" s="144"/>
      <c r="K890" s="145"/>
      <c r="L890" s="150"/>
      <c r="M890" s="146"/>
      <c r="N890" s="146"/>
      <c r="O890" s="146"/>
      <c r="P890" s="146"/>
      <c r="Q890" s="146"/>
      <c r="R890" s="190"/>
      <c r="S890" s="190"/>
      <c r="T890" s="190"/>
      <c r="U890" s="190"/>
      <c r="V890" s="190"/>
      <c r="W890" s="190"/>
      <c r="X890" s="190"/>
      <c r="Y890" s="190"/>
      <c r="Z890" s="190"/>
    </row>
    <row r="891" ht="15.75" customHeight="1">
      <c r="A891" s="228"/>
      <c r="B891" s="165"/>
      <c r="C891" s="162"/>
      <c r="D891" s="142"/>
      <c r="E891" s="144"/>
      <c r="F891" s="144"/>
      <c r="G891" s="144"/>
      <c r="H891" s="144"/>
      <c r="I891" s="182"/>
      <c r="J891" s="144"/>
      <c r="K891" s="145"/>
      <c r="L891" s="150"/>
      <c r="M891" s="146"/>
      <c r="N891" s="146"/>
      <c r="O891" s="146"/>
      <c r="P891" s="146"/>
      <c r="Q891" s="146"/>
      <c r="R891" s="190"/>
      <c r="S891" s="190"/>
      <c r="T891" s="190"/>
      <c r="U891" s="190"/>
      <c r="V891" s="190"/>
      <c r="W891" s="190"/>
      <c r="X891" s="190"/>
      <c r="Y891" s="190"/>
      <c r="Z891" s="190"/>
    </row>
    <row r="892" ht="15.75" customHeight="1">
      <c r="A892" s="228"/>
      <c r="B892" s="165"/>
      <c r="C892" s="162"/>
      <c r="D892" s="142"/>
      <c r="E892" s="144"/>
      <c r="F892" s="144"/>
      <c r="G892" s="144"/>
      <c r="H892" s="144"/>
      <c r="I892" s="182"/>
      <c r="J892" s="144"/>
      <c r="K892" s="145"/>
      <c r="L892" s="150"/>
      <c r="M892" s="146"/>
      <c r="N892" s="146"/>
      <c r="O892" s="146"/>
      <c r="P892" s="146"/>
      <c r="Q892" s="146"/>
      <c r="R892" s="190"/>
      <c r="S892" s="190"/>
      <c r="T892" s="190"/>
      <c r="U892" s="190"/>
      <c r="V892" s="190"/>
      <c r="W892" s="190"/>
      <c r="X892" s="190"/>
      <c r="Y892" s="190"/>
      <c r="Z892" s="190"/>
    </row>
    <row r="893" ht="15.75" customHeight="1">
      <c r="A893" s="228"/>
      <c r="B893" s="165"/>
      <c r="C893" s="162"/>
      <c r="D893" s="142"/>
      <c r="E893" s="144"/>
      <c r="F893" s="144"/>
      <c r="G893" s="144"/>
      <c r="H893" s="144"/>
      <c r="I893" s="182"/>
      <c r="J893" s="144"/>
      <c r="K893" s="145"/>
      <c r="L893" s="150"/>
      <c r="M893" s="146"/>
      <c r="N893" s="146"/>
      <c r="O893" s="146"/>
      <c r="P893" s="146"/>
      <c r="Q893" s="146"/>
      <c r="R893" s="190"/>
      <c r="S893" s="190"/>
      <c r="T893" s="190"/>
      <c r="U893" s="190"/>
      <c r="V893" s="190"/>
      <c r="W893" s="190"/>
      <c r="X893" s="190"/>
      <c r="Y893" s="190"/>
      <c r="Z893" s="190"/>
    </row>
    <row r="894" ht="15.75" customHeight="1">
      <c r="A894" s="228"/>
      <c r="B894" s="165"/>
      <c r="C894" s="162"/>
      <c r="D894" s="142"/>
      <c r="E894" s="144"/>
      <c r="F894" s="144"/>
      <c r="G894" s="144"/>
      <c r="H894" s="144"/>
      <c r="I894" s="182"/>
      <c r="J894" s="144"/>
      <c r="K894" s="145"/>
      <c r="L894" s="150"/>
      <c r="M894" s="146"/>
      <c r="N894" s="146"/>
      <c r="O894" s="146"/>
      <c r="P894" s="146"/>
      <c r="Q894" s="146"/>
      <c r="R894" s="190"/>
      <c r="S894" s="190"/>
      <c r="T894" s="190"/>
      <c r="U894" s="190"/>
      <c r="V894" s="190"/>
      <c r="W894" s="190"/>
      <c r="X894" s="190"/>
      <c r="Y894" s="190"/>
      <c r="Z894" s="190"/>
    </row>
    <row r="895" ht="15.75" customHeight="1">
      <c r="A895" s="228"/>
      <c r="B895" s="165"/>
      <c r="C895" s="162"/>
      <c r="D895" s="142"/>
      <c r="E895" s="144"/>
      <c r="F895" s="144"/>
      <c r="G895" s="144"/>
      <c r="H895" s="144"/>
      <c r="I895" s="182"/>
      <c r="J895" s="144"/>
      <c r="K895" s="145"/>
      <c r="L895" s="150"/>
      <c r="M895" s="146"/>
      <c r="N895" s="146"/>
      <c r="O895" s="146"/>
      <c r="P895" s="146"/>
      <c r="Q895" s="146"/>
      <c r="R895" s="190"/>
      <c r="S895" s="190"/>
      <c r="T895" s="190"/>
      <c r="U895" s="190"/>
      <c r="V895" s="190"/>
      <c r="W895" s="190"/>
      <c r="X895" s="190"/>
      <c r="Y895" s="190"/>
      <c r="Z895" s="190"/>
    </row>
    <row r="896" ht="15.75" customHeight="1">
      <c r="A896" s="228"/>
      <c r="B896" s="165"/>
      <c r="C896" s="162"/>
      <c r="D896" s="142"/>
      <c r="E896" s="144"/>
      <c r="F896" s="144"/>
      <c r="G896" s="144"/>
      <c r="H896" s="144"/>
      <c r="I896" s="182"/>
      <c r="J896" s="144"/>
      <c r="K896" s="145"/>
      <c r="L896" s="150"/>
      <c r="M896" s="146"/>
      <c r="N896" s="146"/>
      <c r="O896" s="146"/>
      <c r="P896" s="146"/>
      <c r="Q896" s="146"/>
      <c r="R896" s="190"/>
      <c r="S896" s="190"/>
      <c r="T896" s="190"/>
      <c r="U896" s="190"/>
      <c r="V896" s="190"/>
      <c r="W896" s="190"/>
      <c r="X896" s="190"/>
      <c r="Y896" s="190"/>
      <c r="Z896" s="190"/>
    </row>
    <row r="897" ht="15.75" customHeight="1">
      <c r="A897" s="228"/>
      <c r="B897" s="165"/>
      <c r="C897" s="162"/>
      <c r="D897" s="142"/>
      <c r="E897" s="144"/>
      <c r="F897" s="144"/>
      <c r="G897" s="144"/>
      <c r="H897" s="144"/>
      <c r="I897" s="182"/>
      <c r="J897" s="144"/>
      <c r="K897" s="145"/>
      <c r="L897" s="150"/>
      <c r="M897" s="146"/>
      <c r="N897" s="146"/>
      <c r="O897" s="146"/>
      <c r="P897" s="146"/>
      <c r="Q897" s="146"/>
      <c r="R897" s="190"/>
      <c r="S897" s="190"/>
      <c r="T897" s="190"/>
      <c r="U897" s="190"/>
      <c r="V897" s="190"/>
      <c r="W897" s="190"/>
      <c r="X897" s="190"/>
      <c r="Y897" s="190"/>
      <c r="Z897" s="190"/>
    </row>
    <row r="898" ht="15.75" customHeight="1">
      <c r="A898" s="228"/>
      <c r="B898" s="165"/>
      <c r="C898" s="162"/>
      <c r="D898" s="142"/>
      <c r="E898" s="144"/>
      <c r="F898" s="144"/>
      <c r="G898" s="144"/>
      <c r="H898" s="144"/>
      <c r="I898" s="182"/>
      <c r="J898" s="144"/>
      <c r="K898" s="145"/>
      <c r="L898" s="150"/>
      <c r="M898" s="146"/>
      <c r="N898" s="146"/>
      <c r="O898" s="146"/>
      <c r="P898" s="146"/>
      <c r="Q898" s="146"/>
      <c r="R898" s="190"/>
      <c r="S898" s="190"/>
      <c r="T898" s="190"/>
      <c r="U898" s="190"/>
      <c r="V898" s="190"/>
      <c r="W898" s="190"/>
      <c r="X898" s="190"/>
      <c r="Y898" s="190"/>
      <c r="Z898" s="190"/>
    </row>
    <row r="899" ht="15.75" customHeight="1">
      <c r="A899" s="228"/>
      <c r="B899" s="165"/>
      <c r="C899" s="162"/>
      <c r="D899" s="142"/>
      <c r="E899" s="144"/>
      <c r="F899" s="144"/>
      <c r="G899" s="144"/>
      <c r="H899" s="144"/>
      <c r="I899" s="182"/>
      <c r="J899" s="144"/>
      <c r="K899" s="145"/>
      <c r="L899" s="150"/>
      <c r="M899" s="146"/>
      <c r="N899" s="146"/>
      <c r="O899" s="146"/>
      <c r="P899" s="146"/>
      <c r="Q899" s="146"/>
      <c r="R899" s="190"/>
      <c r="S899" s="190"/>
      <c r="T899" s="190"/>
      <c r="U899" s="190"/>
      <c r="V899" s="190"/>
      <c r="W899" s="190"/>
      <c r="X899" s="190"/>
      <c r="Y899" s="190"/>
      <c r="Z899" s="190"/>
    </row>
    <row r="900" ht="15.75" customHeight="1">
      <c r="A900" s="228"/>
      <c r="B900" s="165"/>
      <c r="C900" s="162"/>
      <c r="D900" s="142"/>
      <c r="E900" s="144"/>
      <c r="F900" s="144"/>
      <c r="G900" s="144"/>
      <c r="H900" s="144"/>
      <c r="I900" s="182"/>
      <c r="J900" s="144"/>
      <c r="K900" s="145"/>
      <c r="L900" s="150"/>
      <c r="M900" s="146"/>
      <c r="N900" s="146"/>
      <c r="O900" s="146"/>
      <c r="P900" s="146"/>
      <c r="Q900" s="146"/>
      <c r="R900" s="190"/>
      <c r="S900" s="190"/>
      <c r="T900" s="190"/>
      <c r="U900" s="190"/>
      <c r="V900" s="190"/>
      <c r="W900" s="190"/>
      <c r="X900" s="190"/>
      <c r="Y900" s="190"/>
      <c r="Z900" s="190"/>
    </row>
    <row r="901" ht="15.75" customHeight="1">
      <c r="A901" s="228"/>
      <c r="B901" s="165"/>
      <c r="C901" s="162"/>
      <c r="D901" s="142"/>
      <c r="E901" s="144"/>
      <c r="F901" s="144"/>
      <c r="G901" s="144"/>
      <c r="H901" s="144"/>
      <c r="I901" s="182"/>
      <c r="J901" s="144"/>
      <c r="K901" s="145"/>
      <c r="L901" s="150"/>
      <c r="M901" s="146"/>
      <c r="N901" s="146"/>
      <c r="O901" s="146"/>
      <c r="P901" s="146"/>
      <c r="Q901" s="146"/>
      <c r="R901" s="190"/>
      <c r="S901" s="190"/>
      <c r="T901" s="190"/>
      <c r="U901" s="190"/>
      <c r="V901" s="190"/>
      <c r="W901" s="190"/>
      <c r="X901" s="190"/>
      <c r="Y901" s="190"/>
      <c r="Z901" s="190"/>
    </row>
    <row r="902" ht="15.75" customHeight="1">
      <c r="A902" s="228"/>
      <c r="B902" s="165"/>
      <c r="C902" s="162"/>
      <c r="D902" s="142"/>
      <c r="E902" s="144"/>
      <c r="F902" s="144"/>
      <c r="G902" s="144"/>
      <c r="H902" s="144"/>
      <c r="I902" s="182"/>
      <c r="J902" s="144"/>
      <c r="K902" s="145"/>
      <c r="L902" s="150"/>
      <c r="M902" s="146"/>
      <c r="N902" s="146"/>
      <c r="O902" s="146"/>
      <c r="P902" s="146"/>
      <c r="Q902" s="146"/>
      <c r="R902" s="190"/>
      <c r="S902" s="190"/>
      <c r="T902" s="190"/>
      <c r="U902" s="190"/>
      <c r="V902" s="190"/>
      <c r="W902" s="190"/>
      <c r="X902" s="190"/>
      <c r="Y902" s="190"/>
      <c r="Z902" s="190"/>
    </row>
    <row r="903" ht="15.75" customHeight="1">
      <c r="A903" s="228"/>
      <c r="B903" s="165"/>
      <c r="C903" s="162"/>
      <c r="D903" s="142"/>
      <c r="E903" s="144"/>
      <c r="F903" s="144"/>
      <c r="G903" s="144"/>
      <c r="H903" s="144"/>
      <c r="I903" s="182"/>
      <c r="J903" s="144"/>
      <c r="K903" s="145"/>
      <c r="L903" s="150"/>
      <c r="M903" s="146"/>
      <c r="N903" s="146"/>
      <c r="O903" s="146"/>
      <c r="P903" s="146"/>
      <c r="Q903" s="146"/>
      <c r="R903" s="190"/>
      <c r="S903" s="190"/>
      <c r="T903" s="190"/>
      <c r="U903" s="190"/>
      <c r="V903" s="190"/>
      <c r="W903" s="190"/>
      <c r="X903" s="190"/>
      <c r="Y903" s="190"/>
      <c r="Z903" s="190"/>
    </row>
    <row r="904" ht="15.75" customHeight="1">
      <c r="A904" s="228"/>
      <c r="B904" s="165"/>
      <c r="C904" s="162"/>
      <c r="D904" s="142"/>
      <c r="E904" s="144"/>
      <c r="F904" s="144"/>
      <c r="G904" s="144"/>
      <c r="H904" s="144"/>
      <c r="I904" s="182"/>
      <c r="J904" s="144"/>
      <c r="K904" s="145"/>
      <c r="L904" s="150"/>
      <c r="M904" s="146"/>
      <c r="N904" s="146"/>
      <c r="O904" s="146"/>
      <c r="P904" s="146"/>
      <c r="Q904" s="146"/>
      <c r="R904" s="190"/>
      <c r="S904" s="190"/>
      <c r="T904" s="190"/>
      <c r="U904" s="190"/>
      <c r="V904" s="190"/>
      <c r="W904" s="190"/>
      <c r="X904" s="190"/>
      <c r="Y904" s="190"/>
      <c r="Z904" s="190"/>
    </row>
    <row r="905" ht="15.75" customHeight="1">
      <c r="A905" s="228"/>
      <c r="B905" s="165"/>
      <c r="C905" s="162"/>
      <c r="D905" s="142"/>
      <c r="E905" s="144"/>
      <c r="F905" s="144"/>
      <c r="G905" s="144"/>
      <c r="H905" s="144"/>
      <c r="I905" s="182"/>
      <c r="J905" s="144"/>
      <c r="K905" s="145"/>
      <c r="L905" s="150"/>
      <c r="M905" s="146"/>
      <c r="N905" s="146"/>
      <c r="O905" s="146"/>
      <c r="P905" s="146"/>
      <c r="Q905" s="146"/>
      <c r="R905" s="190"/>
      <c r="S905" s="190"/>
      <c r="T905" s="190"/>
      <c r="U905" s="190"/>
      <c r="V905" s="190"/>
      <c r="W905" s="190"/>
      <c r="X905" s="190"/>
      <c r="Y905" s="190"/>
      <c r="Z905" s="190"/>
    </row>
    <row r="906" ht="15.75" customHeight="1">
      <c r="A906" s="228"/>
      <c r="B906" s="165"/>
      <c r="C906" s="162"/>
      <c r="D906" s="142"/>
      <c r="E906" s="144"/>
      <c r="F906" s="144"/>
      <c r="G906" s="144"/>
      <c r="H906" s="144"/>
      <c r="I906" s="182"/>
      <c r="J906" s="144"/>
      <c r="K906" s="145"/>
      <c r="L906" s="150"/>
      <c r="M906" s="146"/>
      <c r="N906" s="146"/>
      <c r="O906" s="146"/>
      <c r="P906" s="146"/>
      <c r="Q906" s="146"/>
      <c r="R906" s="190"/>
      <c r="S906" s="190"/>
      <c r="T906" s="190"/>
      <c r="U906" s="190"/>
      <c r="V906" s="190"/>
      <c r="W906" s="190"/>
      <c r="X906" s="190"/>
      <c r="Y906" s="190"/>
      <c r="Z906" s="190"/>
    </row>
    <row r="907" ht="15.75" customHeight="1">
      <c r="A907" s="228"/>
      <c r="B907" s="165"/>
      <c r="C907" s="162"/>
      <c r="D907" s="142"/>
      <c r="E907" s="144"/>
      <c r="F907" s="144"/>
      <c r="G907" s="144"/>
      <c r="H907" s="144"/>
      <c r="I907" s="182"/>
      <c r="J907" s="144"/>
      <c r="K907" s="145"/>
      <c r="L907" s="150"/>
      <c r="M907" s="146"/>
      <c r="N907" s="146"/>
      <c r="O907" s="146"/>
      <c r="P907" s="146"/>
      <c r="Q907" s="146"/>
      <c r="R907" s="190"/>
      <c r="S907" s="190"/>
      <c r="T907" s="190"/>
      <c r="U907" s="190"/>
      <c r="V907" s="190"/>
      <c r="W907" s="190"/>
      <c r="X907" s="190"/>
      <c r="Y907" s="190"/>
      <c r="Z907" s="190"/>
    </row>
    <row r="908" ht="15.75" customHeight="1">
      <c r="A908" s="228"/>
      <c r="B908" s="165"/>
      <c r="C908" s="162"/>
      <c r="D908" s="142"/>
      <c r="E908" s="144"/>
      <c r="F908" s="144"/>
      <c r="G908" s="144"/>
      <c r="H908" s="144"/>
      <c r="I908" s="182"/>
      <c r="J908" s="144"/>
      <c r="K908" s="145"/>
      <c r="L908" s="150"/>
      <c r="M908" s="146"/>
      <c r="N908" s="146"/>
      <c r="O908" s="146"/>
      <c r="P908" s="146"/>
      <c r="Q908" s="146"/>
      <c r="R908" s="190"/>
      <c r="S908" s="190"/>
      <c r="T908" s="190"/>
      <c r="U908" s="190"/>
      <c r="V908" s="190"/>
      <c r="W908" s="190"/>
      <c r="X908" s="190"/>
      <c r="Y908" s="190"/>
      <c r="Z908" s="190"/>
    </row>
    <row r="909" ht="15.75" customHeight="1">
      <c r="A909" s="228"/>
      <c r="B909" s="165"/>
      <c r="C909" s="162"/>
      <c r="D909" s="142"/>
      <c r="E909" s="144"/>
      <c r="F909" s="144"/>
      <c r="G909" s="144"/>
      <c r="H909" s="144"/>
      <c r="I909" s="182"/>
      <c r="J909" s="144"/>
      <c r="K909" s="145"/>
      <c r="L909" s="150"/>
      <c r="M909" s="146"/>
      <c r="N909" s="146"/>
      <c r="O909" s="146"/>
      <c r="P909" s="146"/>
      <c r="Q909" s="146"/>
      <c r="R909" s="190"/>
      <c r="S909" s="190"/>
      <c r="T909" s="190"/>
      <c r="U909" s="190"/>
      <c r="V909" s="190"/>
      <c r="W909" s="190"/>
      <c r="X909" s="190"/>
      <c r="Y909" s="190"/>
      <c r="Z909" s="190"/>
    </row>
    <row r="910" ht="15.75" customHeight="1">
      <c r="A910" s="228"/>
      <c r="B910" s="165"/>
      <c r="C910" s="162"/>
      <c r="D910" s="142"/>
      <c r="E910" s="144"/>
      <c r="F910" s="144"/>
      <c r="G910" s="144"/>
      <c r="H910" s="144"/>
      <c r="I910" s="182"/>
      <c r="J910" s="144"/>
      <c r="K910" s="145"/>
      <c r="L910" s="150"/>
      <c r="M910" s="146"/>
      <c r="N910" s="146"/>
      <c r="O910" s="146"/>
      <c r="P910" s="146"/>
      <c r="Q910" s="146"/>
      <c r="R910" s="190"/>
      <c r="S910" s="190"/>
      <c r="T910" s="190"/>
      <c r="U910" s="190"/>
      <c r="V910" s="190"/>
      <c r="W910" s="190"/>
      <c r="X910" s="190"/>
      <c r="Y910" s="190"/>
      <c r="Z910" s="190"/>
    </row>
    <row r="911" ht="15.75" customHeight="1">
      <c r="A911" s="228"/>
      <c r="B911" s="165"/>
      <c r="C911" s="162"/>
      <c r="D911" s="142"/>
      <c r="E911" s="144"/>
      <c r="F911" s="144"/>
      <c r="G911" s="144"/>
      <c r="H911" s="144"/>
      <c r="I911" s="182"/>
      <c r="J911" s="144"/>
      <c r="K911" s="145"/>
      <c r="L911" s="150"/>
      <c r="M911" s="146"/>
      <c r="N911" s="146"/>
      <c r="O911" s="146"/>
      <c r="P911" s="146"/>
      <c r="Q911" s="146"/>
      <c r="R911" s="190"/>
      <c r="S911" s="190"/>
      <c r="T911" s="190"/>
      <c r="U911" s="190"/>
      <c r="V911" s="190"/>
      <c r="W911" s="190"/>
      <c r="X911" s="190"/>
      <c r="Y911" s="190"/>
      <c r="Z911" s="190"/>
    </row>
    <row r="912" ht="15.75" customHeight="1">
      <c r="A912" s="228"/>
      <c r="B912" s="165"/>
      <c r="C912" s="162"/>
      <c r="D912" s="142"/>
      <c r="E912" s="144"/>
      <c r="F912" s="144"/>
      <c r="G912" s="144"/>
      <c r="H912" s="144"/>
      <c r="I912" s="182"/>
      <c r="J912" s="144"/>
      <c r="K912" s="145"/>
      <c r="L912" s="150"/>
      <c r="M912" s="146"/>
      <c r="N912" s="146"/>
      <c r="O912" s="146"/>
      <c r="P912" s="146"/>
      <c r="Q912" s="146"/>
      <c r="R912" s="190"/>
      <c r="S912" s="190"/>
      <c r="T912" s="190"/>
      <c r="U912" s="190"/>
      <c r="V912" s="190"/>
      <c r="W912" s="190"/>
      <c r="X912" s="190"/>
      <c r="Y912" s="190"/>
      <c r="Z912" s="190"/>
    </row>
    <row r="913" ht="15.75" customHeight="1">
      <c r="A913" s="228"/>
      <c r="B913" s="165"/>
      <c r="C913" s="162"/>
      <c r="D913" s="142"/>
      <c r="E913" s="144"/>
      <c r="F913" s="144"/>
      <c r="G913" s="144"/>
      <c r="H913" s="144"/>
      <c r="I913" s="182"/>
      <c r="J913" s="144"/>
      <c r="K913" s="145"/>
      <c r="L913" s="150"/>
      <c r="M913" s="146"/>
      <c r="N913" s="146"/>
      <c r="O913" s="146"/>
      <c r="P913" s="146"/>
      <c r="Q913" s="146"/>
      <c r="R913" s="190"/>
      <c r="S913" s="190"/>
      <c r="T913" s="190"/>
      <c r="U913" s="190"/>
      <c r="V913" s="190"/>
      <c r="W913" s="190"/>
      <c r="X913" s="190"/>
      <c r="Y913" s="190"/>
      <c r="Z913" s="190"/>
    </row>
    <row r="914" ht="15.75" customHeight="1">
      <c r="A914" s="228"/>
      <c r="B914" s="165"/>
      <c r="C914" s="162"/>
      <c r="D914" s="142"/>
      <c r="E914" s="144"/>
      <c r="F914" s="144"/>
      <c r="G914" s="144"/>
      <c r="H914" s="144"/>
      <c r="I914" s="182"/>
      <c r="J914" s="144"/>
      <c r="K914" s="145"/>
      <c r="L914" s="150"/>
      <c r="M914" s="146"/>
      <c r="N914" s="146"/>
      <c r="O914" s="146"/>
      <c r="P914" s="146"/>
      <c r="Q914" s="146"/>
      <c r="R914" s="190"/>
      <c r="S914" s="190"/>
      <c r="T914" s="190"/>
      <c r="U914" s="190"/>
      <c r="V914" s="190"/>
      <c r="W914" s="190"/>
      <c r="X914" s="190"/>
      <c r="Y914" s="190"/>
      <c r="Z914" s="190"/>
    </row>
    <row r="915" ht="15.75" customHeight="1">
      <c r="A915" s="228"/>
      <c r="B915" s="165"/>
      <c r="C915" s="162"/>
      <c r="D915" s="142"/>
      <c r="E915" s="144"/>
      <c r="F915" s="144"/>
      <c r="G915" s="144"/>
      <c r="H915" s="144"/>
      <c r="I915" s="182"/>
      <c r="J915" s="144"/>
      <c r="K915" s="145"/>
      <c r="L915" s="150"/>
      <c r="M915" s="146"/>
      <c r="N915" s="146"/>
      <c r="O915" s="146"/>
      <c r="P915" s="146"/>
      <c r="Q915" s="146"/>
      <c r="R915" s="190"/>
      <c r="S915" s="190"/>
      <c r="T915" s="190"/>
      <c r="U915" s="190"/>
      <c r="V915" s="190"/>
      <c r="W915" s="190"/>
      <c r="X915" s="190"/>
      <c r="Y915" s="190"/>
      <c r="Z915" s="190"/>
    </row>
    <row r="916" ht="15.75" customHeight="1">
      <c r="A916" s="228"/>
      <c r="B916" s="165"/>
      <c r="C916" s="162"/>
      <c r="D916" s="142"/>
      <c r="E916" s="144"/>
      <c r="F916" s="144"/>
      <c r="G916" s="144"/>
      <c r="H916" s="144"/>
      <c r="I916" s="182"/>
      <c r="J916" s="144"/>
      <c r="K916" s="145"/>
      <c r="L916" s="150"/>
      <c r="M916" s="146"/>
      <c r="N916" s="146"/>
      <c r="O916" s="146"/>
      <c r="P916" s="146"/>
      <c r="Q916" s="146"/>
      <c r="R916" s="190"/>
      <c r="S916" s="190"/>
      <c r="T916" s="190"/>
      <c r="U916" s="190"/>
      <c r="V916" s="190"/>
      <c r="W916" s="190"/>
      <c r="X916" s="190"/>
      <c r="Y916" s="190"/>
      <c r="Z916" s="190"/>
    </row>
    <row r="917" ht="15.75" customHeight="1">
      <c r="A917" s="228"/>
      <c r="B917" s="165"/>
      <c r="C917" s="162"/>
      <c r="D917" s="142"/>
      <c r="E917" s="144"/>
      <c r="F917" s="144"/>
      <c r="G917" s="144"/>
      <c r="H917" s="144"/>
      <c r="I917" s="182"/>
      <c r="J917" s="144"/>
      <c r="K917" s="145"/>
      <c r="L917" s="150"/>
      <c r="M917" s="146"/>
      <c r="N917" s="146"/>
      <c r="O917" s="146"/>
      <c r="P917" s="146"/>
      <c r="Q917" s="146"/>
      <c r="R917" s="190"/>
      <c r="S917" s="190"/>
      <c r="T917" s="190"/>
      <c r="U917" s="190"/>
      <c r="V917" s="190"/>
      <c r="W917" s="190"/>
      <c r="X917" s="190"/>
      <c r="Y917" s="190"/>
      <c r="Z917" s="190"/>
    </row>
    <row r="918" ht="15.75" customHeight="1">
      <c r="A918" s="228"/>
      <c r="B918" s="165"/>
      <c r="C918" s="162"/>
      <c r="D918" s="142"/>
      <c r="E918" s="144"/>
      <c r="F918" s="144"/>
      <c r="G918" s="144"/>
      <c r="H918" s="144"/>
      <c r="I918" s="182"/>
      <c r="J918" s="144"/>
      <c r="K918" s="145"/>
      <c r="L918" s="150"/>
      <c r="M918" s="146"/>
      <c r="N918" s="146"/>
      <c r="O918" s="146"/>
      <c r="P918" s="146"/>
      <c r="Q918" s="146"/>
      <c r="R918" s="190"/>
      <c r="S918" s="190"/>
      <c r="T918" s="190"/>
      <c r="U918" s="190"/>
      <c r="V918" s="190"/>
      <c r="W918" s="190"/>
      <c r="X918" s="190"/>
      <c r="Y918" s="190"/>
      <c r="Z918" s="190"/>
    </row>
    <row r="919" ht="15.75" customHeight="1">
      <c r="A919" s="228"/>
      <c r="B919" s="165"/>
      <c r="C919" s="162"/>
      <c r="D919" s="142"/>
      <c r="E919" s="144"/>
      <c r="F919" s="144"/>
      <c r="G919" s="144"/>
      <c r="H919" s="144"/>
      <c r="I919" s="182"/>
      <c r="J919" s="144"/>
      <c r="K919" s="145"/>
      <c r="L919" s="150"/>
      <c r="M919" s="146"/>
      <c r="N919" s="146"/>
      <c r="O919" s="146"/>
      <c r="P919" s="146"/>
      <c r="Q919" s="146"/>
      <c r="R919" s="190"/>
      <c r="S919" s="190"/>
      <c r="T919" s="190"/>
      <c r="U919" s="190"/>
      <c r="V919" s="190"/>
      <c r="W919" s="190"/>
      <c r="X919" s="190"/>
      <c r="Y919" s="190"/>
      <c r="Z919" s="190"/>
    </row>
    <row r="920" ht="15.75" customHeight="1">
      <c r="A920" s="228"/>
      <c r="B920" s="165"/>
      <c r="C920" s="162"/>
      <c r="D920" s="142"/>
      <c r="E920" s="144"/>
      <c r="F920" s="144"/>
      <c r="G920" s="144"/>
      <c r="H920" s="144"/>
      <c r="I920" s="182"/>
      <c r="J920" s="144"/>
      <c r="K920" s="145"/>
      <c r="L920" s="150"/>
      <c r="M920" s="146"/>
      <c r="N920" s="146"/>
      <c r="O920" s="146"/>
      <c r="P920" s="146"/>
      <c r="Q920" s="146"/>
      <c r="R920" s="190"/>
      <c r="S920" s="190"/>
      <c r="T920" s="190"/>
      <c r="U920" s="190"/>
      <c r="V920" s="190"/>
      <c r="W920" s="190"/>
      <c r="X920" s="190"/>
      <c r="Y920" s="190"/>
      <c r="Z920" s="190"/>
    </row>
    <row r="921" ht="15.75" customHeight="1">
      <c r="A921" s="228"/>
      <c r="B921" s="165"/>
      <c r="C921" s="162"/>
      <c r="D921" s="142"/>
      <c r="E921" s="144"/>
      <c r="F921" s="144"/>
      <c r="G921" s="144"/>
      <c r="H921" s="144"/>
      <c r="I921" s="182"/>
      <c r="J921" s="144"/>
      <c r="K921" s="145"/>
      <c r="L921" s="150"/>
      <c r="M921" s="146"/>
      <c r="N921" s="146"/>
      <c r="O921" s="146"/>
      <c r="P921" s="146"/>
      <c r="Q921" s="146"/>
      <c r="R921" s="190"/>
      <c r="S921" s="190"/>
      <c r="T921" s="190"/>
      <c r="U921" s="190"/>
      <c r="V921" s="190"/>
      <c r="W921" s="190"/>
      <c r="X921" s="190"/>
      <c r="Y921" s="190"/>
      <c r="Z921" s="190"/>
    </row>
    <row r="922" ht="15.75" customHeight="1">
      <c r="A922" s="228"/>
      <c r="B922" s="165"/>
      <c r="C922" s="162"/>
      <c r="D922" s="142"/>
      <c r="E922" s="144"/>
      <c r="F922" s="144"/>
      <c r="G922" s="144"/>
      <c r="H922" s="144"/>
      <c r="I922" s="182"/>
      <c r="J922" s="144"/>
      <c r="K922" s="145"/>
      <c r="L922" s="150"/>
      <c r="M922" s="146"/>
      <c r="N922" s="146"/>
      <c r="O922" s="146"/>
      <c r="P922" s="146"/>
      <c r="Q922" s="146"/>
      <c r="R922" s="190"/>
      <c r="S922" s="190"/>
      <c r="T922" s="190"/>
      <c r="U922" s="190"/>
      <c r="V922" s="190"/>
      <c r="W922" s="190"/>
      <c r="X922" s="190"/>
      <c r="Y922" s="190"/>
      <c r="Z922" s="190"/>
    </row>
    <row r="923" ht="15.75" customHeight="1">
      <c r="A923" s="228"/>
      <c r="B923" s="165"/>
      <c r="C923" s="162"/>
      <c r="D923" s="142"/>
      <c r="E923" s="144"/>
      <c r="F923" s="144"/>
      <c r="G923" s="144"/>
      <c r="H923" s="144"/>
      <c r="I923" s="182"/>
      <c r="J923" s="144"/>
      <c r="K923" s="145"/>
      <c r="L923" s="150"/>
      <c r="M923" s="146"/>
      <c r="N923" s="146"/>
      <c r="O923" s="146"/>
      <c r="P923" s="146"/>
      <c r="Q923" s="146"/>
      <c r="R923" s="190"/>
      <c r="S923" s="190"/>
      <c r="T923" s="190"/>
      <c r="U923" s="190"/>
      <c r="V923" s="190"/>
      <c r="W923" s="190"/>
      <c r="X923" s="190"/>
      <c r="Y923" s="190"/>
      <c r="Z923" s="190"/>
    </row>
    <row r="924" ht="15.75" customHeight="1">
      <c r="A924" s="228"/>
      <c r="B924" s="165"/>
      <c r="C924" s="162"/>
      <c r="D924" s="142"/>
      <c r="E924" s="144"/>
      <c r="F924" s="144"/>
      <c r="G924" s="144"/>
      <c r="H924" s="144"/>
      <c r="I924" s="182"/>
      <c r="J924" s="144"/>
      <c r="K924" s="145"/>
      <c r="L924" s="150"/>
      <c r="M924" s="146"/>
      <c r="N924" s="146"/>
      <c r="O924" s="146"/>
      <c r="P924" s="146"/>
      <c r="Q924" s="146"/>
      <c r="R924" s="190"/>
      <c r="S924" s="190"/>
      <c r="T924" s="190"/>
      <c r="U924" s="190"/>
      <c r="V924" s="190"/>
      <c r="W924" s="190"/>
      <c r="X924" s="190"/>
      <c r="Y924" s="190"/>
      <c r="Z924" s="190"/>
    </row>
    <row r="925" ht="15.75" customHeight="1">
      <c r="A925" s="228"/>
      <c r="B925" s="165"/>
      <c r="C925" s="162"/>
      <c r="D925" s="142"/>
      <c r="E925" s="144"/>
      <c r="F925" s="144"/>
      <c r="G925" s="144"/>
      <c r="H925" s="144"/>
      <c r="I925" s="182"/>
      <c r="J925" s="144"/>
      <c r="K925" s="145"/>
      <c r="L925" s="150"/>
      <c r="M925" s="146"/>
      <c r="N925" s="146"/>
      <c r="O925" s="146"/>
      <c r="P925" s="146"/>
      <c r="Q925" s="146"/>
      <c r="R925" s="190"/>
      <c r="S925" s="190"/>
      <c r="T925" s="190"/>
      <c r="U925" s="190"/>
      <c r="V925" s="190"/>
      <c r="W925" s="190"/>
      <c r="X925" s="190"/>
      <c r="Y925" s="190"/>
      <c r="Z925" s="190"/>
    </row>
    <row r="926" ht="15.75" customHeight="1">
      <c r="A926" s="228"/>
      <c r="B926" s="165"/>
      <c r="C926" s="162"/>
      <c r="D926" s="142"/>
      <c r="E926" s="144"/>
      <c r="F926" s="144"/>
      <c r="G926" s="144"/>
      <c r="H926" s="144"/>
      <c r="I926" s="182"/>
      <c r="J926" s="144"/>
      <c r="K926" s="145"/>
      <c r="L926" s="150"/>
      <c r="M926" s="146"/>
      <c r="N926" s="146"/>
      <c r="O926" s="146"/>
      <c r="P926" s="146"/>
      <c r="Q926" s="146"/>
      <c r="R926" s="190"/>
      <c r="S926" s="190"/>
      <c r="T926" s="190"/>
      <c r="U926" s="190"/>
      <c r="V926" s="190"/>
      <c r="W926" s="190"/>
      <c r="X926" s="190"/>
      <c r="Y926" s="190"/>
      <c r="Z926" s="190"/>
    </row>
    <row r="927" ht="15.75" customHeight="1">
      <c r="A927" s="228"/>
      <c r="B927" s="165"/>
      <c r="C927" s="162"/>
      <c r="D927" s="142"/>
      <c r="E927" s="144"/>
      <c r="F927" s="144"/>
      <c r="G927" s="144"/>
      <c r="H927" s="144"/>
      <c r="I927" s="182"/>
      <c r="J927" s="144"/>
      <c r="K927" s="145"/>
      <c r="L927" s="150"/>
      <c r="M927" s="146"/>
      <c r="N927" s="146"/>
      <c r="O927" s="146"/>
      <c r="P927" s="146"/>
      <c r="Q927" s="146"/>
      <c r="R927" s="190"/>
      <c r="S927" s="190"/>
      <c r="T927" s="190"/>
      <c r="U927" s="190"/>
      <c r="V927" s="190"/>
      <c r="W927" s="190"/>
      <c r="X927" s="190"/>
      <c r="Y927" s="190"/>
      <c r="Z927" s="190"/>
    </row>
    <row r="928" ht="15.75" customHeight="1">
      <c r="A928" s="228"/>
      <c r="B928" s="165"/>
      <c r="C928" s="162"/>
      <c r="D928" s="142"/>
      <c r="E928" s="144"/>
      <c r="F928" s="144"/>
      <c r="G928" s="144"/>
      <c r="H928" s="144"/>
      <c r="I928" s="182"/>
      <c r="J928" s="144"/>
      <c r="K928" s="145"/>
      <c r="L928" s="150"/>
      <c r="M928" s="146"/>
      <c r="N928" s="146"/>
      <c r="O928" s="146"/>
      <c r="P928" s="146"/>
      <c r="Q928" s="146"/>
      <c r="R928" s="190"/>
      <c r="S928" s="190"/>
      <c r="T928" s="190"/>
      <c r="U928" s="190"/>
      <c r="V928" s="190"/>
      <c r="W928" s="190"/>
      <c r="X928" s="190"/>
      <c r="Y928" s="190"/>
      <c r="Z928" s="190"/>
    </row>
    <row r="929" ht="15.75" customHeight="1">
      <c r="A929" s="228"/>
      <c r="B929" s="165"/>
      <c r="C929" s="162"/>
      <c r="D929" s="142"/>
      <c r="E929" s="144"/>
      <c r="F929" s="144"/>
      <c r="G929" s="144"/>
      <c r="H929" s="144"/>
      <c r="I929" s="182"/>
      <c r="J929" s="144"/>
      <c r="K929" s="145"/>
      <c r="L929" s="150"/>
      <c r="M929" s="146"/>
      <c r="N929" s="146"/>
      <c r="O929" s="146"/>
      <c r="P929" s="146"/>
      <c r="Q929" s="146"/>
      <c r="R929" s="190"/>
      <c r="S929" s="190"/>
      <c r="T929" s="190"/>
      <c r="U929" s="190"/>
      <c r="V929" s="190"/>
      <c r="W929" s="190"/>
      <c r="X929" s="190"/>
      <c r="Y929" s="190"/>
      <c r="Z929" s="190"/>
    </row>
    <row r="930" ht="15.75" customHeight="1">
      <c r="A930" s="228"/>
      <c r="B930" s="165"/>
      <c r="C930" s="162"/>
      <c r="D930" s="142"/>
      <c r="E930" s="144"/>
      <c r="F930" s="144"/>
      <c r="G930" s="144"/>
      <c r="H930" s="144"/>
      <c r="I930" s="182"/>
      <c r="J930" s="144"/>
      <c r="K930" s="145"/>
      <c r="L930" s="150"/>
      <c r="M930" s="146"/>
      <c r="N930" s="146"/>
      <c r="O930" s="146"/>
      <c r="P930" s="146"/>
      <c r="Q930" s="146"/>
      <c r="R930" s="190"/>
      <c r="S930" s="190"/>
      <c r="T930" s="190"/>
      <c r="U930" s="190"/>
      <c r="V930" s="190"/>
      <c r="W930" s="190"/>
      <c r="X930" s="190"/>
      <c r="Y930" s="190"/>
      <c r="Z930" s="190"/>
    </row>
    <row r="931" ht="15.75" customHeight="1">
      <c r="A931" s="228"/>
      <c r="B931" s="165"/>
      <c r="C931" s="162"/>
      <c r="D931" s="142"/>
      <c r="E931" s="144"/>
      <c r="F931" s="144"/>
      <c r="G931" s="144"/>
      <c r="H931" s="144"/>
      <c r="I931" s="182"/>
      <c r="J931" s="144"/>
      <c r="K931" s="145"/>
      <c r="L931" s="150"/>
      <c r="M931" s="146"/>
      <c r="N931" s="146"/>
      <c r="O931" s="146"/>
      <c r="P931" s="146"/>
      <c r="Q931" s="146"/>
      <c r="R931" s="190"/>
      <c r="S931" s="190"/>
      <c r="T931" s="190"/>
      <c r="U931" s="190"/>
      <c r="V931" s="190"/>
      <c r="W931" s="190"/>
      <c r="X931" s="190"/>
      <c r="Y931" s="190"/>
      <c r="Z931" s="190"/>
    </row>
    <row r="932" ht="15.75" customHeight="1">
      <c r="A932" s="228"/>
      <c r="B932" s="165"/>
      <c r="C932" s="162"/>
      <c r="D932" s="142"/>
      <c r="E932" s="144"/>
      <c r="F932" s="144"/>
      <c r="G932" s="144"/>
      <c r="H932" s="144"/>
      <c r="I932" s="182"/>
      <c r="J932" s="144"/>
      <c r="K932" s="145"/>
      <c r="L932" s="150"/>
      <c r="M932" s="146"/>
      <c r="N932" s="146"/>
      <c r="O932" s="146"/>
      <c r="P932" s="146"/>
      <c r="Q932" s="146"/>
      <c r="R932" s="190"/>
      <c r="S932" s="190"/>
      <c r="T932" s="190"/>
      <c r="U932" s="190"/>
      <c r="V932" s="190"/>
      <c r="W932" s="190"/>
      <c r="X932" s="190"/>
      <c r="Y932" s="190"/>
      <c r="Z932" s="190"/>
    </row>
    <row r="933" ht="15.75" customHeight="1">
      <c r="A933" s="228"/>
      <c r="B933" s="165"/>
      <c r="C933" s="162"/>
      <c r="D933" s="142"/>
      <c r="E933" s="144"/>
      <c r="F933" s="144"/>
      <c r="G933" s="144"/>
      <c r="H933" s="144"/>
      <c r="I933" s="182"/>
      <c r="J933" s="144"/>
      <c r="K933" s="145"/>
      <c r="L933" s="150"/>
      <c r="M933" s="146"/>
      <c r="N933" s="146"/>
      <c r="O933" s="146"/>
      <c r="P933" s="146"/>
      <c r="Q933" s="146"/>
      <c r="R933" s="190"/>
      <c r="S933" s="190"/>
      <c r="T933" s="190"/>
      <c r="U933" s="190"/>
      <c r="V933" s="190"/>
      <c r="W933" s="190"/>
      <c r="X933" s="190"/>
      <c r="Y933" s="190"/>
      <c r="Z933" s="190"/>
    </row>
    <row r="934" ht="15.75" customHeight="1">
      <c r="A934" s="228"/>
      <c r="B934" s="165"/>
      <c r="C934" s="162"/>
      <c r="D934" s="142"/>
      <c r="E934" s="144"/>
      <c r="F934" s="144"/>
      <c r="G934" s="144"/>
      <c r="H934" s="144"/>
      <c r="I934" s="182"/>
      <c r="J934" s="144"/>
      <c r="K934" s="145"/>
      <c r="L934" s="150"/>
      <c r="M934" s="146"/>
      <c r="N934" s="146"/>
      <c r="O934" s="146"/>
      <c r="P934" s="146"/>
      <c r="Q934" s="146"/>
      <c r="R934" s="190"/>
      <c r="S934" s="190"/>
      <c r="T934" s="190"/>
      <c r="U934" s="190"/>
      <c r="V934" s="190"/>
      <c r="W934" s="190"/>
      <c r="X934" s="190"/>
      <c r="Y934" s="190"/>
      <c r="Z934" s="190"/>
    </row>
    <row r="935" ht="15.75" customHeight="1">
      <c r="A935" s="228"/>
      <c r="B935" s="165"/>
      <c r="C935" s="162"/>
      <c r="D935" s="142"/>
      <c r="E935" s="144"/>
      <c r="F935" s="144"/>
      <c r="G935" s="144"/>
      <c r="H935" s="144"/>
      <c r="I935" s="182"/>
      <c r="J935" s="144"/>
      <c r="K935" s="145"/>
      <c r="L935" s="150"/>
      <c r="M935" s="146"/>
      <c r="N935" s="146"/>
      <c r="O935" s="146"/>
      <c r="P935" s="146"/>
      <c r="Q935" s="146"/>
      <c r="R935" s="190"/>
      <c r="S935" s="190"/>
      <c r="T935" s="190"/>
      <c r="U935" s="190"/>
      <c r="V935" s="190"/>
      <c r="W935" s="190"/>
      <c r="X935" s="190"/>
      <c r="Y935" s="190"/>
      <c r="Z935" s="190"/>
    </row>
    <row r="936" ht="15.75" customHeight="1">
      <c r="A936" s="228"/>
      <c r="B936" s="165"/>
      <c r="C936" s="162"/>
      <c r="D936" s="142"/>
      <c r="E936" s="144"/>
      <c r="F936" s="144"/>
      <c r="G936" s="144"/>
      <c r="H936" s="144"/>
      <c r="I936" s="182"/>
      <c r="J936" s="144"/>
      <c r="K936" s="145"/>
      <c r="L936" s="150"/>
      <c r="M936" s="146"/>
      <c r="N936" s="146"/>
      <c r="O936" s="146"/>
      <c r="P936" s="146"/>
      <c r="Q936" s="146"/>
      <c r="R936" s="190"/>
      <c r="S936" s="190"/>
      <c r="T936" s="190"/>
      <c r="U936" s="190"/>
      <c r="V936" s="190"/>
      <c r="W936" s="190"/>
      <c r="X936" s="190"/>
      <c r="Y936" s="190"/>
      <c r="Z936" s="190"/>
    </row>
    <row r="937" ht="15.75" customHeight="1">
      <c r="A937" s="228"/>
      <c r="B937" s="165"/>
      <c r="C937" s="162"/>
      <c r="D937" s="142"/>
      <c r="E937" s="144"/>
      <c r="F937" s="144"/>
      <c r="G937" s="144"/>
      <c r="H937" s="144"/>
      <c r="I937" s="182"/>
      <c r="J937" s="144"/>
      <c r="K937" s="145"/>
      <c r="L937" s="150"/>
      <c r="M937" s="146"/>
      <c r="N937" s="146"/>
      <c r="O937" s="146"/>
      <c r="P937" s="146"/>
      <c r="Q937" s="146"/>
      <c r="R937" s="190"/>
      <c r="S937" s="190"/>
      <c r="T937" s="190"/>
      <c r="U937" s="190"/>
      <c r="V937" s="190"/>
      <c r="W937" s="190"/>
      <c r="X937" s="190"/>
      <c r="Y937" s="190"/>
      <c r="Z937" s="190"/>
    </row>
    <row r="938" ht="15.75" customHeight="1">
      <c r="A938" s="228"/>
      <c r="B938" s="165"/>
      <c r="C938" s="162"/>
      <c r="D938" s="142"/>
      <c r="E938" s="144"/>
      <c r="F938" s="144"/>
      <c r="G938" s="144"/>
      <c r="H938" s="144"/>
      <c r="I938" s="182"/>
      <c r="J938" s="144"/>
      <c r="K938" s="145"/>
      <c r="L938" s="150"/>
      <c r="M938" s="146"/>
      <c r="N938" s="146"/>
      <c r="O938" s="146"/>
      <c r="P938" s="146"/>
      <c r="Q938" s="146"/>
      <c r="R938" s="190"/>
      <c r="S938" s="190"/>
      <c r="T938" s="190"/>
      <c r="U938" s="190"/>
      <c r="V938" s="190"/>
      <c r="W938" s="190"/>
      <c r="X938" s="190"/>
      <c r="Y938" s="190"/>
      <c r="Z938" s="190"/>
    </row>
    <row r="939" ht="15.75" customHeight="1">
      <c r="A939" s="228"/>
      <c r="B939" s="165"/>
      <c r="C939" s="162"/>
      <c r="D939" s="142"/>
      <c r="E939" s="144"/>
      <c r="F939" s="144"/>
      <c r="G939" s="144"/>
      <c r="H939" s="144"/>
      <c r="I939" s="182"/>
      <c r="J939" s="144"/>
      <c r="K939" s="145"/>
      <c r="L939" s="150"/>
      <c r="M939" s="146"/>
      <c r="N939" s="146"/>
      <c r="O939" s="146"/>
      <c r="P939" s="146"/>
      <c r="Q939" s="146"/>
      <c r="R939" s="190"/>
      <c r="S939" s="190"/>
      <c r="T939" s="190"/>
      <c r="U939" s="190"/>
      <c r="V939" s="190"/>
      <c r="W939" s="190"/>
      <c r="X939" s="190"/>
      <c r="Y939" s="190"/>
      <c r="Z939" s="190"/>
    </row>
    <row r="940" ht="15.75" customHeight="1">
      <c r="A940" s="228"/>
      <c r="B940" s="165"/>
      <c r="C940" s="162"/>
      <c r="D940" s="142"/>
      <c r="E940" s="144"/>
      <c r="F940" s="144"/>
      <c r="G940" s="144"/>
      <c r="H940" s="144"/>
      <c r="I940" s="182"/>
      <c r="J940" s="144"/>
      <c r="K940" s="145"/>
      <c r="L940" s="150"/>
      <c r="M940" s="146"/>
      <c r="N940" s="146"/>
      <c r="O940" s="146"/>
      <c r="P940" s="146"/>
      <c r="Q940" s="146"/>
      <c r="R940" s="190"/>
      <c r="S940" s="190"/>
      <c r="T940" s="190"/>
      <c r="U940" s="190"/>
      <c r="V940" s="190"/>
      <c r="W940" s="190"/>
      <c r="X940" s="190"/>
      <c r="Y940" s="190"/>
      <c r="Z940" s="190"/>
    </row>
    <row r="941" ht="15.75" customHeight="1">
      <c r="A941" s="228"/>
      <c r="B941" s="165"/>
      <c r="C941" s="162"/>
      <c r="D941" s="142"/>
      <c r="E941" s="144"/>
      <c r="F941" s="144"/>
      <c r="G941" s="144"/>
      <c r="H941" s="144"/>
      <c r="I941" s="182"/>
      <c r="J941" s="144"/>
      <c r="K941" s="145"/>
      <c r="L941" s="150"/>
      <c r="M941" s="146"/>
      <c r="N941" s="146"/>
      <c r="O941" s="146"/>
      <c r="P941" s="146"/>
      <c r="Q941" s="146"/>
      <c r="R941" s="190"/>
      <c r="S941" s="190"/>
      <c r="T941" s="190"/>
      <c r="U941" s="190"/>
      <c r="V941" s="190"/>
      <c r="W941" s="190"/>
      <c r="X941" s="190"/>
      <c r="Y941" s="190"/>
      <c r="Z941" s="190"/>
    </row>
    <row r="942" ht="15.75" customHeight="1">
      <c r="A942" s="228"/>
      <c r="B942" s="165"/>
      <c r="C942" s="162"/>
      <c r="D942" s="142"/>
      <c r="E942" s="144"/>
      <c r="F942" s="144"/>
      <c r="G942" s="144"/>
      <c r="H942" s="144"/>
      <c r="I942" s="182"/>
      <c r="J942" s="144"/>
      <c r="K942" s="145"/>
      <c r="L942" s="150"/>
      <c r="M942" s="146"/>
      <c r="N942" s="146"/>
      <c r="O942" s="146"/>
      <c r="P942" s="146"/>
      <c r="Q942" s="146"/>
      <c r="R942" s="190"/>
      <c r="S942" s="190"/>
      <c r="T942" s="190"/>
      <c r="U942" s="190"/>
      <c r="V942" s="190"/>
      <c r="W942" s="190"/>
      <c r="X942" s="190"/>
      <c r="Y942" s="190"/>
      <c r="Z942" s="190"/>
    </row>
    <row r="943" ht="15.75" customHeight="1">
      <c r="A943" s="228"/>
      <c r="B943" s="165"/>
      <c r="C943" s="162"/>
      <c r="D943" s="142"/>
      <c r="E943" s="144"/>
      <c r="F943" s="144"/>
      <c r="G943" s="144"/>
      <c r="H943" s="144"/>
      <c r="I943" s="182"/>
      <c r="J943" s="144"/>
      <c r="K943" s="145"/>
      <c r="L943" s="150"/>
      <c r="M943" s="146"/>
      <c r="N943" s="146"/>
      <c r="O943" s="146"/>
      <c r="P943" s="146"/>
      <c r="Q943" s="146"/>
      <c r="R943" s="190"/>
      <c r="S943" s="190"/>
      <c r="T943" s="190"/>
      <c r="U943" s="190"/>
      <c r="V943" s="190"/>
      <c r="W943" s="190"/>
      <c r="X943" s="190"/>
      <c r="Y943" s="190"/>
      <c r="Z943" s="190"/>
    </row>
    <row r="944" ht="15.75" customHeight="1">
      <c r="A944" s="228"/>
      <c r="B944" s="165"/>
      <c r="C944" s="162"/>
      <c r="D944" s="142"/>
      <c r="E944" s="144"/>
      <c r="F944" s="144"/>
      <c r="G944" s="144"/>
      <c r="H944" s="144"/>
      <c r="I944" s="182"/>
      <c r="J944" s="144"/>
      <c r="K944" s="145"/>
      <c r="L944" s="150"/>
      <c r="M944" s="146"/>
      <c r="N944" s="146"/>
      <c r="O944" s="146"/>
      <c r="P944" s="146"/>
      <c r="Q944" s="146"/>
      <c r="R944" s="190"/>
      <c r="S944" s="190"/>
      <c r="T944" s="190"/>
      <c r="U944" s="190"/>
      <c r="V944" s="190"/>
      <c r="W944" s="190"/>
      <c r="X944" s="190"/>
      <c r="Y944" s="190"/>
      <c r="Z944" s="190"/>
    </row>
    <row r="945" ht="15.75" customHeight="1">
      <c r="A945" s="228"/>
      <c r="B945" s="165"/>
      <c r="C945" s="162"/>
      <c r="D945" s="142"/>
      <c r="E945" s="144"/>
      <c r="F945" s="144"/>
      <c r="G945" s="144"/>
      <c r="H945" s="144"/>
      <c r="I945" s="182"/>
      <c r="J945" s="144"/>
      <c r="K945" s="145"/>
      <c r="L945" s="150"/>
      <c r="M945" s="146"/>
      <c r="N945" s="146"/>
      <c r="O945" s="146"/>
      <c r="P945" s="146"/>
      <c r="Q945" s="146"/>
      <c r="R945" s="190"/>
      <c r="S945" s="190"/>
      <c r="T945" s="190"/>
      <c r="U945" s="190"/>
      <c r="V945" s="190"/>
      <c r="W945" s="190"/>
      <c r="X945" s="190"/>
      <c r="Y945" s="190"/>
      <c r="Z945" s="190"/>
    </row>
    <row r="946" ht="15.75" customHeight="1">
      <c r="A946" s="228"/>
      <c r="B946" s="165"/>
      <c r="C946" s="162"/>
      <c r="D946" s="142"/>
      <c r="E946" s="144"/>
      <c r="F946" s="144"/>
      <c r="G946" s="144"/>
      <c r="H946" s="144"/>
      <c r="I946" s="182"/>
      <c r="J946" s="144"/>
      <c r="K946" s="145"/>
      <c r="L946" s="150"/>
      <c r="M946" s="146"/>
      <c r="N946" s="146"/>
      <c r="O946" s="146"/>
      <c r="P946" s="146"/>
      <c r="Q946" s="146"/>
      <c r="R946" s="190"/>
      <c r="S946" s="190"/>
      <c r="T946" s="190"/>
      <c r="U946" s="190"/>
      <c r="V946" s="190"/>
      <c r="W946" s="190"/>
      <c r="X946" s="190"/>
      <c r="Y946" s="190"/>
      <c r="Z946" s="190"/>
    </row>
    <row r="947" ht="15.75" customHeight="1">
      <c r="A947" s="228"/>
      <c r="B947" s="165"/>
      <c r="C947" s="162"/>
      <c r="D947" s="142"/>
      <c r="E947" s="144"/>
      <c r="F947" s="144"/>
      <c r="G947" s="144"/>
      <c r="H947" s="144"/>
      <c r="I947" s="182"/>
      <c r="J947" s="144"/>
      <c r="K947" s="145"/>
      <c r="L947" s="150"/>
      <c r="M947" s="146"/>
      <c r="N947" s="146"/>
      <c r="O947" s="146"/>
      <c r="P947" s="146"/>
      <c r="Q947" s="146"/>
      <c r="R947" s="190"/>
      <c r="S947" s="190"/>
      <c r="T947" s="190"/>
      <c r="U947" s="190"/>
      <c r="V947" s="190"/>
      <c r="W947" s="190"/>
      <c r="X947" s="190"/>
      <c r="Y947" s="190"/>
      <c r="Z947" s="190"/>
    </row>
    <row r="948" ht="15.75" customHeight="1">
      <c r="A948" s="228"/>
      <c r="B948" s="165"/>
      <c r="C948" s="162"/>
      <c r="D948" s="142"/>
      <c r="E948" s="144"/>
      <c r="F948" s="144"/>
      <c r="G948" s="144"/>
      <c r="H948" s="144"/>
      <c r="I948" s="182"/>
      <c r="J948" s="144"/>
      <c r="K948" s="145"/>
      <c r="L948" s="150"/>
      <c r="M948" s="146"/>
      <c r="N948" s="146"/>
      <c r="O948" s="146"/>
      <c r="P948" s="146"/>
      <c r="Q948" s="146"/>
      <c r="R948" s="190"/>
      <c r="S948" s="190"/>
      <c r="T948" s="190"/>
      <c r="U948" s="190"/>
      <c r="V948" s="190"/>
      <c r="W948" s="190"/>
      <c r="X948" s="190"/>
      <c r="Y948" s="190"/>
      <c r="Z948" s="190"/>
    </row>
    <row r="949" ht="15.75" customHeight="1">
      <c r="A949" s="228"/>
      <c r="B949" s="165"/>
      <c r="C949" s="162"/>
      <c r="D949" s="142"/>
      <c r="E949" s="144"/>
      <c r="F949" s="144"/>
      <c r="G949" s="144"/>
      <c r="H949" s="144"/>
      <c r="I949" s="182"/>
      <c r="J949" s="144"/>
      <c r="K949" s="145"/>
      <c r="L949" s="150"/>
      <c r="M949" s="146"/>
      <c r="N949" s="146"/>
      <c r="O949" s="146"/>
      <c r="P949" s="146"/>
      <c r="Q949" s="146"/>
      <c r="R949" s="190"/>
      <c r="S949" s="190"/>
      <c r="T949" s="190"/>
      <c r="U949" s="190"/>
      <c r="V949" s="190"/>
      <c r="W949" s="190"/>
      <c r="X949" s="190"/>
      <c r="Y949" s="190"/>
      <c r="Z949" s="190"/>
    </row>
    <row r="950" ht="15.75" customHeight="1">
      <c r="A950" s="228"/>
      <c r="B950" s="165"/>
      <c r="C950" s="162"/>
      <c r="D950" s="142"/>
      <c r="E950" s="144"/>
      <c r="F950" s="144"/>
      <c r="G950" s="144"/>
      <c r="H950" s="144"/>
      <c r="I950" s="182"/>
      <c r="J950" s="144"/>
      <c r="K950" s="145"/>
      <c r="L950" s="150"/>
      <c r="M950" s="146"/>
      <c r="N950" s="146"/>
      <c r="O950" s="146"/>
      <c r="P950" s="146"/>
      <c r="Q950" s="146"/>
      <c r="R950" s="190"/>
      <c r="S950" s="190"/>
      <c r="T950" s="190"/>
      <c r="U950" s="190"/>
      <c r="V950" s="190"/>
      <c r="W950" s="190"/>
      <c r="X950" s="190"/>
      <c r="Y950" s="190"/>
      <c r="Z950" s="190"/>
    </row>
    <row r="951" ht="15.75" customHeight="1">
      <c r="A951" s="228"/>
      <c r="B951" s="165"/>
      <c r="C951" s="162"/>
      <c r="D951" s="142"/>
      <c r="E951" s="144"/>
      <c r="F951" s="144"/>
      <c r="G951" s="144"/>
      <c r="H951" s="144"/>
      <c r="I951" s="182"/>
      <c r="J951" s="144"/>
      <c r="K951" s="145"/>
      <c r="L951" s="150"/>
      <c r="M951" s="146"/>
      <c r="N951" s="146"/>
      <c r="O951" s="146"/>
      <c r="P951" s="146"/>
      <c r="Q951" s="146"/>
      <c r="R951" s="190"/>
      <c r="S951" s="190"/>
      <c r="T951" s="190"/>
      <c r="U951" s="190"/>
      <c r="V951" s="190"/>
      <c r="W951" s="190"/>
      <c r="X951" s="190"/>
      <c r="Y951" s="190"/>
      <c r="Z951" s="190"/>
    </row>
    <row r="952" ht="15.75" customHeight="1">
      <c r="A952" s="228"/>
      <c r="B952" s="165"/>
      <c r="C952" s="162"/>
      <c r="D952" s="142"/>
      <c r="E952" s="144"/>
      <c r="F952" s="144"/>
      <c r="G952" s="144"/>
      <c r="H952" s="144"/>
      <c r="I952" s="182"/>
      <c r="J952" s="144"/>
      <c r="K952" s="145"/>
      <c r="L952" s="150"/>
      <c r="M952" s="146"/>
      <c r="N952" s="146"/>
      <c r="O952" s="146"/>
      <c r="P952" s="146"/>
      <c r="Q952" s="146"/>
      <c r="R952" s="190"/>
      <c r="S952" s="190"/>
      <c r="T952" s="190"/>
      <c r="U952" s="190"/>
      <c r="V952" s="190"/>
      <c r="W952" s="190"/>
      <c r="X952" s="190"/>
      <c r="Y952" s="190"/>
      <c r="Z952" s="190"/>
    </row>
    <row r="953" ht="15.75" customHeight="1">
      <c r="A953" s="228"/>
      <c r="B953" s="165"/>
      <c r="C953" s="162"/>
      <c r="D953" s="142"/>
      <c r="E953" s="144"/>
      <c r="F953" s="144"/>
      <c r="G953" s="144"/>
      <c r="H953" s="144"/>
      <c r="I953" s="182"/>
      <c r="J953" s="144"/>
      <c r="K953" s="145"/>
      <c r="L953" s="150"/>
      <c r="M953" s="146"/>
      <c r="N953" s="146"/>
      <c r="O953" s="146"/>
      <c r="P953" s="146"/>
      <c r="Q953" s="146"/>
      <c r="R953" s="190"/>
      <c r="S953" s="190"/>
      <c r="T953" s="190"/>
      <c r="U953" s="190"/>
      <c r="V953" s="190"/>
      <c r="W953" s="190"/>
      <c r="X953" s="190"/>
      <c r="Y953" s="190"/>
      <c r="Z953" s="190"/>
    </row>
    <row r="954" ht="15.75" customHeight="1">
      <c r="A954" s="228"/>
      <c r="B954" s="165"/>
      <c r="C954" s="162"/>
      <c r="D954" s="142"/>
      <c r="E954" s="144"/>
      <c r="F954" s="144"/>
      <c r="G954" s="144"/>
      <c r="H954" s="144"/>
      <c r="I954" s="182"/>
      <c r="J954" s="144"/>
      <c r="K954" s="145"/>
      <c r="L954" s="150"/>
      <c r="M954" s="146"/>
      <c r="N954" s="146"/>
      <c r="O954" s="146"/>
      <c r="P954" s="146"/>
      <c r="Q954" s="146"/>
      <c r="R954" s="190"/>
      <c r="S954" s="190"/>
      <c r="T954" s="190"/>
      <c r="U954" s="190"/>
      <c r="V954" s="190"/>
      <c r="W954" s="190"/>
      <c r="X954" s="190"/>
      <c r="Y954" s="190"/>
      <c r="Z954" s="190"/>
    </row>
    <row r="955" ht="15.75" customHeight="1">
      <c r="A955" s="228"/>
      <c r="B955" s="165"/>
      <c r="C955" s="162"/>
      <c r="D955" s="142"/>
      <c r="E955" s="144"/>
      <c r="F955" s="144"/>
      <c r="G955" s="144"/>
      <c r="H955" s="144"/>
      <c r="I955" s="182"/>
      <c r="J955" s="144"/>
      <c r="K955" s="145"/>
      <c r="L955" s="150"/>
      <c r="M955" s="146"/>
      <c r="N955" s="146"/>
      <c r="O955" s="146"/>
      <c r="P955" s="146"/>
      <c r="Q955" s="146"/>
      <c r="R955" s="190"/>
      <c r="S955" s="190"/>
      <c r="T955" s="190"/>
      <c r="U955" s="190"/>
      <c r="V955" s="190"/>
      <c r="W955" s="190"/>
      <c r="X955" s="190"/>
      <c r="Y955" s="190"/>
      <c r="Z955" s="190"/>
    </row>
    <row r="956" ht="15.75" customHeight="1">
      <c r="A956" s="228"/>
      <c r="B956" s="165"/>
      <c r="C956" s="162"/>
      <c r="D956" s="142"/>
      <c r="E956" s="144"/>
      <c r="F956" s="144"/>
      <c r="G956" s="144"/>
      <c r="H956" s="144"/>
      <c r="I956" s="182"/>
      <c r="J956" s="144"/>
      <c r="K956" s="145"/>
      <c r="L956" s="150"/>
      <c r="M956" s="146"/>
      <c r="N956" s="146"/>
      <c r="O956" s="146"/>
      <c r="P956" s="146"/>
      <c r="Q956" s="146"/>
      <c r="R956" s="190"/>
      <c r="S956" s="190"/>
      <c r="T956" s="190"/>
      <c r="U956" s="190"/>
      <c r="V956" s="190"/>
      <c r="W956" s="190"/>
      <c r="X956" s="190"/>
      <c r="Y956" s="190"/>
      <c r="Z956" s="190"/>
    </row>
    <row r="957" ht="15.75" customHeight="1">
      <c r="A957" s="228"/>
      <c r="B957" s="165"/>
      <c r="C957" s="162"/>
      <c r="D957" s="142"/>
      <c r="E957" s="144"/>
      <c r="F957" s="144"/>
      <c r="G957" s="144"/>
      <c r="H957" s="144"/>
      <c r="I957" s="182"/>
      <c r="J957" s="144"/>
      <c r="K957" s="145"/>
      <c r="L957" s="150"/>
      <c r="M957" s="146"/>
      <c r="N957" s="146"/>
      <c r="O957" s="146"/>
      <c r="P957" s="146"/>
      <c r="Q957" s="146"/>
      <c r="R957" s="190"/>
      <c r="S957" s="190"/>
      <c r="T957" s="190"/>
      <c r="U957" s="190"/>
      <c r="V957" s="190"/>
      <c r="W957" s="190"/>
      <c r="X957" s="190"/>
      <c r="Y957" s="190"/>
      <c r="Z957" s="190"/>
    </row>
    <row r="958" ht="15.75" customHeight="1">
      <c r="A958" s="228"/>
      <c r="B958" s="165"/>
      <c r="C958" s="162"/>
      <c r="D958" s="142"/>
      <c r="E958" s="144"/>
      <c r="F958" s="144"/>
      <c r="G958" s="144"/>
      <c r="H958" s="144"/>
      <c r="I958" s="182"/>
      <c r="J958" s="144"/>
      <c r="K958" s="145"/>
      <c r="L958" s="150"/>
      <c r="M958" s="146"/>
      <c r="N958" s="146"/>
      <c r="O958" s="146"/>
      <c r="P958" s="146"/>
      <c r="Q958" s="146"/>
      <c r="R958" s="190"/>
      <c r="S958" s="190"/>
      <c r="T958" s="190"/>
      <c r="U958" s="190"/>
      <c r="V958" s="190"/>
      <c r="W958" s="190"/>
      <c r="X958" s="190"/>
      <c r="Y958" s="190"/>
      <c r="Z958" s="190"/>
    </row>
    <row r="959" ht="15.75" customHeight="1">
      <c r="A959" s="228"/>
      <c r="B959" s="165"/>
      <c r="C959" s="162"/>
      <c r="D959" s="142"/>
      <c r="E959" s="144"/>
      <c r="F959" s="144"/>
      <c r="G959" s="144"/>
      <c r="H959" s="144"/>
      <c r="I959" s="182"/>
      <c r="J959" s="144"/>
      <c r="K959" s="145"/>
      <c r="L959" s="150"/>
      <c r="M959" s="146"/>
      <c r="N959" s="146"/>
      <c r="O959" s="146"/>
      <c r="P959" s="146"/>
      <c r="Q959" s="146"/>
      <c r="R959" s="190"/>
      <c r="S959" s="190"/>
      <c r="T959" s="190"/>
      <c r="U959" s="190"/>
      <c r="V959" s="190"/>
      <c r="W959" s="190"/>
      <c r="X959" s="190"/>
      <c r="Y959" s="190"/>
      <c r="Z959" s="190"/>
    </row>
    <row r="960" ht="15.75" customHeight="1">
      <c r="A960" s="228"/>
      <c r="B960" s="165"/>
      <c r="C960" s="162"/>
      <c r="D960" s="142"/>
      <c r="E960" s="144"/>
      <c r="F960" s="144"/>
      <c r="G960" s="144"/>
      <c r="H960" s="144"/>
      <c r="I960" s="182"/>
      <c r="J960" s="144"/>
      <c r="K960" s="145"/>
      <c r="L960" s="150"/>
      <c r="M960" s="146"/>
      <c r="N960" s="146"/>
      <c r="O960" s="146"/>
      <c r="P960" s="146"/>
      <c r="Q960" s="146"/>
      <c r="R960" s="190"/>
      <c r="S960" s="190"/>
      <c r="T960" s="190"/>
      <c r="U960" s="190"/>
      <c r="V960" s="190"/>
      <c r="W960" s="190"/>
      <c r="X960" s="190"/>
      <c r="Y960" s="190"/>
      <c r="Z960" s="190"/>
    </row>
    <row r="961" ht="15.75" customHeight="1">
      <c r="A961" s="228"/>
      <c r="B961" s="165"/>
      <c r="C961" s="162"/>
      <c r="D961" s="142"/>
      <c r="E961" s="144"/>
      <c r="F961" s="144"/>
      <c r="G961" s="144"/>
      <c r="H961" s="144"/>
      <c r="I961" s="182"/>
      <c r="J961" s="144"/>
      <c r="K961" s="145"/>
      <c r="L961" s="150"/>
      <c r="M961" s="146"/>
      <c r="N961" s="146"/>
      <c r="O961" s="146"/>
      <c r="P961" s="146"/>
      <c r="Q961" s="146"/>
      <c r="R961" s="190"/>
      <c r="S961" s="190"/>
      <c r="T961" s="190"/>
      <c r="U961" s="190"/>
      <c r="V961" s="190"/>
      <c r="W961" s="190"/>
      <c r="X961" s="190"/>
      <c r="Y961" s="190"/>
      <c r="Z961" s="190"/>
    </row>
    <row r="962" ht="15.75" customHeight="1">
      <c r="A962" s="228"/>
      <c r="B962" s="165"/>
      <c r="C962" s="162"/>
      <c r="D962" s="142"/>
      <c r="E962" s="144"/>
      <c r="F962" s="144"/>
      <c r="G962" s="144"/>
      <c r="H962" s="144"/>
      <c r="I962" s="182"/>
      <c r="J962" s="144"/>
      <c r="K962" s="145"/>
      <c r="L962" s="150"/>
      <c r="M962" s="146"/>
      <c r="N962" s="146"/>
      <c r="O962" s="146"/>
      <c r="P962" s="146"/>
      <c r="Q962" s="146"/>
      <c r="R962" s="190"/>
      <c r="S962" s="190"/>
      <c r="T962" s="190"/>
      <c r="U962" s="190"/>
      <c r="V962" s="190"/>
      <c r="W962" s="190"/>
      <c r="X962" s="190"/>
      <c r="Y962" s="190"/>
      <c r="Z962" s="190"/>
    </row>
    <row r="963" ht="15.75" customHeight="1">
      <c r="A963" s="228"/>
      <c r="B963" s="165"/>
      <c r="C963" s="162"/>
      <c r="D963" s="142"/>
      <c r="E963" s="144"/>
      <c r="F963" s="144"/>
      <c r="G963" s="144"/>
      <c r="H963" s="144"/>
      <c r="I963" s="182"/>
      <c r="J963" s="144"/>
      <c r="K963" s="145"/>
      <c r="L963" s="150"/>
      <c r="M963" s="146"/>
      <c r="N963" s="146"/>
      <c r="O963" s="146"/>
      <c r="P963" s="146"/>
      <c r="Q963" s="146"/>
      <c r="R963" s="190"/>
      <c r="S963" s="190"/>
      <c r="T963" s="190"/>
      <c r="U963" s="190"/>
      <c r="V963" s="190"/>
      <c r="W963" s="190"/>
      <c r="X963" s="190"/>
      <c r="Y963" s="190"/>
      <c r="Z963" s="190"/>
    </row>
    <row r="964" ht="15.75" customHeight="1">
      <c r="A964" s="228"/>
      <c r="B964" s="165"/>
      <c r="C964" s="162"/>
      <c r="D964" s="142"/>
      <c r="E964" s="144"/>
      <c r="F964" s="144"/>
      <c r="G964" s="144"/>
      <c r="H964" s="144"/>
      <c r="I964" s="182"/>
      <c r="J964" s="144"/>
      <c r="K964" s="145"/>
      <c r="L964" s="150"/>
      <c r="M964" s="146"/>
      <c r="N964" s="146"/>
      <c r="O964" s="146"/>
      <c r="P964" s="146"/>
      <c r="Q964" s="146"/>
      <c r="R964" s="190"/>
      <c r="S964" s="190"/>
      <c r="T964" s="190"/>
      <c r="U964" s="190"/>
      <c r="V964" s="190"/>
      <c r="W964" s="190"/>
      <c r="X964" s="190"/>
      <c r="Y964" s="190"/>
      <c r="Z964" s="190"/>
    </row>
    <row r="965" ht="15.75" customHeight="1">
      <c r="A965" s="228"/>
      <c r="B965" s="165"/>
      <c r="C965" s="162"/>
      <c r="D965" s="142"/>
      <c r="E965" s="144"/>
      <c r="F965" s="144"/>
      <c r="G965" s="144"/>
      <c r="H965" s="144"/>
      <c r="I965" s="182"/>
      <c r="J965" s="144"/>
      <c r="K965" s="145"/>
      <c r="L965" s="150"/>
      <c r="M965" s="146"/>
      <c r="N965" s="146"/>
      <c r="O965" s="146"/>
      <c r="P965" s="146"/>
      <c r="Q965" s="146"/>
      <c r="R965" s="190"/>
      <c r="S965" s="190"/>
      <c r="T965" s="190"/>
      <c r="U965" s="190"/>
      <c r="V965" s="190"/>
      <c r="W965" s="190"/>
      <c r="X965" s="190"/>
      <c r="Y965" s="190"/>
      <c r="Z965" s="190"/>
    </row>
    <row r="966" ht="15.75" customHeight="1">
      <c r="A966" s="228"/>
      <c r="B966" s="165"/>
      <c r="C966" s="162"/>
      <c r="D966" s="142"/>
      <c r="E966" s="144"/>
      <c r="F966" s="144"/>
      <c r="G966" s="144"/>
      <c r="H966" s="144"/>
      <c r="I966" s="182"/>
      <c r="J966" s="144"/>
      <c r="K966" s="145"/>
      <c r="L966" s="150"/>
      <c r="M966" s="146"/>
      <c r="N966" s="146"/>
      <c r="O966" s="146"/>
      <c r="P966" s="146"/>
      <c r="Q966" s="146"/>
      <c r="R966" s="190"/>
      <c r="S966" s="190"/>
      <c r="T966" s="190"/>
      <c r="U966" s="190"/>
      <c r="V966" s="190"/>
      <c r="W966" s="190"/>
      <c r="X966" s="190"/>
      <c r="Y966" s="190"/>
      <c r="Z966" s="190"/>
    </row>
    <row r="967" ht="15.75" customHeight="1">
      <c r="A967" s="228"/>
      <c r="B967" s="165"/>
      <c r="C967" s="162"/>
      <c r="D967" s="142"/>
      <c r="E967" s="144"/>
      <c r="F967" s="144"/>
      <c r="G967" s="144"/>
      <c r="H967" s="144"/>
      <c r="I967" s="182"/>
      <c r="J967" s="144"/>
      <c r="K967" s="145"/>
      <c r="L967" s="150"/>
      <c r="M967" s="146"/>
      <c r="N967" s="146"/>
      <c r="O967" s="146"/>
      <c r="P967" s="146"/>
      <c r="Q967" s="146"/>
      <c r="R967" s="190"/>
      <c r="S967" s="190"/>
      <c r="T967" s="190"/>
      <c r="U967" s="190"/>
      <c r="V967" s="190"/>
      <c r="W967" s="190"/>
      <c r="X967" s="190"/>
      <c r="Y967" s="190"/>
      <c r="Z967" s="190"/>
    </row>
    <row r="968" ht="15.75" customHeight="1">
      <c r="A968" s="228"/>
      <c r="B968" s="165"/>
      <c r="C968" s="162"/>
      <c r="D968" s="142"/>
      <c r="E968" s="144"/>
      <c r="F968" s="144"/>
      <c r="G968" s="144"/>
      <c r="H968" s="144"/>
      <c r="I968" s="182"/>
      <c r="J968" s="144"/>
      <c r="K968" s="145"/>
      <c r="L968" s="150"/>
      <c r="M968" s="146"/>
      <c r="N968" s="146"/>
      <c r="O968" s="146"/>
      <c r="P968" s="146"/>
      <c r="Q968" s="146"/>
      <c r="R968" s="190"/>
      <c r="S968" s="190"/>
      <c r="T968" s="190"/>
      <c r="U968" s="190"/>
      <c r="V968" s="190"/>
      <c r="W968" s="190"/>
      <c r="X968" s="190"/>
      <c r="Y968" s="190"/>
      <c r="Z968" s="190"/>
    </row>
    <row r="969" ht="15.75" customHeight="1">
      <c r="A969" s="228"/>
      <c r="B969" s="165"/>
      <c r="C969" s="162"/>
      <c r="D969" s="142"/>
      <c r="E969" s="144"/>
      <c r="F969" s="144"/>
      <c r="G969" s="144"/>
      <c r="H969" s="144"/>
      <c r="I969" s="182"/>
      <c r="J969" s="144"/>
      <c r="K969" s="145"/>
      <c r="L969" s="150"/>
      <c r="M969" s="146"/>
      <c r="N969" s="146"/>
      <c r="O969" s="146"/>
      <c r="P969" s="146"/>
      <c r="Q969" s="146"/>
      <c r="R969" s="190"/>
      <c r="S969" s="190"/>
      <c r="T969" s="190"/>
      <c r="U969" s="190"/>
      <c r="V969" s="190"/>
      <c r="W969" s="190"/>
      <c r="X969" s="190"/>
      <c r="Y969" s="190"/>
      <c r="Z969" s="190"/>
    </row>
    <row r="970" ht="15.75" customHeight="1">
      <c r="A970" s="228"/>
      <c r="B970" s="165"/>
      <c r="C970" s="162"/>
      <c r="D970" s="142"/>
      <c r="E970" s="144"/>
      <c r="F970" s="144"/>
      <c r="G970" s="144"/>
      <c r="H970" s="144"/>
      <c r="I970" s="182"/>
      <c r="J970" s="144"/>
      <c r="K970" s="145"/>
      <c r="L970" s="150"/>
      <c r="M970" s="146"/>
      <c r="N970" s="146"/>
      <c r="O970" s="146"/>
      <c r="P970" s="146"/>
      <c r="Q970" s="146"/>
      <c r="R970" s="190"/>
      <c r="S970" s="190"/>
      <c r="T970" s="190"/>
      <c r="U970" s="190"/>
      <c r="V970" s="190"/>
      <c r="W970" s="190"/>
      <c r="X970" s="190"/>
      <c r="Y970" s="190"/>
      <c r="Z970" s="190"/>
    </row>
    <row r="971" ht="15.75" customHeight="1">
      <c r="A971" s="228"/>
      <c r="B971" s="165"/>
      <c r="C971" s="162"/>
      <c r="D971" s="142"/>
      <c r="E971" s="144"/>
      <c r="F971" s="144"/>
      <c r="G971" s="144"/>
      <c r="H971" s="144"/>
      <c r="I971" s="182"/>
      <c r="J971" s="144"/>
      <c r="K971" s="145"/>
      <c r="L971" s="150"/>
      <c r="M971" s="146"/>
      <c r="N971" s="146"/>
      <c r="O971" s="146"/>
      <c r="P971" s="146"/>
      <c r="Q971" s="146"/>
      <c r="R971" s="190"/>
      <c r="S971" s="190"/>
      <c r="T971" s="190"/>
      <c r="U971" s="190"/>
      <c r="V971" s="190"/>
      <c r="W971" s="190"/>
      <c r="X971" s="190"/>
      <c r="Y971" s="190"/>
      <c r="Z971" s="190"/>
    </row>
    <row r="972" ht="15.75" customHeight="1">
      <c r="A972" s="228"/>
      <c r="B972" s="165"/>
      <c r="C972" s="162"/>
      <c r="D972" s="142"/>
      <c r="E972" s="144"/>
      <c r="F972" s="144"/>
      <c r="G972" s="144"/>
      <c r="H972" s="144"/>
      <c r="I972" s="182"/>
      <c r="J972" s="144"/>
      <c r="K972" s="145"/>
      <c r="L972" s="150"/>
      <c r="M972" s="146"/>
      <c r="N972" s="146"/>
      <c r="O972" s="146"/>
      <c r="P972" s="146"/>
      <c r="Q972" s="146"/>
      <c r="R972" s="190"/>
      <c r="S972" s="190"/>
      <c r="T972" s="190"/>
      <c r="U972" s="190"/>
      <c r="V972" s="190"/>
      <c r="W972" s="190"/>
      <c r="X972" s="190"/>
      <c r="Y972" s="190"/>
      <c r="Z972" s="190"/>
    </row>
    <row r="973" ht="15.75" customHeight="1">
      <c r="A973" s="228"/>
      <c r="B973" s="165"/>
      <c r="C973" s="162"/>
      <c r="D973" s="142"/>
      <c r="E973" s="144"/>
      <c r="F973" s="144"/>
      <c r="G973" s="144"/>
      <c r="H973" s="144"/>
      <c r="I973" s="182"/>
      <c r="J973" s="144"/>
      <c r="K973" s="145"/>
      <c r="L973" s="150"/>
      <c r="M973" s="146"/>
      <c r="N973" s="146"/>
      <c r="O973" s="146"/>
      <c r="P973" s="146"/>
      <c r="Q973" s="146"/>
      <c r="R973" s="190"/>
      <c r="S973" s="190"/>
      <c r="T973" s="190"/>
      <c r="U973" s="190"/>
      <c r="V973" s="190"/>
      <c r="W973" s="190"/>
      <c r="X973" s="190"/>
      <c r="Y973" s="190"/>
      <c r="Z973" s="190"/>
    </row>
    <row r="974" ht="15.75" customHeight="1">
      <c r="A974" s="228"/>
      <c r="B974" s="165"/>
      <c r="C974" s="162"/>
      <c r="D974" s="142"/>
      <c r="E974" s="144"/>
      <c r="F974" s="144"/>
      <c r="G974" s="144"/>
      <c r="H974" s="144"/>
      <c r="I974" s="182"/>
      <c r="J974" s="144"/>
      <c r="K974" s="145"/>
      <c r="L974" s="150"/>
      <c r="M974" s="146"/>
      <c r="N974" s="146"/>
      <c r="O974" s="146"/>
      <c r="P974" s="146"/>
      <c r="Q974" s="146"/>
      <c r="R974" s="190"/>
      <c r="S974" s="190"/>
      <c r="T974" s="190"/>
      <c r="U974" s="190"/>
      <c r="V974" s="190"/>
      <c r="W974" s="190"/>
      <c r="X974" s="190"/>
      <c r="Y974" s="190"/>
      <c r="Z974" s="190"/>
    </row>
    <row r="975" ht="15.75" customHeight="1">
      <c r="A975" s="228"/>
      <c r="B975" s="165"/>
      <c r="C975" s="162"/>
      <c r="D975" s="142"/>
      <c r="E975" s="144"/>
      <c r="F975" s="144"/>
      <c r="G975" s="144"/>
      <c r="H975" s="144"/>
      <c r="I975" s="182"/>
      <c r="J975" s="144"/>
      <c r="K975" s="145"/>
      <c r="L975" s="150"/>
      <c r="M975" s="146"/>
      <c r="N975" s="146"/>
      <c r="O975" s="146"/>
      <c r="P975" s="146"/>
      <c r="Q975" s="146"/>
      <c r="R975" s="190"/>
      <c r="S975" s="190"/>
      <c r="T975" s="190"/>
      <c r="U975" s="190"/>
      <c r="V975" s="190"/>
      <c r="W975" s="190"/>
      <c r="X975" s="190"/>
      <c r="Y975" s="190"/>
      <c r="Z975" s="190"/>
    </row>
    <row r="976" ht="15.75" customHeight="1">
      <c r="A976" s="228"/>
      <c r="B976" s="165"/>
      <c r="C976" s="162"/>
      <c r="D976" s="142"/>
      <c r="E976" s="144"/>
      <c r="F976" s="144"/>
      <c r="G976" s="144"/>
      <c r="H976" s="144"/>
      <c r="I976" s="182"/>
      <c r="J976" s="144"/>
      <c r="K976" s="145"/>
      <c r="L976" s="150"/>
      <c r="M976" s="146"/>
      <c r="N976" s="146"/>
      <c r="O976" s="146"/>
      <c r="P976" s="146"/>
      <c r="Q976" s="146"/>
      <c r="R976" s="190"/>
      <c r="S976" s="190"/>
      <c r="T976" s="190"/>
      <c r="U976" s="190"/>
      <c r="V976" s="190"/>
      <c r="W976" s="190"/>
      <c r="X976" s="190"/>
      <c r="Y976" s="190"/>
      <c r="Z976" s="190"/>
    </row>
    <row r="977" ht="15.75" customHeight="1">
      <c r="A977" s="228"/>
      <c r="B977" s="165"/>
      <c r="C977" s="162"/>
      <c r="D977" s="142"/>
      <c r="E977" s="144"/>
      <c r="F977" s="144"/>
      <c r="G977" s="144"/>
      <c r="H977" s="144"/>
      <c r="I977" s="182"/>
      <c r="J977" s="144"/>
      <c r="K977" s="145"/>
      <c r="L977" s="150"/>
      <c r="M977" s="146"/>
      <c r="N977" s="146"/>
      <c r="O977" s="146"/>
      <c r="P977" s="146"/>
      <c r="Q977" s="146"/>
      <c r="R977" s="190"/>
      <c r="S977" s="190"/>
      <c r="T977" s="190"/>
      <c r="U977" s="190"/>
      <c r="V977" s="190"/>
      <c r="W977" s="190"/>
      <c r="X977" s="190"/>
      <c r="Y977" s="190"/>
      <c r="Z977" s="190"/>
    </row>
    <row r="978" ht="15.75" customHeight="1">
      <c r="A978" s="228"/>
      <c r="B978" s="165"/>
      <c r="C978" s="162"/>
      <c r="D978" s="142"/>
      <c r="E978" s="144"/>
      <c r="F978" s="144"/>
      <c r="G978" s="144"/>
      <c r="H978" s="144"/>
      <c r="I978" s="182"/>
      <c r="J978" s="144"/>
      <c r="K978" s="145"/>
      <c r="L978" s="150"/>
      <c r="M978" s="146"/>
      <c r="N978" s="146"/>
      <c r="O978" s="146"/>
      <c r="P978" s="146"/>
      <c r="Q978" s="146"/>
      <c r="R978" s="190"/>
      <c r="S978" s="190"/>
      <c r="T978" s="190"/>
      <c r="U978" s="190"/>
      <c r="V978" s="190"/>
      <c r="W978" s="190"/>
      <c r="X978" s="190"/>
      <c r="Y978" s="190"/>
      <c r="Z978" s="190"/>
    </row>
    <row r="979" ht="15.75" customHeight="1">
      <c r="A979" s="228"/>
      <c r="B979" s="165"/>
      <c r="C979" s="162"/>
      <c r="D979" s="142"/>
      <c r="E979" s="144"/>
      <c r="F979" s="144"/>
      <c r="G979" s="144"/>
      <c r="H979" s="144"/>
      <c r="I979" s="182"/>
      <c r="J979" s="144"/>
      <c r="K979" s="145"/>
      <c r="L979" s="150"/>
      <c r="M979" s="146"/>
      <c r="N979" s="146"/>
      <c r="O979" s="146"/>
      <c r="P979" s="146"/>
      <c r="Q979" s="146"/>
      <c r="R979" s="190"/>
      <c r="S979" s="190"/>
      <c r="T979" s="190"/>
      <c r="U979" s="190"/>
      <c r="V979" s="190"/>
      <c r="W979" s="190"/>
      <c r="X979" s="190"/>
      <c r="Y979" s="190"/>
      <c r="Z979" s="190"/>
    </row>
    <row r="980" ht="15.75" customHeight="1">
      <c r="A980" s="228"/>
      <c r="B980" s="165"/>
      <c r="C980" s="162"/>
      <c r="D980" s="142"/>
      <c r="E980" s="144"/>
      <c r="F980" s="144"/>
      <c r="G980" s="144"/>
      <c r="H980" s="144"/>
      <c r="I980" s="182"/>
      <c r="J980" s="144"/>
      <c r="K980" s="145"/>
      <c r="L980" s="150"/>
      <c r="M980" s="146"/>
      <c r="N980" s="146"/>
      <c r="O980" s="146"/>
      <c r="P980" s="146"/>
      <c r="Q980" s="146"/>
      <c r="R980" s="190"/>
      <c r="S980" s="190"/>
      <c r="T980" s="190"/>
      <c r="U980" s="190"/>
      <c r="V980" s="190"/>
      <c r="W980" s="190"/>
      <c r="X980" s="190"/>
      <c r="Y980" s="190"/>
      <c r="Z980" s="190"/>
    </row>
    <row r="981" ht="15.75" customHeight="1">
      <c r="A981" s="228"/>
      <c r="B981" s="165"/>
      <c r="C981" s="162"/>
      <c r="D981" s="142"/>
      <c r="E981" s="144"/>
      <c r="F981" s="144"/>
      <c r="G981" s="144"/>
      <c r="H981" s="144"/>
      <c r="I981" s="182"/>
      <c r="J981" s="144"/>
      <c r="K981" s="145"/>
      <c r="L981" s="150"/>
      <c r="M981" s="146"/>
      <c r="N981" s="146"/>
      <c r="O981" s="146"/>
      <c r="P981" s="146"/>
      <c r="Q981" s="146"/>
      <c r="R981" s="190"/>
      <c r="S981" s="190"/>
      <c r="T981" s="190"/>
      <c r="U981" s="190"/>
      <c r="V981" s="190"/>
      <c r="W981" s="190"/>
      <c r="X981" s="190"/>
      <c r="Y981" s="190"/>
      <c r="Z981" s="190"/>
    </row>
    <row r="982" ht="15.75" customHeight="1">
      <c r="A982" s="228"/>
      <c r="B982" s="165"/>
      <c r="C982" s="162"/>
      <c r="D982" s="142"/>
      <c r="E982" s="144"/>
      <c r="F982" s="144"/>
      <c r="G982" s="144"/>
      <c r="H982" s="144"/>
      <c r="I982" s="182"/>
      <c r="J982" s="144"/>
      <c r="K982" s="145"/>
      <c r="L982" s="150"/>
      <c r="M982" s="146"/>
      <c r="N982" s="146"/>
      <c r="O982" s="146"/>
      <c r="P982" s="146"/>
      <c r="Q982" s="146"/>
      <c r="R982" s="190"/>
      <c r="S982" s="190"/>
      <c r="T982" s="190"/>
      <c r="U982" s="190"/>
      <c r="V982" s="190"/>
      <c r="W982" s="190"/>
      <c r="X982" s="190"/>
      <c r="Y982" s="190"/>
      <c r="Z982" s="190"/>
    </row>
    <row r="983" ht="15.75" customHeight="1">
      <c r="A983" s="228"/>
      <c r="B983" s="165"/>
      <c r="C983" s="162"/>
      <c r="D983" s="142"/>
      <c r="E983" s="144"/>
      <c r="F983" s="144"/>
      <c r="G983" s="144"/>
      <c r="H983" s="144"/>
      <c r="I983" s="182"/>
      <c r="J983" s="144"/>
      <c r="K983" s="145"/>
      <c r="L983" s="150"/>
      <c r="M983" s="146"/>
      <c r="N983" s="146"/>
      <c r="O983" s="146"/>
      <c r="P983" s="146"/>
      <c r="Q983" s="146"/>
      <c r="R983" s="190"/>
      <c r="S983" s="190"/>
      <c r="T983" s="190"/>
      <c r="U983" s="190"/>
      <c r="V983" s="190"/>
      <c r="W983" s="190"/>
      <c r="X983" s="190"/>
      <c r="Y983" s="190"/>
      <c r="Z983" s="190"/>
    </row>
    <row r="984" ht="15.75" customHeight="1">
      <c r="A984" s="228"/>
      <c r="B984" s="165"/>
      <c r="C984" s="162"/>
      <c r="D984" s="142"/>
      <c r="E984" s="144"/>
      <c r="F984" s="144"/>
      <c r="G984" s="144"/>
      <c r="H984" s="144"/>
      <c r="I984" s="182"/>
      <c r="J984" s="144"/>
      <c r="K984" s="145"/>
      <c r="L984" s="150"/>
      <c r="M984" s="146"/>
      <c r="N984" s="146"/>
      <c r="O984" s="146"/>
      <c r="P984" s="146"/>
      <c r="Q984" s="146"/>
      <c r="R984" s="190"/>
      <c r="S984" s="190"/>
      <c r="T984" s="190"/>
      <c r="U984" s="190"/>
      <c r="V984" s="190"/>
      <c r="W984" s="190"/>
      <c r="X984" s="190"/>
      <c r="Y984" s="190"/>
      <c r="Z984" s="190"/>
    </row>
    <row r="985" ht="15.75" customHeight="1">
      <c r="A985" s="228"/>
      <c r="B985" s="165"/>
      <c r="C985" s="162"/>
      <c r="D985" s="142"/>
      <c r="E985" s="144"/>
      <c r="F985" s="144"/>
      <c r="G985" s="144"/>
      <c r="H985" s="144"/>
      <c r="I985" s="182"/>
      <c r="J985" s="144"/>
      <c r="K985" s="145"/>
      <c r="L985" s="150"/>
      <c r="M985" s="146"/>
      <c r="N985" s="146"/>
      <c r="O985" s="146"/>
      <c r="P985" s="146"/>
      <c r="Q985" s="146"/>
      <c r="R985" s="190"/>
      <c r="S985" s="190"/>
      <c r="T985" s="190"/>
      <c r="U985" s="190"/>
      <c r="V985" s="190"/>
      <c r="W985" s="190"/>
      <c r="X985" s="190"/>
      <c r="Y985" s="190"/>
      <c r="Z985" s="190"/>
    </row>
    <row r="986" ht="15.75" customHeight="1">
      <c r="A986" s="228"/>
      <c r="B986" s="165"/>
      <c r="C986" s="162"/>
      <c r="D986" s="142"/>
      <c r="E986" s="144"/>
      <c r="F986" s="144"/>
      <c r="G986" s="144"/>
      <c r="H986" s="144"/>
      <c r="I986" s="182"/>
      <c r="J986" s="144"/>
      <c r="K986" s="145"/>
      <c r="L986" s="150"/>
      <c r="M986" s="146"/>
      <c r="N986" s="146"/>
      <c r="O986" s="146"/>
      <c r="P986" s="146"/>
      <c r="Q986" s="146"/>
      <c r="R986" s="190"/>
      <c r="S986" s="190"/>
      <c r="T986" s="190"/>
      <c r="U986" s="190"/>
      <c r="V986" s="190"/>
      <c r="W986" s="190"/>
      <c r="X986" s="190"/>
      <c r="Y986" s="190"/>
      <c r="Z986" s="190"/>
    </row>
    <row r="987" ht="15.75" customHeight="1">
      <c r="A987" s="228"/>
      <c r="B987" s="165"/>
      <c r="C987" s="162"/>
      <c r="D987" s="142"/>
      <c r="E987" s="144"/>
      <c r="F987" s="144"/>
      <c r="G987" s="144"/>
      <c r="H987" s="144"/>
      <c r="I987" s="182"/>
      <c r="J987" s="144"/>
      <c r="K987" s="145"/>
      <c r="L987" s="150"/>
      <c r="M987" s="146"/>
      <c r="N987" s="146"/>
      <c r="O987" s="146"/>
      <c r="P987" s="146"/>
      <c r="Q987" s="146"/>
      <c r="R987" s="190"/>
      <c r="S987" s="190"/>
      <c r="T987" s="190"/>
      <c r="U987" s="190"/>
      <c r="V987" s="190"/>
      <c r="W987" s="190"/>
      <c r="X987" s="190"/>
      <c r="Y987" s="190"/>
      <c r="Z987" s="190"/>
    </row>
    <row r="988" ht="15.75" customHeight="1">
      <c r="A988" s="228"/>
      <c r="B988" s="165"/>
      <c r="C988" s="162"/>
      <c r="D988" s="142"/>
      <c r="E988" s="144"/>
      <c r="F988" s="144"/>
      <c r="G988" s="144"/>
      <c r="H988" s="144"/>
      <c r="I988" s="182"/>
      <c r="J988" s="144"/>
      <c r="K988" s="145"/>
      <c r="L988" s="150"/>
      <c r="M988" s="146"/>
      <c r="N988" s="146"/>
      <c r="O988" s="146"/>
      <c r="P988" s="146"/>
      <c r="Q988" s="146"/>
      <c r="R988" s="190"/>
      <c r="S988" s="190"/>
      <c r="T988" s="190"/>
      <c r="U988" s="190"/>
      <c r="V988" s="190"/>
      <c r="W988" s="190"/>
      <c r="X988" s="190"/>
      <c r="Y988" s="190"/>
      <c r="Z988" s="190"/>
    </row>
    <row r="989" ht="15.75" customHeight="1">
      <c r="A989" s="228"/>
      <c r="B989" s="165"/>
      <c r="C989" s="162"/>
      <c r="D989" s="142"/>
      <c r="E989" s="144"/>
      <c r="F989" s="144"/>
      <c r="G989" s="144"/>
      <c r="H989" s="144"/>
      <c r="I989" s="182"/>
      <c r="J989" s="144"/>
      <c r="K989" s="145"/>
      <c r="L989" s="150"/>
      <c r="M989" s="146"/>
      <c r="N989" s="146"/>
      <c r="O989" s="146"/>
      <c r="P989" s="146"/>
      <c r="Q989" s="146"/>
      <c r="R989" s="190"/>
      <c r="S989" s="190"/>
      <c r="T989" s="190"/>
      <c r="U989" s="190"/>
      <c r="V989" s="190"/>
      <c r="W989" s="190"/>
      <c r="X989" s="190"/>
      <c r="Y989" s="190"/>
      <c r="Z989" s="190"/>
    </row>
    <row r="990" ht="15.75" customHeight="1">
      <c r="A990" s="228"/>
      <c r="B990" s="165"/>
      <c r="C990" s="162"/>
      <c r="D990" s="142"/>
      <c r="E990" s="144"/>
      <c r="F990" s="144"/>
      <c r="G990" s="144"/>
      <c r="H990" s="144"/>
      <c r="I990" s="182"/>
      <c r="J990" s="144"/>
      <c r="K990" s="145"/>
      <c r="L990" s="150"/>
      <c r="M990" s="146"/>
      <c r="N990" s="146"/>
      <c r="O990" s="146"/>
      <c r="P990" s="146"/>
      <c r="Q990" s="146"/>
      <c r="R990" s="190"/>
      <c r="S990" s="190"/>
      <c r="T990" s="190"/>
      <c r="U990" s="190"/>
      <c r="V990" s="190"/>
      <c r="W990" s="190"/>
      <c r="X990" s="190"/>
      <c r="Y990" s="190"/>
      <c r="Z990" s="190"/>
    </row>
    <row r="991" ht="15.75" customHeight="1">
      <c r="A991" s="228"/>
      <c r="B991" s="165"/>
      <c r="C991" s="162"/>
      <c r="D991" s="142"/>
      <c r="E991" s="144"/>
      <c r="F991" s="144"/>
      <c r="G991" s="144"/>
      <c r="H991" s="144"/>
      <c r="I991" s="182"/>
      <c r="J991" s="144"/>
      <c r="K991" s="145"/>
      <c r="L991" s="150"/>
      <c r="M991" s="146"/>
      <c r="N991" s="146"/>
      <c r="O991" s="146"/>
      <c r="P991" s="146"/>
      <c r="Q991" s="146"/>
      <c r="R991" s="190"/>
      <c r="S991" s="190"/>
      <c r="T991" s="190"/>
      <c r="U991" s="190"/>
      <c r="V991" s="190"/>
      <c r="W991" s="190"/>
      <c r="X991" s="190"/>
      <c r="Y991" s="190"/>
      <c r="Z991" s="190"/>
    </row>
    <row r="992" ht="15.75" customHeight="1">
      <c r="A992" s="228"/>
      <c r="B992" s="165"/>
      <c r="C992" s="162"/>
      <c r="D992" s="142"/>
      <c r="E992" s="144"/>
      <c r="F992" s="144"/>
      <c r="G992" s="144"/>
      <c r="H992" s="144"/>
      <c r="I992" s="182"/>
      <c r="J992" s="144"/>
      <c r="K992" s="145"/>
      <c r="L992" s="150"/>
      <c r="M992" s="146"/>
      <c r="N992" s="146"/>
      <c r="O992" s="146"/>
      <c r="P992" s="146"/>
      <c r="Q992" s="146"/>
      <c r="R992" s="190"/>
      <c r="S992" s="190"/>
      <c r="T992" s="190"/>
      <c r="U992" s="190"/>
      <c r="V992" s="190"/>
      <c r="W992" s="190"/>
      <c r="X992" s="190"/>
      <c r="Y992" s="190"/>
      <c r="Z992" s="190"/>
    </row>
    <row r="993" ht="15.75" customHeight="1">
      <c r="A993" s="228"/>
      <c r="B993" s="165"/>
      <c r="C993" s="162"/>
      <c r="D993" s="142"/>
      <c r="E993" s="144"/>
      <c r="F993" s="144"/>
      <c r="G993" s="144"/>
      <c r="H993" s="144"/>
      <c r="I993" s="182"/>
      <c r="J993" s="144"/>
      <c r="K993" s="145"/>
      <c r="L993" s="150"/>
      <c r="M993" s="146"/>
      <c r="N993" s="146"/>
      <c r="O993" s="146"/>
      <c r="P993" s="146"/>
      <c r="Q993" s="146"/>
      <c r="R993" s="190"/>
      <c r="S993" s="190"/>
      <c r="T993" s="190"/>
      <c r="U993" s="190"/>
      <c r="V993" s="190"/>
      <c r="W993" s="190"/>
      <c r="X993" s="190"/>
      <c r="Y993" s="190"/>
      <c r="Z993" s="190"/>
    </row>
    <row r="994" ht="15.75" customHeight="1">
      <c r="A994" s="228"/>
      <c r="B994" s="165"/>
      <c r="C994" s="162"/>
      <c r="D994" s="142"/>
      <c r="E994" s="144"/>
      <c r="F994" s="144"/>
      <c r="G994" s="144"/>
      <c r="H994" s="144"/>
      <c r="I994" s="182"/>
      <c r="J994" s="144"/>
      <c r="K994" s="145"/>
      <c r="L994" s="150"/>
      <c r="M994" s="146"/>
      <c r="N994" s="146"/>
      <c r="O994" s="146"/>
      <c r="P994" s="146"/>
      <c r="Q994" s="146"/>
      <c r="R994" s="190"/>
      <c r="S994" s="190"/>
      <c r="T994" s="190"/>
      <c r="U994" s="190"/>
      <c r="V994" s="190"/>
      <c r="W994" s="190"/>
      <c r="X994" s="190"/>
      <c r="Y994" s="190"/>
      <c r="Z994" s="190"/>
    </row>
    <row r="995" ht="15.75" customHeight="1">
      <c r="A995" s="228"/>
      <c r="B995" s="165"/>
      <c r="C995" s="162"/>
      <c r="D995" s="142"/>
      <c r="E995" s="144"/>
      <c r="F995" s="144"/>
      <c r="G995" s="144"/>
      <c r="H995" s="144"/>
      <c r="I995" s="182"/>
      <c r="J995" s="144"/>
      <c r="K995" s="145"/>
      <c r="L995" s="150"/>
      <c r="M995" s="146"/>
      <c r="N995" s="146"/>
      <c r="O995" s="146"/>
      <c r="P995" s="146"/>
      <c r="Q995" s="146"/>
      <c r="R995" s="190"/>
      <c r="S995" s="190"/>
      <c r="T995" s="190"/>
      <c r="U995" s="190"/>
      <c r="V995" s="190"/>
      <c r="W995" s="190"/>
      <c r="X995" s="190"/>
      <c r="Y995" s="190"/>
      <c r="Z995" s="190"/>
    </row>
    <row r="996" ht="15.75" customHeight="1">
      <c r="A996" s="228"/>
      <c r="B996" s="165"/>
      <c r="C996" s="162"/>
      <c r="D996" s="142"/>
      <c r="E996" s="144"/>
      <c r="F996" s="144"/>
      <c r="G996" s="144"/>
      <c r="H996" s="144"/>
      <c r="I996" s="182"/>
      <c r="J996" s="144"/>
      <c r="K996" s="145"/>
      <c r="L996" s="150"/>
      <c r="M996" s="146"/>
      <c r="N996" s="146"/>
      <c r="O996" s="146"/>
      <c r="P996" s="146"/>
      <c r="Q996" s="146"/>
      <c r="R996" s="190"/>
      <c r="S996" s="190"/>
      <c r="T996" s="190"/>
      <c r="U996" s="190"/>
      <c r="V996" s="190"/>
      <c r="W996" s="190"/>
      <c r="X996" s="190"/>
      <c r="Y996" s="190"/>
      <c r="Z996" s="190"/>
    </row>
    <row r="997" ht="15.75" customHeight="1">
      <c r="A997" s="228"/>
      <c r="B997" s="165"/>
      <c r="C997" s="162"/>
      <c r="D997" s="142"/>
      <c r="E997" s="144"/>
      <c r="F997" s="144"/>
      <c r="G997" s="144"/>
      <c r="H997" s="144"/>
      <c r="I997" s="182"/>
      <c r="J997" s="144"/>
      <c r="K997" s="145"/>
      <c r="L997" s="150"/>
      <c r="M997" s="146"/>
      <c r="N997" s="146"/>
      <c r="O997" s="146"/>
      <c r="P997" s="146"/>
      <c r="Q997" s="146"/>
      <c r="R997" s="190"/>
      <c r="S997" s="190"/>
      <c r="T997" s="190"/>
      <c r="U997" s="190"/>
      <c r="V997" s="190"/>
      <c r="W997" s="190"/>
      <c r="X997" s="190"/>
      <c r="Y997" s="190"/>
      <c r="Z997" s="190"/>
    </row>
    <row r="998" ht="15.75" customHeight="1">
      <c r="A998" s="228"/>
      <c r="B998" s="165"/>
      <c r="C998" s="162"/>
      <c r="D998" s="142"/>
      <c r="E998" s="144"/>
      <c r="F998" s="144"/>
      <c r="G998" s="144"/>
      <c r="H998" s="144"/>
      <c r="I998" s="182"/>
      <c r="J998" s="144"/>
      <c r="K998" s="145"/>
      <c r="L998" s="150"/>
      <c r="M998" s="146"/>
      <c r="N998" s="146"/>
      <c r="O998" s="146"/>
      <c r="P998" s="146"/>
      <c r="Q998" s="146"/>
      <c r="R998" s="190"/>
      <c r="S998" s="190"/>
      <c r="T998" s="190"/>
      <c r="U998" s="190"/>
      <c r="V998" s="190"/>
      <c r="W998" s="190"/>
      <c r="X998" s="190"/>
      <c r="Y998" s="190"/>
      <c r="Z998" s="190"/>
    </row>
    <row r="999" ht="15.75" customHeight="1">
      <c r="A999" s="228"/>
      <c r="B999" s="165"/>
      <c r="C999" s="162"/>
      <c r="D999" s="142"/>
      <c r="E999" s="144"/>
      <c r="F999" s="144"/>
      <c r="G999" s="144"/>
      <c r="H999" s="144"/>
      <c r="I999" s="182"/>
      <c r="J999" s="144"/>
      <c r="K999" s="145"/>
      <c r="L999" s="150"/>
      <c r="M999" s="146"/>
      <c r="N999" s="146"/>
      <c r="O999" s="146"/>
      <c r="P999" s="146"/>
      <c r="Q999" s="146"/>
      <c r="R999" s="190"/>
      <c r="S999" s="190"/>
      <c r="T999" s="190"/>
      <c r="U999" s="190"/>
      <c r="V999" s="190"/>
      <c r="W999" s="190"/>
      <c r="X999" s="190"/>
      <c r="Y999" s="190"/>
      <c r="Z999" s="190"/>
    </row>
    <row r="1000" ht="15.75" customHeight="1">
      <c r="A1000" s="228"/>
      <c r="B1000" s="165"/>
      <c r="C1000" s="162"/>
      <c r="D1000" s="142"/>
      <c r="E1000" s="144"/>
      <c r="F1000" s="144"/>
      <c r="G1000" s="144"/>
      <c r="H1000" s="144"/>
      <c r="I1000" s="182"/>
      <c r="J1000" s="144"/>
      <c r="K1000" s="145"/>
      <c r="L1000" s="150"/>
      <c r="M1000" s="146"/>
      <c r="N1000" s="146"/>
      <c r="O1000" s="146"/>
      <c r="P1000" s="146"/>
      <c r="Q1000" s="146"/>
      <c r="R1000" s="190"/>
      <c r="S1000" s="190"/>
      <c r="T1000" s="190"/>
      <c r="U1000" s="190"/>
      <c r="V1000" s="190"/>
      <c r="W1000" s="190"/>
      <c r="X1000" s="190"/>
      <c r="Y1000" s="190"/>
      <c r="Z1000" s="190"/>
    </row>
  </sheetData>
  <dataValidations>
    <dataValidation type="list" allowBlank="1" showErrorMessage="1" sqref="C3:C8">
      <formula1>"OS,Gestão própria,OSS,Sem informaçao"</formula1>
    </dataValidation>
  </dataValidations>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0"/>
  <cols>
    <col customWidth="1" min="1" max="1" width="1.25"/>
    <col customWidth="1" min="2" max="3" width="25.25"/>
    <col customWidth="1" min="4" max="4" width="9.63"/>
    <col customWidth="1" min="5" max="5" width="17.75"/>
    <col customWidth="1" min="6" max="6" width="40.25"/>
    <col customWidth="1" min="7" max="7" width="19.25"/>
    <col customWidth="1" min="8" max="8" width="13.75"/>
    <col customWidth="1" min="9" max="9" width="19.25"/>
    <col customWidth="1" min="10" max="10" width="17.13"/>
    <col customWidth="1" min="11" max="11" width="50.63"/>
    <col customWidth="1" min="12" max="12" width="68.88"/>
  </cols>
  <sheetData>
    <row r="1" ht="89.25" customHeight="1">
      <c r="A1" s="2"/>
      <c r="B1" s="4"/>
      <c r="C1" s="6"/>
      <c r="D1" s="7"/>
      <c r="E1" s="8"/>
      <c r="F1" s="7"/>
      <c r="G1" s="10"/>
      <c r="H1" s="6"/>
      <c r="I1" s="11"/>
      <c r="J1" s="12"/>
      <c r="K1" s="12"/>
      <c r="L1" s="12"/>
    </row>
    <row r="2" ht="36.75" customHeight="1">
      <c r="A2" s="15"/>
      <c r="B2" s="18" t="s">
        <v>0</v>
      </c>
      <c r="C2" s="20" t="s">
        <v>2</v>
      </c>
      <c r="D2" s="18" t="s">
        <v>3</v>
      </c>
      <c r="E2" s="27" t="s">
        <v>6</v>
      </c>
      <c r="F2" s="18" t="s">
        <v>9</v>
      </c>
      <c r="G2" s="18" t="s">
        <v>13</v>
      </c>
      <c r="H2" s="18"/>
      <c r="I2" s="18"/>
      <c r="J2" s="32"/>
      <c r="K2" s="32"/>
      <c r="L2" s="32"/>
    </row>
    <row r="3" ht="137.25" customHeight="1">
      <c r="A3" s="34"/>
      <c r="B3" s="36" t="s">
        <v>30</v>
      </c>
      <c r="C3" s="38" t="s">
        <v>32</v>
      </c>
      <c r="D3" s="38" t="s">
        <v>37</v>
      </c>
      <c r="E3" s="42">
        <v>165.0</v>
      </c>
      <c r="F3" s="43" t="s">
        <v>41</v>
      </c>
      <c r="G3" s="46" t="s">
        <v>44</v>
      </c>
      <c r="H3" s="50"/>
      <c r="I3" s="50"/>
      <c r="J3" s="54"/>
      <c r="K3" s="87"/>
      <c r="L3" s="54"/>
    </row>
    <row r="4" ht="137.25" customHeight="1">
      <c r="A4" s="91"/>
      <c r="B4" s="100" t="s">
        <v>88</v>
      </c>
      <c r="C4" s="38" t="s">
        <v>32</v>
      </c>
      <c r="D4" s="38" t="s">
        <v>94</v>
      </c>
      <c r="E4" s="42">
        <v>120.0</v>
      </c>
      <c r="F4" s="102" t="s">
        <v>44</v>
      </c>
      <c r="G4" s="46" t="s">
        <v>44</v>
      </c>
      <c r="H4" s="106"/>
      <c r="I4" s="107"/>
      <c r="J4" s="107"/>
      <c r="K4" s="107"/>
      <c r="L4" s="107"/>
    </row>
    <row r="5" ht="137.25" customHeight="1">
      <c r="A5" s="91"/>
      <c r="B5" s="100" t="s">
        <v>110</v>
      </c>
      <c r="C5" s="38" t="s">
        <v>32</v>
      </c>
      <c r="D5" s="38" t="s">
        <v>50</v>
      </c>
      <c r="E5" s="42">
        <v>165.0</v>
      </c>
      <c r="F5" s="43" t="s">
        <v>41</v>
      </c>
      <c r="G5" s="46" t="s">
        <v>44</v>
      </c>
      <c r="H5" s="38"/>
      <c r="I5" s="108"/>
      <c r="J5" s="109"/>
      <c r="K5" s="110"/>
      <c r="L5" s="111"/>
    </row>
    <row r="6" ht="137.25" customHeight="1">
      <c r="A6" s="91"/>
      <c r="B6" s="100" t="s">
        <v>118</v>
      </c>
      <c r="C6" s="38" t="s">
        <v>32</v>
      </c>
      <c r="D6" s="38" t="s">
        <v>119</v>
      </c>
      <c r="E6" s="42">
        <v>165.0</v>
      </c>
      <c r="F6" s="43" t="s">
        <v>41</v>
      </c>
      <c r="G6" s="46" t="s">
        <v>44</v>
      </c>
      <c r="H6" s="106"/>
      <c r="I6" s="107"/>
      <c r="J6" s="107"/>
      <c r="K6" s="107"/>
      <c r="L6" s="107"/>
    </row>
    <row r="7" ht="137.25" customHeight="1">
      <c r="A7" s="91"/>
      <c r="B7" s="100" t="s">
        <v>123</v>
      </c>
      <c r="C7" s="114" t="s">
        <v>32</v>
      </c>
      <c r="D7" s="38" t="s">
        <v>127</v>
      </c>
      <c r="E7" s="42"/>
      <c r="F7" s="115" t="s">
        <v>44</v>
      </c>
      <c r="G7" s="46" t="s">
        <v>44</v>
      </c>
      <c r="H7" s="116"/>
      <c r="I7" s="120"/>
      <c r="J7" s="107"/>
      <c r="K7" s="107"/>
      <c r="L7" s="107"/>
    </row>
    <row r="8" ht="137.25" customHeight="1">
      <c r="A8" s="91"/>
      <c r="B8" s="100" t="s">
        <v>134</v>
      </c>
      <c r="C8" s="114" t="s">
        <v>32</v>
      </c>
      <c r="D8" s="38" t="s">
        <v>119</v>
      </c>
      <c r="E8" s="42"/>
      <c r="F8" s="115" t="s">
        <v>44</v>
      </c>
      <c r="G8" s="46" t="s">
        <v>44</v>
      </c>
      <c r="H8" s="106"/>
      <c r="I8" s="107"/>
      <c r="J8" s="107"/>
      <c r="K8" s="107"/>
      <c r="L8" s="107"/>
    </row>
    <row r="9" ht="137.25" customHeight="1">
      <c r="A9" s="91"/>
      <c r="B9" s="100" t="s">
        <v>137</v>
      </c>
      <c r="C9" s="38" t="s">
        <v>32</v>
      </c>
      <c r="D9" s="38" t="s">
        <v>138</v>
      </c>
      <c r="E9" s="127"/>
      <c r="F9" s="115" t="s">
        <v>44</v>
      </c>
      <c r="G9" s="46" t="s">
        <v>44</v>
      </c>
      <c r="H9" s="106"/>
      <c r="I9" s="107"/>
      <c r="J9" s="107"/>
      <c r="K9" s="107"/>
      <c r="L9" s="107"/>
    </row>
    <row r="10" ht="137.25" customHeight="1">
      <c r="A10" s="91"/>
      <c r="B10" s="100" t="s">
        <v>142</v>
      </c>
      <c r="C10" s="38" t="s">
        <v>144</v>
      </c>
      <c r="D10" s="38" t="s">
        <v>37</v>
      </c>
      <c r="E10" s="129">
        <v>246.0</v>
      </c>
      <c r="F10" s="115" t="s">
        <v>44</v>
      </c>
      <c r="G10" s="46" t="s">
        <v>44</v>
      </c>
      <c r="H10" s="131"/>
      <c r="I10" s="133"/>
      <c r="J10" s="107"/>
      <c r="K10" s="107"/>
      <c r="L10" s="107"/>
    </row>
    <row r="11" ht="137.25" customHeight="1">
      <c r="A11" s="91"/>
      <c r="B11" s="100"/>
      <c r="C11" s="114"/>
      <c r="D11" s="135"/>
      <c r="E11" s="127"/>
      <c r="F11" s="115"/>
      <c r="G11" s="136"/>
      <c r="H11" s="106"/>
      <c r="I11" s="107"/>
      <c r="J11" s="107"/>
      <c r="K11" s="107"/>
      <c r="L11" s="109"/>
    </row>
    <row r="12" ht="137.25" customHeight="1">
      <c r="A12" s="137"/>
      <c r="B12" s="138"/>
      <c r="C12" s="139"/>
      <c r="D12" s="140"/>
      <c r="E12" s="141"/>
      <c r="F12" s="142"/>
      <c r="G12" s="143"/>
      <c r="H12" s="144"/>
      <c r="I12" s="145"/>
      <c r="J12" s="146"/>
      <c r="K12" s="146"/>
      <c r="L12" s="147"/>
    </row>
    <row r="13" ht="137.25" customHeight="1">
      <c r="A13" s="137"/>
      <c r="B13" s="138"/>
      <c r="C13" s="139"/>
      <c r="D13" s="140"/>
      <c r="E13" s="141"/>
      <c r="F13" s="142"/>
      <c r="G13" s="149"/>
      <c r="H13" s="150"/>
      <c r="I13" s="146"/>
      <c r="J13" s="146"/>
      <c r="K13" s="146"/>
      <c r="L13" s="151"/>
    </row>
    <row r="14" ht="137.25" customHeight="1">
      <c r="A14" s="137"/>
      <c r="B14" s="138"/>
      <c r="C14" s="139"/>
      <c r="D14" s="153"/>
      <c r="E14" s="141"/>
      <c r="F14" s="142"/>
      <c r="G14" s="149"/>
      <c r="H14" s="150"/>
      <c r="I14" s="146"/>
      <c r="J14" s="146"/>
      <c r="K14" s="146"/>
      <c r="L14" s="147"/>
    </row>
    <row r="15" ht="137.25" customHeight="1">
      <c r="A15" s="137"/>
      <c r="B15" s="138"/>
      <c r="C15" s="155"/>
      <c r="D15" s="140"/>
      <c r="E15" s="141"/>
      <c r="F15" s="142"/>
      <c r="G15" s="149"/>
      <c r="H15" s="150"/>
      <c r="I15" s="146"/>
      <c r="J15" s="146"/>
      <c r="K15" s="146"/>
      <c r="L15" s="151"/>
    </row>
    <row r="16" ht="137.25" customHeight="1">
      <c r="A16" s="137"/>
      <c r="B16" s="138"/>
      <c r="C16" s="155"/>
      <c r="D16" s="140"/>
      <c r="E16" s="141"/>
      <c r="F16" s="142"/>
      <c r="G16" s="149"/>
      <c r="H16" s="150"/>
      <c r="I16" s="146"/>
      <c r="J16" s="146"/>
      <c r="K16" s="146"/>
      <c r="L16" s="147"/>
    </row>
    <row r="17" ht="137.25" customHeight="1">
      <c r="A17" s="137"/>
      <c r="B17" s="138"/>
      <c r="C17" s="155"/>
      <c r="D17" s="140"/>
      <c r="E17" s="141"/>
      <c r="F17" s="142"/>
      <c r="G17" s="149"/>
      <c r="H17" s="150"/>
      <c r="I17" s="146"/>
      <c r="J17" s="146"/>
      <c r="K17" s="146"/>
      <c r="L17" s="151"/>
    </row>
    <row r="18" ht="137.25" customHeight="1">
      <c r="A18" s="137"/>
      <c r="B18" s="138"/>
      <c r="C18" s="155"/>
      <c r="D18" s="140"/>
      <c r="E18" s="141"/>
      <c r="F18" s="142"/>
      <c r="G18" s="149"/>
      <c r="H18" s="150"/>
      <c r="I18" s="146"/>
      <c r="J18" s="146"/>
      <c r="K18" s="146"/>
      <c r="L18" s="147"/>
    </row>
    <row r="19" ht="137.25" customHeight="1">
      <c r="A19" s="137"/>
      <c r="B19" s="138"/>
      <c r="C19" s="162"/>
      <c r="D19" s="140"/>
      <c r="E19" s="141"/>
      <c r="F19" s="142"/>
      <c r="G19" s="143"/>
      <c r="H19" s="144"/>
      <c r="I19" s="145"/>
      <c r="J19" s="146"/>
      <c r="K19" s="146"/>
      <c r="L19" s="151"/>
    </row>
    <row r="20" ht="137.25" customHeight="1">
      <c r="A20" s="137"/>
      <c r="B20" s="138"/>
      <c r="C20" s="155"/>
      <c r="D20" s="140"/>
      <c r="E20" s="141"/>
      <c r="F20" s="142"/>
      <c r="G20" s="149"/>
      <c r="H20" s="150"/>
      <c r="I20" s="146"/>
      <c r="J20" s="146"/>
      <c r="K20" s="146"/>
      <c r="L20" s="147"/>
    </row>
    <row r="21" ht="137.25" customHeight="1">
      <c r="A21" s="137"/>
      <c r="B21" s="163"/>
      <c r="C21" s="155"/>
      <c r="D21" s="140"/>
      <c r="E21" s="141"/>
      <c r="F21" s="142"/>
      <c r="G21" s="149"/>
      <c r="H21" s="150"/>
      <c r="I21" s="146"/>
      <c r="J21" s="146"/>
      <c r="K21" s="146"/>
      <c r="L21" s="151"/>
    </row>
    <row r="22" ht="137.25" customHeight="1">
      <c r="A22" s="137"/>
      <c r="B22" s="163"/>
      <c r="C22" s="155"/>
      <c r="D22" s="140"/>
      <c r="E22" s="141"/>
      <c r="F22" s="142"/>
      <c r="G22" s="149"/>
      <c r="H22" s="150"/>
      <c r="I22" s="146"/>
      <c r="J22" s="146"/>
      <c r="K22" s="146"/>
      <c r="L22" s="147"/>
    </row>
    <row r="23" ht="137.25" customHeight="1">
      <c r="A23" s="137"/>
      <c r="B23" s="138"/>
      <c r="C23" s="155"/>
      <c r="D23" s="140"/>
      <c r="E23" s="141"/>
      <c r="F23" s="142"/>
      <c r="G23" s="149"/>
      <c r="H23" s="150"/>
      <c r="I23" s="146"/>
      <c r="J23" s="146"/>
      <c r="K23" s="146"/>
      <c r="L23" s="147"/>
    </row>
    <row r="24" ht="137.25" customHeight="1">
      <c r="A24" s="137"/>
      <c r="B24" s="138"/>
      <c r="C24" s="155"/>
      <c r="D24" s="140"/>
      <c r="E24" s="141"/>
      <c r="F24" s="142"/>
      <c r="G24" s="149"/>
      <c r="H24" s="150"/>
      <c r="I24" s="146"/>
      <c r="J24" s="146"/>
      <c r="K24" s="146"/>
      <c r="L24" s="151"/>
    </row>
    <row r="25" ht="137.25" customHeight="1">
      <c r="A25" s="137"/>
      <c r="B25" s="138"/>
      <c r="C25" s="155"/>
      <c r="D25" s="140"/>
      <c r="E25" s="141"/>
      <c r="F25" s="142"/>
      <c r="G25" s="149"/>
      <c r="H25" s="150"/>
      <c r="I25" s="146"/>
      <c r="J25" s="146"/>
      <c r="K25" s="146"/>
      <c r="L25" s="147"/>
    </row>
    <row r="26" ht="137.25" customHeight="1">
      <c r="A26" s="137"/>
      <c r="B26" s="138"/>
      <c r="C26" s="155"/>
      <c r="D26" s="140"/>
      <c r="E26" s="141"/>
      <c r="F26" s="142"/>
      <c r="G26" s="149"/>
      <c r="H26" s="150"/>
      <c r="I26" s="146"/>
      <c r="J26" s="146"/>
      <c r="K26" s="146"/>
      <c r="L26" s="147"/>
    </row>
    <row r="27" ht="137.25" customHeight="1">
      <c r="A27" s="137"/>
      <c r="B27" s="138"/>
      <c r="C27" s="155"/>
      <c r="D27" s="140"/>
      <c r="E27" s="141"/>
      <c r="F27" s="142"/>
      <c r="G27" s="149"/>
      <c r="H27" s="150"/>
      <c r="I27" s="146"/>
      <c r="J27" s="146"/>
      <c r="K27" s="146"/>
      <c r="L27" s="151"/>
    </row>
    <row r="28" ht="137.25" customHeight="1">
      <c r="A28" s="137"/>
      <c r="B28" s="138"/>
      <c r="C28" s="155"/>
      <c r="D28" s="140"/>
      <c r="E28" s="141"/>
      <c r="F28" s="142"/>
      <c r="G28" s="149"/>
      <c r="H28" s="150"/>
      <c r="I28" s="146"/>
      <c r="J28" s="146"/>
      <c r="K28" s="146"/>
      <c r="L28" s="151"/>
    </row>
    <row r="29" ht="137.25" customHeight="1">
      <c r="A29" s="137"/>
      <c r="B29" s="163"/>
      <c r="C29" s="155"/>
      <c r="D29" s="140"/>
      <c r="E29" s="141"/>
      <c r="F29" s="142"/>
      <c r="G29" s="149"/>
      <c r="H29" s="150"/>
      <c r="I29" s="146"/>
      <c r="J29" s="146"/>
      <c r="K29" s="146"/>
      <c r="L29" s="151"/>
    </row>
    <row r="30" ht="19.5" customHeight="1">
      <c r="A30" s="137"/>
      <c r="B30" s="125"/>
      <c r="C30" s="155"/>
      <c r="D30" s="140"/>
      <c r="E30" s="141"/>
      <c r="F30" s="142"/>
      <c r="G30" s="149"/>
      <c r="H30" s="150"/>
      <c r="I30" s="146"/>
      <c r="J30" s="146"/>
      <c r="K30" s="146"/>
      <c r="L30" s="151"/>
    </row>
    <row r="31" ht="19.5" customHeight="1">
      <c r="A31" s="137"/>
      <c r="B31" s="164"/>
      <c r="C31" s="155"/>
      <c r="D31" s="140"/>
      <c r="E31" s="141"/>
      <c r="F31" s="142"/>
      <c r="G31" s="149"/>
      <c r="H31" s="150"/>
      <c r="I31" s="146"/>
      <c r="J31" s="146"/>
      <c r="K31" s="146"/>
      <c r="L31" s="151"/>
    </row>
    <row r="32" ht="19.5" customHeight="1">
      <c r="A32" s="137"/>
      <c r="B32" s="165"/>
      <c r="C32" s="162"/>
      <c r="D32" s="140"/>
      <c r="E32" s="141"/>
      <c r="F32" s="142"/>
      <c r="G32" s="143"/>
      <c r="H32" s="144"/>
      <c r="I32" s="145"/>
      <c r="J32" s="146"/>
      <c r="K32" s="146"/>
      <c r="L32" s="151"/>
    </row>
    <row r="33" ht="19.5" customHeight="1">
      <c r="A33" s="137"/>
      <c r="B33" s="164"/>
      <c r="C33" s="155"/>
      <c r="D33" s="140"/>
      <c r="E33" s="141"/>
      <c r="F33" s="142"/>
      <c r="G33" s="149"/>
      <c r="H33" s="150"/>
      <c r="I33" s="146"/>
      <c r="J33" s="146"/>
      <c r="K33" s="146"/>
      <c r="L33" s="151"/>
    </row>
    <row r="34" ht="19.5" customHeight="1">
      <c r="A34" s="137"/>
      <c r="B34" s="165"/>
      <c r="C34" s="162"/>
      <c r="D34" s="140"/>
      <c r="E34" s="141"/>
      <c r="F34" s="142"/>
      <c r="G34" s="143"/>
      <c r="H34" s="144"/>
      <c r="I34" s="145"/>
      <c r="J34" s="146"/>
      <c r="K34" s="146"/>
      <c r="L34" s="147"/>
    </row>
    <row r="35" ht="19.5" customHeight="1">
      <c r="A35" s="137"/>
      <c r="B35" s="164"/>
      <c r="C35" s="155"/>
      <c r="D35" s="140"/>
      <c r="E35" s="141"/>
      <c r="F35" s="142"/>
      <c r="G35" s="149"/>
      <c r="H35" s="150"/>
      <c r="I35" s="146"/>
      <c r="J35" s="146"/>
      <c r="K35" s="146"/>
      <c r="L35" s="147"/>
    </row>
    <row r="36" ht="19.5" customHeight="1">
      <c r="A36" s="137"/>
      <c r="B36" s="164"/>
      <c r="C36" s="155"/>
      <c r="D36" s="140"/>
      <c r="E36" s="141"/>
      <c r="F36" s="142"/>
      <c r="G36" s="149"/>
      <c r="H36" s="150"/>
      <c r="I36" s="146"/>
      <c r="J36" s="146"/>
      <c r="K36" s="146"/>
      <c r="L36" s="147"/>
    </row>
    <row r="37" ht="19.5" customHeight="1">
      <c r="A37" s="137"/>
      <c r="B37" s="164"/>
      <c r="C37" s="155"/>
      <c r="D37" s="140"/>
      <c r="E37" s="141"/>
      <c r="F37" s="142"/>
      <c r="G37" s="149"/>
      <c r="H37" s="150"/>
      <c r="I37" s="146"/>
      <c r="J37" s="146"/>
      <c r="K37" s="146"/>
      <c r="L37" s="147"/>
    </row>
    <row r="38" ht="19.5" customHeight="1">
      <c r="A38" s="137"/>
      <c r="B38" s="165"/>
      <c r="C38" s="162"/>
      <c r="D38" s="140"/>
      <c r="E38" s="141"/>
      <c r="F38" s="142"/>
      <c r="G38" s="143"/>
      <c r="H38" s="144"/>
      <c r="I38" s="145"/>
      <c r="J38" s="146"/>
      <c r="K38" s="146"/>
      <c r="L38" s="147"/>
    </row>
    <row r="39" ht="19.5" customHeight="1">
      <c r="A39" s="137"/>
      <c r="B39" s="165"/>
      <c r="C39" s="162"/>
      <c r="D39" s="140"/>
      <c r="E39" s="141"/>
      <c r="F39" s="142"/>
      <c r="G39" s="143"/>
      <c r="H39" s="144"/>
      <c r="I39" s="145"/>
      <c r="J39" s="146"/>
      <c r="K39" s="146"/>
      <c r="L39" s="147"/>
    </row>
    <row r="40" ht="19.5" customHeight="1">
      <c r="A40" s="137"/>
      <c r="B40" s="165"/>
      <c r="C40" s="162"/>
      <c r="D40" s="140"/>
      <c r="E40" s="141"/>
      <c r="F40" s="142"/>
      <c r="G40" s="143"/>
      <c r="H40" s="144"/>
      <c r="I40" s="145"/>
      <c r="J40" s="146"/>
      <c r="K40" s="146"/>
      <c r="L40" s="147"/>
    </row>
    <row r="41" ht="19.5" customHeight="1">
      <c r="A41" s="137"/>
      <c r="B41" s="165"/>
      <c r="C41" s="162"/>
      <c r="D41" s="140"/>
      <c r="E41" s="141"/>
      <c r="F41" s="142"/>
      <c r="G41" s="143"/>
      <c r="H41" s="144"/>
      <c r="I41" s="145"/>
      <c r="J41" s="146"/>
      <c r="K41" s="146"/>
      <c r="L41" s="147"/>
    </row>
    <row r="42" ht="19.5" customHeight="1">
      <c r="A42" s="123"/>
      <c r="B42" s="165"/>
      <c r="C42" s="162"/>
      <c r="D42" s="140"/>
      <c r="E42" s="141"/>
      <c r="F42" s="142"/>
      <c r="G42" s="143"/>
      <c r="H42" s="144"/>
      <c r="I42" s="145"/>
      <c r="J42" s="146"/>
      <c r="K42" s="146"/>
      <c r="L42" s="146"/>
    </row>
    <row r="43" ht="19.5" customHeight="1">
      <c r="A43" s="123"/>
      <c r="B43" s="165"/>
      <c r="C43" s="162"/>
      <c r="D43" s="140"/>
      <c r="E43" s="141"/>
      <c r="F43" s="142"/>
      <c r="G43" s="143"/>
      <c r="H43" s="144"/>
      <c r="I43" s="145"/>
      <c r="J43" s="146"/>
      <c r="K43" s="146"/>
      <c r="L43" s="146"/>
    </row>
    <row r="44" ht="19.5" customHeight="1">
      <c r="A44" s="123"/>
      <c r="B44" s="165"/>
      <c r="C44" s="162"/>
      <c r="D44" s="140"/>
      <c r="E44" s="141"/>
      <c r="F44" s="142"/>
      <c r="G44" s="143"/>
      <c r="H44" s="144"/>
      <c r="I44" s="145"/>
      <c r="J44" s="146"/>
      <c r="K44" s="146"/>
      <c r="L44" s="146"/>
    </row>
    <row r="45" ht="19.5" customHeight="1">
      <c r="A45" s="123"/>
      <c r="B45" s="165"/>
      <c r="C45" s="162"/>
      <c r="D45" s="140"/>
      <c r="E45" s="141"/>
      <c r="F45" s="142"/>
      <c r="G45" s="143"/>
      <c r="H45" s="144"/>
      <c r="I45" s="145"/>
      <c r="J45" s="146"/>
      <c r="K45" s="146"/>
      <c r="L45" s="146"/>
    </row>
    <row r="46" ht="19.5" customHeight="1">
      <c r="A46" s="123"/>
      <c r="B46" s="165"/>
      <c r="C46" s="162"/>
      <c r="D46" s="140"/>
      <c r="E46" s="141"/>
      <c r="F46" s="142"/>
      <c r="G46" s="143"/>
      <c r="H46" s="144"/>
      <c r="I46" s="145"/>
      <c r="J46" s="146"/>
      <c r="K46" s="146"/>
      <c r="L46" s="146"/>
    </row>
    <row r="47" ht="19.5" customHeight="1">
      <c r="A47" s="123"/>
      <c r="B47" s="165"/>
      <c r="C47" s="162"/>
      <c r="D47" s="140"/>
      <c r="E47" s="141"/>
      <c r="F47" s="142"/>
      <c r="G47" s="143"/>
      <c r="H47" s="144"/>
      <c r="I47" s="145"/>
      <c r="J47" s="146"/>
      <c r="K47" s="146"/>
      <c r="L47" s="146"/>
    </row>
    <row r="48" ht="19.5" customHeight="1">
      <c r="A48" s="123"/>
      <c r="B48" s="165"/>
      <c r="C48" s="162"/>
      <c r="D48" s="140"/>
      <c r="E48" s="141"/>
      <c r="F48" s="142"/>
      <c r="G48" s="143"/>
      <c r="H48" s="144"/>
      <c r="I48" s="145"/>
      <c r="J48" s="146"/>
      <c r="K48" s="146"/>
      <c r="L48" s="146"/>
    </row>
    <row r="49" ht="19.5" customHeight="1">
      <c r="A49" s="123"/>
      <c r="B49" s="165"/>
      <c r="C49" s="162"/>
      <c r="D49" s="140"/>
      <c r="E49" s="141"/>
      <c r="F49" s="142"/>
      <c r="G49" s="143"/>
      <c r="H49" s="144"/>
      <c r="I49" s="145"/>
      <c r="J49" s="146"/>
      <c r="K49" s="146"/>
      <c r="L49" s="146"/>
    </row>
    <row r="50" ht="19.5" customHeight="1">
      <c r="A50" s="123"/>
      <c r="B50" s="165"/>
      <c r="C50" s="162"/>
      <c r="D50" s="140"/>
      <c r="E50" s="141"/>
      <c r="F50" s="142"/>
      <c r="G50" s="143"/>
      <c r="H50" s="144"/>
      <c r="I50" s="145"/>
      <c r="J50" s="146"/>
      <c r="K50" s="146"/>
      <c r="L50" s="146"/>
    </row>
    <row r="51" ht="19.5" customHeight="1">
      <c r="A51" s="123"/>
      <c r="B51" s="165"/>
      <c r="C51" s="162"/>
      <c r="D51" s="140"/>
      <c r="E51" s="141"/>
      <c r="F51" s="142"/>
      <c r="G51" s="143"/>
      <c r="H51" s="144"/>
      <c r="I51" s="145"/>
      <c r="J51" s="146"/>
      <c r="K51" s="146"/>
      <c r="L51" s="146"/>
    </row>
    <row r="52" ht="19.5" customHeight="1">
      <c r="A52" s="123"/>
      <c r="B52" s="165"/>
      <c r="C52" s="162"/>
      <c r="D52" s="140"/>
      <c r="E52" s="141"/>
      <c r="F52" s="142"/>
      <c r="G52" s="143"/>
      <c r="H52" s="144"/>
      <c r="I52" s="145"/>
      <c r="J52" s="146"/>
      <c r="K52" s="146"/>
      <c r="L52" s="146"/>
    </row>
    <row r="53" ht="19.5" customHeight="1">
      <c r="A53" s="123"/>
      <c r="B53" s="165"/>
      <c r="C53" s="162"/>
      <c r="D53" s="140"/>
      <c r="E53" s="141"/>
      <c r="F53" s="142"/>
      <c r="G53" s="143"/>
      <c r="H53" s="144"/>
      <c r="I53" s="145"/>
      <c r="J53" s="146"/>
      <c r="K53" s="146"/>
      <c r="L53" s="146"/>
    </row>
    <row r="54" ht="19.5" customHeight="1">
      <c r="A54" s="123"/>
      <c r="B54" s="165"/>
      <c r="C54" s="162"/>
      <c r="D54" s="140"/>
      <c r="E54" s="141"/>
      <c r="F54" s="142"/>
      <c r="G54" s="143"/>
      <c r="H54" s="144"/>
      <c r="I54" s="145"/>
      <c r="J54" s="146"/>
      <c r="K54" s="146"/>
      <c r="L54" s="146"/>
    </row>
    <row r="55" ht="19.5" customHeight="1">
      <c r="A55" s="123"/>
      <c r="B55" s="165"/>
      <c r="C55" s="162"/>
      <c r="D55" s="140"/>
      <c r="E55" s="141"/>
      <c r="F55" s="142"/>
      <c r="G55" s="143"/>
      <c r="H55" s="144"/>
      <c r="I55" s="145"/>
      <c r="J55" s="146"/>
      <c r="K55" s="146"/>
      <c r="L55" s="146"/>
    </row>
    <row r="56" ht="19.5" customHeight="1">
      <c r="A56" s="123"/>
      <c r="B56" s="165"/>
      <c r="C56" s="162"/>
      <c r="D56" s="140"/>
      <c r="E56" s="141"/>
      <c r="F56" s="142"/>
      <c r="G56" s="143"/>
      <c r="H56" s="144"/>
      <c r="I56" s="145"/>
      <c r="J56" s="146"/>
      <c r="K56" s="146"/>
      <c r="L56" s="146"/>
    </row>
    <row r="57" ht="19.5" customHeight="1">
      <c r="A57" s="123"/>
      <c r="B57" s="165"/>
      <c r="C57" s="162"/>
      <c r="D57" s="140"/>
      <c r="E57" s="141"/>
      <c r="F57" s="142"/>
      <c r="G57" s="143"/>
      <c r="H57" s="144"/>
      <c r="I57" s="145"/>
      <c r="J57" s="146"/>
      <c r="K57" s="146"/>
      <c r="L57" s="146"/>
    </row>
    <row r="58" ht="19.5" customHeight="1">
      <c r="A58" s="123"/>
      <c r="B58" s="165"/>
      <c r="C58" s="162"/>
      <c r="D58" s="140"/>
      <c r="E58" s="141"/>
      <c r="F58" s="142"/>
      <c r="G58" s="143"/>
      <c r="H58" s="144"/>
      <c r="I58" s="145"/>
      <c r="J58" s="146"/>
      <c r="K58" s="146"/>
      <c r="L58" s="146"/>
    </row>
    <row r="59" ht="19.5" customHeight="1">
      <c r="A59" s="123"/>
      <c r="B59" s="165"/>
      <c r="C59" s="162"/>
      <c r="D59" s="140"/>
      <c r="E59" s="141"/>
      <c r="F59" s="142"/>
      <c r="G59" s="143"/>
      <c r="H59" s="144"/>
      <c r="I59" s="145"/>
      <c r="J59" s="146"/>
      <c r="K59" s="146"/>
      <c r="L59" s="146"/>
    </row>
    <row r="60" ht="19.5" customHeight="1">
      <c r="A60" s="123"/>
      <c r="B60" s="165"/>
      <c r="C60" s="162"/>
      <c r="D60" s="140"/>
      <c r="E60" s="141"/>
      <c r="F60" s="142"/>
      <c r="G60" s="143"/>
      <c r="H60" s="144"/>
      <c r="I60" s="145"/>
      <c r="J60" s="146"/>
      <c r="K60" s="146"/>
      <c r="L60" s="146"/>
    </row>
    <row r="61" ht="19.5" customHeight="1">
      <c r="A61" s="123"/>
      <c r="B61" s="165"/>
      <c r="C61" s="162"/>
      <c r="D61" s="140"/>
      <c r="E61" s="141"/>
      <c r="F61" s="142"/>
      <c r="G61" s="143"/>
      <c r="H61" s="144"/>
      <c r="I61" s="145"/>
      <c r="J61" s="146"/>
      <c r="K61" s="146"/>
      <c r="L61" s="146"/>
    </row>
    <row r="62" ht="19.5" customHeight="1">
      <c r="A62" s="123"/>
      <c r="B62" s="165"/>
      <c r="C62" s="162"/>
      <c r="D62" s="140"/>
      <c r="E62" s="141"/>
      <c r="F62" s="142"/>
      <c r="G62" s="143"/>
      <c r="H62" s="144"/>
      <c r="I62" s="145"/>
      <c r="J62" s="146"/>
      <c r="K62" s="146"/>
      <c r="L62" s="146"/>
    </row>
    <row r="63" ht="19.5" customHeight="1">
      <c r="A63" s="123"/>
      <c r="B63" s="165"/>
      <c r="C63" s="162"/>
      <c r="D63" s="140"/>
      <c r="E63" s="141"/>
      <c r="F63" s="142"/>
      <c r="G63" s="143"/>
      <c r="H63" s="144"/>
      <c r="I63" s="145"/>
      <c r="J63" s="146"/>
      <c r="K63" s="146"/>
      <c r="L63" s="146"/>
    </row>
    <row r="64" ht="19.5" customHeight="1">
      <c r="A64" s="123"/>
      <c r="B64" s="165"/>
      <c r="C64" s="162"/>
      <c r="D64" s="140"/>
      <c r="E64" s="141"/>
      <c r="F64" s="142"/>
      <c r="G64" s="143"/>
      <c r="H64" s="144"/>
      <c r="I64" s="145"/>
      <c r="J64" s="146"/>
      <c r="K64" s="146"/>
      <c r="L64" s="146"/>
    </row>
    <row r="65" ht="19.5" customHeight="1">
      <c r="A65" s="123"/>
      <c r="B65" s="165"/>
      <c r="C65" s="162"/>
      <c r="D65" s="140"/>
      <c r="E65" s="141"/>
      <c r="F65" s="142"/>
      <c r="G65" s="143"/>
      <c r="H65" s="144"/>
      <c r="I65" s="145"/>
      <c r="J65" s="146"/>
      <c r="K65" s="146"/>
      <c r="L65" s="146"/>
    </row>
    <row r="66" ht="19.5" customHeight="1">
      <c r="A66" s="123"/>
      <c r="B66" s="165"/>
      <c r="C66" s="162"/>
      <c r="D66" s="140"/>
      <c r="E66" s="141"/>
      <c r="F66" s="142"/>
      <c r="G66" s="143"/>
      <c r="H66" s="144"/>
      <c r="I66" s="145"/>
      <c r="J66" s="146"/>
      <c r="K66" s="146"/>
      <c r="L66" s="146"/>
    </row>
    <row r="67" ht="19.5" customHeight="1">
      <c r="A67" s="123"/>
      <c r="B67" s="165"/>
      <c r="C67" s="162"/>
      <c r="D67" s="140"/>
      <c r="E67" s="141"/>
      <c r="F67" s="142"/>
      <c r="G67" s="143"/>
      <c r="H67" s="144"/>
      <c r="I67" s="145"/>
      <c r="J67" s="146"/>
      <c r="K67" s="146"/>
      <c r="L67" s="146"/>
    </row>
    <row r="68" ht="19.5" customHeight="1">
      <c r="A68" s="123"/>
      <c r="B68" s="165"/>
      <c r="C68" s="162"/>
      <c r="D68" s="140"/>
      <c r="E68" s="141"/>
      <c r="F68" s="142"/>
      <c r="G68" s="143"/>
      <c r="H68" s="144"/>
      <c r="I68" s="145"/>
      <c r="J68" s="146"/>
      <c r="K68" s="146"/>
      <c r="L68" s="146"/>
    </row>
    <row r="69" ht="19.5" customHeight="1">
      <c r="A69" s="123"/>
      <c r="B69" s="165"/>
      <c r="C69" s="162"/>
      <c r="D69" s="140"/>
      <c r="E69" s="141"/>
      <c r="F69" s="142"/>
      <c r="G69" s="143"/>
      <c r="H69" s="144"/>
      <c r="I69" s="145"/>
      <c r="J69" s="146"/>
      <c r="K69" s="146"/>
      <c r="L69" s="146"/>
    </row>
    <row r="70" ht="19.5" customHeight="1">
      <c r="A70" s="123"/>
      <c r="B70" s="165"/>
      <c r="C70" s="162"/>
      <c r="D70" s="140"/>
      <c r="E70" s="141"/>
      <c r="F70" s="142"/>
      <c r="G70" s="143"/>
      <c r="H70" s="144"/>
      <c r="I70" s="145"/>
      <c r="J70" s="146"/>
      <c r="K70" s="146"/>
      <c r="L70" s="146"/>
    </row>
    <row r="71" ht="19.5" customHeight="1">
      <c r="A71" s="123"/>
      <c r="B71" s="165"/>
      <c r="C71" s="162"/>
      <c r="D71" s="140"/>
      <c r="E71" s="141"/>
      <c r="F71" s="142"/>
      <c r="G71" s="143"/>
      <c r="H71" s="144"/>
      <c r="I71" s="145"/>
      <c r="J71" s="146"/>
      <c r="K71" s="146"/>
      <c r="L71" s="146"/>
    </row>
    <row r="72" ht="19.5" customHeight="1">
      <c r="A72" s="123"/>
      <c r="B72" s="165"/>
      <c r="C72" s="162"/>
      <c r="D72" s="140"/>
      <c r="E72" s="141"/>
      <c r="F72" s="142"/>
      <c r="G72" s="143"/>
      <c r="H72" s="144"/>
      <c r="I72" s="145"/>
      <c r="J72" s="146"/>
      <c r="K72" s="146"/>
      <c r="L72" s="146"/>
    </row>
    <row r="73" ht="19.5" customHeight="1">
      <c r="A73" s="123"/>
      <c r="B73" s="165"/>
      <c r="C73" s="162"/>
      <c r="D73" s="140"/>
      <c r="E73" s="141"/>
      <c r="F73" s="142"/>
      <c r="G73" s="143"/>
      <c r="H73" s="144"/>
      <c r="I73" s="145"/>
      <c r="J73" s="146"/>
      <c r="K73" s="146"/>
      <c r="L73" s="146"/>
    </row>
    <row r="74" ht="19.5" customHeight="1">
      <c r="A74" s="123"/>
      <c r="B74" s="165"/>
      <c r="C74" s="162"/>
      <c r="D74" s="140"/>
      <c r="E74" s="141"/>
      <c r="F74" s="142"/>
      <c r="G74" s="143"/>
      <c r="H74" s="144"/>
      <c r="I74" s="145"/>
      <c r="J74" s="146"/>
      <c r="K74" s="146"/>
      <c r="L74" s="146"/>
    </row>
    <row r="75" ht="19.5" customHeight="1">
      <c r="A75" s="123"/>
      <c r="B75" s="165"/>
      <c r="C75" s="162"/>
      <c r="D75" s="140"/>
      <c r="E75" s="141"/>
      <c r="F75" s="142"/>
      <c r="G75" s="143"/>
      <c r="H75" s="144"/>
      <c r="I75" s="145"/>
      <c r="J75" s="146"/>
      <c r="K75" s="146"/>
      <c r="L75" s="146"/>
    </row>
    <row r="76" ht="19.5" customHeight="1">
      <c r="A76" s="123"/>
      <c r="B76" s="165"/>
      <c r="C76" s="162"/>
      <c r="D76" s="140"/>
      <c r="E76" s="141"/>
      <c r="F76" s="142"/>
      <c r="G76" s="143"/>
      <c r="H76" s="144"/>
      <c r="I76" s="145"/>
      <c r="J76" s="146"/>
      <c r="K76" s="146"/>
      <c r="L76" s="146"/>
    </row>
    <row r="77" ht="19.5" customHeight="1">
      <c r="A77" s="123"/>
      <c r="B77" s="165"/>
      <c r="C77" s="162"/>
      <c r="D77" s="140"/>
      <c r="E77" s="141"/>
      <c r="F77" s="142"/>
      <c r="G77" s="143"/>
      <c r="H77" s="144"/>
      <c r="I77" s="145"/>
      <c r="J77" s="146"/>
      <c r="K77" s="146"/>
      <c r="L77" s="146"/>
    </row>
    <row r="78" ht="19.5" customHeight="1">
      <c r="A78" s="123"/>
      <c r="B78" s="165"/>
      <c r="C78" s="162"/>
      <c r="D78" s="140"/>
      <c r="E78" s="141"/>
      <c r="F78" s="142"/>
      <c r="G78" s="143"/>
      <c r="H78" s="144"/>
      <c r="I78" s="145"/>
      <c r="J78" s="146"/>
      <c r="K78" s="146"/>
      <c r="L78" s="146"/>
    </row>
    <row r="79" ht="19.5" customHeight="1">
      <c r="A79" s="123"/>
      <c r="B79" s="165"/>
      <c r="C79" s="162"/>
      <c r="D79" s="140"/>
      <c r="E79" s="141"/>
      <c r="F79" s="142"/>
      <c r="G79" s="143"/>
      <c r="H79" s="144"/>
      <c r="I79" s="145"/>
      <c r="J79" s="146"/>
      <c r="K79" s="146"/>
      <c r="L79" s="146"/>
    </row>
    <row r="80" ht="19.5" customHeight="1">
      <c r="A80" s="123"/>
      <c r="B80" s="165"/>
      <c r="C80" s="162"/>
      <c r="D80" s="140"/>
      <c r="E80" s="141"/>
      <c r="F80" s="142"/>
      <c r="G80" s="143"/>
      <c r="H80" s="144"/>
      <c r="I80" s="145"/>
      <c r="J80" s="146"/>
      <c r="K80" s="146"/>
      <c r="L80" s="146"/>
    </row>
    <row r="81" ht="19.5" customHeight="1">
      <c r="A81" s="123"/>
      <c r="B81" s="165"/>
      <c r="C81" s="162"/>
      <c r="D81" s="140"/>
      <c r="E81" s="141"/>
      <c r="F81" s="142"/>
      <c r="G81" s="143"/>
      <c r="H81" s="144"/>
      <c r="I81" s="145"/>
      <c r="J81" s="146"/>
      <c r="K81" s="146"/>
      <c r="L81" s="146"/>
    </row>
    <row r="82" ht="19.5" customHeight="1">
      <c r="A82" s="123"/>
      <c r="B82" s="165"/>
      <c r="C82" s="162"/>
      <c r="D82" s="140"/>
      <c r="E82" s="141"/>
      <c r="F82" s="142"/>
      <c r="G82" s="143"/>
      <c r="H82" s="144"/>
      <c r="I82" s="145"/>
      <c r="J82" s="146"/>
      <c r="K82" s="146"/>
      <c r="L82" s="146"/>
    </row>
    <row r="83" ht="19.5" customHeight="1">
      <c r="A83" s="123"/>
      <c r="B83" s="165"/>
      <c r="C83" s="162"/>
      <c r="D83" s="140"/>
      <c r="E83" s="141"/>
      <c r="F83" s="142"/>
      <c r="G83" s="143"/>
      <c r="H83" s="144"/>
      <c r="I83" s="145"/>
      <c r="J83" s="146"/>
      <c r="K83" s="146"/>
      <c r="L83" s="146"/>
    </row>
    <row r="84" ht="19.5" customHeight="1">
      <c r="A84" s="123"/>
      <c r="B84" s="165"/>
      <c r="C84" s="162"/>
      <c r="D84" s="140"/>
      <c r="E84" s="141"/>
      <c r="F84" s="142"/>
      <c r="G84" s="143"/>
      <c r="H84" s="144"/>
      <c r="I84" s="145"/>
      <c r="J84" s="146"/>
      <c r="K84" s="146"/>
      <c r="L84" s="146"/>
    </row>
    <row r="85" ht="19.5" customHeight="1">
      <c r="A85" s="123"/>
      <c r="B85" s="165"/>
      <c r="C85" s="162"/>
      <c r="D85" s="140"/>
      <c r="E85" s="141"/>
      <c r="F85" s="142"/>
      <c r="G85" s="143"/>
      <c r="H85" s="144"/>
      <c r="I85" s="145"/>
      <c r="J85" s="146"/>
      <c r="K85" s="146"/>
      <c r="L85" s="146"/>
    </row>
    <row r="86" ht="19.5" customHeight="1">
      <c r="A86" s="123"/>
      <c r="B86" s="165"/>
      <c r="C86" s="162"/>
      <c r="D86" s="140"/>
      <c r="E86" s="141"/>
      <c r="F86" s="142"/>
      <c r="G86" s="143"/>
      <c r="H86" s="144"/>
      <c r="I86" s="145"/>
      <c r="J86" s="146"/>
      <c r="K86" s="146"/>
      <c r="L86" s="146"/>
    </row>
    <row r="87" ht="19.5" customHeight="1">
      <c r="A87" s="123"/>
      <c r="B87" s="165"/>
      <c r="C87" s="162"/>
      <c r="D87" s="140"/>
      <c r="E87" s="141"/>
      <c r="F87" s="142"/>
      <c r="G87" s="143"/>
      <c r="H87" s="144"/>
      <c r="I87" s="145"/>
      <c r="J87" s="146"/>
      <c r="K87" s="146"/>
      <c r="L87" s="146"/>
    </row>
    <row r="88" ht="19.5" customHeight="1">
      <c r="A88" s="123"/>
      <c r="B88" s="165"/>
      <c r="C88" s="162"/>
      <c r="D88" s="140"/>
      <c r="E88" s="141"/>
      <c r="F88" s="142"/>
      <c r="G88" s="143"/>
      <c r="H88" s="144"/>
      <c r="I88" s="145"/>
      <c r="J88" s="146"/>
      <c r="K88" s="146"/>
      <c r="L88" s="146"/>
    </row>
    <row r="89" ht="19.5" customHeight="1">
      <c r="A89" s="123"/>
      <c r="B89" s="165"/>
      <c r="C89" s="162"/>
      <c r="D89" s="140"/>
      <c r="E89" s="141"/>
      <c r="F89" s="142"/>
      <c r="G89" s="143"/>
      <c r="H89" s="144"/>
      <c r="I89" s="145"/>
      <c r="J89" s="146"/>
      <c r="K89" s="146"/>
      <c r="L89" s="146"/>
    </row>
    <row r="90" ht="19.5" customHeight="1">
      <c r="A90" s="123"/>
      <c r="B90" s="165"/>
      <c r="C90" s="162"/>
      <c r="D90" s="140"/>
      <c r="E90" s="141"/>
      <c r="F90" s="142"/>
      <c r="G90" s="143"/>
      <c r="H90" s="144"/>
      <c r="I90" s="145"/>
      <c r="J90" s="146"/>
      <c r="K90" s="146"/>
      <c r="L90" s="146"/>
    </row>
    <row r="91" ht="19.5" customHeight="1">
      <c r="A91" s="123"/>
      <c r="B91" s="165"/>
      <c r="C91" s="162"/>
      <c r="D91" s="140"/>
      <c r="E91" s="141"/>
      <c r="F91" s="142"/>
      <c r="G91" s="143"/>
      <c r="H91" s="144"/>
      <c r="I91" s="145"/>
      <c r="J91" s="146"/>
      <c r="K91" s="146"/>
      <c r="L91" s="146"/>
    </row>
    <row r="92" ht="19.5" customHeight="1">
      <c r="A92" s="123"/>
      <c r="B92" s="165"/>
      <c r="C92" s="162"/>
      <c r="D92" s="140"/>
      <c r="E92" s="141"/>
      <c r="F92" s="142"/>
      <c r="G92" s="143"/>
      <c r="H92" s="144"/>
      <c r="I92" s="145"/>
      <c r="J92" s="146"/>
      <c r="K92" s="146"/>
      <c r="L92" s="146"/>
    </row>
    <row r="93" ht="19.5" customHeight="1">
      <c r="A93" s="123"/>
      <c r="B93" s="165"/>
      <c r="C93" s="162"/>
      <c r="D93" s="140"/>
      <c r="E93" s="141"/>
      <c r="F93" s="142"/>
      <c r="G93" s="143"/>
      <c r="H93" s="144"/>
      <c r="I93" s="145"/>
      <c r="J93" s="146"/>
      <c r="K93" s="146"/>
      <c r="L93" s="146"/>
    </row>
    <row r="94" ht="19.5" customHeight="1">
      <c r="A94" s="123"/>
      <c r="B94" s="165"/>
      <c r="C94" s="162"/>
      <c r="D94" s="140"/>
      <c r="E94" s="141"/>
      <c r="F94" s="142"/>
      <c r="G94" s="143"/>
      <c r="H94" s="144"/>
      <c r="I94" s="145"/>
      <c r="J94" s="146"/>
      <c r="K94" s="146"/>
      <c r="L94" s="146"/>
    </row>
    <row r="95" ht="19.5" customHeight="1">
      <c r="A95" s="123"/>
      <c r="B95" s="165"/>
      <c r="C95" s="162"/>
      <c r="D95" s="140"/>
      <c r="E95" s="141"/>
      <c r="F95" s="142"/>
      <c r="G95" s="143"/>
      <c r="H95" s="144"/>
      <c r="I95" s="145"/>
      <c r="J95" s="146"/>
      <c r="K95" s="146"/>
      <c r="L95" s="146"/>
    </row>
    <row r="96" ht="19.5" customHeight="1">
      <c r="A96" s="123"/>
      <c r="B96" s="165"/>
      <c r="C96" s="162"/>
      <c r="D96" s="140"/>
      <c r="E96" s="141"/>
      <c r="F96" s="142"/>
      <c r="G96" s="143"/>
      <c r="H96" s="144"/>
      <c r="I96" s="145"/>
      <c r="J96" s="146"/>
      <c r="K96" s="146"/>
      <c r="L96" s="146"/>
    </row>
    <row r="97" ht="19.5" customHeight="1">
      <c r="A97" s="123"/>
      <c r="B97" s="165"/>
      <c r="C97" s="162"/>
      <c r="D97" s="140"/>
      <c r="E97" s="141"/>
      <c r="F97" s="142"/>
      <c r="G97" s="143"/>
      <c r="H97" s="144"/>
      <c r="I97" s="145"/>
      <c r="J97" s="146"/>
      <c r="K97" s="146"/>
      <c r="L97" s="146"/>
    </row>
    <row r="98" ht="19.5" customHeight="1">
      <c r="A98" s="123"/>
      <c r="B98" s="165"/>
      <c r="C98" s="162"/>
      <c r="D98" s="140"/>
      <c r="E98" s="141"/>
      <c r="F98" s="142"/>
      <c r="G98" s="143"/>
      <c r="H98" s="144"/>
      <c r="I98" s="145"/>
      <c r="J98" s="146"/>
      <c r="K98" s="146"/>
      <c r="L98" s="146"/>
    </row>
    <row r="99" ht="19.5" customHeight="1">
      <c r="A99" s="123"/>
      <c r="B99" s="165"/>
      <c r="C99" s="162"/>
      <c r="D99" s="140"/>
      <c r="E99" s="141"/>
      <c r="F99" s="142"/>
      <c r="G99" s="143"/>
      <c r="H99" s="144"/>
      <c r="I99" s="145"/>
      <c r="J99" s="146"/>
      <c r="K99" s="146"/>
      <c r="L99" s="146"/>
    </row>
    <row r="100" ht="19.5" customHeight="1">
      <c r="A100" s="123"/>
      <c r="B100" s="165"/>
      <c r="C100" s="162"/>
      <c r="D100" s="140"/>
      <c r="E100" s="141"/>
      <c r="F100" s="142"/>
      <c r="G100" s="143"/>
      <c r="H100" s="144"/>
      <c r="I100" s="145"/>
      <c r="J100" s="146"/>
      <c r="K100" s="146"/>
      <c r="L100" s="146"/>
    </row>
    <row r="101" ht="19.5" customHeight="1">
      <c r="A101" s="123"/>
      <c r="B101" s="165"/>
      <c r="C101" s="162"/>
      <c r="D101" s="140"/>
      <c r="E101" s="141"/>
      <c r="F101" s="142"/>
      <c r="G101" s="143"/>
      <c r="H101" s="144"/>
      <c r="I101" s="145"/>
      <c r="J101" s="146"/>
      <c r="K101" s="146"/>
      <c r="L101" s="146"/>
    </row>
    <row r="102" ht="19.5" customHeight="1">
      <c r="A102" s="123"/>
      <c r="B102" s="165"/>
      <c r="C102" s="162"/>
      <c r="D102" s="140"/>
      <c r="E102" s="141"/>
      <c r="F102" s="142"/>
      <c r="G102" s="143"/>
      <c r="H102" s="144"/>
      <c r="I102" s="145"/>
      <c r="J102" s="146"/>
      <c r="K102" s="146"/>
      <c r="L102" s="146"/>
    </row>
    <row r="103" ht="19.5" customHeight="1">
      <c r="A103" s="123"/>
      <c r="B103" s="165"/>
      <c r="C103" s="162"/>
      <c r="D103" s="140"/>
      <c r="E103" s="141"/>
      <c r="F103" s="142"/>
      <c r="G103" s="143"/>
      <c r="H103" s="144"/>
      <c r="I103" s="145"/>
      <c r="J103" s="146"/>
      <c r="K103" s="146"/>
      <c r="L103" s="146"/>
    </row>
    <row r="104" ht="19.5" customHeight="1">
      <c r="A104" s="123"/>
      <c r="B104" s="165"/>
      <c r="C104" s="162"/>
      <c r="D104" s="140"/>
      <c r="E104" s="141"/>
      <c r="F104" s="142"/>
      <c r="G104" s="143"/>
      <c r="H104" s="144"/>
      <c r="I104" s="145"/>
      <c r="J104" s="146"/>
      <c r="K104" s="146"/>
      <c r="L104" s="146"/>
    </row>
    <row r="105" ht="19.5" customHeight="1">
      <c r="A105" s="123"/>
      <c r="B105" s="165"/>
      <c r="C105" s="162"/>
      <c r="D105" s="140"/>
      <c r="E105" s="141"/>
      <c r="F105" s="142"/>
      <c r="G105" s="143"/>
      <c r="H105" s="144"/>
      <c r="I105" s="145"/>
      <c r="J105" s="146"/>
      <c r="K105" s="146"/>
      <c r="L105" s="146"/>
    </row>
    <row r="106" ht="19.5" customHeight="1">
      <c r="A106" s="123"/>
      <c r="B106" s="165"/>
      <c r="C106" s="162"/>
      <c r="D106" s="140"/>
      <c r="E106" s="141"/>
      <c r="F106" s="142"/>
      <c r="G106" s="143"/>
      <c r="H106" s="144"/>
      <c r="I106" s="145"/>
      <c r="J106" s="146"/>
      <c r="K106" s="146"/>
      <c r="L106" s="146"/>
    </row>
    <row r="107" ht="19.5" customHeight="1">
      <c r="A107" s="123"/>
      <c r="B107" s="165"/>
      <c r="C107" s="162"/>
      <c r="D107" s="140"/>
      <c r="E107" s="141"/>
      <c r="F107" s="142"/>
      <c r="G107" s="143"/>
      <c r="H107" s="144"/>
      <c r="I107" s="145"/>
      <c r="J107" s="146"/>
      <c r="K107" s="146"/>
      <c r="L107" s="146"/>
    </row>
    <row r="108" ht="19.5" customHeight="1">
      <c r="A108" s="123"/>
      <c r="B108" s="165"/>
      <c r="C108" s="162"/>
      <c r="D108" s="140"/>
      <c r="E108" s="141"/>
      <c r="F108" s="142"/>
      <c r="G108" s="143"/>
      <c r="H108" s="144"/>
      <c r="I108" s="145"/>
      <c r="J108" s="146"/>
      <c r="K108" s="146"/>
      <c r="L108" s="146"/>
    </row>
    <row r="109" ht="19.5" customHeight="1">
      <c r="A109" s="123"/>
      <c r="B109" s="165"/>
      <c r="C109" s="162"/>
      <c r="D109" s="140"/>
      <c r="E109" s="141"/>
      <c r="F109" s="142"/>
      <c r="G109" s="143"/>
      <c r="H109" s="144"/>
      <c r="I109" s="145"/>
      <c r="J109" s="146"/>
      <c r="K109" s="146"/>
      <c r="L109" s="146"/>
    </row>
    <row r="110" ht="19.5" customHeight="1">
      <c r="A110" s="123"/>
      <c r="B110" s="165"/>
      <c r="C110" s="162"/>
      <c r="D110" s="140"/>
      <c r="E110" s="141"/>
      <c r="F110" s="142"/>
      <c r="G110" s="143"/>
      <c r="H110" s="144"/>
      <c r="I110" s="145"/>
      <c r="J110" s="146"/>
      <c r="K110" s="146"/>
      <c r="L110" s="146"/>
    </row>
    <row r="111" ht="19.5" customHeight="1">
      <c r="A111" s="123"/>
      <c r="B111" s="165"/>
      <c r="C111" s="162"/>
      <c r="D111" s="140"/>
      <c r="E111" s="141"/>
      <c r="F111" s="142"/>
      <c r="G111" s="143"/>
      <c r="H111" s="144"/>
      <c r="I111" s="145"/>
      <c r="J111" s="146"/>
      <c r="K111" s="146"/>
      <c r="L111" s="146"/>
    </row>
    <row r="112" ht="19.5" customHeight="1">
      <c r="A112" s="123"/>
      <c r="B112" s="165"/>
      <c r="C112" s="162"/>
      <c r="D112" s="140"/>
      <c r="E112" s="141"/>
      <c r="F112" s="142"/>
      <c r="G112" s="143"/>
      <c r="H112" s="144"/>
      <c r="I112" s="145"/>
      <c r="J112" s="146"/>
      <c r="K112" s="146"/>
      <c r="L112" s="146"/>
    </row>
    <row r="113" ht="19.5" customHeight="1">
      <c r="A113" s="123"/>
      <c r="B113" s="165"/>
      <c r="C113" s="162"/>
      <c r="D113" s="140"/>
      <c r="E113" s="141"/>
      <c r="F113" s="142"/>
      <c r="G113" s="143"/>
      <c r="H113" s="144"/>
      <c r="I113" s="145"/>
      <c r="J113" s="146"/>
      <c r="K113" s="146"/>
      <c r="L113" s="146"/>
    </row>
    <row r="114" ht="19.5" customHeight="1">
      <c r="A114" s="123"/>
      <c r="B114" s="165"/>
      <c r="C114" s="162"/>
      <c r="D114" s="140"/>
      <c r="E114" s="141"/>
      <c r="F114" s="142"/>
      <c r="G114" s="143"/>
      <c r="H114" s="144"/>
      <c r="I114" s="145"/>
      <c r="J114" s="146"/>
      <c r="K114" s="146"/>
      <c r="L114" s="146"/>
    </row>
    <row r="115" ht="19.5" customHeight="1">
      <c r="A115" s="123"/>
      <c r="B115" s="165"/>
      <c r="C115" s="162"/>
      <c r="D115" s="140"/>
      <c r="E115" s="141"/>
      <c r="F115" s="142"/>
      <c r="G115" s="143"/>
      <c r="H115" s="144"/>
      <c r="I115" s="145"/>
      <c r="J115" s="146"/>
      <c r="K115" s="146"/>
      <c r="L115" s="146"/>
    </row>
    <row r="116" ht="19.5" customHeight="1">
      <c r="A116" s="123"/>
      <c r="B116" s="165"/>
      <c r="C116" s="162"/>
      <c r="D116" s="140"/>
      <c r="E116" s="141"/>
      <c r="F116" s="142"/>
      <c r="G116" s="143"/>
      <c r="H116" s="144"/>
      <c r="I116" s="145"/>
      <c r="J116" s="146"/>
      <c r="K116" s="146"/>
      <c r="L116" s="146"/>
    </row>
    <row r="117" ht="19.5" customHeight="1">
      <c r="A117" s="123"/>
      <c r="B117" s="165"/>
      <c r="C117" s="162"/>
      <c r="D117" s="140"/>
      <c r="E117" s="141"/>
      <c r="F117" s="142"/>
      <c r="G117" s="143"/>
      <c r="H117" s="144"/>
      <c r="I117" s="145"/>
      <c r="J117" s="146"/>
      <c r="K117" s="146"/>
      <c r="L117" s="146"/>
    </row>
    <row r="118" ht="19.5" customHeight="1">
      <c r="A118" s="123"/>
      <c r="B118" s="165"/>
      <c r="C118" s="162"/>
      <c r="D118" s="140"/>
      <c r="E118" s="141"/>
      <c r="F118" s="142"/>
      <c r="G118" s="143"/>
      <c r="H118" s="144"/>
      <c r="I118" s="145"/>
      <c r="J118" s="146"/>
      <c r="K118" s="146"/>
      <c r="L118" s="146"/>
    </row>
    <row r="119" ht="19.5" customHeight="1">
      <c r="A119" s="123"/>
      <c r="B119" s="165"/>
      <c r="C119" s="162"/>
      <c r="D119" s="140"/>
      <c r="E119" s="141"/>
      <c r="F119" s="142"/>
      <c r="G119" s="143"/>
      <c r="H119" s="144"/>
      <c r="I119" s="145"/>
      <c r="J119" s="146"/>
      <c r="K119" s="146"/>
      <c r="L119" s="146"/>
    </row>
    <row r="120" ht="19.5" customHeight="1">
      <c r="A120" s="123"/>
      <c r="B120" s="165"/>
      <c r="C120" s="162"/>
      <c r="D120" s="140"/>
      <c r="E120" s="141"/>
      <c r="F120" s="142"/>
      <c r="G120" s="143"/>
      <c r="H120" s="144"/>
      <c r="I120" s="145"/>
      <c r="J120" s="146"/>
      <c r="K120" s="146"/>
      <c r="L120" s="146"/>
    </row>
    <row r="121" ht="19.5" customHeight="1">
      <c r="A121" s="123"/>
      <c r="B121" s="165"/>
      <c r="C121" s="162"/>
      <c r="D121" s="140"/>
      <c r="E121" s="141"/>
      <c r="F121" s="142"/>
      <c r="G121" s="143"/>
      <c r="H121" s="144"/>
      <c r="I121" s="145"/>
      <c r="J121" s="146"/>
      <c r="K121" s="146"/>
      <c r="L121" s="146"/>
    </row>
    <row r="122" ht="19.5" customHeight="1">
      <c r="A122" s="123"/>
      <c r="B122" s="165"/>
      <c r="C122" s="162"/>
      <c r="D122" s="140"/>
      <c r="E122" s="141"/>
      <c r="F122" s="142"/>
      <c r="G122" s="143"/>
      <c r="H122" s="144"/>
      <c r="I122" s="145"/>
      <c r="J122" s="146"/>
      <c r="K122" s="146"/>
      <c r="L122" s="146"/>
    </row>
    <row r="123" ht="19.5" customHeight="1">
      <c r="A123" s="123"/>
      <c r="B123" s="165"/>
      <c r="C123" s="162"/>
      <c r="D123" s="140"/>
      <c r="E123" s="141"/>
      <c r="F123" s="142"/>
      <c r="G123" s="143"/>
      <c r="H123" s="144"/>
      <c r="I123" s="145"/>
      <c r="J123" s="146"/>
      <c r="K123" s="146"/>
      <c r="L123" s="146"/>
    </row>
    <row r="124" ht="19.5" customHeight="1">
      <c r="A124" s="123"/>
      <c r="B124" s="165"/>
      <c r="C124" s="162"/>
      <c r="D124" s="140"/>
      <c r="E124" s="141"/>
      <c r="F124" s="142"/>
      <c r="G124" s="143"/>
      <c r="H124" s="144"/>
      <c r="I124" s="145"/>
      <c r="J124" s="146"/>
      <c r="K124" s="146"/>
      <c r="L124" s="146"/>
    </row>
    <row r="125" ht="19.5" customHeight="1">
      <c r="A125" s="123"/>
      <c r="B125" s="165"/>
      <c r="C125" s="162"/>
      <c r="D125" s="140"/>
      <c r="E125" s="141"/>
      <c r="F125" s="142"/>
      <c r="G125" s="143"/>
      <c r="H125" s="144"/>
      <c r="I125" s="145"/>
      <c r="J125" s="146"/>
      <c r="K125" s="146"/>
      <c r="L125" s="146"/>
    </row>
    <row r="126" ht="19.5" customHeight="1">
      <c r="A126" s="123"/>
      <c r="B126" s="165"/>
      <c r="C126" s="162"/>
      <c r="D126" s="140"/>
      <c r="E126" s="141"/>
      <c r="F126" s="142"/>
      <c r="G126" s="143"/>
      <c r="H126" s="144"/>
      <c r="I126" s="145"/>
      <c r="J126" s="146"/>
      <c r="K126" s="146"/>
      <c r="L126" s="146"/>
    </row>
    <row r="127" ht="19.5" customHeight="1">
      <c r="A127" s="123"/>
      <c r="B127" s="165"/>
      <c r="C127" s="162"/>
      <c r="D127" s="140"/>
      <c r="E127" s="141"/>
      <c r="F127" s="142"/>
      <c r="G127" s="143"/>
      <c r="H127" s="144"/>
      <c r="I127" s="145"/>
      <c r="J127" s="146"/>
      <c r="K127" s="146"/>
      <c r="L127" s="146"/>
    </row>
    <row r="128" ht="19.5" customHeight="1">
      <c r="A128" s="123"/>
      <c r="B128" s="165"/>
      <c r="C128" s="162"/>
      <c r="D128" s="140"/>
      <c r="E128" s="141"/>
      <c r="F128" s="142"/>
      <c r="G128" s="143"/>
      <c r="H128" s="144"/>
      <c r="I128" s="145"/>
      <c r="J128" s="146"/>
      <c r="K128" s="146"/>
      <c r="L128" s="146"/>
    </row>
    <row r="129" ht="19.5" customHeight="1">
      <c r="A129" s="123"/>
      <c r="B129" s="165"/>
      <c r="C129" s="162"/>
      <c r="D129" s="140"/>
      <c r="E129" s="141"/>
      <c r="F129" s="142"/>
      <c r="G129" s="143"/>
      <c r="H129" s="144"/>
      <c r="I129" s="145"/>
      <c r="J129" s="146"/>
      <c r="K129" s="146"/>
      <c r="L129" s="146"/>
    </row>
    <row r="130" ht="19.5" customHeight="1">
      <c r="A130" s="123"/>
      <c r="B130" s="165"/>
      <c r="C130" s="162"/>
      <c r="D130" s="140"/>
      <c r="E130" s="141"/>
      <c r="F130" s="142"/>
      <c r="G130" s="143"/>
      <c r="H130" s="144"/>
      <c r="I130" s="145"/>
      <c r="J130" s="146"/>
      <c r="K130" s="146"/>
      <c r="L130" s="146"/>
    </row>
    <row r="131" ht="19.5" customHeight="1">
      <c r="A131" s="123"/>
      <c r="B131" s="165"/>
      <c r="C131" s="162"/>
      <c r="D131" s="140"/>
      <c r="E131" s="141"/>
      <c r="F131" s="142"/>
      <c r="G131" s="143"/>
      <c r="H131" s="144"/>
      <c r="I131" s="145"/>
      <c r="J131" s="146"/>
      <c r="K131" s="146"/>
      <c r="L131" s="146"/>
    </row>
    <row r="132" ht="19.5" customHeight="1">
      <c r="A132" s="123"/>
      <c r="B132" s="165"/>
      <c r="C132" s="162"/>
      <c r="D132" s="140"/>
      <c r="E132" s="141"/>
      <c r="F132" s="142"/>
      <c r="G132" s="143"/>
      <c r="H132" s="144"/>
      <c r="I132" s="145"/>
      <c r="J132" s="146"/>
      <c r="K132" s="146"/>
      <c r="L132" s="146"/>
    </row>
    <row r="133" ht="19.5" customHeight="1">
      <c r="A133" s="123"/>
      <c r="B133" s="165"/>
      <c r="C133" s="162"/>
      <c r="D133" s="140"/>
      <c r="E133" s="141"/>
      <c r="F133" s="142"/>
      <c r="G133" s="143"/>
      <c r="H133" s="144"/>
      <c r="I133" s="145"/>
      <c r="J133" s="146"/>
      <c r="K133" s="146"/>
      <c r="L133" s="146"/>
    </row>
    <row r="134" ht="19.5" customHeight="1">
      <c r="A134" s="123"/>
      <c r="B134" s="165"/>
      <c r="C134" s="162"/>
      <c r="D134" s="140"/>
      <c r="E134" s="141"/>
      <c r="F134" s="142"/>
      <c r="G134" s="143"/>
      <c r="H134" s="144"/>
      <c r="I134" s="145"/>
      <c r="J134" s="146"/>
      <c r="K134" s="146"/>
      <c r="L134" s="146"/>
    </row>
    <row r="135" ht="19.5" customHeight="1">
      <c r="A135" s="123"/>
      <c r="B135" s="165"/>
      <c r="C135" s="162"/>
      <c r="D135" s="140"/>
      <c r="E135" s="141"/>
      <c r="F135" s="142"/>
      <c r="G135" s="143"/>
      <c r="H135" s="144"/>
      <c r="I135" s="145"/>
      <c r="J135" s="146"/>
      <c r="K135" s="146"/>
      <c r="L135" s="146"/>
    </row>
    <row r="136" ht="19.5" customHeight="1">
      <c r="A136" s="123"/>
      <c r="B136" s="165"/>
      <c r="C136" s="162"/>
      <c r="D136" s="140"/>
      <c r="E136" s="141"/>
      <c r="F136" s="142"/>
      <c r="G136" s="143"/>
      <c r="H136" s="144"/>
      <c r="I136" s="145"/>
      <c r="J136" s="146"/>
      <c r="K136" s="146"/>
      <c r="L136" s="146"/>
    </row>
    <row r="137" ht="19.5" customHeight="1">
      <c r="A137" s="123"/>
      <c r="B137" s="165"/>
      <c r="C137" s="162"/>
      <c r="D137" s="140"/>
      <c r="E137" s="141"/>
      <c r="F137" s="142"/>
      <c r="G137" s="143"/>
      <c r="H137" s="144"/>
      <c r="I137" s="145"/>
      <c r="J137" s="146"/>
      <c r="K137" s="146"/>
      <c r="L137" s="146"/>
    </row>
    <row r="138" ht="19.5" customHeight="1">
      <c r="A138" s="123"/>
      <c r="B138" s="165"/>
      <c r="C138" s="162"/>
      <c r="D138" s="140"/>
      <c r="E138" s="141"/>
      <c r="F138" s="142"/>
      <c r="G138" s="143"/>
      <c r="H138" s="144"/>
      <c r="I138" s="145"/>
      <c r="J138" s="146"/>
      <c r="K138" s="146"/>
      <c r="L138" s="146"/>
    </row>
    <row r="139" ht="19.5" customHeight="1">
      <c r="A139" s="123"/>
      <c r="B139" s="165"/>
      <c r="C139" s="162"/>
      <c r="D139" s="140"/>
      <c r="E139" s="141"/>
      <c r="F139" s="142"/>
      <c r="G139" s="143"/>
      <c r="H139" s="144"/>
      <c r="I139" s="145"/>
      <c r="J139" s="146"/>
      <c r="K139" s="146"/>
      <c r="L139" s="146"/>
    </row>
    <row r="140" ht="19.5" customHeight="1">
      <c r="A140" s="123"/>
      <c r="B140" s="165"/>
      <c r="C140" s="162"/>
      <c r="D140" s="140"/>
      <c r="E140" s="141"/>
      <c r="F140" s="142"/>
      <c r="G140" s="143"/>
      <c r="H140" s="144"/>
      <c r="I140" s="145"/>
      <c r="J140" s="146"/>
      <c r="K140" s="146"/>
      <c r="L140" s="146"/>
    </row>
    <row r="141" ht="19.5" customHeight="1">
      <c r="A141" s="123"/>
      <c r="B141" s="165"/>
      <c r="C141" s="162"/>
      <c r="D141" s="140"/>
      <c r="E141" s="141"/>
      <c r="F141" s="142"/>
      <c r="G141" s="143"/>
      <c r="H141" s="144"/>
      <c r="I141" s="145"/>
      <c r="J141" s="146"/>
      <c r="K141" s="146"/>
      <c r="L141" s="146"/>
    </row>
    <row r="142" ht="19.5" customHeight="1">
      <c r="A142" s="123"/>
      <c r="B142" s="165"/>
      <c r="C142" s="162"/>
      <c r="D142" s="140"/>
      <c r="E142" s="141"/>
      <c r="F142" s="142"/>
      <c r="G142" s="143"/>
      <c r="H142" s="144"/>
      <c r="I142" s="145"/>
      <c r="J142" s="146"/>
      <c r="K142" s="146"/>
      <c r="L142" s="146"/>
    </row>
    <row r="143" ht="19.5" customHeight="1">
      <c r="A143" s="123"/>
      <c r="B143" s="165"/>
      <c r="C143" s="162"/>
      <c r="D143" s="140"/>
      <c r="E143" s="141"/>
      <c r="F143" s="142"/>
      <c r="G143" s="143"/>
      <c r="H143" s="144"/>
      <c r="I143" s="145"/>
      <c r="J143" s="146"/>
      <c r="K143" s="146"/>
      <c r="L143" s="146"/>
    </row>
    <row r="144" ht="19.5" customHeight="1">
      <c r="A144" s="123"/>
      <c r="B144" s="165"/>
      <c r="C144" s="162"/>
      <c r="D144" s="140"/>
      <c r="E144" s="141"/>
      <c r="F144" s="142"/>
      <c r="G144" s="143"/>
      <c r="H144" s="144"/>
      <c r="I144" s="145"/>
      <c r="J144" s="146"/>
      <c r="K144" s="146"/>
      <c r="L144" s="146"/>
    </row>
    <row r="145" ht="19.5" customHeight="1">
      <c r="A145" s="123"/>
      <c r="B145" s="165"/>
      <c r="C145" s="162"/>
      <c r="D145" s="140"/>
      <c r="E145" s="141"/>
      <c r="F145" s="142"/>
      <c r="G145" s="143"/>
      <c r="H145" s="144"/>
      <c r="I145" s="145"/>
      <c r="J145" s="146"/>
      <c r="K145" s="146"/>
      <c r="L145" s="146"/>
    </row>
    <row r="146" ht="19.5" customHeight="1">
      <c r="A146" s="123"/>
      <c r="B146" s="165"/>
      <c r="C146" s="162"/>
      <c r="D146" s="140"/>
      <c r="E146" s="141"/>
      <c r="F146" s="142"/>
      <c r="G146" s="143"/>
      <c r="H146" s="144"/>
      <c r="I146" s="145"/>
      <c r="J146" s="146"/>
      <c r="K146" s="146"/>
      <c r="L146" s="146"/>
    </row>
    <row r="147" ht="19.5" customHeight="1">
      <c r="A147" s="123"/>
      <c r="B147" s="165"/>
      <c r="C147" s="162"/>
      <c r="D147" s="140"/>
      <c r="E147" s="141"/>
      <c r="F147" s="142"/>
      <c r="G147" s="143"/>
      <c r="H147" s="144"/>
      <c r="I147" s="145"/>
      <c r="J147" s="146"/>
      <c r="K147" s="146"/>
      <c r="L147" s="146"/>
    </row>
    <row r="148" ht="19.5" customHeight="1">
      <c r="A148" s="123"/>
      <c r="B148" s="165"/>
      <c r="C148" s="162"/>
      <c r="D148" s="140"/>
      <c r="E148" s="141"/>
      <c r="F148" s="142"/>
      <c r="G148" s="143"/>
      <c r="H148" s="144"/>
      <c r="I148" s="145"/>
      <c r="J148" s="146"/>
      <c r="K148" s="146"/>
      <c r="L148" s="146"/>
    </row>
    <row r="149" ht="19.5" customHeight="1">
      <c r="A149" s="123"/>
      <c r="B149" s="165"/>
      <c r="C149" s="162"/>
      <c r="D149" s="140"/>
      <c r="E149" s="141"/>
      <c r="F149" s="142"/>
      <c r="G149" s="143"/>
      <c r="H149" s="144"/>
      <c r="I149" s="145"/>
      <c r="J149" s="146"/>
      <c r="K149" s="146"/>
      <c r="L149" s="146"/>
    </row>
    <row r="150" ht="19.5" customHeight="1">
      <c r="A150" s="123"/>
      <c r="B150" s="165"/>
      <c r="C150" s="162"/>
      <c r="D150" s="140"/>
      <c r="E150" s="141"/>
      <c r="F150" s="142"/>
      <c r="G150" s="143"/>
      <c r="H150" s="144"/>
      <c r="I150" s="145"/>
      <c r="J150" s="146"/>
      <c r="K150" s="146"/>
      <c r="L150" s="146"/>
    </row>
    <row r="151" ht="19.5" customHeight="1">
      <c r="A151" s="123"/>
      <c r="B151" s="165"/>
      <c r="C151" s="162"/>
      <c r="D151" s="140"/>
      <c r="E151" s="141"/>
      <c r="F151" s="142"/>
      <c r="G151" s="143"/>
      <c r="H151" s="144"/>
      <c r="I151" s="145"/>
      <c r="J151" s="146"/>
      <c r="K151" s="146"/>
      <c r="L151" s="146"/>
    </row>
    <row r="152" ht="19.5" customHeight="1">
      <c r="A152" s="123"/>
      <c r="B152" s="165"/>
      <c r="C152" s="162"/>
      <c r="D152" s="140"/>
      <c r="E152" s="141"/>
      <c r="F152" s="142"/>
      <c r="G152" s="143"/>
      <c r="H152" s="144"/>
      <c r="I152" s="145"/>
      <c r="J152" s="146"/>
      <c r="K152" s="146"/>
      <c r="L152" s="146"/>
    </row>
    <row r="153" ht="19.5" customHeight="1">
      <c r="A153" s="123"/>
      <c r="B153" s="165"/>
      <c r="C153" s="162"/>
      <c r="D153" s="140"/>
      <c r="E153" s="141"/>
      <c r="F153" s="142"/>
      <c r="G153" s="143"/>
      <c r="H153" s="144"/>
      <c r="I153" s="145"/>
      <c r="J153" s="146"/>
      <c r="K153" s="146"/>
      <c r="L153" s="146"/>
    </row>
    <row r="154" ht="19.5" customHeight="1">
      <c r="A154" s="123"/>
      <c r="B154" s="165"/>
      <c r="C154" s="162"/>
      <c r="D154" s="140"/>
      <c r="E154" s="141"/>
      <c r="F154" s="142"/>
      <c r="G154" s="143"/>
      <c r="H154" s="144"/>
      <c r="I154" s="145"/>
      <c r="J154" s="146"/>
      <c r="K154" s="146"/>
      <c r="L154" s="146"/>
    </row>
    <row r="155" ht="19.5" customHeight="1">
      <c r="A155" s="123"/>
      <c r="B155" s="165"/>
      <c r="C155" s="162"/>
      <c r="D155" s="140"/>
      <c r="E155" s="141"/>
      <c r="F155" s="142"/>
      <c r="G155" s="143"/>
      <c r="H155" s="144"/>
      <c r="I155" s="145"/>
      <c r="J155" s="146"/>
      <c r="K155" s="146"/>
      <c r="L155" s="146"/>
    </row>
    <row r="156" ht="19.5" customHeight="1">
      <c r="A156" s="123"/>
      <c r="B156" s="165"/>
      <c r="C156" s="162"/>
      <c r="D156" s="140"/>
      <c r="E156" s="141"/>
      <c r="F156" s="142"/>
      <c r="G156" s="143"/>
      <c r="H156" s="144"/>
      <c r="I156" s="145"/>
      <c r="J156" s="146"/>
      <c r="K156" s="146"/>
      <c r="L156" s="146"/>
    </row>
    <row r="157" ht="19.5" customHeight="1">
      <c r="A157" s="123"/>
      <c r="B157" s="165"/>
      <c r="C157" s="162"/>
      <c r="D157" s="140"/>
      <c r="E157" s="141"/>
      <c r="F157" s="142"/>
      <c r="G157" s="143"/>
      <c r="H157" s="144"/>
      <c r="I157" s="145"/>
      <c r="J157" s="146"/>
      <c r="K157" s="146"/>
      <c r="L157" s="146"/>
    </row>
    <row r="158" ht="19.5" customHeight="1">
      <c r="A158" s="123"/>
      <c r="B158" s="165"/>
      <c r="C158" s="162"/>
      <c r="D158" s="140"/>
      <c r="E158" s="141"/>
      <c r="F158" s="142"/>
      <c r="G158" s="143"/>
      <c r="H158" s="144"/>
      <c r="I158" s="145"/>
      <c r="J158" s="146"/>
      <c r="K158" s="146"/>
      <c r="L158" s="146"/>
    </row>
    <row r="159" ht="19.5" customHeight="1">
      <c r="A159" s="123"/>
      <c r="B159" s="165"/>
      <c r="C159" s="162"/>
      <c r="D159" s="140"/>
      <c r="E159" s="141"/>
      <c r="F159" s="142"/>
      <c r="G159" s="143"/>
      <c r="H159" s="144"/>
      <c r="I159" s="145"/>
      <c r="J159" s="146"/>
      <c r="K159" s="146"/>
      <c r="L159" s="146"/>
    </row>
    <row r="160" ht="19.5" customHeight="1">
      <c r="A160" s="123"/>
      <c r="B160" s="165"/>
      <c r="C160" s="162"/>
      <c r="D160" s="140"/>
      <c r="E160" s="141"/>
      <c r="F160" s="142"/>
      <c r="G160" s="143"/>
      <c r="H160" s="144"/>
      <c r="I160" s="145"/>
      <c r="J160" s="146"/>
      <c r="K160" s="146"/>
      <c r="L160" s="146"/>
    </row>
    <row r="161" ht="19.5" customHeight="1">
      <c r="A161" s="123"/>
      <c r="B161" s="165"/>
      <c r="C161" s="162"/>
      <c r="D161" s="140"/>
      <c r="E161" s="141"/>
      <c r="F161" s="142"/>
      <c r="G161" s="143"/>
      <c r="H161" s="144"/>
      <c r="I161" s="145"/>
      <c r="J161" s="146"/>
      <c r="K161" s="146"/>
      <c r="L161" s="146"/>
    </row>
    <row r="162" ht="19.5" customHeight="1">
      <c r="A162" s="123"/>
      <c r="B162" s="165"/>
      <c r="C162" s="162"/>
      <c r="D162" s="140"/>
      <c r="E162" s="141"/>
      <c r="F162" s="142"/>
      <c r="G162" s="143"/>
      <c r="H162" s="144"/>
      <c r="I162" s="145"/>
      <c r="J162" s="146"/>
      <c r="K162" s="146"/>
      <c r="L162" s="146"/>
    </row>
    <row r="163" ht="19.5" customHeight="1">
      <c r="A163" s="123"/>
      <c r="B163" s="165"/>
      <c r="C163" s="162"/>
      <c r="D163" s="140"/>
      <c r="E163" s="141"/>
      <c r="F163" s="142"/>
      <c r="G163" s="143"/>
      <c r="H163" s="144"/>
      <c r="I163" s="145"/>
      <c r="J163" s="146"/>
      <c r="K163" s="146"/>
      <c r="L163" s="146"/>
    </row>
    <row r="164" ht="19.5" customHeight="1">
      <c r="A164" s="123"/>
      <c r="B164" s="165"/>
      <c r="C164" s="162"/>
      <c r="D164" s="140"/>
      <c r="E164" s="141"/>
      <c r="F164" s="142"/>
      <c r="G164" s="143"/>
      <c r="H164" s="144"/>
      <c r="I164" s="145"/>
      <c r="J164" s="146"/>
      <c r="K164" s="146"/>
      <c r="L164" s="146"/>
    </row>
    <row r="165" ht="19.5" customHeight="1">
      <c r="A165" s="123"/>
      <c r="B165" s="165"/>
      <c r="C165" s="162"/>
      <c r="D165" s="140"/>
      <c r="E165" s="141"/>
      <c r="F165" s="142"/>
      <c r="G165" s="143"/>
      <c r="H165" s="144"/>
      <c r="I165" s="145"/>
      <c r="J165" s="146"/>
      <c r="K165" s="146"/>
      <c r="L165" s="146"/>
    </row>
    <row r="166" ht="19.5" customHeight="1">
      <c r="A166" s="123"/>
      <c r="B166" s="165"/>
      <c r="C166" s="162"/>
      <c r="D166" s="140"/>
      <c r="E166" s="141"/>
      <c r="F166" s="142"/>
      <c r="G166" s="143"/>
      <c r="H166" s="144"/>
      <c r="I166" s="145"/>
      <c r="J166" s="146"/>
      <c r="K166" s="146"/>
      <c r="L166" s="146"/>
    </row>
    <row r="167" ht="19.5" customHeight="1">
      <c r="A167" s="123"/>
      <c r="B167" s="165"/>
      <c r="C167" s="162"/>
      <c r="D167" s="140"/>
      <c r="E167" s="141"/>
      <c r="F167" s="142"/>
      <c r="G167" s="143"/>
      <c r="H167" s="144"/>
      <c r="I167" s="145"/>
      <c r="J167" s="146"/>
      <c r="K167" s="146"/>
      <c r="L167" s="146"/>
    </row>
    <row r="168" ht="19.5" customHeight="1">
      <c r="A168" s="123"/>
      <c r="B168" s="165"/>
      <c r="C168" s="162"/>
      <c r="D168" s="140"/>
      <c r="E168" s="141"/>
      <c r="F168" s="142"/>
      <c r="G168" s="143"/>
      <c r="H168" s="144"/>
      <c r="I168" s="145"/>
      <c r="J168" s="146"/>
      <c r="K168" s="146"/>
      <c r="L168" s="146"/>
    </row>
    <row r="169" ht="19.5" customHeight="1">
      <c r="A169" s="123"/>
      <c r="B169" s="165"/>
      <c r="C169" s="162"/>
      <c r="D169" s="140"/>
      <c r="E169" s="141"/>
      <c r="F169" s="142"/>
      <c r="G169" s="143"/>
      <c r="H169" s="144"/>
      <c r="I169" s="145"/>
      <c r="J169" s="146"/>
      <c r="K169" s="146"/>
      <c r="L169" s="146"/>
    </row>
    <row r="170" ht="19.5" customHeight="1">
      <c r="A170" s="123"/>
      <c r="B170" s="165"/>
      <c r="C170" s="162"/>
      <c r="D170" s="140"/>
      <c r="E170" s="141"/>
      <c r="F170" s="142"/>
      <c r="G170" s="143"/>
      <c r="H170" s="144"/>
      <c r="I170" s="145"/>
      <c r="J170" s="146"/>
      <c r="K170" s="146"/>
      <c r="L170" s="146"/>
    </row>
    <row r="171" ht="19.5" customHeight="1">
      <c r="A171" s="123"/>
      <c r="B171" s="165"/>
      <c r="C171" s="162"/>
      <c r="D171" s="140"/>
      <c r="E171" s="141"/>
      <c r="F171" s="142"/>
      <c r="G171" s="143"/>
      <c r="H171" s="144"/>
      <c r="I171" s="145"/>
      <c r="J171" s="146"/>
      <c r="K171" s="146"/>
      <c r="L171" s="146"/>
    </row>
    <row r="172" ht="19.5" customHeight="1">
      <c r="A172" s="123"/>
      <c r="B172" s="165"/>
      <c r="C172" s="162"/>
      <c r="D172" s="140"/>
      <c r="E172" s="141"/>
      <c r="F172" s="142"/>
      <c r="G172" s="143"/>
      <c r="H172" s="144"/>
      <c r="I172" s="145"/>
      <c r="J172" s="146"/>
      <c r="K172" s="146"/>
      <c r="L172" s="146"/>
    </row>
    <row r="173" ht="19.5" customHeight="1">
      <c r="A173" s="123"/>
      <c r="B173" s="165"/>
      <c r="C173" s="162"/>
      <c r="D173" s="140"/>
      <c r="E173" s="141"/>
      <c r="F173" s="142"/>
      <c r="G173" s="143"/>
      <c r="H173" s="144"/>
      <c r="I173" s="145"/>
      <c r="J173" s="146"/>
      <c r="K173" s="146"/>
      <c r="L173" s="146"/>
    </row>
    <row r="174" ht="19.5" customHeight="1">
      <c r="A174" s="123"/>
      <c r="B174" s="165"/>
      <c r="C174" s="162"/>
      <c r="D174" s="140"/>
      <c r="E174" s="141"/>
      <c r="F174" s="142"/>
      <c r="G174" s="143"/>
      <c r="H174" s="144"/>
      <c r="I174" s="145"/>
      <c r="J174" s="146"/>
      <c r="K174" s="146"/>
      <c r="L174" s="146"/>
    </row>
    <row r="175" ht="19.5" customHeight="1">
      <c r="A175" s="123"/>
      <c r="B175" s="165"/>
      <c r="C175" s="162"/>
      <c r="D175" s="140"/>
      <c r="E175" s="141"/>
      <c r="F175" s="142"/>
      <c r="G175" s="143"/>
      <c r="H175" s="144"/>
      <c r="I175" s="145"/>
      <c r="J175" s="146"/>
      <c r="K175" s="146"/>
      <c r="L175" s="146"/>
    </row>
    <row r="176" ht="19.5" customHeight="1">
      <c r="A176" s="123"/>
      <c r="B176" s="165"/>
      <c r="C176" s="162"/>
      <c r="D176" s="140"/>
      <c r="E176" s="141"/>
      <c r="F176" s="142"/>
      <c r="G176" s="143"/>
      <c r="H176" s="144"/>
      <c r="I176" s="145"/>
      <c r="J176" s="146"/>
      <c r="K176" s="146"/>
      <c r="L176" s="146"/>
    </row>
    <row r="177" ht="19.5" customHeight="1">
      <c r="A177" s="123"/>
      <c r="B177" s="165"/>
      <c r="C177" s="162"/>
      <c r="D177" s="140"/>
      <c r="E177" s="141"/>
      <c r="F177" s="142"/>
      <c r="G177" s="143"/>
      <c r="H177" s="144"/>
      <c r="I177" s="145"/>
      <c r="J177" s="146"/>
      <c r="K177" s="146"/>
      <c r="L177" s="146"/>
    </row>
    <row r="178" ht="19.5" customHeight="1">
      <c r="A178" s="123"/>
      <c r="B178" s="165"/>
      <c r="C178" s="162"/>
      <c r="D178" s="140"/>
      <c r="E178" s="141"/>
      <c r="F178" s="142"/>
      <c r="G178" s="143"/>
      <c r="H178" s="144"/>
      <c r="I178" s="145"/>
      <c r="J178" s="146"/>
      <c r="K178" s="146"/>
      <c r="L178" s="146"/>
    </row>
    <row r="179" ht="19.5" customHeight="1">
      <c r="A179" s="123"/>
      <c r="B179" s="165"/>
      <c r="C179" s="162"/>
      <c r="D179" s="140"/>
      <c r="E179" s="141"/>
      <c r="F179" s="142"/>
      <c r="G179" s="143"/>
      <c r="H179" s="144"/>
      <c r="I179" s="145"/>
      <c r="J179" s="146"/>
      <c r="K179" s="146"/>
      <c r="L179" s="146"/>
    </row>
    <row r="180" ht="19.5" customHeight="1">
      <c r="A180" s="123"/>
      <c r="B180" s="165"/>
      <c r="C180" s="162"/>
      <c r="D180" s="140"/>
      <c r="E180" s="141"/>
      <c r="F180" s="142"/>
      <c r="G180" s="143"/>
      <c r="H180" s="144"/>
      <c r="I180" s="145"/>
      <c r="J180" s="146"/>
      <c r="K180" s="146"/>
      <c r="L180" s="146"/>
    </row>
    <row r="181" ht="19.5" customHeight="1">
      <c r="A181" s="123"/>
      <c r="B181" s="165"/>
      <c r="C181" s="162"/>
      <c r="D181" s="140"/>
      <c r="E181" s="141"/>
      <c r="F181" s="142"/>
      <c r="G181" s="143"/>
      <c r="H181" s="144"/>
      <c r="I181" s="145"/>
      <c r="J181" s="146"/>
      <c r="K181" s="146"/>
      <c r="L181" s="146"/>
    </row>
    <row r="182" ht="19.5" customHeight="1">
      <c r="A182" s="123"/>
      <c r="B182" s="165"/>
      <c r="C182" s="162"/>
      <c r="D182" s="140"/>
      <c r="E182" s="141"/>
      <c r="F182" s="142"/>
      <c r="G182" s="143"/>
      <c r="H182" s="144"/>
      <c r="I182" s="145"/>
      <c r="J182" s="146"/>
      <c r="K182" s="146"/>
      <c r="L182" s="146"/>
    </row>
    <row r="183" ht="19.5" customHeight="1">
      <c r="A183" s="123"/>
      <c r="B183" s="165"/>
      <c r="C183" s="162"/>
      <c r="D183" s="140"/>
      <c r="E183" s="141"/>
      <c r="F183" s="142"/>
      <c r="G183" s="143"/>
      <c r="H183" s="144"/>
      <c r="I183" s="145"/>
      <c r="J183" s="146"/>
      <c r="K183" s="146"/>
      <c r="L183" s="146"/>
    </row>
    <row r="184" ht="19.5" customHeight="1">
      <c r="A184" s="123"/>
      <c r="B184" s="165"/>
      <c r="C184" s="162"/>
      <c r="D184" s="140"/>
      <c r="E184" s="141"/>
      <c r="F184" s="142"/>
      <c r="G184" s="143"/>
      <c r="H184" s="144"/>
      <c r="I184" s="145"/>
      <c r="J184" s="146"/>
      <c r="K184" s="146"/>
      <c r="L184" s="146"/>
    </row>
    <row r="185" ht="19.5" customHeight="1">
      <c r="A185" s="123"/>
      <c r="B185" s="165"/>
      <c r="C185" s="162"/>
      <c r="D185" s="140"/>
      <c r="E185" s="141"/>
      <c r="F185" s="142"/>
      <c r="G185" s="143"/>
      <c r="H185" s="144"/>
      <c r="I185" s="145"/>
      <c r="J185" s="146"/>
      <c r="K185" s="146"/>
      <c r="L185" s="146"/>
    </row>
    <row r="186" ht="19.5" customHeight="1">
      <c r="A186" s="123"/>
      <c r="B186" s="165"/>
      <c r="C186" s="162"/>
      <c r="D186" s="140"/>
      <c r="E186" s="141"/>
      <c r="F186" s="142"/>
      <c r="G186" s="143"/>
      <c r="H186" s="144"/>
      <c r="I186" s="145"/>
      <c r="J186" s="146"/>
      <c r="K186" s="146"/>
      <c r="L186" s="146"/>
    </row>
    <row r="187" ht="19.5" customHeight="1">
      <c r="A187" s="123"/>
      <c r="B187" s="165"/>
      <c r="C187" s="162"/>
      <c r="D187" s="140"/>
      <c r="E187" s="141"/>
      <c r="F187" s="142"/>
      <c r="G187" s="143"/>
      <c r="H187" s="144"/>
      <c r="I187" s="145"/>
      <c r="J187" s="146"/>
      <c r="K187" s="146"/>
      <c r="L187" s="146"/>
    </row>
    <row r="188" ht="19.5" customHeight="1">
      <c r="A188" s="123"/>
      <c r="B188" s="165"/>
      <c r="C188" s="162"/>
      <c r="D188" s="140"/>
      <c r="E188" s="141"/>
      <c r="F188" s="142"/>
      <c r="G188" s="143"/>
      <c r="H188" s="144"/>
      <c r="I188" s="145"/>
      <c r="J188" s="146"/>
      <c r="K188" s="146"/>
      <c r="L188" s="146"/>
    </row>
    <row r="189" ht="19.5" customHeight="1">
      <c r="A189" s="123"/>
      <c r="B189" s="165"/>
      <c r="C189" s="162"/>
      <c r="D189" s="140"/>
      <c r="E189" s="141"/>
      <c r="F189" s="142"/>
      <c r="G189" s="143"/>
      <c r="H189" s="144"/>
      <c r="I189" s="145"/>
      <c r="J189" s="146"/>
      <c r="K189" s="146"/>
      <c r="L189" s="146"/>
    </row>
    <row r="190" ht="19.5" customHeight="1">
      <c r="A190" s="123"/>
      <c r="B190" s="165"/>
      <c r="C190" s="162"/>
      <c r="D190" s="140"/>
      <c r="E190" s="141"/>
      <c r="F190" s="142"/>
      <c r="G190" s="143"/>
      <c r="H190" s="144"/>
      <c r="I190" s="145"/>
      <c r="J190" s="146"/>
      <c r="K190" s="146"/>
      <c r="L190" s="146"/>
    </row>
    <row r="191" ht="19.5" customHeight="1">
      <c r="A191" s="123"/>
      <c r="B191" s="165"/>
      <c r="C191" s="162"/>
      <c r="D191" s="140"/>
      <c r="E191" s="141"/>
      <c r="F191" s="142"/>
      <c r="G191" s="143"/>
      <c r="H191" s="144"/>
      <c r="I191" s="145"/>
      <c r="J191" s="146"/>
      <c r="K191" s="146"/>
      <c r="L191" s="146"/>
    </row>
    <row r="192" ht="19.5" customHeight="1">
      <c r="A192" s="123"/>
      <c r="B192" s="165"/>
      <c r="C192" s="162"/>
      <c r="D192" s="140"/>
      <c r="E192" s="141"/>
      <c r="F192" s="142"/>
      <c r="G192" s="143"/>
      <c r="H192" s="144"/>
      <c r="I192" s="145"/>
      <c r="J192" s="146"/>
      <c r="K192" s="146"/>
      <c r="L192" s="146"/>
    </row>
    <row r="193" ht="19.5" customHeight="1">
      <c r="A193" s="123"/>
      <c r="B193" s="165"/>
      <c r="C193" s="162"/>
      <c r="D193" s="140"/>
      <c r="E193" s="141"/>
      <c r="F193" s="142"/>
      <c r="G193" s="143"/>
      <c r="H193" s="144"/>
      <c r="I193" s="145"/>
      <c r="J193" s="146"/>
      <c r="K193" s="146"/>
      <c r="L193" s="146"/>
    </row>
    <row r="194" ht="19.5" customHeight="1">
      <c r="A194" s="123"/>
      <c r="B194" s="165"/>
      <c r="C194" s="162"/>
      <c r="D194" s="140"/>
      <c r="E194" s="141"/>
      <c r="F194" s="142"/>
      <c r="G194" s="143"/>
      <c r="H194" s="144"/>
      <c r="I194" s="145"/>
      <c r="J194" s="146"/>
      <c r="K194" s="146"/>
      <c r="L194" s="146"/>
    </row>
    <row r="195" ht="19.5" customHeight="1">
      <c r="A195" s="123"/>
      <c r="B195" s="165"/>
      <c r="C195" s="162"/>
      <c r="D195" s="140"/>
      <c r="E195" s="141"/>
      <c r="F195" s="142"/>
      <c r="G195" s="143"/>
      <c r="H195" s="144"/>
      <c r="I195" s="145"/>
      <c r="J195" s="146"/>
      <c r="K195" s="146"/>
      <c r="L195" s="146"/>
    </row>
    <row r="196" ht="19.5" customHeight="1">
      <c r="A196" s="123"/>
      <c r="B196" s="165"/>
      <c r="C196" s="162"/>
      <c r="D196" s="140"/>
      <c r="E196" s="141"/>
      <c r="F196" s="142"/>
      <c r="G196" s="143"/>
      <c r="H196" s="144"/>
      <c r="I196" s="145"/>
      <c r="J196" s="146"/>
      <c r="K196" s="146"/>
      <c r="L196" s="146"/>
    </row>
    <row r="197" ht="19.5" customHeight="1">
      <c r="A197" s="123"/>
      <c r="B197" s="165"/>
      <c r="C197" s="162"/>
      <c r="D197" s="140"/>
      <c r="E197" s="141"/>
      <c r="F197" s="142"/>
      <c r="G197" s="143"/>
      <c r="H197" s="144"/>
      <c r="I197" s="145"/>
      <c r="J197" s="146"/>
      <c r="K197" s="146"/>
      <c r="L197" s="146"/>
    </row>
    <row r="198" ht="19.5" customHeight="1">
      <c r="A198" s="123"/>
      <c r="B198" s="165"/>
      <c r="C198" s="162"/>
      <c r="D198" s="140"/>
      <c r="E198" s="141"/>
      <c r="F198" s="142"/>
      <c r="G198" s="143"/>
      <c r="H198" s="144"/>
      <c r="I198" s="145"/>
      <c r="J198" s="146"/>
      <c r="K198" s="146"/>
      <c r="L198" s="146"/>
    </row>
    <row r="199" ht="19.5" customHeight="1">
      <c r="A199" s="123"/>
      <c r="B199" s="165"/>
      <c r="C199" s="162"/>
      <c r="D199" s="140"/>
      <c r="E199" s="141"/>
      <c r="F199" s="142"/>
      <c r="G199" s="143"/>
      <c r="H199" s="144"/>
      <c r="I199" s="145"/>
      <c r="J199" s="146"/>
      <c r="K199" s="146"/>
      <c r="L199" s="146"/>
    </row>
    <row r="200" ht="19.5" customHeight="1">
      <c r="A200" s="123"/>
      <c r="B200" s="165"/>
      <c r="C200" s="162"/>
      <c r="D200" s="140"/>
      <c r="E200" s="141"/>
      <c r="F200" s="142"/>
      <c r="G200" s="143"/>
      <c r="H200" s="144"/>
      <c r="I200" s="145"/>
      <c r="J200" s="146"/>
      <c r="K200" s="146"/>
      <c r="L200" s="146"/>
    </row>
    <row r="201" ht="19.5" customHeight="1">
      <c r="A201" s="123"/>
      <c r="B201" s="165"/>
      <c r="C201" s="162"/>
      <c r="D201" s="140"/>
      <c r="E201" s="141"/>
      <c r="F201" s="142"/>
      <c r="G201" s="143"/>
      <c r="H201" s="144"/>
      <c r="I201" s="145"/>
      <c r="J201" s="146"/>
      <c r="K201" s="146"/>
      <c r="L201" s="146"/>
    </row>
    <row r="202" ht="19.5" customHeight="1">
      <c r="A202" s="123"/>
      <c r="B202" s="165"/>
      <c r="C202" s="162"/>
      <c r="D202" s="140"/>
      <c r="E202" s="141"/>
      <c r="F202" s="142"/>
      <c r="G202" s="143"/>
      <c r="H202" s="144"/>
      <c r="I202" s="145"/>
      <c r="J202" s="146"/>
      <c r="K202" s="146"/>
      <c r="L202" s="146"/>
    </row>
    <row r="203" ht="19.5" customHeight="1">
      <c r="A203" s="123"/>
      <c r="B203" s="165"/>
      <c r="C203" s="162"/>
      <c r="D203" s="140"/>
      <c r="E203" s="141"/>
      <c r="F203" s="142"/>
      <c r="G203" s="143"/>
      <c r="H203" s="144"/>
      <c r="I203" s="145"/>
      <c r="J203" s="146"/>
      <c r="K203" s="146"/>
      <c r="L203" s="146"/>
    </row>
    <row r="204" ht="19.5" customHeight="1">
      <c r="A204" s="123"/>
      <c r="B204" s="165"/>
      <c r="C204" s="162"/>
      <c r="D204" s="140"/>
      <c r="E204" s="141"/>
      <c r="F204" s="142"/>
      <c r="G204" s="143"/>
      <c r="H204" s="144"/>
      <c r="I204" s="145"/>
      <c r="J204" s="146"/>
      <c r="K204" s="146"/>
      <c r="L204" s="146"/>
    </row>
    <row r="205" ht="19.5" customHeight="1">
      <c r="A205" s="123"/>
      <c r="B205" s="165"/>
      <c r="C205" s="162"/>
      <c r="D205" s="140"/>
      <c r="E205" s="141"/>
      <c r="F205" s="142"/>
      <c r="G205" s="143"/>
      <c r="H205" s="144"/>
      <c r="I205" s="145"/>
      <c r="J205" s="146"/>
      <c r="K205" s="146"/>
      <c r="L205" s="146"/>
    </row>
    <row r="206" ht="19.5" customHeight="1">
      <c r="A206" s="123"/>
      <c r="B206" s="165"/>
      <c r="C206" s="162"/>
      <c r="D206" s="140"/>
      <c r="E206" s="141"/>
      <c r="F206" s="142"/>
      <c r="G206" s="143"/>
      <c r="H206" s="144"/>
      <c r="I206" s="145"/>
      <c r="J206" s="146"/>
      <c r="K206" s="146"/>
      <c r="L206" s="146"/>
    </row>
    <row r="207" ht="19.5" customHeight="1">
      <c r="A207" s="123"/>
      <c r="B207" s="165"/>
      <c r="C207" s="162"/>
      <c r="D207" s="140"/>
      <c r="E207" s="141"/>
      <c r="F207" s="142"/>
      <c r="G207" s="143"/>
      <c r="H207" s="144"/>
      <c r="I207" s="145"/>
      <c r="J207" s="146"/>
      <c r="K207" s="146"/>
      <c r="L207" s="146"/>
    </row>
    <row r="208" ht="19.5" customHeight="1">
      <c r="A208" s="123"/>
      <c r="B208" s="165"/>
      <c r="C208" s="162"/>
      <c r="D208" s="140"/>
      <c r="E208" s="141"/>
      <c r="F208" s="142"/>
      <c r="G208" s="143"/>
      <c r="H208" s="144"/>
      <c r="I208" s="145"/>
      <c r="J208" s="146"/>
      <c r="K208" s="146"/>
      <c r="L208" s="146"/>
    </row>
    <row r="209" ht="19.5" customHeight="1">
      <c r="A209" s="123"/>
      <c r="B209" s="165"/>
      <c r="C209" s="162"/>
      <c r="D209" s="140"/>
      <c r="E209" s="141"/>
      <c r="F209" s="142"/>
      <c r="G209" s="143"/>
      <c r="H209" s="144"/>
      <c r="I209" s="145"/>
      <c r="J209" s="146"/>
      <c r="K209" s="146"/>
      <c r="L209" s="146"/>
    </row>
    <row r="210" ht="19.5" customHeight="1">
      <c r="A210" s="123"/>
      <c r="B210" s="165"/>
      <c r="C210" s="162"/>
      <c r="D210" s="140"/>
      <c r="E210" s="141"/>
      <c r="F210" s="142"/>
      <c r="G210" s="143"/>
      <c r="H210" s="144"/>
      <c r="I210" s="145"/>
      <c r="J210" s="146"/>
      <c r="K210" s="146"/>
      <c r="L210" s="146"/>
    </row>
    <row r="211" ht="19.5" customHeight="1">
      <c r="A211" s="123"/>
      <c r="B211" s="165"/>
      <c r="C211" s="162"/>
      <c r="D211" s="140"/>
      <c r="E211" s="141"/>
      <c r="F211" s="142"/>
      <c r="G211" s="143"/>
      <c r="H211" s="144"/>
      <c r="I211" s="145"/>
      <c r="J211" s="146"/>
      <c r="K211" s="146"/>
      <c r="L211" s="146"/>
    </row>
    <row r="212" ht="19.5" customHeight="1">
      <c r="A212" s="123"/>
      <c r="B212" s="165"/>
      <c r="C212" s="162"/>
      <c r="D212" s="140"/>
      <c r="E212" s="141"/>
      <c r="F212" s="142"/>
      <c r="G212" s="143"/>
      <c r="H212" s="144"/>
      <c r="I212" s="145"/>
      <c r="J212" s="146"/>
      <c r="K212" s="146"/>
      <c r="L212" s="146"/>
    </row>
    <row r="213" ht="19.5" customHeight="1">
      <c r="A213" s="123"/>
      <c r="B213" s="165"/>
      <c r="C213" s="162"/>
      <c r="D213" s="140"/>
      <c r="E213" s="141"/>
      <c r="F213" s="142"/>
      <c r="G213" s="143"/>
      <c r="H213" s="144"/>
      <c r="I213" s="145"/>
      <c r="J213" s="146"/>
      <c r="K213" s="146"/>
      <c r="L213" s="146"/>
    </row>
    <row r="214" ht="19.5" customHeight="1">
      <c r="A214" s="123"/>
      <c r="B214" s="165"/>
      <c r="C214" s="162"/>
      <c r="D214" s="140"/>
      <c r="E214" s="141"/>
      <c r="F214" s="142"/>
      <c r="G214" s="143"/>
      <c r="H214" s="144"/>
      <c r="I214" s="145"/>
      <c r="J214" s="146"/>
      <c r="K214" s="146"/>
      <c r="L214" s="146"/>
    </row>
    <row r="215" ht="19.5" customHeight="1">
      <c r="A215" s="123"/>
      <c r="B215" s="165"/>
      <c r="C215" s="162"/>
      <c r="D215" s="140"/>
      <c r="E215" s="141"/>
      <c r="F215" s="142"/>
      <c r="G215" s="143"/>
      <c r="H215" s="144"/>
      <c r="I215" s="145"/>
      <c r="J215" s="146"/>
      <c r="K215" s="146"/>
      <c r="L215" s="146"/>
    </row>
    <row r="216" ht="19.5" customHeight="1">
      <c r="A216" s="123"/>
      <c r="B216" s="165"/>
      <c r="C216" s="162"/>
      <c r="D216" s="140"/>
      <c r="E216" s="141"/>
      <c r="F216" s="142"/>
      <c r="G216" s="143"/>
      <c r="H216" s="144"/>
      <c r="I216" s="145"/>
      <c r="J216" s="146"/>
      <c r="K216" s="146"/>
      <c r="L216" s="146"/>
    </row>
    <row r="217" ht="19.5" customHeight="1">
      <c r="A217" s="123"/>
      <c r="B217" s="165"/>
      <c r="C217" s="162"/>
      <c r="D217" s="140"/>
      <c r="E217" s="141"/>
      <c r="F217" s="142"/>
      <c r="G217" s="143"/>
      <c r="H217" s="144"/>
      <c r="I217" s="145"/>
      <c r="J217" s="146"/>
      <c r="K217" s="146"/>
      <c r="L217" s="146"/>
    </row>
    <row r="218" ht="19.5" customHeight="1">
      <c r="A218" s="123"/>
      <c r="B218" s="165"/>
      <c r="C218" s="162"/>
      <c r="D218" s="140"/>
      <c r="E218" s="141"/>
      <c r="F218" s="142"/>
      <c r="G218" s="143"/>
      <c r="H218" s="144"/>
      <c r="I218" s="145"/>
      <c r="J218" s="146"/>
      <c r="K218" s="146"/>
      <c r="L218" s="146"/>
    </row>
    <row r="219" ht="19.5" customHeight="1">
      <c r="A219" s="123"/>
      <c r="B219" s="165"/>
      <c r="C219" s="162"/>
      <c r="D219" s="140"/>
      <c r="E219" s="141"/>
      <c r="F219" s="142"/>
      <c r="G219" s="143"/>
      <c r="H219" s="144"/>
      <c r="I219" s="145"/>
      <c r="J219" s="146"/>
      <c r="K219" s="146"/>
      <c r="L219" s="146"/>
    </row>
    <row r="220" ht="19.5" customHeight="1">
      <c r="A220" s="123"/>
      <c r="B220" s="165"/>
      <c r="C220" s="162"/>
      <c r="D220" s="140"/>
      <c r="E220" s="141"/>
      <c r="F220" s="142"/>
      <c r="G220" s="143"/>
      <c r="H220" s="144"/>
      <c r="I220" s="145"/>
      <c r="J220" s="146"/>
      <c r="K220" s="146"/>
      <c r="L220" s="146"/>
    </row>
    <row r="221" ht="15.75" customHeight="1">
      <c r="A221" s="228"/>
      <c r="B221" s="165"/>
      <c r="C221" s="162"/>
      <c r="D221" s="140"/>
      <c r="E221" s="141"/>
      <c r="F221" s="142"/>
      <c r="G221" s="143"/>
      <c r="H221" s="144"/>
      <c r="I221" s="145"/>
      <c r="J221" s="146"/>
      <c r="K221" s="146"/>
      <c r="L221" s="146"/>
    </row>
    <row r="222" ht="15.75" customHeight="1">
      <c r="A222" s="228"/>
      <c r="B222" s="165"/>
      <c r="C222" s="162"/>
      <c r="D222" s="140"/>
      <c r="E222" s="141"/>
      <c r="F222" s="142"/>
      <c r="G222" s="143"/>
      <c r="H222" s="144"/>
      <c r="I222" s="145"/>
      <c r="J222" s="146"/>
      <c r="K222" s="146"/>
      <c r="L222" s="146"/>
    </row>
    <row r="223" ht="15.75" customHeight="1">
      <c r="A223" s="228"/>
      <c r="B223" s="165"/>
      <c r="C223" s="162"/>
      <c r="D223" s="140"/>
      <c r="E223" s="141"/>
      <c r="F223" s="142"/>
      <c r="G223" s="143"/>
      <c r="H223" s="144"/>
      <c r="I223" s="145"/>
      <c r="J223" s="146"/>
      <c r="K223" s="146"/>
      <c r="L223" s="146"/>
    </row>
    <row r="224" ht="15.75" customHeight="1">
      <c r="A224" s="228"/>
      <c r="B224" s="165"/>
      <c r="C224" s="162"/>
      <c r="D224" s="140"/>
      <c r="E224" s="141"/>
      <c r="F224" s="142"/>
      <c r="G224" s="143"/>
      <c r="H224" s="144"/>
      <c r="I224" s="145"/>
      <c r="J224" s="146"/>
      <c r="K224" s="146"/>
      <c r="L224" s="146"/>
    </row>
    <row r="225" ht="15.75" customHeight="1">
      <c r="A225" s="228"/>
      <c r="B225" s="165"/>
      <c r="C225" s="162"/>
      <c r="D225" s="140"/>
      <c r="E225" s="141"/>
      <c r="F225" s="142"/>
      <c r="G225" s="143"/>
      <c r="H225" s="144"/>
      <c r="I225" s="145"/>
      <c r="J225" s="146"/>
      <c r="K225" s="146"/>
      <c r="L225" s="146"/>
    </row>
    <row r="226" ht="15.75" customHeight="1">
      <c r="A226" s="228"/>
      <c r="B226" s="165"/>
      <c r="C226" s="162"/>
      <c r="D226" s="140"/>
      <c r="E226" s="141"/>
      <c r="F226" s="142"/>
      <c r="G226" s="143"/>
      <c r="H226" s="144"/>
      <c r="I226" s="145"/>
      <c r="J226" s="146"/>
      <c r="K226" s="146"/>
      <c r="L226" s="146"/>
    </row>
    <row r="227" ht="15.75" customHeight="1">
      <c r="A227" s="228"/>
      <c r="B227" s="165"/>
      <c r="C227" s="162"/>
      <c r="D227" s="140"/>
      <c r="E227" s="141"/>
      <c r="F227" s="142"/>
      <c r="G227" s="143"/>
      <c r="H227" s="144"/>
      <c r="I227" s="145"/>
      <c r="J227" s="146"/>
      <c r="K227" s="146"/>
      <c r="L227" s="146"/>
    </row>
    <row r="228" ht="15.75" customHeight="1">
      <c r="A228" s="228"/>
      <c r="B228" s="165"/>
      <c r="C228" s="162"/>
      <c r="D228" s="140"/>
      <c r="E228" s="141"/>
      <c r="F228" s="142"/>
      <c r="G228" s="143"/>
      <c r="H228" s="144"/>
      <c r="I228" s="145"/>
      <c r="J228" s="146"/>
      <c r="K228" s="146"/>
      <c r="L228" s="146"/>
    </row>
    <row r="229" ht="15.75" customHeight="1">
      <c r="A229" s="228"/>
      <c r="B229" s="165"/>
      <c r="C229" s="162"/>
      <c r="D229" s="140"/>
      <c r="E229" s="141"/>
      <c r="F229" s="142"/>
      <c r="G229" s="143"/>
      <c r="H229" s="144"/>
      <c r="I229" s="145"/>
      <c r="J229" s="146"/>
      <c r="K229" s="146"/>
      <c r="L229" s="146"/>
    </row>
    <row r="230" ht="15.75" customHeight="1">
      <c r="A230" s="228"/>
      <c r="B230" s="165"/>
      <c r="C230" s="162"/>
      <c r="D230" s="140"/>
      <c r="E230" s="141"/>
      <c r="F230" s="142"/>
      <c r="G230" s="143"/>
      <c r="H230" s="144"/>
      <c r="I230" s="145"/>
      <c r="J230" s="146"/>
      <c r="K230" s="146"/>
      <c r="L230" s="146"/>
    </row>
    <row r="231" ht="15.75" customHeight="1">
      <c r="A231" s="228"/>
      <c r="B231" s="165"/>
      <c r="C231" s="162"/>
      <c r="D231" s="140"/>
      <c r="E231" s="141"/>
      <c r="F231" s="142"/>
      <c r="G231" s="143"/>
      <c r="H231" s="144"/>
      <c r="I231" s="145"/>
      <c r="J231" s="146"/>
      <c r="K231" s="146"/>
      <c r="L231" s="146"/>
    </row>
    <row r="232" ht="15.75" customHeight="1">
      <c r="A232" s="228"/>
      <c r="B232" s="165"/>
      <c r="C232" s="162"/>
      <c r="D232" s="140"/>
      <c r="E232" s="141"/>
      <c r="F232" s="142"/>
      <c r="G232" s="143"/>
      <c r="H232" s="144"/>
      <c r="I232" s="145"/>
      <c r="J232" s="146"/>
      <c r="K232" s="146"/>
      <c r="L232" s="146"/>
    </row>
    <row r="233" ht="15.75" customHeight="1">
      <c r="A233" s="228"/>
      <c r="B233" s="165"/>
      <c r="C233" s="162"/>
      <c r="D233" s="140"/>
      <c r="E233" s="141"/>
      <c r="F233" s="142"/>
      <c r="G233" s="143"/>
      <c r="H233" s="144"/>
      <c r="I233" s="145"/>
      <c r="J233" s="146"/>
      <c r="K233" s="146"/>
      <c r="L233" s="146"/>
    </row>
    <row r="234" ht="15.75" customHeight="1">
      <c r="A234" s="228"/>
      <c r="B234" s="165"/>
      <c r="C234" s="162"/>
      <c r="D234" s="140"/>
      <c r="E234" s="141"/>
      <c r="F234" s="142"/>
      <c r="G234" s="143"/>
      <c r="H234" s="144"/>
      <c r="I234" s="145"/>
      <c r="J234" s="146"/>
      <c r="K234" s="146"/>
      <c r="L234" s="146"/>
    </row>
    <row r="235" ht="15.75" customHeight="1">
      <c r="A235" s="228"/>
      <c r="B235" s="165"/>
      <c r="C235" s="162"/>
      <c r="D235" s="140"/>
      <c r="E235" s="141"/>
      <c r="F235" s="142"/>
      <c r="G235" s="143"/>
      <c r="H235" s="144"/>
      <c r="I235" s="145"/>
      <c r="J235" s="146"/>
      <c r="K235" s="146"/>
      <c r="L235" s="146"/>
    </row>
    <row r="236" ht="15.75" customHeight="1">
      <c r="A236" s="228"/>
      <c r="B236" s="165"/>
      <c r="C236" s="162"/>
      <c r="D236" s="140"/>
      <c r="E236" s="141"/>
      <c r="F236" s="142"/>
      <c r="G236" s="143"/>
      <c r="H236" s="144"/>
      <c r="I236" s="145"/>
      <c r="J236" s="146"/>
      <c r="K236" s="146"/>
      <c r="L236" s="146"/>
    </row>
    <row r="237" ht="15.75" customHeight="1">
      <c r="A237" s="228"/>
      <c r="B237" s="165"/>
      <c r="C237" s="162"/>
      <c r="D237" s="140"/>
      <c r="E237" s="141"/>
      <c r="F237" s="142"/>
      <c r="G237" s="143"/>
      <c r="H237" s="144"/>
      <c r="I237" s="145"/>
      <c r="J237" s="146"/>
      <c r="K237" s="146"/>
      <c r="L237" s="146"/>
    </row>
    <row r="238" ht="15.75" customHeight="1">
      <c r="A238" s="228"/>
      <c r="B238" s="165"/>
      <c r="C238" s="162"/>
      <c r="D238" s="140"/>
      <c r="E238" s="141"/>
      <c r="F238" s="142"/>
      <c r="G238" s="143"/>
      <c r="H238" s="144"/>
      <c r="I238" s="145"/>
      <c r="J238" s="146"/>
      <c r="K238" s="146"/>
      <c r="L238" s="146"/>
    </row>
    <row r="239" ht="15.75" customHeight="1">
      <c r="A239" s="228"/>
      <c r="B239" s="165"/>
      <c r="C239" s="162"/>
      <c r="D239" s="140"/>
      <c r="E239" s="141"/>
      <c r="F239" s="142"/>
      <c r="G239" s="143"/>
      <c r="H239" s="144"/>
      <c r="I239" s="145"/>
      <c r="J239" s="146"/>
      <c r="K239" s="146"/>
      <c r="L239" s="146"/>
    </row>
    <row r="240" ht="15.75" customHeight="1">
      <c r="A240" s="228"/>
      <c r="B240" s="165"/>
      <c r="C240" s="162"/>
      <c r="D240" s="140"/>
      <c r="E240" s="141"/>
      <c r="F240" s="142"/>
      <c r="G240" s="143"/>
      <c r="H240" s="144"/>
      <c r="I240" s="145"/>
      <c r="J240" s="146"/>
      <c r="K240" s="146"/>
      <c r="L240" s="146"/>
    </row>
    <row r="241" ht="15.75" customHeight="1">
      <c r="A241" s="228"/>
      <c r="B241" s="165"/>
      <c r="C241" s="162"/>
      <c r="D241" s="140"/>
      <c r="E241" s="141"/>
      <c r="F241" s="142"/>
      <c r="G241" s="143"/>
      <c r="H241" s="144"/>
      <c r="I241" s="145"/>
      <c r="J241" s="146"/>
      <c r="K241" s="146"/>
      <c r="L241" s="146"/>
    </row>
    <row r="242" ht="15.75" customHeight="1">
      <c r="A242" s="228"/>
      <c r="B242" s="165"/>
      <c r="C242" s="162"/>
      <c r="D242" s="140"/>
      <c r="E242" s="141"/>
      <c r="F242" s="142"/>
      <c r="G242" s="143"/>
      <c r="H242" s="144"/>
      <c r="I242" s="145"/>
      <c r="J242" s="146"/>
      <c r="K242" s="146"/>
      <c r="L242" s="146"/>
    </row>
    <row r="243" ht="15.75" customHeight="1">
      <c r="A243" s="228"/>
      <c r="B243" s="165"/>
      <c r="C243" s="162"/>
      <c r="D243" s="140"/>
      <c r="E243" s="141"/>
      <c r="F243" s="142"/>
      <c r="G243" s="143"/>
      <c r="H243" s="144"/>
      <c r="I243" s="145"/>
      <c r="J243" s="146"/>
      <c r="K243" s="146"/>
      <c r="L243" s="146"/>
    </row>
    <row r="244" ht="15.75" customHeight="1">
      <c r="A244" s="228"/>
      <c r="B244" s="165"/>
      <c r="C244" s="162"/>
      <c r="D244" s="140"/>
      <c r="E244" s="141"/>
      <c r="F244" s="142"/>
      <c r="G244" s="143"/>
      <c r="H244" s="144"/>
      <c r="I244" s="145"/>
      <c r="J244" s="146"/>
      <c r="K244" s="146"/>
      <c r="L244" s="146"/>
    </row>
    <row r="245" ht="15.75" customHeight="1">
      <c r="A245" s="228"/>
      <c r="B245" s="165"/>
      <c r="C245" s="162"/>
      <c r="D245" s="140"/>
      <c r="E245" s="141"/>
      <c r="F245" s="142"/>
      <c r="G245" s="143"/>
      <c r="H245" s="144"/>
      <c r="I245" s="145"/>
      <c r="J245" s="146"/>
      <c r="K245" s="146"/>
      <c r="L245" s="146"/>
    </row>
    <row r="246" ht="15.75" customHeight="1">
      <c r="A246" s="228"/>
      <c r="B246" s="165"/>
      <c r="C246" s="162"/>
      <c r="D246" s="140"/>
      <c r="E246" s="141"/>
      <c r="F246" s="142"/>
      <c r="G246" s="143"/>
      <c r="H246" s="144"/>
      <c r="I246" s="145"/>
      <c r="J246" s="146"/>
      <c r="K246" s="146"/>
      <c r="L246" s="146"/>
    </row>
    <row r="247" ht="15.75" customHeight="1">
      <c r="A247" s="228"/>
      <c r="B247" s="165"/>
      <c r="C247" s="162"/>
      <c r="D247" s="140"/>
      <c r="E247" s="141"/>
      <c r="F247" s="142"/>
      <c r="G247" s="143"/>
      <c r="H247" s="144"/>
      <c r="I247" s="145"/>
      <c r="J247" s="146"/>
      <c r="K247" s="146"/>
      <c r="L247" s="146"/>
    </row>
    <row r="248" ht="15.75" customHeight="1">
      <c r="A248" s="228"/>
      <c r="B248" s="165"/>
      <c r="C248" s="162"/>
      <c r="D248" s="140"/>
      <c r="E248" s="141"/>
      <c r="F248" s="142"/>
      <c r="G248" s="143"/>
      <c r="H248" s="144"/>
      <c r="I248" s="145"/>
      <c r="J248" s="146"/>
      <c r="K248" s="146"/>
      <c r="L248" s="146"/>
    </row>
    <row r="249" ht="15.75" customHeight="1">
      <c r="A249" s="228"/>
      <c r="B249" s="165"/>
      <c r="C249" s="162"/>
      <c r="D249" s="140"/>
      <c r="E249" s="141"/>
      <c r="F249" s="142"/>
      <c r="G249" s="143"/>
      <c r="H249" s="144"/>
      <c r="I249" s="145"/>
      <c r="J249" s="146"/>
      <c r="K249" s="146"/>
      <c r="L249" s="146"/>
    </row>
    <row r="250" ht="15.75" customHeight="1">
      <c r="A250" s="228"/>
      <c r="B250" s="165"/>
      <c r="C250" s="162"/>
      <c r="D250" s="140"/>
      <c r="E250" s="141"/>
      <c r="F250" s="142"/>
      <c r="G250" s="143"/>
      <c r="H250" s="144"/>
      <c r="I250" s="145"/>
      <c r="J250" s="146"/>
      <c r="K250" s="146"/>
      <c r="L250" s="146"/>
    </row>
    <row r="251" ht="15.75" customHeight="1">
      <c r="A251" s="228"/>
      <c r="B251" s="165"/>
      <c r="C251" s="162"/>
      <c r="D251" s="140"/>
      <c r="E251" s="141"/>
      <c r="F251" s="142"/>
      <c r="G251" s="143"/>
      <c r="H251" s="144"/>
      <c r="I251" s="145"/>
      <c r="J251" s="146"/>
      <c r="K251" s="146"/>
      <c r="L251" s="146"/>
    </row>
    <row r="252" ht="15.75" customHeight="1">
      <c r="A252" s="228"/>
      <c r="B252" s="165"/>
      <c r="C252" s="162"/>
      <c r="D252" s="140"/>
      <c r="E252" s="141"/>
      <c r="F252" s="142"/>
      <c r="G252" s="143"/>
      <c r="H252" s="144"/>
      <c r="I252" s="145"/>
      <c r="J252" s="146"/>
      <c r="K252" s="146"/>
      <c r="L252" s="146"/>
    </row>
    <row r="253" ht="15.75" customHeight="1">
      <c r="A253" s="228"/>
      <c r="B253" s="165"/>
      <c r="C253" s="162"/>
      <c r="D253" s="140"/>
      <c r="E253" s="141"/>
      <c r="F253" s="142"/>
      <c r="G253" s="143"/>
      <c r="H253" s="144"/>
      <c r="I253" s="145"/>
      <c r="J253" s="146"/>
      <c r="K253" s="146"/>
      <c r="L253" s="146"/>
    </row>
    <row r="254" ht="15.75" customHeight="1">
      <c r="A254" s="228"/>
      <c r="B254" s="165"/>
      <c r="C254" s="162"/>
      <c r="D254" s="140"/>
      <c r="E254" s="141"/>
      <c r="F254" s="142"/>
      <c r="G254" s="143"/>
      <c r="H254" s="144"/>
      <c r="I254" s="145"/>
      <c r="J254" s="146"/>
      <c r="K254" s="146"/>
      <c r="L254" s="146"/>
    </row>
    <row r="255" ht="15.75" customHeight="1">
      <c r="A255" s="228"/>
      <c r="B255" s="165"/>
      <c r="C255" s="162"/>
      <c r="D255" s="140"/>
      <c r="E255" s="141"/>
      <c r="F255" s="142"/>
      <c r="G255" s="143"/>
      <c r="H255" s="144"/>
      <c r="I255" s="145"/>
      <c r="J255" s="146"/>
      <c r="K255" s="146"/>
      <c r="L255" s="146"/>
    </row>
    <row r="256" ht="15.75" customHeight="1">
      <c r="A256" s="228"/>
      <c r="B256" s="165"/>
      <c r="C256" s="162"/>
      <c r="D256" s="140"/>
      <c r="E256" s="141"/>
      <c r="F256" s="142"/>
      <c r="G256" s="143"/>
      <c r="H256" s="144"/>
      <c r="I256" s="145"/>
      <c r="J256" s="146"/>
      <c r="K256" s="146"/>
      <c r="L256" s="146"/>
    </row>
    <row r="257" ht="15.75" customHeight="1">
      <c r="A257" s="228"/>
      <c r="B257" s="165"/>
      <c r="C257" s="162"/>
      <c r="D257" s="140"/>
      <c r="E257" s="141"/>
      <c r="F257" s="142"/>
      <c r="G257" s="143"/>
      <c r="H257" s="144"/>
      <c r="I257" s="145"/>
      <c r="J257" s="146"/>
      <c r="K257" s="146"/>
      <c r="L257" s="146"/>
    </row>
    <row r="258" ht="15.75" customHeight="1">
      <c r="A258" s="228"/>
      <c r="B258" s="165"/>
      <c r="C258" s="162"/>
      <c r="D258" s="140"/>
      <c r="E258" s="141"/>
      <c r="F258" s="142"/>
      <c r="G258" s="143"/>
      <c r="H258" s="144"/>
      <c r="I258" s="145"/>
      <c r="J258" s="146"/>
      <c r="K258" s="146"/>
      <c r="L258" s="146"/>
    </row>
    <row r="259" ht="15.75" customHeight="1">
      <c r="A259" s="228"/>
      <c r="B259" s="165"/>
      <c r="C259" s="162"/>
      <c r="D259" s="140"/>
      <c r="E259" s="141"/>
      <c r="F259" s="142"/>
      <c r="G259" s="143"/>
      <c r="H259" s="144"/>
      <c r="I259" s="145"/>
      <c r="J259" s="146"/>
      <c r="K259" s="146"/>
      <c r="L259" s="146"/>
    </row>
    <row r="260" ht="15.75" customHeight="1">
      <c r="A260" s="228"/>
      <c r="B260" s="165"/>
      <c r="C260" s="162"/>
      <c r="D260" s="140"/>
      <c r="E260" s="141"/>
      <c r="F260" s="142"/>
      <c r="G260" s="143"/>
      <c r="H260" s="144"/>
      <c r="I260" s="145"/>
      <c r="J260" s="146"/>
      <c r="K260" s="146"/>
      <c r="L260" s="146"/>
    </row>
    <row r="261" ht="15.75" customHeight="1">
      <c r="A261" s="228"/>
      <c r="B261" s="165"/>
      <c r="C261" s="162"/>
      <c r="D261" s="140"/>
      <c r="E261" s="141"/>
      <c r="F261" s="142"/>
      <c r="G261" s="143"/>
      <c r="H261" s="144"/>
      <c r="I261" s="145"/>
      <c r="J261" s="146"/>
      <c r="K261" s="146"/>
      <c r="L261" s="146"/>
    </row>
    <row r="262" ht="15.75" customHeight="1">
      <c r="A262" s="228"/>
      <c r="B262" s="165"/>
      <c r="C262" s="162"/>
      <c r="D262" s="140"/>
      <c r="E262" s="141"/>
      <c r="F262" s="142"/>
      <c r="G262" s="143"/>
      <c r="H262" s="144"/>
      <c r="I262" s="145"/>
      <c r="J262" s="146"/>
      <c r="K262" s="146"/>
      <c r="L262" s="146"/>
    </row>
    <row r="263" ht="15.75" customHeight="1">
      <c r="A263" s="228"/>
      <c r="B263" s="165"/>
      <c r="C263" s="162"/>
      <c r="D263" s="140"/>
      <c r="E263" s="141"/>
      <c r="F263" s="142"/>
      <c r="G263" s="143"/>
      <c r="H263" s="144"/>
      <c r="I263" s="145"/>
      <c r="J263" s="146"/>
      <c r="K263" s="146"/>
      <c r="L263" s="146"/>
    </row>
    <row r="264" ht="15.75" customHeight="1">
      <c r="A264" s="228"/>
      <c r="B264" s="165"/>
      <c r="C264" s="162"/>
      <c r="D264" s="140"/>
      <c r="E264" s="141"/>
      <c r="F264" s="142"/>
      <c r="G264" s="143"/>
      <c r="H264" s="144"/>
      <c r="I264" s="145"/>
      <c r="J264" s="146"/>
      <c r="K264" s="146"/>
      <c r="L264" s="146"/>
    </row>
    <row r="265" ht="15.75" customHeight="1">
      <c r="A265" s="228"/>
      <c r="B265" s="165"/>
      <c r="C265" s="162"/>
      <c r="D265" s="140"/>
      <c r="E265" s="141"/>
      <c r="F265" s="142"/>
      <c r="G265" s="143"/>
      <c r="H265" s="144"/>
      <c r="I265" s="145"/>
      <c r="J265" s="146"/>
      <c r="K265" s="146"/>
      <c r="L265" s="146"/>
    </row>
    <row r="266" ht="15.75" customHeight="1">
      <c r="A266" s="228"/>
      <c r="B266" s="165"/>
      <c r="C266" s="162"/>
      <c r="D266" s="140"/>
      <c r="E266" s="141"/>
      <c r="F266" s="142"/>
      <c r="G266" s="143"/>
      <c r="H266" s="144"/>
      <c r="I266" s="145"/>
      <c r="J266" s="146"/>
      <c r="K266" s="146"/>
      <c r="L266" s="146"/>
    </row>
    <row r="267" ht="15.75" customHeight="1">
      <c r="A267" s="228"/>
      <c r="B267" s="165"/>
      <c r="C267" s="162"/>
      <c r="D267" s="140"/>
      <c r="E267" s="141"/>
      <c r="F267" s="142"/>
      <c r="G267" s="143"/>
      <c r="H267" s="144"/>
      <c r="I267" s="145"/>
      <c r="J267" s="146"/>
      <c r="K267" s="146"/>
      <c r="L267" s="146"/>
    </row>
    <row r="268" ht="15.75" customHeight="1">
      <c r="A268" s="228"/>
      <c r="B268" s="165"/>
      <c r="C268" s="162"/>
      <c r="D268" s="140"/>
      <c r="E268" s="141"/>
      <c r="F268" s="142"/>
      <c r="G268" s="143"/>
      <c r="H268" s="144"/>
      <c r="I268" s="145"/>
      <c r="J268" s="146"/>
      <c r="K268" s="146"/>
      <c r="L268" s="146"/>
    </row>
    <row r="269" ht="15.75" customHeight="1">
      <c r="A269" s="228"/>
      <c r="B269" s="165"/>
      <c r="C269" s="162"/>
      <c r="D269" s="140"/>
      <c r="E269" s="141"/>
      <c r="F269" s="142"/>
      <c r="G269" s="143"/>
      <c r="H269" s="144"/>
      <c r="I269" s="145"/>
      <c r="J269" s="146"/>
      <c r="K269" s="146"/>
      <c r="L269" s="146"/>
    </row>
    <row r="270" ht="15.75" customHeight="1">
      <c r="A270" s="228"/>
      <c r="B270" s="165"/>
      <c r="C270" s="162"/>
      <c r="D270" s="140"/>
      <c r="E270" s="141"/>
      <c r="F270" s="142"/>
      <c r="G270" s="143"/>
      <c r="H270" s="144"/>
      <c r="I270" s="145"/>
      <c r="J270" s="146"/>
      <c r="K270" s="146"/>
      <c r="L270" s="146"/>
    </row>
    <row r="271" ht="15.75" customHeight="1">
      <c r="A271" s="228"/>
      <c r="B271" s="165"/>
      <c r="C271" s="162"/>
      <c r="D271" s="140"/>
      <c r="E271" s="141"/>
      <c r="F271" s="142"/>
      <c r="G271" s="143"/>
      <c r="H271" s="144"/>
      <c r="I271" s="145"/>
      <c r="J271" s="146"/>
      <c r="K271" s="146"/>
      <c r="L271" s="146"/>
    </row>
    <row r="272" ht="15.75" customHeight="1">
      <c r="A272" s="228"/>
      <c r="B272" s="165"/>
      <c r="C272" s="162"/>
      <c r="D272" s="140"/>
      <c r="E272" s="141"/>
      <c r="F272" s="142"/>
      <c r="G272" s="143"/>
      <c r="H272" s="144"/>
      <c r="I272" s="145"/>
      <c r="J272" s="146"/>
      <c r="K272" s="146"/>
      <c r="L272" s="146"/>
    </row>
    <row r="273" ht="15.75" customHeight="1">
      <c r="A273" s="228"/>
      <c r="B273" s="165"/>
      <c r="C273" s="162"/>
      <c r="D273" s="140"/>
      <c r="E273" s="141"/>
      <c r="F273" s="142"/>
      <c r="G273" s="143"/>
      <c r="H273" s="144"/>
      <c r="I273" s="145"/>
      <c r="J273" s="146"/>
      <c r="K273" s="146"/>
      <c r="L273" s="146"/>
    </row>
    <row r="274" ht="15.75" customHeight="1">
      <c r="A274" s="228"/>
      <c r="B274" s="165"/>
      <c r="C274" s="162"/>
      <c r="D274" s="140"/>
      <c r="E274" s="141"/>
      <c r="F274" s="142"/>
      <c r="G274" s="143"/>
      <c r="H274" s="144"/>
      <c r="I274" s="145"/>
      <c r="J274" s="146"/>
      <c r="K274" s="146"/>
      <c r="L274" s="146"/>
    </row>
    <row r="275" ht="15.75" customHeight="1">
      <c r="A275" s="228"/>
      <c r="B275" s="165"/>
      <c r="C275" s="162"/>
      <c r="D275" s="140"/>
      <c r="E275" s="141"/>
      <c r="F275" s="142"/>
      <c r="G275" s="143"/>
      <c r="H275" s="144"/>
      <c r="I275" s="145"/>
      <c r="J275" s="146"/>
      <c r="K275" s="146"/>
      <c r="L275" s="146"/>
    </row>
    <row r="276" ht="15.75" customHeight="1">
      <c r="A276" s="228"/>
      <c r="B276" s="165"/>
      <c r="C276" s="162"/>
      <c r="D276" s="140"/>
      <c r="E276" s="141"/>
      <c r="F276" s="142"/>
      <c r="G276" s="143"/>
      <c r="H276" s="144"/>
      <c r="I276" s="145"/>
      <c r="J276" s="146"/>
      <c r="K276" s="146"/>
      <c r="L276" s="146"/>
    </row>
    <row r="277" ht="15.75" customHeight="1">
      <c r="A277" s="228"/>
      <c r="B277" s="165"/>
      <c r="C277" s="162"/>
      <c r="D277" s="140"/>
      <c r="E277" s="141"/>
      <c r="F277" s="142"/>
      <c r="G277" s="143"/>
      <c r="H277" s="144"/>
      <c r="I277" s="145"/>
      <c r="J277" s="146"/>
      <c r="K277" s="146"/>
      <c r="L277" s="146"/>
    </row>
    <row r="278" ht="15.75" customHeight="1">
      <c r="A278" s="228"/>
      <c r="B278" s="165"/>
      <c r="C278" s="162"/>
      <c r="D278" s="140"/>
      <c r="E278" s="141"/>
      <c r="F278" s="142"/>
      <c r="G278" s="143"/>
      <c r="H278" s="144"/>
      <c r="I278" s="145"/>
      <c r="J278" s="146"/>
      <c r="K278" s="146"/>
      <c r="L278" s="146"/>
    </row>
    <row r="279" ht="15.75" customHeight="1">
      <c r="A279" s="228"/>
      <c r="B279" s="165"/>
      <c r="C279" s="162"/>
      <c r="D279" s="140"/>
      <c r="E279" s="141"/>
      <c r="F279" s="142"/>
      <c r="G279" s="143"/>
      <c r="H279" s="144"/>
      <c r="I279" s="145"/>
      <c r="J279" s="146"/>
      <c r="K279" s="146"/>
      <c r="L279" s="146"/>
    </row>
    <row r="280" ht="15.75" customHeight="1">
      <c r="A280" s="228"/>
      <c r="B280" s="165"/>
      <c r="C280" s="162"/>
      <c r="D280" s="140"/>
      <c r="E280" s="141"/>
      <c r="F280" s="142"/>
      <c r="G280" s="143"/>
      <c r="H280" s="144"/>
      <c r="I280" s="145"/>
      <c r="J280" s="146"/>
      <c r="K280" s="146"/>
      <c r="L280" s="146"/>
    </row>
    <row r="281" ht="15.75" customHeight="1">
      <c r="A281" s="228"/>
      <c r="B281" s="165"/>
      <c r="C281" s="162"/>
      <c r="D281" s="140"/>
      <c r="E281" s="141"/>
      <c r="F281" s="142"/>
      <c r="G281" s="143"/>
      <c r="H281" s="144"/>
      <c r="I281" s="145"/>
      <c r="J281" s="146"/>
      <c r="K281" s="146"/>
      <c r="L281" s="146"/>
    </row>
    <row r="282" ht="15.75" customHeight="1">
      <c r="A282" s="228"/>
      <c r="B282" s="165"/>
      <c r="C282" s="162"/>
      <c r="D282" s="140"/>
      <c r="E282" s="141"/>
      <c r="F282" s="142"/>
      <c r="G282" s="143"/>
      <c r="H282" s="144"/>
      <c r="I282" s="145"/>
      <c r="J282" s="146"/>
      <c r="K282" s="146"/>
      <c r="L282" s="146"/>
    </row>
    <row r="283" ht="15.75" customHeight="1">
      <c r="A283" s="228"/>
      <c r="B283" s="165"/>
      <c r="C283" s="162"/>
      <c r="D283" s="140"/>
      <c r="E283" s="141"/>
      <c r="F283" s="142"/>
      <c r="G283" s="143"/>
      <c r="H283" s="144"/>
      <c r="I283" s="145"/>
      <c r="J283" s="146"/>
      <c r="K283" s="146"/>
      <c r="L283" s="146"/>
    </row>
    <row r="284" ht="15.75" customHeight="1">
      <c r="A284" s="228"/>
      <c r="B284" s="165"/>
      <c r="C284" s="162"/>
      <c r="D284" s="140"/>
      <c r="E284" s="141"/>
      <c r="F284" s="142"/>
      <c r="G284" s="143"/>
      <c r="H284" s="144"/>
      <c r="I284" s="145"/>
      <c r="J284" s="146"/>
      <c r="K284" s="146"/>
      <c r="L284" s="146"/>
    </row>
    <row r="285" ht="15.75" customHeight="1">
      <c r="A285" s="228"/>
      <c r="B285" s="165"/>
      <c r="C285" s="162"/>
      <c r="D285" s="140"/>
      <c r="E285" s="141"/>
      <c r="F285" s="142"/>
      <c r="G285" s="143"/>
      <c r="H285" s="144"/>
      <c r="I285" s="145"/>
      <c r="J285" s="146"/>
      <c r="K285" s="146"/>
      <c r="L285" s="146"/>
    </row>
    <row r="286" ht="15.75" customHeight="1">
      <c r="A286" s="228"/>
      <c r="B286" s="165"/>
      <c r="C286" s="162"/>
      <c r="D286" s="140"/>
      <c r="E286" s="141"/>
      <c r="F286" s="142"/>
      <c r="G286" s="143"/>
      <c r="H286" s="144"/>
      <c r="I286" s="145"/>
      <c r="J286" s="146"/>
      <c r="K286" s="146"/>
      <c r="L286" s="146"/>
    </row>
    <row r="287" ht="15.75" customHeight="1">
      <c r="A287" s="228"/>
      <c r="B287" s="165"/>
      <c r="C287" s="162"/>
      <c r="D287" s="140"/>
      <c r="E287" s="141"/>
      <c r="F287" s="142"/>
      <c r="G287" s="143"/>
      <c r="H287" s="144"/>
      <c r="I287" s="145"/>
      <c r="J287" s="146"/>
      <c r="K287" s="146"/>
      <c r="L287" s="146"/>
    </row>
    <row r="288" ht="15.75" customHeight="1">
      <c r="A288" s="228"/>
      <c r="B288" s="165"/>
      <c r="C288" s="162"/>
      <c r="D288" s="140"/>
      <c r="E288" s="141"/>
      <c r="F288" s="142"/>
      <c r="G288" s="143"/>
      <c r="H288" s="144"/>
      <c r="I288" s="145"/>
      <c r="J288" s="146"/>
      <c r="K288" s="146"/>
      <c r="L288" s="146"/>
    </row>
    <row r="289" ht="15.75" customHeight="1">
      <c r="A289" s="228"/>
      <c r="B289" s="165"/>
      <c r="C289" s="162"/>
      <c r="D289" s="140"/>
      <c r="E289" s="141"/>
      <c r="F289" s="142"/>
      <c r="G289" s="143"/>
      <c r="H289" s="144"/>
      <c r="I289" s="145"/>
      <c r="J289" s="146"/>
      <c r="K289" s="146"/>
      <c r="L289" s="146"/>
    </row>
    <row r="290" ht="15.75" customHeight="1">
      <c r="A290" s="228"/>
      <c r="B290" s="165"/>
      <c r="C290" s="162"/>
      <c r="D290" s="140"/>
      <c r="E290" s="141"/>
      <c r="F290" s="142"/>
      <c r="G290" s="143"/>
      <c r="H290" s="144"/>
      <c r="I290" s="145"/>
      <c r="J290" s="146"/>
      <c r="K290" s="146"/>
      <c r="L290" s="146"/>
    </row>
    <row r="291" ht="15.75" customHeight="1">
      <c r="A291" s="228"/>
      <c r="B291" s="165"/>
      <c r="C291" s="162"/>
      <c r="D291" s="140"/>
      <c r="E291" s="141"/>
      <c r="F291" s="142"/>
      <c r="G291" s="143"/>
      <c r="H291" s="144"/>
      <c r="I291" s="145"/>
      <c r="J291" s="146"/>
      <c r="K291" s="146"/>
      <c r="L291" s="146"/>
    </row>
    <row r="292" ht="15.75" customHeight="1">
      <c r="A292" s="228"/>
      <c r="B292" s="165"/>
      <c r="C292" s="162"/>
      <c r="D292" s="140"/>
      <c r="E292" s="141"/>
      <c r="F292" s="142"/>
      <c r="G292" s="143"/>
      <c r="H292" s="144"/>
      <c r="I292" s="145"/>
      <c r="J292" s="146"/>
      <c r="K292" s="146"/>
      <c r="L292" s="146"/>
    </row>
    <row r="293" ht="15.75" customHeight="1">
      <c r="A293" s="228"/>
      <c r="B293" s="165"/>
      <c r="C293" s="162"/>
      <c r="D293" s="140"/>
      <c r="E293" s="141"/>
      <c r="F293" s="142"/>
      <c r="G293" s="143"/>
      <c r="H293" s="144"/>
      <c r="I293" s="145"/>
      <c r="J293" s="146"/>
      <c r="K293" s="146"/>
      <c r="L293" s="146"/>
    </row>
    <row r="294" ht="15.75" customHeight="1">
      <c r="A294" s="228"/>
      <c r="B294" s="165"/>
      <c r="C294" s="162"/>
      <c r="D294" s="140"/>
      <c r="E294" s="141"/>
      <c r="F294" s="142"/>
      <c r="G294" s="143"/>
      <c r="H294" s="144"/>
      <c r="I294" s="145"/>
      <c r="J294" s="146"/>
      <c r="K294" s="146"/>
      <c r="L294" s="146"/>
    </row>
    <row r="295" ht="15.75" customHeight="1">
      <c r="A295" s="228"/>
      <c r="B295" s="165"/>
      <c r="C295" s="162"/>
      <c r="D295" s="140"/>
      <c r="E295" s="141"/>
      <c r="F295" s="142"/>
      <c r="G295" s="143"/>
      <c r="H295" s="144"/>
      <c r="I295" s="145"/>
      <c r="J295" s="146"/>
      <c r="K295" s="146"/>
      <c r="L295" s="146"/>
    </row>
    <row r="296" ht="15.75" customHeight="1">
      <c r="A296" s="228"/>
      <c r="B296" s="165"/>
      <c r="C296" s="162"/>
      <c r="D296" s="140"/>
      <c r="E296" s="141"/>
      <c r="F296" s="142"/>
      <c r="G296" s="143"/>
      <c r="H296" s="144"/>
      <c r="I296" s="145"/>
      <c r="J296" s="146"/>
      <c r="K296" s="146"/>
      <c r="L296" s="146"/>
    </row>
    <row r="297" ht="15.75" customHeight="1">
      <c r="A297" s="228"/>
      <c r="B297" s="165"/>
      <c r="C297" s="162"/>
      <c r="D297" s="140"/>
      <c r="E297" s="141"/>
      <c r="F297" s="142"/>
      <c r="G297" s="143"/>
      <c r="H297" s="144"/>
      <c r="I297" s="145"/>
      <c r="J297" s="146"/>
      <c r="K297" s="146"/>
      <c r="L297" s="146"/>
    </row>
    <row r="298" ht="15.75" customHeight="1">
      <c r="A298" s="228"/>
      <c r="B298" s="165"/>
      <c r="C298" s="162"/>
      <c r="D298" s="140"/>
      <c r="E298" s="141"/>
      <c r="F298" s="142"/>
      <c r="G298" s="143"/>
      <c r="H298" s="144"/>
      <c r="I298" s="145"/>
      <c r="J298" s="146"/>
      <c r="K298" s="146"/>
      <c r="L298" s="146"/>
    </row>
    <row r="299" ht="15.75" customHeight="1">
      <c r="A299" s="228"/>
      <c r="B299" s="165"/>
      <c r="C299" s="162"/>
      <c r="D299" s="140"/>
      <c r="E299" s="141"/>
      <c r="F299" s="142"/>
      <c r="G299" s="143"/>
      <c r="H299" s="144"/>
      <c r="I299" s="145"/>
      <c r="J299" s="146"/>
      <c r="K299" s="146"/>
      <c r="L299" s="146"/>
    </row>
    <row r="300" ht="15.75" customHeight="1">
      <c r="A300" s="228"/>
      <c r="B300" s="165"/>
      <c r="C300" s="162"/>
      <c r="D300" s="140"/>
      <c r="E300" s="141"/>
      <c r="F300" s="142"/>
      <c r="G300" s="143"/>
      <c r="H300" s="144"/>
      <c r="I300" s="145"/>
      <c r="J300" s="146"/>
      <c r="K300" s="146"/>
      <c r="L300" s="146"/>
    </row>
    <row r="301" ht="15.75" customHeight="1">
      <c r="A301" s="228"/>
      <c r="B301" s="165"/>
      <c r="C301" s="162"/>
      <c r="D301" s="140"/>
      <c r="E301" s="141"/>
      <c r="F301" s="142"/>
      <c r="G301" s="143"/>
      <c r="H301" s="144"/>
      <c r="I301" s="145"/>
      <c r="J301" s="146"/>
      <c r="K301" s="146"/>
      <c r="L301" s="146"/>
    </row>
    <row r="302" ht="15.75" customHeight="1">
      <c r="A302" s="228"/>
      <c r="B302" s="165"/>
      <c r="C302" s="162"/>
      <c r="D302" s="140"/>
      <c r="E302" s="141"/>
      <c r="F302" s="142"/>
      <c r="G302" s="143"/>
      <c r="H302" s="144"/>
      <c r="I302" s="145"/>
      <c r="J302" s="146"/>
      <c r="K302" s="146"/>
      <c r="L302" s="146"/>
    </row>
    <row r="303" ht="15.75" customHeight="1">
      <c r="A303" s="228"/>
      <c r="B303" s="165"/>
      <c r="C303" s="162"/>
      <c r="D303" s="140"/>
      <c r="E303" s="141"/>
      <c r="F303" s="142"/>
      <c r="G303" s="143"/>
      <c r="H303" s="144"/>
      <c r="I303" s="145"/>
      <c r="J303" s="146"/>
      <c r="K303" s="146"/>
      <c r="L303" s="146"/>
    </row>
    <row r="304" ht="15.75" customHeight="1">
      <c r="A304" s="228"/>
      <c r="B304" s="165"/>
      <c r="C304" s="162"/>
      <c r="D304" s="140"/>
      <c r="E304" s="141"/>
      <c r="F304" s="142"/>
      <c r="G304" s="143"/>
      <c r="H304" s="144"/>
      <c r="I304" s="145"/>
      <c r="J304" s="146"/>
      <c r="K304" s="146"/>
      <c r="L304" s="146"/>
    </row>
    <row r="305" ht="15.75" customHeight="1">
      <c r="A305" s="228"/>
      <c r="B305" s="165"/>
      <c r="C305" s="162"/>
      <c r="D305" s="140"/>
      <c r="E305" s="141"/>
      <c r="F305" s="142"/>
      <c r="G305" s="143"/>
      <c r="H305" s="144"/>
      <c r="I305" s="145"/>
      <c r="J305" s="146"/>
      <c r="K305" s="146"/>
      <c r="L305" s="146"/>
    </row>
    <row r="306" ht="15.75" customHeight="1">
      <c r="A306" s="228"/>
      <c r="B306" s="165"/>
      <c r="C306" s="162"/>
      <c r="D306" s="140"/>
      <c r="E306" s="141"/>
      <c r="F306" s="142"/>
      <c r="G306" s="143"/>
      <c r="H306" s="144"/>
      <c r="I306" s="145"/>
      <c r="J306" s="146"/>
      <c r="K306" s="146"/>
      <c r="L306" s="146"/>
    </row>
    <row r="307" ht="15.75" customHeight="1">
      <c r="A307" s="228"/>
      <c r="B307" s="165"/>
      <c r="C307" s="162"/>
      <c r="D307" s="140"/>
      <c r="E307" s="141"/>
      <c r="F307" s="142"/>
      <c r="G307" s="143"/>
      <c r="H307" s="144"/>
      <c r="I307" s="145"/>
      <c r="J307" s="146"/>
      <c r="K307" s="146"/>
      <c r="L307" s="146"/>
    </row>
    <row r="308" ht="15.75" customHeight="1">
      <c r="A308" s="228"/>
      <c r="B308" s="165"/>
      <c r="C308" s="162"/>
      <c r="D308" s="140"/>
      <c r="E308" s="141"/>
      <c r="F308" s="142"/>
      <c r="G308" s="143"/>
      <c r="H308" s="144"/>
      <c r="I308" s="145"/>
      <c r="J308" s="146"/>
      <c r="K308" s="146"/>
      <c r="L308" s="146"/>
    </row>
    <row r="309" ht="15.75" customHeight="1">
      <c r="A309" s="228"/>
      <c r="B309" s="165"/>
      <c r="C309" s="162"/>
      <c r="D309" s="140"/>
      <c r="E309" s="141"/>
      <c r="F309" s="142"/>
      <c r="G309" s="143"/>
      <c r="H309" s="144"/>
      <c r="I309" s="145"/>
      <c r="J309" s="146"/>
      <c r="K309" s="146"/>
      <c r="L309" s="146"/>
    </row>
    <row r="310" ht="15.75" customHeight="1">
      <c r="A310" s="228"/>
      <c r="B310" s="165"/>
      <c r="C310" s="162"/>
      <c r="D310" s="140"/>
      <c r="E310" s="141"/>
      <c r="F310" s="142"/>
      <c r="G310" s="143"/>
      <c r="H310" s="144"/>
      <c r="I310" s="145"/>
      <c r="J310" s="146"/>
      <c r="K310" s="146"/>
      <c r="L310" s="146"/>
    </row>
    <row r="311" ht="15.75" customHeight="1">
      <c r="A311" s="228"/>
      <c r="B311" s="165"/>
      <c r="C311" s="162"/>
      <c r="D311" s="140"/>
      <c r="E311" s="141"/>
      <c r="F311" s="142"/>
      <c r="G311" s="143"/>
      <c r="H311" s="144"/>
      <c r="I311" s="145"/>
      <c r="J311" s="146"/>
      <c r="K311" s="146"/>
      <c r="L311" s="146"/>
    </row>
    <row r="312" ht="15.75" customHeight="1">
      <c r="A312" s="228"/>
      <c r="B312" s="165"/>
      <c r="C312" s="162"/>
      <c r="D312" s="140"/>
      <c r="E312" s="141"/>
      <c r="F312" s="142"/>
      <c r="G312" s="143"/>
      <c r="H312" s="144"/>
      <c r="I312" s="145"/>
      <c r="J312" s="146"/>
      <c r="K312" s="146"/>
      <c r="L312" s="146"/>
    </row>
    <row r="313" ht="15.75" customHeight="1">
      <c r="A313" s="228"/>
      <c r="B313" s="165"/>
      <c r="C313" s="162"/>
      <c r="D313" s="140"/>
      <c r="E313" s="141"/>
      <c r="F313" s="142"/>
      <c r="G313" s="143"/>
      <c r="H313" s="144"/>
      <c r="I313" s="145"/>
      <c r="J313" s="146"/>
      <c r="K313" s="146"/>
      <c r="L313" s="146"/>
    </row>
    <row r="314" ht="15.75" customHeight="1">
      <c r="A314" s="228"/>
      <c r="B314" s="165"/>
      <c r="C314" s="162"/>
      <c r="D314" s="140"/>
      <c r="E314" s="141"/>
      <c r="F314" s="142"/>
      <c r="G314" s="143"/>
      <c r="H314" s="144"/>
      <c r="I314" s="145"/>
      <c r="J314" s="146"/>
      <c r="K314" s="146"/>
      <c r="L314" s="146"/>
    </row>
    <row r="315" ht="15.75" customHeight="1">
      <c r="A315" s="228"/>
      <c r="B315" s="165"/>
      <c r="C315" s="162"/>
      <c r="D315" s="140"/>
      <c r="E315" s="141"/>
      <c r="F315" s="142"/>
      <c r="G315" s="143"/>
      <c r="H315" s="144"/>
      <c r="I315" s="145"/>
      <c r="J315" s="146"/>
      <c r="K315" s="146"/>
      <c r="L315" s="146"/>
    </row>
    <row r="316" ht="15.75" customHeight="1">
      <c r="A316" s="228"/>
      <c r="B316" s="165"/>
      <c r="C316" s="162"/>
      <c r="D316" s="140"/>
      <c r="E316" s="141"/>
      <c r="F316" s="142"/>
      <c r="G316" s="143"/>
      <c r="H316" s="144"/>
      <c r="I316" s="145"/>
      <c r="J316" s="146"/>
      <c r="K316" s="146"/>
      <c r="L316" s="146"/>
    </row>
    <row r="317" ht="15.75" customHeight="1">
      <c r="A317" s="228"/>
      <c r="B317" s="165"/>
      <c r="C317" s="162"/>
      <c r="D317" s="140"/>
      <c r="E317" s="141"/>
      <c r="F317" s="142"/>
      <c r="G317" s="143"/>
      <c r="H317" s="144"/>
      <c r="I317" s="145"/>
      <c r="J317" s="146"/>
      <c r="K317" s="146"/>
      <c r="L317" s="146"/>
    </row>
    <row r="318" ht="15.75" customHeight="1">
      <c r="A318" s="228"/>
      <c r="B318" s="165"/>
      <c r="C318" s="162"/>
      <c r="D318" s="140"/>
      <c r="E318" s="141"/>
      <c r="F318" s="142"/>
      <c r="G318" s="143"/>
      <c r="H318" s="144"/>
      <c r="I318" s="145"/>
      <c r="J318" s="146"/>
      <c r="K318" s="146"/>
      <c r="L318" s="146"/>
    </row>
    <row r="319" ht="15.75" customHeight="1">
      <c r="A319" s="228"/>
      <c r="B319" s="165"/>
      <c r="C319" s="162"/>
      <c r="D319" s="140"/>
      <c r="E319" s="141"/>
      <c r="F319" s="142"/>
      <c r="G319" s="143"/>
      <c r="H319" s="144"/>
      <c r="I319" s="145"/>
      <c r="J319" s="146"/>
      <c r="K319" s="146"/>
      <c r="L319" s="146"/>
    </row>
    <row r="320" ht="15.75" customHeight="1">
      <c r="A320" s="228"/>
      <c r="B320" s="165"/>
      <c r="C320" s="162"/>
      <c r="D320" s="140"/>
      <c r="E320" s="141"/>
      <c r="F320" s="142"/>
      <c r="G320" s="143"/>
      <c r="H320" s="144"/>
      <c r="I320" s="145"/>
      <c r="J320" s="146"/>
      <c r="K320" s="146"/>
      <c r="L320" s="146"/>
    </row>
    <row r="321" ht="15.75" customHeight="1">
      <c r="A321" s="228"/>
      <c r="B321" s="165"/>
      <c r="C321" s="162"/>
      <c r="D321" s="140"/>
      <c r="E321" s="141"/>
      <c r="F321" s="142"/>
      <c r="G321" s="143"/>
      <c r="H321" s="144"/>
      <c r="I321" s="145"/>
      <c r="J321" s="146"/>
      <c r="K321" s="146"/>
      <c r="L321" s="146"/>
    </row>
    <row r="322" ht="15.75" customHeight="1">
      <c r="A322" s="228"/>
      <c r="B322" s="165"/>
      <c r="C322" s="162"/>
      <c r="D322" s="140"/>
      <c r="E322" s="141"/>
      <c r="F322" s="142"/>
      <c r="G322" s="143"/>
      <c r="H322" s="144"/>
      <c r="I322" s="145"/>
      <c r="J322" s="146"/>
      <c r="K322" s="146"/>
      <c r="L322" s="146"/>
    </row>
    <row r="323" ht="15.75" customHeight="1">
      <c r="A323" s="228"/>
      <c r="B323" s="165"/>
      <c r="C323" s="162"/>
      <c r="D323" s="140"/>
      <c r="E323" s="141"/>
      <c r="F323" s="142"/>
      <c r="G323" s="143"/>
      <c r="H323" s="144"/>
      <c r="I323" s="145"/>
      <c r="J323" s="146"/>
      <c r="K323" s="146"/>
      <c r="L323" s="146"/>
    </row>
    <row r="324" ht="15.75" customHeight="1">
      <c r="A324" s="228"/>
      <c r="B324" s="165"/>
      <c r="C324" s="162"/>
      <c r="D324" s="140"/>
      <c r="E324" s="141"/>
      <c r="F324" s="142"/>
      <c r="G324" s="143"/>
      <c r="H324" s="144"/>
      <c r="I324" s="145"/>
      <c r="J324" s="146"/>
      <c r="K324" s="146"/>
      <c r="L324" s="146"/>
    </row>
    <row r="325" ht="15.75" customHeight="1">
      <c r="A325" s="228"/>
      <c r="B325" s="165"/>
      <c r="C325" s="162"/>
      <c r="D325" s="140"/>
      <c r="E325" s="141"/>
      <c r="F325" s="142"/>
      <c r="G325" s="143"/>
      <c r="H325" s="144"/>
      <c r="I325" s="145"/>
      <c r="J325" s="146"/>
      <c r="K325" s="146"/>
      <c r="L325" s="146"/>
    </row>
    <row r="326" ht="15.75" customHeight="1">
      <c r="A326" s="228"/>
      <c r="B326" s="165"/>
      <c r="C326" s="162"/>
      <c r="D326" s="140"/>
      <c r="E326" s="141"/>
      <c r="F326" s="142"/>
      <c r="G326" s="143"/>
      <c r="H326" s="144"/>
      <c r="I326" s="145"/>
      <c r="J326" s="146"/>
      <c r="K326" s="146"/>
      <c r="L326" s="146"/>
    </row>
    <row r="327" ht="15.75" customHeight="1">
      <c r="A327" s="228"/>
      <c r="B327" s="165"/>
      <c r="C327" s="162"/>
      <c r="D327" s="140"/>
      <c r="E327" s="141"/>
      <c r="F327" s="142"/>
      <c r="G327" s="143"/>
      <c r="H327" s="144"/>
      <c r="I327" s="145"/>
      <c r="J327" s="146"/>
      <c r="K327" s="146"/>
      <c r="L327" s="146"/>
    </row>
    <row r="328" ht="15.75" customHeight="1">
      <c r="A328" s="228"/>
      <c r="B328" s="165"/>
      <c r="C328" s="162"/>
      <c r="D328" s="140"/>
      <c r="E328" s="141"/>
      <c r="F328" s="142"/>
      <c r="G328" s="143"/>
      <c r="H328" s="144"/>
      <c r="I328" s="145"/>
      <c r="J328" s="146"/>
      <c r="K328" s="146"/>
      <c r="L328" s="146"/>
    </row>
    <row r="329" ht="15.75" customHeight="1">
      <c r="A329" s="228"/>
      <c r="B329" s="165"/>
      <c r="C329" s="162"/>
      <c r="D329" s="140"/>
      <c r="E329" s="141"/>
      <c r="F329" s="142"/>
      <c r="G329" s="143"/>
      <c r="H329" s="144"/>
      <c r="I329" s="145"/>
      <c r="J329" s="146"/>
      <c r="K329" s="146"/>
      <c r="L329" s="146"/>
    </row>
    <row r="330" ht="15.75" customHeight="1">
      <c r="A330" s="228"/>
      <c r="B330" s="165"/>
      <c r="C330" s="162"/>
      <c r="D330" s="140"/>
      <c r="E330" s="141"/>
      <c r="F330" s="142"/>
      <c r="G330" s="143"/>
      <c r="H330" s="144"/>
      <c r="I330" s="145"/>
      <c r="J330" s="146"/>
      <c r="K330" s="146"/>
      <c r="L330" s="146"/>
    </row>
    <row r="331" ht="15.75" customHeight="1">
      <c r="A331" s="228"/>
      <c r="B331" s="165"/>
      <c r="C331" s="162"/>
      <c r="D331" s="140"/>
      <c r="E331" s="141"/>
      <c r="F331" s="142"/>
      <c r="G331" s="143"/>
      <c r="H331" s="144"/>
      <c r="I331" s="145"/>
      <c r="J331" s="146"/>
      <c r="K331" s="146"/>
      <c r="L331" s="146"/>
    </row>
    <row r="332" ht="15.75" customHeight="1">
      <c r="A332" s="228"/>
      <c r="B332" s="165"/>
      <c r="C332" s="162"/>
      <c r="D332" s="140"/>
      <c r="E332" s="141"/>
      <c r="F332" s="142"/>
      <c r="G332" s="143"/>
      <c r="H332" s="144"/>
      <c r="I332" s="145"/>
      <c r="J332" s="146"/>
      <c r="K332" s="146"/>
      <c r="L332" s="146"/>
    </row>
    <row r="333" ht="15.75" customHeight="1">
      <c r="A333" s="228"/>
      <c r="B333" s="165"/>
      <c r="C333" s="162"/>
      <c r="D333" s="140"/>
      <c r="E333" s="141"/>
      <c r="F333" s="142"/>
      <c r="G333" s="143"/>
      <c r="H333" s="144"/>
      <c r="I333" s="145"/>
      <c r="J333" s="146"/>
      <c r="K333" s="146"/>
      <c r="L333" s="146"/>
    </row>
    <row r="334" ht="15.75" customHeight="1">
      <c r="A334" s="228"/>
      <c r="B334" s="165"/>
      <c r="C334" s="162"/>
      <c r="D334" s="140"/>
      <c r="E334" s="141"/>
      <c r="F334" s="142"/>
      <c r="G334" s="143"/>
      <c r="H334" s="144"/>
      <c r="I334" s="145"/>
      <c r="J334" s="146"/>
      <c r="K334" s="146"/>
      <c r="L334" s="146"/>
    </row>
    <row r="335" ht="15.75" customHeight="1">
      <c r="A335" s="228"/>
      <c r="B335" s="165"/>
      <c r="C335" s="162"/>
      <c r="D335" s="140"/>
      <c r="E335" s="141"/>
      <c r="F335" s="142"/>
      <c r="G335" s="143"/>
      <c r="H335" s="144"/>
      <c r="I335" s="145"/>
      <c r="J335" s="146"/>
      <c r="K335" s="146"/>
      <c r="L335" s="146"/>
    </row>
    <row r="336" ht="15.75" customHeight="1">
      <c r="A336" s="228"/>
      <c r="B336" s="165"/>
      <c r="C336" s="162"/>
      <c r="D336" s="140"/>
      <c r="E336" s="141"/>
      <c r="F336" s="142"/>
      <c r="G336" s="143"/>
      <c r="H336" s="144"/>
      <c r="I336" s="145"/>
      <c r="J336" s="146"/>
      <c r="K336" s="146"/>
      <c r="L336" s="146"/>
    </row>
    <row r="337" ht="15.75" customHeight="1">
      <c r="A337" s="228"/>
      <c r="B337" s="165"/>
      <c r="C337" s="162"/>
      <c r="D337" s="140"/>
      <c r="E337" s="141"/>
      <c r="F337" s="142"/>
      <c r="G337" s="143"/>
      <c r="H337" s="144"/>
      <c r="I337" s="145"/>
      <c r="J337" s="146"/>
      <c r="K337" s="146"/>
      <c r="L337" s="146"/>
    </row>
    <row r="338" ht="15.75" customHeight="1">
      <c r="A338" s="228"/>
      <c r="B338" s="165"/>
      <c r="C338" s="162"/>
      <c r="D338" s="140"/>
      <c r="E338" s="141"/>
      <c r="F338" s="142"/>
      <c r="G338" s="143"/>
      <c r="H338" s="144"/>
      <c r="I338" s="145"/>
      <c r="J338" s="146"/>
      <c r="K338" s="146"/>
      <c r="L338" s="146"/>
    </row>
    <row r="339" ht="15.75" customHeight="1">
      <c r="A339" s="228"/>
      <c r="B339" s="165"/>
      <c r="C339" s="162"/>
      <c r="D339" s="140"/>
      <c r="E339" s="141"/>
      <c r="F339" s="142"/>
      <c r="G339" s="143"/>
      <c r="H339" s="144"/>
      <c r="I339" s="145"/>
      <c r="J339" s="146"/>
      <c r="K339" s="146"/>
      <c r="L339" s="146"/>
    </row>
    <row r="340" ht="15.75" customHeight="1">
      <c r="A340" s="228"/>
      <c r="B340" s="165"/>
      <c r="C340" s="162"/>
      <c r="D340" s="140"/>
      <c r="E340" s="141"/>
      <c r="F340" s="142"/>
      <c r="G340" s="143"/>
      <c r="H340" s="144"/>
      <c r="I340" s="145"/>
      <c r="J340" s="146"/>
      <c r="K340" s="146"/>
      <c r="L340" s="146"/>
    </row>
    <row r="341" ht="15.75" customHeight="1">
      <c r="A341" s="228"/>
      <c r="B341" s="165"/>
      <c r="C341" s="162"/>
      <c r="D341" s="140"/>
      <c r="E341" s="141"/>
      <c r="F341" s="142"/>
      <c r="G341" s="143"/>
      <c r="H341" s="144"/>
      <c r="I341" s="145"/>
      <c r="J341" s="146"/>
      <c r="K341" s="146"/>
      <c r="L341" s="146"/>
    </row>
    <row r="342" ht="15.75" customHeight="1">
      <c r="A342" s="228"/>
      <c r="B342" s="165"/>
      <c r="C342" s="162"/>
      <c r="D342" s="140"/>
      <c r="E342" s="141"/>
      <c r="F342" s="142"/>
      <c r="G342" s="143"/>
      <c r="H342" s="144"/>
      <c r="I342" s="145"/>
      <c r="J342" s="146"/>
      <c r="K342" s="146"/>
      <c r="L342" s="146"/>
    </row>
    <row r="343" ht="15.75" customHeight="1">
      <c r="A343" s="228"/>
      <c r="B343" s="165"/>
      <c r="C343" s="162"/>
      <c r="D343" s="140"/>
      <c r="E343" s="141"/>
      <c r="F343" s="142"/>
      <c r="G343" s="143"/>
      <c r="H343" s="144"/>
      <c r="I343" s="145"/>
      <c r="J343" s="146"/>
      <c r="K343" s="146"/>
      <c r="L343" s="146"/>
    </row>
    <row r="344" ht="15.75" customHeight="1">
      <c r="A344" s="228"/>
      <c r="B344" s="165"/>
      <c r="C344" s="162"/>
      <c r="D344" s="140"/>
      <c r="E344" s="141"/>
      <c r="F344" s="142"/>
      <c r="G344" s="143"/>
      <c r="H344" s="144"/>
      <c r="I344" s="145"/>
      <c r="J344" s="146"/>
      <c r="K344" s="146"/>
      <c r="L344" s="146"/>
    </row>
    <row r="345" ht="15.75" customHeight="1">
      <c r="A345" s="228"/>
      <c r="B345" s="165"/>
      <c r="C345" s="162"/>
      <c r="D345" s="140"/>
      <c r="E345" s="141"/>
      <c r="F345" s="142"/>
      <c r="G345" s="143"/>
      <c r="H345" s="144"/>
      <c r="I345" s="145"/>
      <c r="J345" s="146"/>
      <c r="K345" s="146"/>
      <c r="L345" s="146"/>
    </row>
    <row r="346" ht="15.75" customHeight="1">
      <c r="A346" s="228"/>
      <c r="B346" s="165"/>
      <c r="C346" s="162"/>
      <c r="D346" s="140"/>
      <c r="E346" s="141"/>
      <c r="F346" s="142"/>
      <c r="G346" s="143"/>
      <c r="H346" s="144"/>
      <c r="I346" s="145"/>
      <c r="J346" s="146"/>
      <c r="K346" s="146"/>
      <c r="L346" s="146"/>
    </row>
    <row r="347" ht="15.75" customHeight="1">
      <c r="A347" s="228"/>
      <c r="B347" s="165"/>
      <c r="C347" s="162"/>
      <c r="D347" s="140"/>
      <c r="E347" s="141"/>
      <c r="F347" s="142"/>
      <c r="G347" s="143"/>
      <c r="H347" s="144"/>
      <c r="I347" s="145"/>
      <c r="J347" s="146"/>
      <c r="K347" s="146"/>
      <c r="L347" s="146"/>
    </row>
    <row r="348" ht="15.75" customHeight="1">
      <c r="A348" s="228"/>
      <c r="B348" s="165"/>
      <c r="C348" s="162"/>
      <c r="D348" s="140"/>
      <c r="E348" s="141"/>
      <c r="F348" s="142"/>
      <c r="G348" s="143"/>
      <c r="H348" s="144"/>
      <c r="I348" s="145"/>
      <c r="J348" s="146"/>
      <c r="K348" s="146"/>
      <c r="L348" s="146"/>
    </row>
    <row r="349" ht="15.75" customHeight="1">
      <c r="A349" s="228"/>
      <c r="B349" s="165"/>
      <c r="C349" s="162"/>
      <c r="D349" s="140"/>
      <c r="E349" s="141"/>
      <c r="F349" s="142"/>
      <c r="G349" s="143"/>
      <c r="H349" s="144"/>
      <c r="I349" s="145"/>
      <c r="J349" s="146"/>
      <c r="K349" s="146"/>
      <c r="L349" s="146"/>
    </row>
    <row r="350" ht="15.75" customHeight="1">
      <c r="A350" s="228"/>
      <c r="B350" s="165"/>
      <c r="C350" s="162"/>
      <c r="D350" s="140"/>
      <c r="E350" s="141"/>
      <c r="F350" s="142"/>
      <c r="G350" s="143"/>
      <c r="H350" s="144"/>
      <c r="I350" s="145"/>
      <c r="J350" s="146"/>
      <c r="K350" s="146"/>
      <c r="L350" s="146"/>
    </row>
    <row r="351" ht="15.75" customHeight="1">
      <c r="A351" s="228"/>
      <c r="B351" s="165"/>
      <c r="C351" s="162"/>
      <c r="D351" s="140"/>
      <c r="E351" s="141"/>
      <c r="F351" s="142"/>
      <c r="G351" s="143"/>
      <c r="H351" s="144"/>
      <c r="I351" s="145"/>
      <c r="J351" s="146"/>
      <c r="K351" s="146"/>
      <c r="L351" s="146"/>
    </row>
    <row r="352" ht="15.75" customHeight="1">
      <c r="A352" s="228"/>
      <c r="B352" s="165"/>
      <c r="C352" s="162"/>
      <c r="D352" s="140"/>
      <c r="E352" s="141"/>
      <c r="F352" s="142"/>
      <c r="G352" s="143"/>
      <c r="H352" s="144"/>
      <c r="I352" s="145"/>
      <c r="J352" s="146"/>
      <c r="K352" s="146"/>
      <c r="L352" s="146"/>
    </row>
    <row r="353" ht="15.75" customHeight="1">
      <c r="A353" s="228"/>
      <c r="B353" s="165"/>
      <c r="C353" s="162"/>
      <c r="D353" s="140"/>
      <c r="E353" s="141"/>
      <c r="F353" s="142"/>
      <c r="G353" s="143"/>
      <c r="H353" s="144"/>
      <c r="I353" s="145"/>
      <c r="J353" s="146"/>
      <c r="K353" s="146"/>
      <c r="L353" s="146"/>
    </row>
    <row r="354" ht="15.75" customHeight="1">
      <c r="A354" s="228"/>
      <c r="B354" s="165"/>
      <c r="C354" s="162"/>
      <c r="D354" s="140"/>
      <c r="E354" s="141"/>
      <c r="F354" s="142"/>
      <c r="G354" s="143"/>
      <c r="H354" s="144"/>
      <c r="I354" s="145"/>
      <c r="J354" s="146"/>
      <c r="K354" s="146"/>
      <c r="L354" s="146"/>
    </row>
    <row r="355" ht="15.75" customHeight="1">
      <c r="A355" s="228"/>
      <c r="B355" s="165"/>
      <c r="C355" s="162"/>
      <c r="D355" s="140"/>
      <c r="E355" s="141"/>
      <c r="F355" s="142"/>
      <c r="G355" s="143"/>
      <c r="H355" s="144"/>
      <c r="I355" s="145"/>
      <c r="J355" s="146"/>
      <c r="K355" s="146"/>
      <c r="L355" s="146"/>
    </row>
    <row r="356" ht="15.75" customHeight="1">
      <c r="A356" s="228"/>
      <c r="B356" s="165"/>
      <c r="C356" s="162"/>
      <c r="D356" s="140"/>
      <c r="E356" s="141"/>
      <c r="F356" s="142"/>
      <c r="G356" s="143"/>
      <c r="H356" s="144"/>
      <c r="I356" s="145"/>
      <c r="J356" s="146"/>
      <c r="K356" s="146"/>
      <c r="L356" s="146"/>
    </row>
    <row r="357" ht="15.75" customHeight="1">
      <c r="A357" s="228"/>
      <c r="B357" s="165"/>
      <c r="C357" s="162"/>
      <c r="D357" s="140"/>
      <c r="E357" s="141"/>
      <c r="F357" s="142"/>
      <c r="G357" s="143"/>
      <c r="H357" s="144"/>
      <c r="I357" s="145"/>
      <c r="J357" s="146"/>
      <c r="K357" s="146"/>
      <c r="L357" s="146"/>
    </row>
    <row r="358" ht="15.75" customHeight="1">
      <c r="A358" s="228"/>
      <c r="B358" s="165"/>
      <c r="C358" s="162"/>
      <c r="D358" s="140"/>
      <c r="E358" s="141"/>
      <c r="F358" s="142"/>
      <c r="G358" s="143"/>
      <c r="H358" s="144"/>
      <c r="I358" s="145"/>
      <c r="J358" s="146"/>
      <c r="K358" s="146"/>
      <c r="L358" s="146"/>
    </row>
    <row r="359" ht="15.75" customHeight="1">
      <c r="A359" s="228"/>
      <c r="B359" s="165"/>
      <c r="C359" s="162"/>
      <c r="D359" s="140"/>
      <c r="E359" s="141"/>
      <c r="F359" s="142"/>
      <c r="G359" s="143"/>
      <c r="H359" s="144"/>
      <c r="I359" s="145"/>
      <c r="J359" s="146"/>
      <c r="K359" s="146"/>
      <c r="L359" s="146"/>
    </row>
    <row r="360" ht="15.75" customHeight="1">
      <c r="A360" s="228"/>
      <c r="B360" s="165"/>
      <c r="C360" s="162"/>
      <c r="D360" s="140"/>
      <c r="E360" s="141"/>
      <c r="F360" s="142"/>
      <c r="G360" s="143"/>
      <c r="H360" s="144"/>
      <c r="I360" s="145"/>
      <c r="J360" s="146"/>
      <c r="K360" s="146"/>
      <c r="L360" s="146"/>
    </row>
    <row r="361" ht="15.75" customHeight="1">
      <c r="A361" s="228"/>
      <c r="B361" s="165"/>
      <c r="C361" s="162"/>
      <c r="D361" s="140"/>
      <c r="E361" s="141"/>
      <c r="F361" s="142"/>
      <c r="G361" s="143"/>
      <c r="H361" s="144"/>
      <c r="I361" s="145"/>
      <c r="J361" s="146"/>
      <c r="K361" s="146"/>
      <c r="L361" s="146"/>
    </row>
    <row r="362" ht="15.75" customHeight="1">
      <c r="A362" s="228"/>
      <c r="B362" s="165"/>
      <c r="C362" s="162"/>
      <c r="D362" s="140"/>
      <c r="E362" s="141"/>
      <c r="F362" s="142"/>
      <c r="G362" s="143"/>
      <c r="H362" s="144"/>
      <c r="I362" s="145"/>
      <c r="J362" s="146"/>
      <c r="K362" s="146"/>
      <c r="L362" s="146"/>
    </row>
    <row r="363" ht="15.75" customHeight="1">
      <c r="A363" s="228"/>
      <c r="B363" s="165"/>
      <c r="C363" s="162"/>
      <c r="D363" s="140"/>
      <c r="E363" s="141"/>
      <c r="F363" s="142"/>
      <c r="G363" s="143"/>
      <c r="H363" s="144"/>
      <c r="I363" s="145"/>
      <c r="J363" s="146"/>
      <c r="K363" s="146"/>
      <c r="L363" s="146"/>
    </row>
    <row r="364" ht="15.75" customHeight="1">
      <c r="A364" s="228"/>
      <c r="B364" s="165"/>
      <c r="C364" s="162"/>
      <c r="D364" s="140"/>
      <c r="E364" s="141"/>
      <c r="F364" s="142"/>
      <c r="G364" s="143"/>
      <c r="H364" s="144"/>
      <c r="I364" s="145"/>
      <c r="J364" s="146"/>
      <c r="K364" s="146"/>
      <c r="L364" s="146"/>
    </row>
    <row r="365" ht="15.75" customHeight="1">
      <c r="A365" s="228"/>
      <c r="B365" s="165"/>
      <c r="C365" s="162"/>
      <c r="D365" s="140"/>
      <c r="E365" s="141"/>
      <c r="F365" s="142"/>
      <c r="G365" s="143"/>
      <c r="H365" s="144"/>
      <c r="I365" s="145"/>
      <c r="J365" s="146"/>
      <c r="K365" s="146"/>
      <c r="L365" s="146"/>
    </row>
    <row r="366" ht="15.75" customHeight="1">
      <c r="A366" s="228"/>
      <c r="B366" s="165"/>
      <c r="C366" s="162"/>
      <c r="D366" s="140"/>
      <c r="E366" s="141"/>
      <c r="F366" s="142"/>
      <c r="G366" s="143"/>
      <c r="H366" s="144"/>
      <c r="I366" s="145"/>
      <c r="J366" s="146"/>
      <c r="K366" s="146"/>
      <c r="L366" s="146"/>
    </row>
    <row r="367" ht="15.75" customHeight="1">
      <c r="A367" s="228"/>
      <c r="B367" s="165"/>
      <c r="C367" s="162"/>
      <c r="D367" s="140"/>
      <c r="E367" s="141"/>
      <c r="F367" s="142"/>
      <c r="G367" s="143"/>
      <c r="H367" s="144"/>
      <c r="I367" s="145"/>
      <c r="J367" s="146"/>
      <c r="K367" s="146"/>
      <c r="L367" s="146"/>
    </row>
    <row r="368" ht="15.75" customHeight="1">
      <c r="A368" s="228"/>
      <c r="B368" s="165"/>
      <c r="C368" s="162"/>
      <c r="D368" s="140"/>
      <c r="E368" s="141"/>
      <c r="F368" s="142"/>
      <c r="G368" s="143"/>
      <c r="H368" s="144"/>
      <c r="I368" s="145"/>
      <c r="J368" s="146"/>
      <c r="K368" s="146"/>
      <c r="L368" s="146"/>
    </row>
    <row r="369" ht="15.75" customHeight="1">
      <c r="A369" s="228"/>
      <c r="B369" s="165"/>
      <c r="C369" s="162"/>
      <c r="D369" s="140"/>
      <c r="E369" s="141"/>
      <c r="F369" s="142"/>
      <c r="G369" s="143"/>
      <c r="H369" s="144"/>
      <c r="I369" s="145"/>
      <c r="J369" s="146"/>
      <c r="K369" s="146"/>
      <c r="L369" s="146"/>
    </row>
    <row r="370" ht="15.75" customHeight="1">
      <c r="A370" s="228"/>
      <c r="B370" s="165"/>
      <c r="C370" s="162"/>
      <c r="D370" s="140"/>
      <c r="E370" s="141"/>
      <c r="F370" s="142"/>
      <c r="G370" s="143"/>
      <c r="H370" s="144"/>
      <c r="I370" s="145"/>
      <c r="J370" s="146"/>
      <c r="K370" s="146"/>
      <c r="L370" s="146"/>
    </row>
    <row r="371" ht="15.75" customHeight="1">
      <c r="A371" s="228"/>
      <c r="B371" s="165"/>
      <c r="C371" s="162"/>
      <c r="D371" s="140"/>
      <c r="E371" s="141"/>
      <c r="F371" s="142"/>
      <c r="G371" s="143"/>
      <c r="H371" s="144"/>
      <c r="I371" s="145"/>
      <c r="J371" s="146"/>
      <c r="K371" s="146"/>
      <c r="L371" s="146"/>
    </row>
    <row r="372" ht="15.75" customHeight="1">
      <c r="A372" s="228"/>
      <c r="B372" s="165"/>
      <c r="C372" s="162"/>
      <c r="D372" s="140"/>
      <c r="E372" s="141"/>
      <c r="F372" s="142"/>
      <c r="G372" s="143"/>
      <c r="H372" s="144"/>
      <c r="I372" s="145"/>
      <c r="J372" s="146"/>
      <c r="K372" s="146"/>
      <c r="L372" s="146"/>
    </row>
    <row r="373" ht="15.75" customHeight="1">
      <c r="A373" s="228"/>
      <c r="B373" s="165"/>
      <c r="C373" s="162"/>
      <c r="D373" s="140"/>
      <c r="E373" s="141"/>
      <c r="F373" s="142"/>
      <c r="G373" s="143"/>
      <c r="H373" s="144"/>
      <c r="I373" s="145"/>
      <c r="J373" s="146"/>
      <c r="K373" s="146"/>
      <c r="L373" s="146"/>
    </row>
    <row r="374" ht="15.75" customHeight="1">
      <c r="A374" s="228"/>
      <c r="B374" s="165"/>
      <c r="C374" s="162"/>
      <c r="D374" s="140"/>
      <c r="E374" s="141"/>
      <c r="F374" s="142"/>
      <c r="G374" s="143"/>
      <c r="H374" s="144"/>
      <c r="I374" s="145"/>
      <c r="J374" s="146"/>
      <c r="K374" s="146"/>
      <c r="L374" s="146"/>
    </row>
    <row r="375" ht="15.75" customHeight="1">
      <c r="A375" s="228"/>
      <c r="B375" s="165"/>
      <c r="C375" s="162"/>
      <c r="D375" s="140"/>
      <c r="E375" s="141"/>
      <c r="F375" s="142"/>
      <c r="G375" s="143"/>
      <c r="H375" s="144"/>
      <c r="I375" s="145"/>
      <c r="J375" s="146"/>
      <c r="K375" s="146"/>
      <c r="L375" s="146"/>
    </row>
    <row r="376" ht="15.75" customHeight="1">
      <c r="A376" s="228"/>
      <c r="B376" s="165"/>
      <c r="C376" s="162"/>
      <c r="D376" s="140"/>
      <c r="E376" s="141"/>
      <c r="F376" s="142"/>
      <c r="G376" s="143"/>
      <c r="H376" s="144"/>
      <c r="I376" s="145"/>
      <c r="J376" s="146"/>
      <c r="K376" s="146"/>
      <c r="L376" s="146"/>
    </row>
    <row r="377" ht="15.75" customHeight="1">
      <c r="A377" s="228"/>
      <c r="B377" s="165"/>
      <c r="C377" s="162"/>
      <c r="D377" s="140"/>
      <c r="E377" s="141"/>
      <c r="F377" s="142"/>
      <c r="G377" s="143"/>
      <c r="H377" s="144"/>
      <c r="I377" s="145"/>
      <c r="J377" s="146"/>
      <c r="K377" s="146"/>
      <c r="L377" s="146"/>
    </row>
    <row r="378" ht="15.75" customHeight="1">
      <c r="A378" s="228"/>
      <c r="B378" s="165"/>
      <c r="C378" s="162"/>
      <c r="D378" s="140"/>
      <c r="E378" s="141"/>
      <c r="F378" s="142"/>
      <c r="G378" s="143"/>
      <c r="H378" s="144"/>
      <c r="I378" s="145"/>
      <c r="J378" s="146"/>
      <c r="K378" s="146"/>
      <c r="L378" s="146"/>
    </row>
    <row r="379" ht="15.75" customHeight="1">
      <c r="A379" s="228"/>
      <c r="B379" s="165"/>
      <c r="C379" s="162"/>
      <c r="D379" s="140"/>
      <c r="E379" s="141"/>
      <c r="F379" s="142"/>
      <c r="G379" s="143"/>
      <c r="H379" s="144"/>
      <c r="I379" s="145"/>
      <c r="J379" s="146"/>
      <c r="K379" s="146"/>
      <c r="L379" s="146"/>
    </row>
    <row r="380" ht="15.75" customHeight="1">
      <c r="A380" s="228"/>
      <c r="B380" s="165"/>
      <c r="C380" s="162"/>
      <c r="D380" s="140"/>
      <c r="E380" s="141"/>
      <c r="F380" s="142"/>
      <c r="G380" s="143"/>
      <c r="H380" s="144"/>
      <c r="I380" s="145"/>
      <c r="J380" s="146"/>
      <c r="K380" s="146"/>
      <c r="L380" s="146"/>
    </row>
    <row r="381" ht="15.75" customHeight="1">
      <c r="A381" s="228"/>
      <c r="B381" s="165"/>
      <c r="C381" s="162"/>
      <c r="D381" s="140"/>
      <c r="E381" s="141"/>
      <c r="F381" s="142"/>
      <c r="G381" s="143"/>
      <c r="H381" s="144"/>
      <c r="I381" s="145"/>
      <c r="J381" s="146"/>
      <c r="K381" s="146"/>
      <c r="L381" s="146"/>
    </row>
    <row r="382" ht="15.75" customHeight="1">
      <c r="A382" s="228"/>
      <c r="B382" s="165"/>
      <c r="C382" s="162"/>
      <c r="D382" s="140"/>
      <c r="E382" s="141"/>
      <c r="F382" s="142"/>
      <c r="G382" s="143"/>
      <c r="H382" s="144"/>
      <c r="I382" s="145"/>
      <c r="J382" s="146"/>
      <c r="K382" s="146"/>
      <c r="L382" s="146"/>
    </row>
    <row r="383" ht="15.75" customHeight="1">
      <c r="A383" s="228"/>
      <c r="B383" s="165"/>
      <c r="C383" s="162"/>
      <c r="D383" s="140"/>
      <c r="E383" s="141"/>
      <c r="F383" s="142"/>
      <c r="G383" s="143"/>
      <c r="H383" s="144"/>
      <c r="I383" s="145"/>
      <c r="J383" s="146"/>
      <c r="K383" s="146"/>
      <c r="L383" s="146"/>
    </row>
    <row r="384" ht="15.75" customHeight="1">
      <c r="A384" s="228"/>
      <c r="B384" s="165"/>
      <c r="C384" s="162"/>
      <c r="D384" s="140"/>
      <c r="E384" s="141"/>
      <c r="F384" s="142"/>
      <c r="G384" s="143"/>
      <c r="H384" s="144"/>
      <c r="I384" s="145"/>
      <c r="J384" s="146"/>
      <c r="K384" s="146"/>
      <c r="L384" s="146"/>
    </row>
    <row r="385" ht="15.75" customHeight="1">
      <c r="A385" s="228"/>
      <c r="B385" s="165"/>
      <c r="C385" s="162"/>
      <c r="D385" s="140"/>
      <c r="E385" s="141"/>
      <c r="F385" s="142"/>
      <c r="G385" s="143"/>
      <c r="H385" s="144"/>
      <c r="I385" s="145"/>
      <c r="J385" s="146"/>
      <c r="K385" s="146"/>
      <c r="L385" s="146"/>
    </row>
    <row r="386" ht="15.75" customHeight="1">
      <c r="A386" s="228"/>
      <c r="B386" s="165"/>
      <c r="C386" s="162"/>
      <c r="D386" s="140"/>
      <c r="E386" s="141"/>
      <c r="F386" s="142"/>
      <c r="G386" s="143"/>
      <c r="H386" s="144"/>
      <c r="I386" s="145"/>
      <c r="J386" s="146"/>
      <c r="K386" s="146"/>
      <c r="L386" s="146"/>
    </row>
    <row r="387" ht="15.75" customHeight="1">
      <c r="A387" s="228"/>
      <c r="B387" s="165"/>
      <c r="C387" s="162"/>
      <c r="D387" s="140"/>
      <c r="E387" s="141"/>
      <c r="F387" s="142"/>
      <c r="G387" s="143"/>
      <c r="H387" s="144"/>
      <c r="I387" s="145"/>
      <c r="J387" s="146"/>
      <c r="K387" s="146"/>
      <c r="L387" s="146"/>
    </row>
    <row r="388" ht="15.75" customHeight="1">
      <c r="A388" s="228"/>
      <c r="B388" s="165"/>
      <c r="C388" s="162"/>
      <c r="D388" s="140"/>
      <c r="E388" s="141"/>
      <c r="F388" s="142"/>
      <c r="G388" s="143"/>
      <c r="H388" s="144"/>
      <c r="I388" s="145"/>
      <c r="J388" s="146"/>
      <c r="K388" s="146"/>
      <c r="L388" s="146"/>
    </row>
    <row r="389" ht="15.75" customHeight="1">
      <c r="A389" s="228"/>
      <c r="B389" s="165"/>
      <c r="C389" s="162"/>
      <c r="D389" s="140"/>
      <c r="E389" s="141"/>
      <c r="F389" s="142"/>
      <c r="G389" s="143"/>
      <c r="H389" s="144"/>
      <c r="I389" s="145"/>
      <c r="J389" s="146"/>
      <c r="K389" s="146"/>
      <c r="L389" s="146"/>
    </row>
    <row r="390" ht="15.75" customHeight="1">
      <c r="A390" s="228"/>
      <c r="B390" s="165"/>
      <c r="C390" s="162"/>
      <c r="D390" s="140"/>
      <c r="E390" s="141"/>
      <c r="F390" s="142"/>
      <c r="G390" s="143"/>
      <c r="H390" s="144"/>
      <c r="I390" s="145"/>
      <c r="J390" s="146"/>
      <c r="K390" s="146"/>
      <c r="L390" s="146"/>
    </row>
    <row r="391" ht="15.75" customHeight="1">
      <c r="A391" s="228"/>
      <c r="B391" s="165"/>
      <c r="C391" s="162"/>
      <c r="D391" s="140"/>
      <c r="E391" s="141"/>
      <c r="F391" s="142"/>
      <c r="G391" s="143"/>
      <c r="H391" s="144"/>
      <c r="I391" s="145"/>
      <c r="J391" s="146"/>
      <c r="K391" s="146"/>
      <c r="L391" s="146"/>
    </row>
    <row r="392" ht="15.75" customHeight="1">
      <c r="A392" s="228"/>
      <c r="B392" s="165"/>
      <c r="C392" s="162"/>
      <c r="D392" s="140"/>
      <c r="E392" s="141"/>
      <c r="F392" s="142"/>
      <c r="G392" s="143"/>
      <c r="H392" s="144"/>
      <c r="I392" s="145"/>
      <c r="J392" s="146"/>
      <c r="K392" s="146"/>
      <c r="L392" s="146"/>
    </row>
    <row r="393" ht="15.75" customHeight="1">
      <c r="A393" s="228"/>
      <c r="B393" s="165"/>
      <c r="C393" s="162"/>
      <c r="D393" s="140"/>
      <c r="E393" s="141"/>
      <c r="F393" s="142"/>
      <c r="G393" s="143"/>
      <c r="H393" s="144"/>
      <c r="I393" s="145"/>
      <c r="J393" s="146"/>
      <c r="K393" s="146"/>
      <c r="L393" s="146"/>
    </row>
    <row r="394" ht="15.75" customHeight="1">
      <c r="A394" s="228"/>
      <c r="B394" s="165"/>
      <c r="C394" s="162"/>
      <c r="D394" s="140"/>
      <c r="E394" s="141"/>
      <c r="F394" s="142"/>
      <c r="G394" s="143"/>
      <c r="H394" s="144"/>
      <c r="I394" s="145"/>
      <c r="J394" s="146"/>
      <c r="K394" s="146"/>
      <c r="L394" s="146"/>
    </row>
    <row r="395" ht="15.75" customHeight="1">
      <c r="A395" s="228"/>
      <c r="B395" s="165"/>
      <c r="C395" s="162"/>
      <c r="D395" s="140"/>
      <c r="E395" s="141"/>
      <c r="F395" s="142"/>
      <c r="G395" s="143"/>
      <c r="H395" s="144"/>
      <c r="I395" s="145"/>
      <c r="J395" s="146"/>
      <c r="K395" s="146"/>
      <c r="L395" s="146"/>
    </row>
    <row r="396" ht="15.75" customHeight="1">
      <c r="A396" s="228"/>
      <c r="B396" s="165"/>
      <c r="C396" s="162"/>
      <c r="D396" s="140"/>
      <c r="E396" s="141"/>
      <c r="F396" s="142"/>
      <c r="G396" s="143"/>
      <c r="H396" s="144"/>
      <c r="I396" s="145"/>
      <c r="J396" s="146"/>
      <c r="K396" s="146"/>
      <c r="L396" s="146"/>
    </row>
    <row r="397" ht="15.75" customHeight="1">
      <c r="A397" s="228"/>
      <c r="B397" s="165"/>
      <c r="C397" s="162"/>
      <c r="D397" s="140"/>
      <c r="E397" s="141"/>
      <c r="F397" s="142"/>
      <c r="G397" s="143"/>
      <c r="H397" s="144"/>
      <c r="I397" s="145"/>
      <c r="J397" s="146"/>
      <c r="K397" s="146"/>
      <c r="L397" s="146"/>
    </row>
    <row r="398" ht="15.75" customHeight="1">
      <c r="A398" s="228"/>
      <c r="B398" s="165"/>
      <c r="C398" s="162"/>
      <c r="D398" s="140"/>
      <c r="E398" s="141"/>
      <c r="F398" s="142"/>
      <c r="G398" s="143"/>
      <c r="H398" s="144"/>
      <c r="I398" s="145"/>
      <c r="J398" s="146"/>
      <c r="K398" s="146"/>
      <c r="L398" s="146"/>
    </row>
    <row r="399" ht="15.75" customHeight="1">
      <c r="A399" s="228"/>
      <c r="B399" s="165"/>
      <c r="C399" s="162"/>
      <c r="D399" s="140"/>
      <c r="E399" s="141"/>
      <c r="F399" s="142"/>
      <c r="G399" s="143"/>
      <c r="H399" s="144"/>
      <c r="I399" s="145"/>
      <c r="J399" s="146"/>
      <c r="K399" s="146"/>
      <c r="L399" s="146"/>
    </row>
    <row r="400" ht="15.75" customHeight="1">
      <c r="A400" s="228"/>
      <c r="B400" s="165"/>
      <c r="C400" s="162"/>
      <c r="D400" s="140"/>
      <c r="E400" s="141"/>
      <c r="F400" s="142"/>
      <c r="G400" s="143"/>
      <c r="H400" s="144"/>
      <c r="I400" s="145"/>
      <c r="J400" s="146"/>
      <c r="K400" s="146"/>
      <c r="L400" s="146"/>
    </row>
    <row r="401" ht="15.75" customHeight="1">
      <c r="A401" s="228"/>
      <c r="B401" s="165"/>
      <c r="C401" s="162"/>
      <c r="D401" s="140"/>
      <c r="E401" s="141"/>
      <c r="F401" s="142"/>
      <c r="G401" s="143"/>
      <c r="H401" s="144"/>
      <c r="I401" s="145"/>
      <c r="J401" s="146"/>
      <c r="K401" s="146"/>
      <c r="L401" s="146"/>
    </row>
    <row r="402" ht="15.75" customHeight="1">
      <c r="A402" s="228"/>
      <c r="B402" s="165"/>
      <c r="C402" s="162"/>
      <c r="D402" s="140"/>
      <c r="E402" s="141"/>
      <c r="F402" s="142"/>
      <c r="G402" s="143"/>
      <c r="H402" s="144"/>
      <c r="I402" s="145"/>
      <c r="J402" s="146"/>
      <c r="K402" s="146"/>
      <c r="L402" s="146"/>
    </row>
    <row r="403" ht="15.75" customHeight="1">
      <c r="A403" s="228"/>
      <c r="B403" s="165"/>
      <c r="C403" s="162"/>
      <c r="D403" s="140"/>
      <c r="E403" s="141"/>
      <c r="F403" s="142"/>
      <c r="G403" s="143"/>
      <c r="H403" s="144"/>
      <c r="I403" s="145"/>
      <c r="J403" s="146"/>
      <c r="K403" s="146"/>
      <c r="L403" s="146"/>
    </row>
    <row r="404" ht="15.75" customHeight="1">
      <c r="A404" s="228"/>
      <c r="B404" s="165"/>
      <c r="C404" s="162"/>
      <c r="D404" s="140"/>
      <c r="E404" s="141"/>
      <c r="F404" s="142"/>
      <c r="G404" s="143"/>
      <c r="H404" s="144"/>
      <c r="I404" s="145"/>
      <c r="J404" s="146"/>
      <c r="K404" s="146"/>
      <c r="L404" s="146"/>
    </row>
    <row r="405" ht="15.75" customHeight="1">
      <c r="A405" s="228"/>
      <c r="B405" s="165"/>
      <c r="C405" s="162"/>
      <c r="D405" s="140"/>
      <c r="E405" s="141"/>
      <c r="F405" s="142"/>
      <c r="G405" s="143"/>
      <c r="H405" s="144"/>
      <c r="I405" s="145"/>
      <c r="J405" s="146"/>
      <c r="K405" s="146"/>
      <c r="L405" s="146"/>
    </row>
    <row r="406" ht="15.75" customHeight="1">
      <c r="A406" s="228"/>
      <c r="B406" s="165"/>
      <c r="C406" s="162"/>
      <c r="D406" s="140"/>
      <c r="E406" s="141"/>
      <c r="F406" s="142"/>
      <c r="G406" s="143"/>
      <c r="H406" s="144"/>
      <c r="I406" s="145"/>
      <c r="J406" s="146"/>
      <c r="K406" s="146"/>
      <c r="L406" s="146"/>
    </row>
    <row r="407" ht="15.75" customHeight="1">
      <c r="A407" s="228"/>
      <c r="B407" s="165"/>
      <c r="C407" s="162"/>
      <c r="D407" s="140"/>
      <c r="E407" s="141"/>
      <c r="F407" s="142"/>
      <c r="G407" s="143"/>
      <c r="H407" s="144"/>
      <c r="I407" s="145"/>
      <c r="J407" s="146"/>
      <c r="K407" s="146"/>
      <c r="L407" s="146"/>
    </row>
    <row r="408" ht="15.75" customHeight="1">
      <c r="A408" s="228"/>
      <c r="B408" s="165"/>
      <c r="C408" s="162"/>
      <c r="D408" s="140"/>
      <c r="E408" s="141"/>
      <c r="F408" s="142"/>
      <c r="G408" s="143"/>
      <c r="H408" s="144"/>
      <c r="I408" s="145"/>
      <c r="J408" s="146"/>
      <c r="K408" s="146"/>
      <c r="L408" s="146"/>
    </row>
    <row r="409" ht="15.75" customHeight="1">
      <c r="A409" s="228"/>
      <c r="B409" s="165"/>
      <c r="C409" s="162"/>
      <c r="D409" s="140"/>
      <c r="E409" s="141"/>
      <c r="F409" s="142"/>
      <c r="G409" s="143"/>
      <c r="H409" s="144"/>
      <c r="I409" s="145"/>
      <c r="J409" s="146"/>
      <c r="K409" s="146"/>
      <c r="L409" s="146"/>
    </row>
    <row r="410" ht="15.75" customHeight="1">
      <c r="A410" s="228"/>
      <c r="B410" s="165"/>
      <c r="C410" s="162"/>
      <c r="D410" s="140"/>
      <c r="E410" s="141"/>
      <c r="F410" s="142"/>
      <c r="G410" s="143"/>
      <c r="H410" s="144"/>
      <c r="I410" s="145"/>
      <c r="J410" s="146"/>
      <c r="K410" s="146"/>
      <c r="L410" s="146"/>
    </row>
    <row r="411" ht="15.75" customHeight="1">
      <c r="A411" s="228"/>
      <c r="B411" s="165"/>
      <c r="C411" s="162"/>
      <c r="D411" s="140"/>
      <c r="E411" s="141"/>
      <c r="F411" s="142"/>
      <c r="G411" s="143"/>
      <c r="H411" s="144"/>
      <c r="I411" s="145"/>
      <c r="J411" s="146"/>
      <c r="K411" s="146"/>
      <c r="L411" s="146"/>
    </row>
    <row r="412" ht="15.75" customHeight="1">
      <c r="A412" s="228"/>
      <c r="B412" s="165"/>
      <c r="C412" s="162"/>
      <c r="D412" s="140"/>
      <c r="E412" s="141"/>
      <c r="F412" s="142"/>
      <c r="G412" s="143"/>
      <c r="H412" s="144"/>
      <c r="I412" s="145"/>
      <c r="J412" s="146"/>
      <c r="K412" s="146"/>
      <c r="L412" s="146"/>
    </row>
    <row r="413" ht="15.75" customHeight="1">
      <c r="A413" s="228"/>
      <c r="B413" s="165"/>
      <c r="C413" s="162"/>
      <c r="D413" s="140"/>
      <c r="E413" s="141"/>
      <c r="F413" s="142"/>
      <c r="G413" s="143"/>
      <c r="H413" s="144"/>
      <c r="I413" s="145"/>
      <c r="J413" s="146"/>
      <c r="K413" s="146"/>
      <c r="L413" s="146"/>
    </row>
    <row r="414" ht="15.75" customHeight="1">
      <c r="A414" s="228"/>
      <c r="B414" s="165"/>
      <c r="C414" s="162"/>
      <c r="D414" s="140"/>
      <c r="E414" s="141"/>
      <c r="F414" s="142"/>
      <c r="G414" s="143"/>
      <c r="H414" s="144"/>
      <c r="I414" s="145"/>
      <c r="J414" s="146"/>
      <c r="K414" s="146"/>
      <c r="L414" s="146"/>
    </row>
    <row r="415" ht="15.75" customHeight="1">
      <c r="A415" s="228"/>
      <c r="B415" s="165"/>
      <c r="C415" s="162"/>
      <c r="D415" s="140"/>
      <c r="E415" s="141"/>
      <c r="F415" s="142"/>
      <c r="G415" s="143"/>
      <c r="H415" s="144"/>
      <c r="I415" s="145"/>
      <c r="J415" s="146"/>
      <c r="K415" s="146"/>
      <c r="L415" s="146"/>
    </row>
    <row r="416" ht="15.75" customHeight="1">
      <c r="A416" s="228"/>
      <c r="B416" s="165"/>
      <c r="C416" s="162"/>
      <c r="D416" s="140"/>
      <c r="E416" s="141"/>
      <c r="F416" s="142"/>
      <c r="G416" s="143"/>
      <c r="H416" s="144"/>
      <c r="I416" s="145"/>
      <c r="J416" s="146"/>
      <c r="K416" s="146"/>
      <c r="L416" s="146"/>
    </row>
    <row r="417" ht="15.75" customHeight="1">
      <c r="A417" s="228"/>
      <c r="B417" s="165"/>
      <c r="C417" s="162"/>
      <c r="D417" s="140"/>
      <c r="E417" s="141"/>
      <c r="F417" s="142"/>
      <c r="G417" s="143"/>
      <c r="H417" s="144"/>
      <c r="I417" s="145"/>
      <c r="J417" s="146"/>
      <c r="K417" s="146"/>
      <c r="L417" s="146"/>
    </row>
    <row r="418" ht="15.75" customHeight="1">
      <c r="A418" s="228"/>
      <c r="B418" s="165"/>
      <c r="C418" s="162"/>
      <c r="D418" s="140"/>
      <c r="E418" s="141"/>
      <c r="F418" s="142"/>
      <c r="G418" s="143"/>
      <c r="H418" s="144"/>
      <c r="I418" s="145"/>
      <c r="J418" s="146"/>
      <c r="K418" s="146"/>
      <c r="L418" s="146"/>
    </row>
    <row r="419" ht="15.75" customHeight="1">
      <c r="A419" s="228"/>
      <c r="B419" s="165"/>
      <c r="C419" s="162"/>
      <c r="D419" s="140"/>
      <c r="E419" s="141"/>
      <c r="F419" s="142"/>
      <c r="G419" s="143"/>
      <c r="H419" s="144"/>
      <c r="I419" s="145"/>
      <c r="J419" s="146"/>
      <c r="K419" s="146"/>
      <c r="L419" s="146"/>
    </row>
    <row r="420" ht="15.75" customHeight="1">
      <c r="A420" s="228"/>
      <c r="B420" s="165"/>
      <c r="C420" s="162"/>
      <c r="D420" s="140"/>
      <c r="E420" s="141"/>
      <c r="F420" s="142"/>
      <c r="G420" s="143"/>
      <c r="H420" s="144"/>
      <c r="I420" s="145"/>
      <c r="J420" s="146"/>
      <c r="K420" s="146"/>
      <c r="L420" s="146"/>
    </row>
    <row r="421" ht="15.75" customHeight="1">
      <c r="A421" s="228"/>
      <c r="B421" s="165"/>
      <c r="C421" s="162"/>
      <c r="D421" s="140"/>
      <c r="E421" s="141"/>
      <c r="F421" s="142"/>
      <c r="G421" s="143"/>
      <c r="H421" s="144"/>
      <c r="I421" s="145"/>
      <c r="J421" s="146"/>
      <c r="K421" s="146"/>
      <c r="L421" s="146"/>
    </row>
    <row r="422" ht="15.75" customHeight="1">
      <c r="A422" s="228"/>
      <c r="B422" s="165"/>
      <c r="C422" s="162"/>
      <c r="D422" s="140"/>
      <c r="E422" s="141"/>
      <c r="F422" s="142"/>
      <c r="G422" s="143"/>
      <c r="H422" s="144"/>
      <c r="I422" s="145"/>
      <c r="J422" s="146"/>
      <c r="K422" s="146"/>
      <c r="L422" s="146"/>
    </row>
    <row r="423" ht="15.75" customHeight="1">
      <c r="A423" s="228"/>
      <c r="B423" s="165"/>
      <c r="C423" s="162"/>
      <c r="D423" s="140"/>
      <c r="E423" s="141"/>
      <c r="F423" s="142"/>
      <c r="G423" s="143"/>
      <c r="H423" s="144"/>
      <c r="I423" s="145"/>
      <c r="J423" s="146"/>
      <c r="K423" s="146"/>
      <c r="L423" s="146"/>
    </row>
    <row r="424" ht="15.75" customHeight="1">
      <c r="A424" s="228"/>
      <c r="B424" s="165"/>
      <c r="C424" s="162"/>
      <c r="D424" s="140"/>
      <c r="E424" s="141"/>
      <c r="F424" s="142"/>
      <c r="G424" s="143"/>
      <c r="H424" s="144"/>
      <c r="I424" s="145"/>
      <c r="J424" s="146"/>
      <c r="K424" s="146"/>
      <c r="L424" s="146"/>
    </row>
    <row r="425" ht="15.75" customHeight="1">
      <c r="A425" s="228"/>
      <c r="B425" s="165"/>
      <c r="C425" s="162"/>
      <c r="D425" s="140"/>
      <c r="E425" s="141"/>
      <c r="F425" s="142"/>
      <c r="G425" s="143"/>
      <c r="H425" s="144"/>
      <c r="I425" s="145"/>
      <c r="J425" s="146"/>
      <c r="K425" s="146"/>
      <c r="L425" s="146"/>
    </row>
    <row r="426" ht="15.75" customHeight="1">
      <c r="A426" s="228"/>
      <c r="B426" s="165"/>
      <c r="C426" s="162"/>
      <c r="D426" s="140"/>
      <c r="E426" s="141"/>
      <c r="F426" s="142"/>
      <c r="G426" s="143"/>
      <c r="H426" s="144"/>
      <c r="I426" s="145"/>
      <c r="J426" s="146"/>
      <c r="K426" s="146"/>
      <c r="L426" s="146"/>
    </row>
    <row r="427" ht="15.75" customHeight="1">
      <c r="A427" s="228"/>
      <c r="B427" s="165"/>
      <c r="C427" s="162"/>
      <c r="D427" s="140"/>
      <c r="E427" s="141"/>
      <c r="F427" s="142"/>
      <c r="G427" s="143"/>
      <c r="H427" s="144"/>
      <c r="I427" s="145"/>
      <c r="J427" s="146"/>
      <c r="K427" s="146"/>
      <c r="L427" s="146"/>
    </row>
    <row r="428" ht="15.75" customHeight="1">
      <c r="A428" s="228"/>
      <c r="B428" s="165"/>
      <c r="C428" s="162"/>
      <c r="D428" s="140"/>
      <c r="E428" s="141"/>
      <c r="F428" s="142"/>
      <c r="G428" s="143"/>
      <c r="H428" s="144"/>
      <c r="I428" s="145"/>
      <c r="J428" s="146"/>
      <c r="K428" s="146"/>
      <c r="L428" s="146"/>
    </row>
    <row r="429" ht="15.75" customHeight="1">
      <c r="A429" s="228"/>
      <c r="B429" s="165"/>
      <c r="C429" s="162"/>
      <c r="D429" s="140"/>
      <c r="E429" s="141"/>
      <c r="F429" s="142"/>
      <c r="G429" s="143"/>
      <c r="H429" s="144"/>
      <c r="I429" s="145"/>
      <c r="J429" s="146"/>
      <c r="K429" s="146"/>
      <c r="L429" s="146"/>
    </row>
    <row r="430" ht="15.75" customHeight="1">
      <c r="A430" s="228"/>
      <c r="B430" s="165"/>
      <c r="C430" s="162"/>
      <c r="D430" s="140"/>
      <c r="E430" s="141"/>
      <c r="F430" s="142"/>
      <c r="G430" s="143"/>
      <c r="H430" s="144"/>
      <c r="I430" s="145"/>
      <c r="J430" s="146"/>
      <c r="K430" s="146"/>
      <c r="L430" s="146"/>
    </row>
    <row r="431" ht="15.75" customHeight="1">
      <c r="A431" s="228"/>
      <c r="B431" s="165"/>
      <c r="C431" s="162"/>
      <c r="D431" s="140"/>
      <c r="E431" s="141"/>
      <c r="F431" s="142"/>
      <c r="G431" s="143"/>
      <c r="H431" s="144"/>
      <c r="I431" s="145"/>
      <c r="J431" s="146"/>
      <c r="K431" s="146"/>
      <c r="L431" s="146"/>
    </row>
    <row r="432" ht="15.75" customHeight="1">
      <c r="A432" s="228"/>
      <c r="B432" s="165"/>
      <c r="C432" s="162"/>
      <c r="D432" s="140"/>
      <c r="E432" s="141"/>
      <c r="F432" s="142"/>
      <c r="G432" s="143"/>
      <c r="H432" s="144"/>
      <c r="I432" s="145"/>
      <c r="J432" s="146"/>
      <c r="K432" s="146"/>
      <c r="L432" s="146"/>
    </row>
    <row r="433" ht="15.75" customHeight="1">
      <c r="A433" s="228"/>
      <c r="B433" s="165"/>
      <c r="C433" s="162"/>
      <c r="D433" s="140"/>
      <c r="E433" s="141"/>
      <c r="F433" s="142"/>
      <c r="G433" s="143"/>
      <c r="H433" s="144"/>
      <c r="I433" s="145"/>
      <c r="J433" s="146"/>
      <c r="K433" s="146"/>
      <c r="L433" s="146"/>
    </row>
    <row r="434" ht="15.75" customHeight="1">
      <c r="A434" s="228"/>
      <c r="B434" s="165"/>
      <c r="C434" s="162"/>
      <c r="D434" s="140"/>
      <c r="E434" s="141"/>
      <c r="F434" s="142"/>
      <c r="G434" s="143"/>
      <c r="H434" s="144"/>
      <c r="I434" s="145"/>
      <c r="J434" s="146"/>
      <c r="K434" s="146"/>
      <c r="L434" s="146"/>
    </row>
    <row r="435" ht="15.75" customHeight="1">
      <c r="A435" s="228"/>
      <c r="B435" s="165"/>
      <c r="C435" s="162"/>
      <c r="D435" s="140"/>
      <c r="E435" s="141"/>
      <c r="F435" s="142"/>
      <c r="G435" s="143"/>
      <c r="H435" s="144"/>
      <c r="I435" s="145"/>
      <c r="J435" s="146"/>
      <c r="K435" s="146"/>
      <c r="L435" s="146"/>
    </row>
    <row r="436" ht="15.75" customHeight="1">
      <c r="A436" s="228"/>
      <c r="B436" s="165"/>
      <c r="C436" s="162"/>
      <c r="D436" s="140"/>
      <c r="E436" s="141"/>
      <c r="F436" s="142"/>
      <c r="G436" s="143"/>
      <c r="H436" s="144"/>
      <c r="I436" s="145"/>
      <c r="J436" s="146"/>
      <c r="K436" s="146"/>
      <c r="L436" s="146"/>
    </row>
    <row r="437" ht="15.75" customHeight="1">
      <c r="A437" s="228"/>
      <c r="B437" s="165"/>
      <c r="C437" s="162"/>
      <c r="D437" s="140"/>
      <c r="E437" s="141"/>
      <c r="F437" s="142"/>
      <c r="G437" s="143"/>
      <c r="H437" s="144"/>
      <c r="I437" s="145"/>
      <c r="J437" s="146"/>
      <c r="K437" s="146"/>
      <c r="L437" s="146"/>
    </row>
    <row r="438" ht="15.75" customHeight="1">
      <c r="A438" s="228"/>
      <c r="B438" s="165"/>
      <c r="C438" s="162"/>
      <c r="D438" s="140"/>
      <c r="E438" s="141"/>
      <c r="F438" s="142"/>
      <c r="G438" s="143"/>
      <c r="H438" s="144"/>
      <c r="I438" s="145"/>
      <c r="J438" s="146"/>
      <c r="K438" s="146"/>
      <c r="L438" s="146"/>
    </row>
    <row r="439" ht="15.75" customHeight="1">
      <c r="A439" s="228"/>
      <c r="B439" s="165"/>
      <c r="C439" s="162"/>
      <c r="D439" s="140"/>
      <c r="E439" s="141"/>
      <c r="F439" s="142"/>
      <c r="G439" s="143"/>
      <c r="H439" s="144"/>
      <c r="I439" s="145"/>
      <c r="J439" s="146"/>
      <c r="K439" s="146"/>
      <c r="L439" s="146"/>
    </row>
    <row r="440" ht="15.75" customHeight="1">
      <c r="A440" s="228"/>
      <c r="B440" s="165"/>
      <c r="C440" s="162"/>
      <c r="D440" s="140"/>
      <c r="E440" s="141"/>
      <c r="F440" s="142"/>
      <c r="G440" s="143"/>
      <c r="H440" s="144"/>
      <c r="I440" s="145"/>
      <c r="J440" s="146"/>
      <c r="K440" s="146"/>
      <c r="L440" s="146"/>
    </row>
    <row r="441" ht="15.75" customHeight="1">
      <c r="A441" s="228"/>
      <c r="B441" s="165"/>
      <c r="C441" s="162"/>
      <c r="D441" s="140"/>
      <c r="E441" s="141"/>
      <c r="F441" s="142"/>
      <c r="G441" s="143"/>
      <c r="H441" s="144"/>
      <c r="I441" s="145"/>
      <c r="J441" s="146"/>
      <c r="K441" s="146"/>
      <c r="L441" s="146"/>
    </row>
    <row r="442" ht="15.75" customHeight="1">
      <c r="A442" s="228"/>
      <c r="B442" s="165"/>
      <c r="C442" s="162"/>
      <c r="D442" s="140"/>
      <c r="E442" s="141"/>
      <c r="F442" s="142"/>
      <c r="G442" s="143"/>
      <c r="H442" s="144"/>
      <c r="I442" s="145"/>
      <c r="J442" s="146"/>
      <c r="K442" s="146"/>
      <c r="L442" s="146"/>
    </row>
    <row r="443" ht="15.75" customHeight="1">
      <c r="A443" s="228"/>
      <c r="B443" s="165"/>
      <c r="C443" s="162"/>
      <c r="D443" s="140"/>
      <c r="E443" s="141"/>
      <c r="F443" s="142"/>
      <c r="G443" s="143"/>
      <c r="H443" s="144"/>
      <c r="I443" s="145"/>
      <c r="J443" s="146"/>
      <c r="K443" s="146"/>
      <c r="L443" s="146"/>
    </row>
    <row r="444" ht="15.75" customHeight="1">
      <c r="A444" s="228"/>
      <c r="B444" s="165"/>
      <c r="C444" s="162"/>
      <c r="D444" s="140"/>
      <c r="E444" s="141"/>
      <c r="F444" s="142"/>
      <c r="G444" s="143"/>
      <c r="H444" s="144"/>
      <c r="I444" s="145"/>
      <c r="J444" s="146"/>
      <c r="K444" s="146"/>
      <c r="L444" s="146"/>
    </row>
    <row r="445" ht="15.75" customHeight="1">
      <c r="A445" s="228"/>
      <c r="B445" s="165"/>
      <c r="C445" s="162"/>
      <c r="D445" s="140"/>
      <c r="E445" s="141"/>
      <c r="F445" s="142"/>
      <c r="G445" s="143"/>
      <c r="H445" s="144"/>
      <c r="I445" s="145"/>
      <c r="J445" s="146"/>
      <c r="K445" s="146"/>
      <c r="L445" s="146"/>
    </row>
    <row r="446" ht="15.75" customHeight="1">
      <c r="A446" s="228"/>
      <c r="B446" s="165"/>
      <c r="C446" s="162"/>
      <c r="D446" s="140"/>
      <c r="E446" s="141"/>
      <c r="F446" s="142"/>
      <c r="G446" s="143"/>
      <c r="H446" s="144"/>
      <c r="I446" s="145"/>
      <c r="J446" s="146"/>
      <c r="K446" s="146"/>
      <c r="L446" s="146"/>
    </row>
    <row r="447" ht="15.75" customHeight="1">
      <c r="A447" s="228"/>
      <c r="B447" s="165"/>
      <c r="C447" s="162"/>
      <c r="D447" s="140"/>
      <c r="E447" s="141"/>
      <c r="F447" s="142"/>
      <c r="G447" s="143"/>
      <c r="H447" s="144"/>
      <c r="I447" s="145"/>
      <c r="J447" s="146"/>
      <c r="K447" s="146"/>
      <c r="L447" s="146"/>
    </row>
    <row r="448" ht="15.75" customHeight="1">
      <c r="A448" s="228"/>
      <c r="B448" s="165"/>
      <c r="C448" s="162"/>
      <c r="D448" s="140"/>
      <c r="E448" s="141"/>
      <c r="F448" s="142"/>
      <c r="G448" s="143"/>
      <c r="H448" s="144"/>
      <c r="I448" s="145"/>
      <c r="J448" s="146"/>
      <c r="K448" s="146"/>
      <c r="L448" s="146"/>
    </row>
    <row r="449" ht="15.75" customHeight="1">
      <c r="A449" s="228"/>
      <c r="B449" s="165"/>
      <c r="C449" s="162"/>
      <c r="D449" s="140"/>
      <c r="E449" s="141"/>
      <c r="F449" s="142"/>
      <c r="G449" s="143"/>
      <c r="H449" s="144"/>
      <c r="I449" s="145"/>
      <c r="J449" s="146"/>
      <c r="K449" s="146"/>
      <c r="L449" s="146"/>
    </row>
    <row r="450" ht="15.75" customHeight="1">
      <c r="A450" s="228"/>
      <c r="B450" s="165"/>
      <c r="C450" s="162"/>
      <c r="D450" s="140"/>
      <c r="E450" s="141"/>
      <c r="F450" s="142"/>
      <c r="G450" s="143"/>
      <c r="H450" s="144"/>
      <c r="I450" s="145"/>
      <c r="J450" s="146"/>
      <c r="K450" s="146"/>
      <c r="L450" s="146"/>
    </row>
    <row r="451" ht="15.75" customHeight="1">
      <c r="A451" s="228"/>
      <c r="B451" s="165"/>
      <c r="C451" s="162"/>
      <c r="D451" s="140"/>
      <c r="E451" s="141"/>
      <c r="F451" s="142"/>
      <c r="G451" s="143"/>
      <c r="H451" s="144"/>
      <c r="I451" s="145"/>
      <c r="J451" s="146"/>
      <c r="K451" s="146"/>
      <c r="L451" s="146"/>
    </row>
    <row r="452" ht="15.75" customHeight="1">
      <c r="A452" s="228"/>
      <c r="B452" s="165"/>
      <c r="C452" s="162"/>
      <c r="D452" s="140"/>
      <c r="E452" s="141"/>
      <c r="F452" s="142"/>
      <c r="G452" s="143"/>
      <c r="H452" s="144"/>
      <c r="I452" s="145"/>
      <c r="J452" s="146"/>
      <c r="K452" s="146"/>
      <c r="L452" s="146"/>
    </row>
    <row r="453" ht="15.75" customHeight="1">
      <c r="A453" s="228"/>
      <c r="B453" s="165"/>
      <c r="C453" s="162"/>
      <c r="D453" s="140"/>
      <c r="E453" s="141"/>
      <c r="F453" s="142"/>
      <c r="G453" s="143"/>
      <c r="H453" s="144"/>
      <c r="I453" s="145"/>
      <c r="J453" s="146"/>
      <c r="K453" s="146"/>
      <c r="L453" s="146"/>
    </row>
    <row r="454" ht="15.75" customHeight="1">
      <c r="A454" s="228"/>
      <c r="B454" s="165"/>
      <c r="C454" s="162"/>
      <c r="D454" s="140"/>
      <c r="E454" s="141"/>
      <c r="F454" s="142"/>
      <c r="G454" s="143"/>
      <c r="H454" s="144"/>
      <c r="I454" s="145"/>
      <c r="J454" s="146"/>
      <c r="K454" s="146"/>
      <c r="L454" s="146"/>
    </row>
    <row r="455" ht="15.75" customHeight="1">
      <c r="A455" s="228"/>
      <c r="B455" s="165"/>
      <c r="C455" s="162"/>
      <c r="D455" s="140"/>
      <c r="E455" s="141"/>
      <c r="F455" s="142"/>
      <c r="G455" s="143"/>
      <c r="H455" s="144"/>
      <c r="I455" s="145"/>
      <c r="J455" s="146"/>
      <c r="K455" s="146"/>
      <c r="L455" s="146"/>
    </row>
    <row r="456" ht="15.75" customHeight="1">
      <c r="A456" s="228"/>
      <c r="B456" s="165"/>
      <c r="C456" s="162"/>
      <c r="D456" s="140"/>
      <c r="E456" s="141"/>
      <c r="F456" s="142"/>
      <c r="G456" s="143"/>
      <c r="H456" s="144"/>
      <c r="I456" s="145"/>
      <c r="J456" s="146"/>
      <c r="K456" s="146"/>
      <c r="L456" s="146"/>
    </row>
    <row r="457" ht="15.75" customHeight="1">
      <c r="A457" s="228"/>
      <c r="B457" s="165"/>
      <c r="C457" s="162"/>
      <c r="D457" s="140"/>
      <c r="E457" s="141"/>
      <c r="F457" s="142"/>
      <c r="G457" s="143"/>
      <c r="H457" s="144"/>
      <c r="I457" s="145"/>
      <c r="J457" s="146"/>
      <c r="K457" s="146"/>
      <c r="L457" s="146"/>
    </row>
    <row r="458" ht="15.75" customHeight="1">
      <c r="A458" s="228"/>
      <c r="B458" s="165"/>
      <c r="C458" s="162"/>
      <c r="D458" s="140"/>
      <c r="E458" s="141"/>
      <c r="F458" s="142"/>
      <c r="G458" s="143"/>
      <c r="H458" s="144"/>
      <c r="I458" s="145"/>
      <c r="J458" s="146"/>
      <c r="K458" s="146"/>
      <c r="L458" s="146"/>
    </row>
    <row r="459" ht="15.75" customHeight="1">
      <c r="A459" s="228"/>
      <c r="B459" s="165"/>
      <c r="C459" s="162"/>
      <c r="D459" s="140"/>
      <c r="E459" s="141"/>
      <c r="F459" s="142"/>
      <c r="G459" s="143"/>
      <c r="H459" s="144"/>
      <c r="I459" s="145"/>
      <c r="J459" s="146"/>
      <c r="K459" s="146"/>
      <c r="L459" s="146"/>
    </row>
    <row r="460" ht="15.75" customHeight="1">
      <c r="A460" s="228"/>
      <c r="B460" s="165"/>
      <c r="C460" s="162"/>
      <c r="D460" s="140"/>
      <c r="E460" s="141"/>
      <c r="F460" s="142"/>
      <c r="G460" s="143"/>
      <c r="H460" s="144"/>
      <c r="I460" s="145"/>
      <c r="J460" s="146"/>
      <c r="K460" s="146"/>
      <c r="L460" s="146"/>
    </row>
    <row r="461" ht="15.75" customHeight="1">
      <c r="A461" s="228"/>
      <c r="B461" s="165"/>
      <c r="C461" s="162"/>
      <c r="D461" s="140"/>
      <c r="E461" s="141"/>
      <c r="F461" s="142"/>
      <c r="G461" s="143"/>
      <c r="H461" s="144"/>
      <c r="I461" s="145"/>
      <c r="J461" s="146"/>
      <c r="K461" s="146"/>
      <c r="L461" s="146"/>
    </row>
    <row r="462" ht="15.75" customHeight="1">
      <c r="A462" s="228"/>
      <c r="B462" s="165"/>
      <c r="C462" s="162"/>
      <c r="D462" s="140"/>
      <c r="E462" s="141"/>
      <c r="F462" s="142"/>
      <c r="G462" s="143"/>
      <c r="H462" s="144"/>
      <c r="I462" s="145"/>
      <c r="J462" s="146"/>
      <c r="K462" s="146"/>
      <c r="L462" s="146"/>
    </row>
    <row r="463" ht="15.75" customHeight="1">
      <c r="A463" s="228"/>
      <c r="B463" s="165"/>
      <c r="C463" s="162"/>
      <c r="D463" s="140"/>
      <c r="E463" s="141"/>
      <c r="F463" s="142"/>
      <c r="G463" s="143"/>
      <c r="H463" s="144"/>
      <c r="I463" s="145"/>
      <c r="J463" s="146"/>
      <c r="K463" s="146"/>
      <c r="L463" s="146"/>
    </row>
    <row r="464" ht="15.75" customHeight="1">
      <c r="A464" s="228"/>
      <c r="B464" s="165"/>
      <c r="C464" s="162"/>
      <c r="D464" s="140"/>
      <c r="E464" s="141"/>
      <c r="F464" s="142"/>
      <c r="G464" s="143"/>
      <c r="H464" s="144"/>
      <c r="I464" s="145"/>
      <c r="J464" s="146"/>
      <c r="K464" s="146"/>
      <c r="L464" s="146"/>
    </row>
    <row r="465" ht="15.75" customHeight="1">
      <c r="A465" s="228"/>
      <c r="B465" s="165"/>
      <c r="C465" s="162"/>
      <c r="D465" s="140"/>
      <c r="E465" s="141"/>
      <c r="F465" s="142"/>
      <c r="G465" s="143"/>
      <c r="H465" s="144"/>
      <c r="I465" s="145"/>
      <c r="J465" s="146"/>
      <c r="K465" s="146"/>
      <c r="L465" s="146"/>
    </row>
    <row r="466" ht="15.75" customHeight="1">
      <c r="A466" s="228"/>
      <c r="B466" s="165"/>
      <c r="C466" s="162"/>
      <c r="D466" s="140"/>
      <c r="E466" s="141"/>
      <c r="F466" s="142"/>
      <c r="G466" s="143"/>
      <c r="H466" s="144"/>
      <c r="I466" s="145"/>
      <c r="J466" s="146"/>
      <c r="K466" s="146"/>
      <c r="L466" s="146"/>
    </row>
    <row r="467" ht="15.75" customHeight="1">
      <c r="A467" s="228"/>
      <c r="B467" s="165"/>
      <c r="C467" s="162"/>
      <c r="D467" s="140"/>
      <c r="E467" s="141"/>
      <c r="F467" s="142"/>
      <c r="G467" s="143"/>
      <c r="H467" s="144"/>
      <c r="I467" s="145"/>
      <c r="J467" s="146"/>
      <c r="K467" s="146"/>
      <c r="L467" s="146"/>
    </row>
    <row r="468" ht="15.75" customHeight="1">
      <c r="A468" s="228"/>
      <c r="B468" s="165"/>
      <c r="C468" s="162"/>
      <c r="D468" s="140"/>
      <c r="E468" s="141"/>
      <c r="F468" s="142"/>
      <c r="G468" s="143"/>
      <c r="H468" s="144"/>
      <c r="I468" s="145"/>
      <c r="J468" s="146"/>
      <c r="K468" s="146"/>
      <c r="L468" s="146"/>
    </row>
    <row r="469" ht="15.75" customHeight="1">
      <c r="A469" s="228"/>
      <c r="B469" s="165"/>
      <c r="C469" s="162"/>
      <c r="D469" s="140"/>
      <c r="E469" s="141"/>
      <c r="F469" s="142"/>
      <c r="G469" s="143"/>
      <c r="H469" s="144"/>
      <c r="I469" s="145"/>
      <c r="J469" s="146"/>
      <c r="K469" s="146"/>
      <c r="L469" s="146"/>
    </row>
    <row r="470" ht="15.75" customHeight="1">
      <c r="A470" s="228"/>
      <c r="B470" s="165"/>
      <c r="C470" s="162"/>
      <c r="D470" s="140"/>
      <c r="E470" s="141"/>
      <c r="F470" s="142"/>
      <c r="G470" s="143"/>
      <c r="H470" s="144"/>
      <c r="I470" s="145"/>
      <c r="J470" s="146"/>
      <c r="K470" s="146"/>
      <c r="L470" s="146"/>
    </row>
    <row r="471" ht="15.75" customHeight="1">
      <c r="A471" s="228"/>
      <c r="B471" s="165"/>
      <c r="C471" s="162"/>
      <c r="D471" s="140"/>
      <c r="E471" s="141"/>
      <c r="F471" s="142"/>
      <c r="G471" s="143"/>
      <c r="H471" s="144"/>
      <c r="I471" s="145"/>
      <c r="J471" s="146"/>
      <c r="K471" s="146"/>
      <c r="L471" s="146"/>
    </row>
    <row r="472" ht="15.75" customHeight="1">
      <c r="A472" s="228"/>
      <c r="B472" s="165"/>
      <c r="C472" s="162"/>
      <c r="D472" s="140"/>
      <c r="E472" s="141"/>
      <c r="F472" s="142"/>
      <c r="G472" s="143"/>
      <c r="H472" s="144"/>
      <c r="I472" s="145"/>
      <c r="J472" s="146"/>
      <c r="K472" s="146"/>
      <c r="L472" s="146"/>
    </row>
    <row r="473" ht="15.75" customHeight="1">
      <c r="A473" s="228"/>
      <c r="B473" s="165"/>
      <c r="C473" s="162"/>
      <c r="D473" s="140"/>
      <c r="E473" s="141"/>
      <c r="F473" s="142"/>
      <c r="G473" s="143"/>
      <c r="H473" s="144"/>
      <c r="I473" s="145"/>
      <c r="J473" s="146"/>
      <c r="K473" s="146"/>
      <c r="L473" s="146"/>
    </row>
    <row r="474" ht="15.75" customHeight="1">
      <c r="A474" s="228"/>
      <c r="B474" s="165"/>
      <c r="C474" s="162"/>
      <c r="D474" s="140"/>
      <c r="E474" s="141"/>
      <c r="F474" s="142"/>
      <c r="G474" s="143"/>
      <c r="H474" s="144"/>
      <c r="I474" s="145"/>
      <c r="J474" s="146"/>
      <c r="K474" s="146"/>
      <c r="L474" s="146"/>
    </row>
    <row r="475" ht="15.75" customHeight="1">
      <c r="A475" s="228"/>
      <c r="B475" s="165"/>
      <c r="C475" s="162"/>
      <c r="D475" s="140"/>
      <c r="E475" s="141"/>
      <c r="F475" s="142"/>
      <c r="G475" s="143"/>
      <c r="H475" s="144"/>
      <c r="I475" s="145"/>
      <c r="J475" s="146"/>
      <c r="K475" s="146"/>
      <c r="L475" s="146"/>
    </row>
    <row r="476" ht="15.75" customHeight="1">
      <c r="A476" s="228"/>
      <c r="B476" s="165"/>
      <c r="C476" s="162"/>
      <c r="D476" s="140"/>
      <c r="E476" s="141"/>
      <c r="F476" s="142"/>
      <c r="G476" s="143"/>
      <c r="H476" s="144"/>
      <c r="I476" s="145"/>
      <c r="J476" s="146"/>
      <c r="K476" s="146"/>
      <c r="L476" s="146"/>
    </row>
    <row r="477" ht="15.75" customHeight="1">
      <c r="A477" s="228"/>
      <c r="B477" s="165"/>
      <c r="C477" s="162"/>
      <c r="D477" s="140"/>
      <c r="E477" s="141"/>
      <c r="F477" s="142"/>
      <c r="G477" s="143"/>
      <c r="H477" s="144"/>
      <c r="I477" s="145"/>
      <c r="J477" s="146"/>
      <c r="K477" s="146"/>
      <c r="L477" s="146"/>
    </row>
    <row r="478" ht="15.75" customHeight="1">
      <c r="A478" s="228"/>
      <c r="B478" s="165"/>
      <c r="C478" s="162"/>
      <c r="D478" s="140"/>
      <c r="E478" s="141"/>
      <c r="F478" s="142"/>
      <c r="G478" s="143"/>
      <c r="H478" s="144"/>
      <c r="I478" s="145"/>
      <c r="J478" s="146"/>
      <c r="K478" s="146"/>
      <c r="L478" s="146"/>
    </row>
    <row r="479" ht="15.75" customHeight="1">
      <c r="A479" s="228"/>
      <c r="B479" s="165"/>
      <c r="C479" s="162"/>
      <c r="D479" s="140"/>
      <c r="E479" s="141"/>
      <c r="F479" s="142"/>
      <c r="G479" s="143"/>
      <c r="H479" s="144"/>
      <c r="I479" s="145"/>
      <c r="J479" s="146"/>
      <c r="K479" s="146"/>
      <c r="L479" s="146"/>
    </row>
    <row r="480" ht="15.75" customHeight="1">
      <c r="A480" s="228"/>
      <c r="B480" s="165"/>
      <c r="C480" s="162"/>
      <c r="D480" s="140"/>
      <c r="E480" s="141"/>
      <c r="F480" s="142"/>
      <c r="G480" s="143"/>
      <c r="H480" s="144"/>
      <c r="I480" s="145"/>
      <c r="J480" s="146"/>
      <c r="K480" s="146"/>
      <c r="L480" s="146"/>
    </row>
    <row r="481" ht="15.75" customHeight="1">
      <c r="A481" s="228"/>
      <c r="B481" s="165"/>
      <c r="C481" s="162"/>
      <c r="D481" s="140"/>
      <c r="E481" s="141"/>
      <c r="F481" s="142"/>
      <c r="G481" s="143"/>
      <c r="H481" s="144"/>
      <c r="I481" s="145"/>
      <c r="J481" s="146"/>
      <c r="K481" s="146"/>
      <c r="L481" s="146"/>
    </row>
    <row r="482" ht="15.75" customHeight="1">
      <c r="A482" s="228"/>
      <c r="B482" s="165"/>
      <c r="C482" s="162"/>
      <c r="D482" s="140"/>
      <c r="E482" s="141"/>
      <c r="F482" s="142"/>
      <c r="G482" s="143"/>
      <c r="H482" s="144"/>
      <c r="I482" s="145"/>
      <c r="J482" s="146"/>
      <c r="K482" s="146"/>
      <c r="L482" s="146"/>
    </row>
    <row r="483" ht="15.75" customHeight="1">
      <c r="A483" s="228"/>
      <c r="B483" s="165"/>
      <c r="C483" s="162"/>
      <c r="D483" s="140"/>
      <c r="E483" s="141"/>
      <c r="F483" s="142"/>
      <c r="G483" s="143"/>
      <c r="H483" s="144"/>
      <c r="I483" s="145"/>
      <c r="J483" s="146"/>
      <c r="K483" s="146"/>
      <c r="L483" s="146"/>
    </row>
    <row r="484" ht="15.75" customHeight="1">
      <c r="A484" s="228"/>
      <c r="B484" s="165"/>
      <c r="C484" s="162"/>
      <c r="D484" s="140"/>
      <c r="E484" s="141"/>
      <c r="F484" s="142"/>
      <c r="G484" s="143"/>
      <c r="H484" s="144"/>
      <c r="I484" s="145"/>
      <c r="J484" s="146"/>
      <c r="K484" s="146"/>
      <c r="L484" s="146"/>
    </row>
    <row r="485" ht="15.75" customHeight="1">
      <c r="A485" s="228"/>
      <c r="B485" s="165"/>
      <c r="C485" s="162"/>
      <c r="D485" s="140"/>
      <c r="E485" s="141"/>
      <c r="F485" s="142"/>
      <c r="G485" s="143"/>
      <c r="H485" s="144"/>
      <c r="I485" s="145"/>
      <c r="J485" s="146"/>
      <c r="K485" s="146"/>
      <c r="L485" s="146"/>
    </row>
    <row r="486" ht="15.75" customHeight="1">
      <c r="A486" s="228"/>
      <c r="B486" s="165"/>
      <c r="C486" s="162"/>
      <c r="D486" s="140"/>
      <c r="E486" s="141"/>
      <c r="F486" s="142"/>
      <c r="G486" s="143"/>
      <c r="H486" s="144"/>
      <c r="I486" s="145"/>
      <c r="J486" s="146"/>
      <c r="K486" s="146"/>
      <c r="L486" s="146"/>
    </row>
    <row r="487" ht="15.75" customHeight="1">
      <c r="A487" s="228"/>
      <c r="B487" s="165"/>
      <c r="C487" s="162"/>
      <c r="D487" s="140"/>
      <c r="E487" s="141"/>
      <c r="F487" s="142"/>
      <c r="G487" s="143"/>
      <c r="H487" s="144"/>
      <c r="I487" s="145"/>
      <c r="J487" s="146"/>
      <c r="K487" s="146"/>
      <c r="L487" s="146"/>
    </row>
    <row r="488" ht="15.75" customHeight="1">
      <c r="A488" s="228"/>
      <c r="B488" s="165"/>
      <c r="C488" s="162"/>
      <c r="D488" s="140"/>
      <c r="E488" s="141"/>
      <c r="F488" s="142"/>
      <c r="G488" s="143"/>
      <c r="H488" s="144"/>
      <c r="I488" s="145"/>
      <c r="J488" s="146"/>
      <c r="K488" s="146"/>
      <c r="L488" s="146"/>
    </row>
    <row r="489" ht="15.75" customHeight="1">
      <c r="A489" s="228"/>
      <c r="B489" s="165"/>
      <c r="C489" s="162"/>
      <c r="D489" s="140"/>
      <c r="E489" s="141"/>
      <c r="F489" s="142"/>
      <c r="G489" s="143"/>
      <c r="H489" s="144"/>
      <c r="I489" s="145"/>
      <c r="J489" s="146"/>
      <c r="K489" s="146"/>
      <c r="L489" s="146"/>
    </row>
    <row r="490" ht="15.75" customHeight="1">
      <c r="A490" s="228"/>
      <c r="B490" s="165"/>
      <c r="C490" s="162"/>
      <c r="D490" s="140"/>
      <c r="E490" s="141"/>
      <c r="F490" s="142"/>
      <c r="G490" s="143"/>
      <c r="H490" s="144"/>
      <c r="I490" s="145"/>
      <c r="J490" s="146"/>
      <c r="K490" s="146"/>
      <c r="L490" s="146"/>
    </row>
    <row r="491" ht="15.75" customHeight="1">
      <c r="A491" s="228"/>
      <c r="B491" s="165"/>
      <c r="C491" s="162"/>
      <c r="D491" s="140"/>
      <c r="E491" s="141"/>
      <c r="F491" s="142"/>
      <c r="G491" s="143"/>
      <c r="H491" s="144"/>
      <c r="I491" s="145"/>
      <c r="J491" s="146"/>
      <c r="K491" s="146"/>
      <c r="L491" s="146"/>
    </row>
    <row r="492" ht="15.75" customHeight="1">
      <c r="A492" s="228"/>
      <c r="B492" s="165"/>
      <c r="C492" s="162"/>
      <c r="D492" s="140"/>
      <c r="E492" s="141"/>
      <c r="F492" s="142"/>
      <c r="G492" s="143"/>
      <c r="H492" s="144"/>
      <c r="I492" s="145"/>
      <c r="J492" s="146"/>
      <c r="K492" s="146"/>
      <c r="L492" s="146"/>
    </row>
    <row r="493" ht="15.75" customHeight="1">
      <c r="A493" s="228"/>
      <c r="B493" s="165"/>
      <c r="C493" s="162"/>
      <c r="D493" s="140"/>
      <c r="E493" s="141"/>
      <c r="F493" s="142"/>
      <c r="G493" s="143"/>
      <c r="H493" s="144"/>
      <c r="I493" s="145"/>
      <c r="J493" s="146"/>
      <c r="K493" s="146"/>
      <c r="L493" s="146"/>
    </row>
    <row r="494" ht="15.75" customHeight="1">
      <c r="A494" s="228"/>
      <c r="B494" s="165"/>
      <c r="C494" s="162"/>
      <c r="D494" s="140"/>
      <c r="E494" s="141"/>
      <c r="F494" s="142"/>
      <c r="G494" s="143"/>
      <c r="H494" s="144"/>
      <c r="I494" s="145"/>
      <c r="J494" s="146"/>
      <c r="K494" s="146"/>
      <c r="L494" s="146"/>
    </row>
    <row r="495" ht="15.75" customHeight="1">
      <c r="A495" s="228"/>
      <c r="B495" s="165"/>
      <c r="C495" s="162"/>
      <c r="D495" s="140"/>
      <c r="E495" s="141"/>
      <c r="F495" s="142"/>
      <c r="G495" s="143"/>
      <c r="H495" s="144"/>
      <c r="I495" s="145"/>
      <c r="J495" s="146"/>
      <c r="K495" s="146"/>
      <c r="L495" s="146"/>
    </row>
    <row r="496" ht="15.75" customHeight="1">
      <c r="A496" s="228"/>
      <c r="B496" s="165"/>
      <c r="C496" s="162"/>
      <c r="D496" s="140"/>
      <c r="E496" s="141"/>
      <c r="F496" s="142"/>
      <c r="G496" s="143"/>
      <c r="H496" s="144"/>
      <c r="I496" s="145"/>
      <c r="J496" s="146"/>
      <c r="K496" s="146"/>
      <c r="L496" s="146"/>
    </row>
    <row r="497" ht="15.75" customHeight="1">
      <c r="A497" s="228"/>
      <c r="B497" s="165"/>
      <c r="C497" s="162"/>
      <c r="D497" s="140"/>
      <c r="E497" s="141"/>
      <c r="F497" s="142"/>
      <c r="G497" s="143"/>
      <c r="H497" s="144"/>
      <c r="I497" s="145"/>
      <c r="J497" s="146"/>
      <c r="K497" s="146"/>
      <c r="L497" s="146"/>
    </row>
    <row r="498" ht="15.75" customHeight="1">
      <c r="A498" s="228"/>
      <c r="B498" s="165"/>
      <c r="C498" s="162"/>
      <c r="D498" s="140"/>
      <c r="E498" s="141"/>
      <c r="F498" s="142"/>
      <c r="G498" s="143"/>
      <c r="H498" s="144"/>
      <c r="I498" s="145"/>
      <c r="J498" s="146"/>
      <c r="K498" s="146"/>
      <c r="L498" s="146"/>
    </row>
    <row r="499" ht="15.75" customHeight="1">
      <c r="A499" s="228"/>
      <c r="B499" s="165"/>
      <c r="C499" s="162"/>
      <c r="D499" s="140"/>
      <c r="E499" s="141"/>
      <c r="F499" s="142"/>
      <c r="G499" s="143"/>
      <c r="H499" s="144"/>
      <c r="I499" s="145"/>
      <c r="J499" s="146"/>
      <c r="K499" s="146"/>
      <c r="L499" s="146"/>
    </row>
    <row r="500" ht="15.75" customHeight="1">
      <c r="A500" s="228"/>
      <c r="B500" s="165"/>
      <c r="C500" s="162"/>
      <c r="D500" s="140"/>
      <c r="E500" s="141"/>
      <c r="F500" s="142"/>
      <c r="G500" s="143"/>
      <c r="H500" s="144"/>
      <c r="I500" s="145"/>
      <c r="J500" s="146"/>
      <c r="K500" s="146"/>
      <c r="L500" s="146"/>
    </row>
    <row r="501" ht="15.75" customHeight="1">
      <c r="A501" s="228"/>
      <c r="B501" s="165"/>
      <c r="C501" s="162"/>
      <c r="D501" s="140"/>
      <c r="E501" s="141"/>
      <c r="F501" s="142"/>
      <c r="G501" s="143"/>
      <c r="H501" s="144"/>
      <c r="I501" s="145"/>
      <c r="J501" s="146"/>
      <c r="K501" s="146"/>
      <c r="L501" s="146"/>
    </row>
    <row r="502" ht="15.75" customHeight="1">
      <c r="A502" s="228"/>
      <c r="B502" s="165"/>
      <c r="C502" s="162"/>
      <c r="D502" s="140"/>
      <c r="E502" s="141"/>
      <c r="F502" s="142"/>
      <c r="G502" s="143"/>
      <c r="H502" s="144"/>
      <c r="I502" s="145"/>
      <c r="J502" s="146"/>
      <c r="K502" s="146"/>
      <c r="L502" s="146"/>
    </row>
    <row r="503" ht="15.75" customHeight="1">
      <c r="A503" s="228"/>
      <c r="B503" s="165"/>
      <c r="C503" s="162"/>
      <c r="D503" s="140"/>
      <c r="E503" s="141"/>
      <c r="F503" s="142"/>
      <c r="G503" s="143"/>
      <c r="H503" s="144"/>
      <c r="I503" s="145"/>
      <c r="J503" s="146"/>
      <c r="K503" s="146"/>
      <c r="L503" s="146"/>
    </row>
    <row r="504" ht="15.75" customHeight="1">
      <c r="A504" s="228"/>
      <c r="B504" s="165"/>
      <c r="C504" s="162"/>
      <c r="D504" s="140"/>
      <c r="E504" s="141"/>
      <c r="F504" s="142"/>
      <c r="G504" s="143"/>
      <c r="H504" s="144"/>
      <c r="I504" s="145"/>
      <c r="J504" s="146"/>
      <c r="K504" s="146"/>
      <c r="L504" s="146"/>
    </row>
    <row r="505" ht="15.75" customHeight="1">
      <c r="A505" s="228"/>
      <c r="B505" s="165"/>
      <c r="C505" s="162"/>
      <c r="D505" s="140"/>
      <c r="E505" s="141"/>
      <c r="F505" s="142"/>
      <c r="G505" s="143"/>
      <c r="H505" s="144"/>
      <c r="I505" s="145"/>
      <c r="J505" s="146"/>
      <c r="K505" s="146"/>
      <c r="L505" s="146"/>
    </row>
    <row r="506" ht="15.75" customHeight="1">
      <c r="A506" s="228"/>
      <c r="B506" s="165"/>
      <c r="C506" s="162"/>
      <c r="D506" s="140"/>
      <c r="E506" s="141"/>
      <c r="F506" s="142"/>
      <c r="G506" s="143"/>
      <c r="H506" s="144"/>
      <c r="I506" s="145"/>
      <c r="J506" s="146"/>
      <c r="K506" s="146"/>
      <c r="L506" s="146"/>
    </row>
    <row r="507" ht="15.75" customHeight="1">
      <c r="A507" s="228"/>
      <c r="B507" s="165"/>
      <c r="C507" s="162"/>
      <c r="D507" s="140"/>
      <c r="E507" s="141"/>
      <c r="F507" s="142"/>
      <c r="G507" s="143"/>
      <c r="H507" s="144"/>
      <c r="I507" s="145"/>
      <c r="J507" s="146"/>
      <c r="K507" s="146"/>
      <c r="L507" s="146"/>
    </row>
    <row r="508" ht="15.75" customHeight="1">
      <c r="A508" s="228"/>
      <c r="B508" s="165"/>
      <c r="C508" s="162"/>
      <c r="D508" s="140"/>
      <c r="E508" s="141"/>
      <c r="F508" s="142"/>
      <c r="G508" s="143"/>
      <c r="H508" s="144"/>
      <c r="I508" s="145"/>
      <c r="J508" s="146"/>
      <c r="K508" s="146"/>
      <c r="L508" s="146"/>
    </row>
    <row r="509" ht="15.75" customHeight="1">
      <c r="A509" s="228"/>
      <c r="B509" s="165"/>
      <c r="C509" s="162"/>
      <c r="D509" s="140"/>
      <c r="E509" s="141"/>
      <c r="F509" s="142"/>
      <c r="G509" s="143"/>
      <c r="H509" s="144"/>
      <c r="I509" s="145"/>
      <c r="J509" s="146"/>
      <c r="K509" s="146"/>
      <c r="L509" s="146"/>
    </row>
    <row r="510" ht="15.75" customHeight="1">
      <c r="A510" s="228"/>
      <c r="B510" s="165"/>
      <c r="C510" s="162"/>
      <c r="D510" s="140"/>
      <c r="E510" s="141"/>
      <c r="F510" s="142"/>
      <c r="G510" s="143"/>
      <c r="H510" s="144"/>
      <c r="I510" s="145"/>
      <c r="J510" s="146"/>
      <c r="K510" s="146"/>
      <c r="L510" s="146"/>
    </row>
    <row r="511" ht="15.75" customHeight="1">
      <c r="A511" s="228"/>
      <c r="B511" s="165"/>
      <c r="C511" s="162"/>
      <c r="D511" s="140"/>
      <c r="E511" s="141"/>
      <c r="F511" s="142"/>
      <c r="G511" s="143"/>
      <c r="H511" s="144"/>
      <c r="I511" s="145"/>
      <c r="J511" s="146"/>
      <c r="K511" s="146"/>
      <c r="L511" s="146"/>
    </row>
    <row r="512" ht="15.75" customHeight="1">
      <c r="A512" s="228"/>
      <c r="B512" s="165"/>
      <c r="C512" s="162"/>
      <c r="D512" s="140"/>
      <c r="E512" s="141"/>
      <c r="F512" s="142"/>
      <c r="G512" s="143"/>
      <c r="H512" s="144"/>
      <c r="I512" s="145"/>
      <c r="J512" s="146"/>
      <c r="K512" s="146"/>
      <c r="L512" s="146"/>
    </row>
    <row r="513" ht="15.75" customHeight="1">
      <c r="A513" s="228"/>
      <c r="B513" s="165"/>
      <c r="C513" s="162"/>
      <c r="D513" s="140"/>
      <c r="E513" s="141"/>
      <c r="F513" s="142"/>
      <c r="G513" s="143"/>
      <c r="H513" s="144"/>
      <c r="I513" s="145"/>
      <c r="J513" s="146"/>
      <c r="K513" s="146"/>
      <c r="L513" s="146"/>
    </row>
    <row r="514" ht="15.75" customHeight="1">
      <c r="A514" s="228"/>
      <c r="B514" s="165"/>
      <c r="C514" s="162"/>
      <c r="D514" s="140"/>
      <c r="E514" s="141"/>
      <c r="F514" s="142"/>
      <c r="G514" s="143"/>
      <c r="H514" s="144"/>
      <c r="I514" s="145"/>
      <c r="J514" s="146"/>
      <c r="K514" s="146"/>
      <c r="L514" s="146"/>
    </row>
    <row r="515" ht="15.75" customHeight="1">
      <c r="A515" s="228"/>
      <c r="B515" s="165"/>
      <c r="C515" s="162"/>
      <c r="D515" s="140"/>
      <c r="E515" s="141"/>
      <c r="F515" s="142"/>
      <c r="G515" s="143"/>
      <c r="H515" s="144"/>
      <c r="I515" s="145"/>
      <c r="J515" s="146"/>
      <c r="K515" s="146"/>
      <c r="L515" s="146"/>
    </row>
    <row r="516" ht="15.75" customHeight="1">
      <c r="A516" s="228"/>
      <c r="B516" s="165"/>
      <c r="C516" s="162"/>
      <c r="D516" s="140"/>
      <c r="E516" s="141"/>
      <c r="F516" s="142"/>
      <c r="G516" s="143"/>
      <c r="H516" s="144"/>
      <c r="I516" s="145"/>
      <c r="J516" s="146"/>
      <c r="K516" s="146"/>
      <c r="L516" s="146"/>
    </row>
    <row r="517" ht="15.75" customHeight="1">
      <c r="A517" s="228"/>
      <c r="B517" s="165"/>
      <c r="C517" s="162"/>
      <c r="D517" s="140"/>
      <c r="E517" s="141"/>
      <c r="F517" s="142"/>
      <c r="G517" s="143"/>
      <c r="H517" s="144"/>
      <c r="I517" s="145"/>
      <c r="J517" s="146"/>
      <c r="K517" s="146"/>
      <c r="L517" s="146"/>
    </row>
    <row r="518" ht="15.75" customHeight="1">
      <c r="A518" s="228"/>
      <c r="B518" s="165"/>
      <c r="C518" s="162"/>
      <c r="D518" s="140"/>
      <c r="E518" s="141"/>
      <c r="F518" s="142"/>
      <c r="G518" s="143"/>
      <c r="H518" s="144"/>
      <c r="I518" s="145"/>
      <c r="J518" s="146"/>
      <c r="K518" s="146"/>
      <c r="L518" s="146"/>
    </row>
    <row r="519" ht="15.75" customHeight="1">
      <c r="A519" s="228"/>
      <c r="B519" s="165"/>
      <c r="C519" s="162"/>
      <c r="D519" s="140"/>
      <c r="E519" s="141"/>
      <c r="F519" s="142"/>
      <c r="G519" s="143"/>
      <c r="H519" s="144"/>
      <c r="I519" s="145"/>
      <c r="J519" s="146"/>
      <c r="K519" s="146"/>
      <c r="L519" s="146"/>
    </row>
    <row r="520" ht="15.75" customHeight="1">
      <c r="A520" s="228"/>
      <c r="B520" s="165"/>
      <c r="C520" s="162"/>
      <c r="D520" s="140"/>
      <c r="E520" s="141"/>
      <c r="F520" s="142"/>
      <c r="G520" s="143"/>
      <c r="H520" s="144"/>
      <c r="I520" s="145"/>
      <c r="J520" s="146"/>
      <c r="K520" s="146"/>
      <c r="L520" s="146"/>
    </row>
    <row r="521" ht="15.75" customHeight="1">
      <c r="A521" s="228"/>
      <c r="B521" s="165"/>
      <c r="C521" s="162"/>
      <c r="D521" s="140"/>
      <c r="E521" s="141"/>
      <c r="F521" s="142"/>
      <c r="G521" s="143"/>
      <c r="H521" s="144"/>
      <c r="I521" s="145"/>
      <c r="J521" s="146"/>
      <c r="K521" s="146"/>
      <c r="L521" s="146"/>
    </row>
    <row r="522" ht="15.75" customHeight="1">
      <c r="A522" s="228"/>
      <c r="B522" s="165"/>
      <c r="C522" s="162"/>
      <c r="D522" s="140"/>
      <c r="E522" s="141"/>
      <c r="F522" s="142"/>
      <c r="G522" s="143"/>
      <c r="H522" s="144"/>
      <c r="I522" s="145"/>
      <c r="J522" s="146"/>
      <c r="K522" s="146"/>
      <c r="L522" s="146"/>
    </row>
    <row r="523" ht="15.75" customHeight="1">
      <c r="A523" s="228"/>
      <c r="B523" s="165"/>
      <c r="C523" s="162"/>
      <c r="D523" s="140"/>
      <c r="E523" s="141"/>
      <c r="F523" s="142"/>
      <c r="G523" s="143"/>
      <c r="H523" s="144"/>
      <c r="I523" s="145"/>
      <c r="J523" s="146"/>
      <c r="K523" s="146"/>
      <c r="L523" s="146"/>
    </row>
    <row r="524" ht="15.75" customHeight="1">
      <c r="A524" s="228"/>
      <c r="B524" s="165"/>
      <c r="C524" s="162"/>
      <c r="D524" s="140"/>
      <c r="E524" s="141"/>
      <c r="F524" s="142"/>
      <c r="G524" s="143"/>
      <c r="H524" s="144"/>
      <c r="I524" s="145"/>
      <c r="J524" s="146"/>
      <c r="K524" s="146"/>
      <c r="L524" s="146"/>
    </row>
    <row r="525" ht="15.75" customHeight="1">
      <c r="A525" s="228"/>
      <c r="B525" s="165"/>
      <c r="C525" s="162"/>
      <c r="D525" s="140"/>
      <c r="E525" s="141"/>
      <c r="F525" s="142"/>
      <c r="G525" s="143"/>
      <c r="H525" s="144"/>
      <c r="I525" s="145"/>
      <c r="J525" s="146"/>
      <c r="K525" s="146"/>
      <c r="L525" s="146"/>
    </row>
    <row r="526" ht="15.75" customHeight="1">
      <c r="A526" s="228"/>
      <c r="B526" s="165"/>
      <c r="C526" s="162"/>
      <c r="D526" s="140"/>
      <c r="E526" s="141"/>
      <c r="F526" s="142"/>
      <c r="G526" s="143"/>
      <c r="H526" s="144"/>
      <c r="I526" s="145"/>
      <c r="J526" s="146"/>
      <c r="K526" s="146"/>
      <c r="L526" s="146"/>
    </row>
    <row r="527" ht="15.75" customHeight="1">
      <c r="A527" s="228"/>
      <c r="B527" s="165"/>
      <c r="C527" s="162"/>
      <c r="D527" s="140"/>
      <c r="E527" s="141"/>
      <c r="F527" s="142"/>
      <c r="G527" s="143"/>
      <c r="H527" s="144"/>
      <c r="I527" s="145"/>
      <c r="J527" s="146"/>
      <c r="K527" s="146"/>
      <c r="L527" s="146"/>
    </row>
    <row r="528" ht="15.75" customHeight="1">
      <c r="A528" s="228"/>
      <c r="B528" s="165"/>
      <c r="C528" s="162"/>
      <c r="D528" s="140"/>
      <c r="E528" s="141"/>
      <c r="F528" s="142"/>
      <c r="G528" s="143"/>
      <c r="H528" s="144"/>
      <c r="I528" s="145"/>
      <c r="J528" s="146"/>
      <c r="K528" s="146"/>
      <c r="L528" s="146"/>
    </row>
    <row r="529" ht="15.75" customHeight="1">
      <c r="A529" s="228"/>
      <c r="B529" s="165"/>
      <c r="C529" s="162"/>
      <c r="D529" s="140"/>
      <c r="E529" s="141"/>
      <c r="F529" s="142"/>
      <c r="G529" s="143"/>
      <c r="H529" s="144"/>
      <c r="I529" s="145"/>
      <c r="J529" s="146"/>
      <c r="K529" s="146"/>
      <c r="L529" s="146"/>
    </row>
    <row r="530" ht="15.75" customHeight="1">
      <c r="A530" s="228"/>
      <c r="B530" s="165"/>
      <c r="C530" s="162"/>
      <c r="D530" s="140"/>
      <c r="E530" s="141"/>
      <c r="F530" s="142"/>
      <c r="G530" s="143"/>
      <c r="H530" s="144"/>
      <c r="I530" s="145"/>
      <c r="J530" s="146"/>
      <c r="K530" s="146"/>
      <c r="L530" s="146"/>
    </row>
    <row r="531" ht="15.75" customHeight="1">
      <c r="A531" s="228"/>
      <c r="B531" s="165"/>
      <c r="C531" s="162"/>
      <c r="D531" s="140"/>
      <c r="E531" s="141"/>
      <c r="F531" s="142"/>
      <c r="G531" s="143"/>
      <c r="H531" s="144"/>
      <c r="I531" s="145"/>
      <c r="J531" s="146"/>
      <c r="K531" s="146"/>
      <c r="L531" s="146"/>
    </row>
    <row r="532" ht="15.75" customHeight="1">
      <c r="A532" s="228"/>
      <c r="B532" s="165"/>
      <c r="C532" s="162"/>
      <c r="D532" s="140"/>
      <c r="E532" s="141"/>
      <c r="F532" s="142"/>
      <c r="G532" s="143"/>
      <c r="H532" s="144"/>
      <c r="I532" s="145"/>
      <c r="J532" s="146"/>
      <c r="K532" s="146"/>
      <c r="L532" s="146"/>
    </row>
    <row r="533" ht="15.75" customHeight="1">
      <c r="A533" s="228"/>
      <c r="B533" s="165"/>
      <c r="C533" s="162"/>
      <c r="D533" s="140"/>
      <c r="E533" s="141"/>
      <c r="F533" s="142"/>
      <c r="G533" s="143"/>
      <c r="H533" s="144"/>
      <c r="I533" s="145"/>
      <c r="J533" s="146"/>
      <c r="K533" s="146"/>
      <c r="L533" s="146"/>
    </row>
    <row r="534" ht="15.75" customHeight="1">
      <c r="A534" s="228"/>
      <c r="B534" s="165"/>
      <c r="C534" s="162"/>
      <c r="D534" s="140"/>
      <c r="E534" s="141"/>
      <c r="F534" s="142"/>
      <c r="G534" s="143"/>
      <c r="H534" s="144"/>
      <c r="I534" s="145"/>
      <c r="J534" s="146"/>
      <c r="K534" s="146"/>
      <c r="L534" s="146"/>
    </row>
    <row r="535" ht="15.75" customHeight="1">
      <c r="A535" s="228"/>
      <c r="B535" s="165"/>
      <c r="C535" s="162"/>
      <c r="D535" s="140"/>
      <c r="E535" s="141"/>
      <c r="F535" s="142"/>
      <c r="G535" s="143"/>
      <c r="H535" s="144"/>
      <c r="I535" s="145"/>
      <c r="J535" s="146"/>
      <c r="K535" s="146"/>
      <c r="L535" s="146"/>
    </row>
    <row r="536" ht="15.75" customHeight="1">
      <c r="A536" s="228"/>
      <c r="B536" s="165"/>
      <c r="C536" s="162"/>
      <c r="D536" s="140"/>
      <c r="E536" s="141"/>
      <c r="F536" s="142"/>
      <c r="G536" s="143"/>
      <c r="H536" s="144"/>
      <c r="I536" s="145"/>
      <c r="J536" s="146"/>
      <c r="K536" s="146"/>
      <c r="L536" s="146"/>
    </row>
    <row r="537" ht="15.75" customHeight="1">
      <c r="A537" s="228"/>
      <c r="B537" s="165"/>
      <c r="C537" s="162"/>
      <c r="D537" s="140"/>
      <c r="E537" s="141"/>
      <c r="F537" s="142"/>
      <c r="G537" s="143"/>
      <c r="H537" s="144"/>
      <c r="I537" s="145"/>
      <c r="J537" s="146"/>
      <c r="K537" s="146"/>
      <c r="L537" s="146"/>
    </row>
    <row r="538" ht="15.75" customHeight="1">
      <c r="A538" s="228"/>
      <c r="B538" s="165"/>
      <c r="C538" s="162"/>
      <c r="D538" s="140"/>
      <c r="E538" s="141"/>
      <c r="F538" s="142"/>
      <c r="G538" s="143"/>
      <c r="H538" s="144"/>
      <c r="I538" s="145"/>
      <c r="J538" s="146"/>
      <c r="K538" s="146"/>
      <c r="L538" s="146"/>
    </row>
    <row r="539" ht="15.75" customHeight="1">
      <c r="A539" s="228"/>
      <c r="B539" s="165"/>
      <c r="C539" s="162"/>
      <c r="D539" s="140"/>
      <c r="E539" s="141"/>
      <c r="F539" s="142"/>
      <c r="G539" s="143"/>
      <c r="H539" s="144"/>
      <c r="I539" s="145"/>
      <c r="J539" s="146"/>
      <c r="K539" s="146"/>
      <c r="L539" s="146"/>
    </row>
    <row r="540" ht="15.75" customHeight="1">
      <c r="A540" s="228"/>
      <c r="B540" s="165"/>
      <c r="C540" s="162"/>
      <c r="D540" s="140"/>
      <c r="E540" s="141"/>
      <c r="F540" s="142"/>
      <c r="G540" s="143"/>
      <c r="H540" s="144"/>
      <c r="I540" s="145"/>
      <c r="J540" s="146"/>
      <c r="K540" s="146"/>
      <c r="L540" s="146"/>
    </row>
    <row r="541" ht="15.75" customHeight="1">
      <c r="A541" s="228"/>
      <c r="B541" s="165"/>
      <c r="C541" s="162"/>
      <c r="D541" s="140"/>
      <c r="E541" s="141"/>
      <c r="F541" s="142"/>
      <c r="G541" s="143"/>
      <c r="H541" s="144"/>
      <c r="I541" s="145"/>
      <c r="J541" s="146"/>
      <c r="K541" s="146"/>
      <c r="L541" s="146"/>
    </row>
    <row r="542" ht="15.75" customHeight="1">
      <c r="A542" s="228"/>
      <c r="B542" s="165"/>
      <c r="C542" s="162"/>
      <c r="D542" s="140"/>
      <c r="E542" s="141"/>
      <c r="F542" s="142"/>
      <c r="G542" s="143"/>
      <c r="H542" s="144"/>
      <c r="I542" s="145"/>
      <c r="J542" s="146"/>
      <c r="K542" s="146"/>
      <c r="L542" s="146"/>
    </row>
    <row r="543" ht="15.75" customHeight="1">
      <c r="A543" s="228"/>
      <c r="B543" s="165"/>
      <c r="C543" s="162"/>
      <c r="D543" s="140"/>
      <c r="E543" s="141"/>
      <c r="F543" s="142"/>
      <c r="G543" s="143"/>
      <c r="H543" s="144"/>
      <c r="I543" s="145"/>
      <c r="J543" s="146"/>
      <c r="K543" s="146"/>
      <c r="L543" s="146"/>
    </row>
    <row r="544" ht="15.75" customHeight="1">
      <c r="A544" s="228"/>
      <c r="B544" s="165"/>
      <c r="C544" s="162"/>
      <c r="D544" s="140"/>
      <c r="E544" s="141"/>
      <c r="F544" s="142"/>
      <c r="G544" s="143"/>
      <c r="H544" s="144"/>
      <c r="I544" s="145"/>
      <c r="J544" s="146"/>
      <c r="K544" s="146"/>
      <c r="L544" s="146"/>
    </row>
    <row r="545" ht="15.75" customHeight="1">
      <c r="A545" s="228"/>
      <c r="B545" s="165"/>
      <c r="C545" s="162"/>
      <c r="D545" s="140"/>
      <c r="E545" s="141"/>
      <c r="F545" s="142"/>
      <c r="G545" s="143"/>
      <c r="H545" s="144"/>
      <c r="I545" s="145"/>
      <c r="J545" s="146"/>
      <c r="K545" s="146"/>
      <c r="L545" s="146"/>
    </row>
    <row r="546" ht="15.75" customHeight="1">
      <c r="A546" s="228"/>
      <c r="B546" s="165"/>
      <c r="C546" s="162"/>
      <c r="D546" s="140"/>
      <c r="E546" s="141"/>
      <c r="F546" s="142"/>
      <c r="G546" s="143"/>
      <c r="H546" s="144"/>
      <c r="I546" s="145"/>
      <c r="J546" s="146"/>
      <c r="K546" s="146"/>
      <c r="L546" s="146"/>
    </row>
    <row r="547" ht="15.75" customHeight="1">
      <c r="A547" s="228"/>
      <c r="B547" s="165"/>
      <c r="C547" s="162"/>
      <c r="D547" s="140"/>
      <c r="E547" s="141"/>
      <c r="F547" s="142"/>
      <c r="G547" s="143"/>
      <c r="H547" s="144"/>
      <c r="I547" s="145"/>
      <c r="J547" s="146"/>
      <c r="K547" s="146"/>
      <c r="L547" s="146"/>
    </row>
    <row r="548" ht="15.75" customHeight="1">
      <c r="A548" s="228"/>
      <c r="B548" s="165"/>
      <c r="C548" s="162"/>
      <c r="D548" s="140"/>
      <c r="E548" s="141"/>
      <c r="F548" s="142"/>
      <c r="G548" s="143"/>
      <c r="H548" s="144"/>
      <c r="I548" s="145"/>
      <c r="J548" s="146"/>
      <c r="K548" s="146"/>
      <c r="L548" s="146"/>
    </row>
    <row r="549" ht="15.75" customHeight="1">
      <c r="A549" s="228"/>
      <c r="B549" s="165"/>
      <c r="C549" s="162"/>
      <c r="D549" s="140"/>
      <c r="E549" s="141"/>
      <c r="F549" s="142"/>
      <c r="G549" s="143"/>
      <c r="H549" s="144"/>
      <c r="I549" s="145"/>
      <c r="J549" s="146"/>
      <c r="K549" s="146"/>
      <c r="L549" s="146"/>
    </row>
    <row r="550" ht="15.75" customHeight="1">
      <c r="A550" s="228"/>
      <c r="B550" s="165"/>
      <c r="C550" s="162"/>
      <c r="D550" s="140"/>
      <c r="E550" s="141"/>
      <c r="F550" s="142"/>
      <c r="G550" s="143"/>
      <c r="H550" s="144"/>
      <c r="I550" s="145"/>
      <c r="J550" s="146"/>
      <c r="K550" s="146"/>
      <c r="L550" s="146"/>
    </row>
    <row r="551" ht="15.75" customHeight="1">
      <c r="A551" s="228"/>
      <c r="B551" s="165"/>
      <c r="C551" s="162"/>
      <c r="D551" s="140"/>
      <c r="E551" s="141"/>
      <c r="F551" s="142"/>
      <c r="G551" s="143"/>
      <c r="H551" s="144"/>
      <c r="I551" s="145"/>
      <c r="J551" s="146"/>
      <c r="K551" s="146"/>
      <c r="L551" s="146"/>
    </row>
    <row r="552" ht="15.75" customHeight="1">
      <c r="A552" s="228"/>
      <c r="B552" s="165"/>
      <c r="C552" s="162"/>
      <c r="D552" s="140"/>
      <c r="E552" s="141"/>
      <c r="F552" s="142"/>
      <c r="G552" s="143"/>
      <c r="H552" s="144"/>
      <c r="I552" s="145"/>
      <c r="J552" s="146"/>
      <c r="K552" s="146"/>
      <c r="L552" s="146"/>
    </row>
    <row r="553" ht="15.75" customHeight="1">
      <c r="A553" s="228"/>
      <c r="B553" s="165"/>
      <c r="C553" s="162"/>
      <c r="D553" s="140"/>
      <c r="E553" s="141"/>
      <c r="F553" s="142"/>
      <c r="G553" s="143"/>
      <c r="H553" s="144"/>
      <c r="I553" s="145"/>
      <c r="J553" s="146"/>
      <c r="K553" s="146"/>
      <c r="L553" s="146"/>
    </row>
    <row r="554" ht="15.75" customHeight="1">
      <c r="A554" s="228"/>
      <c r="B554" s="165"/>
      <c r="C554" s="162"/>
      <c r="D554" s="140"/>
      <c r="E554" s="141"/>
      <c r="F554" s="142"/>
      <c r="G554" s="143"/>
      <c r="H554" s="144"/>
      <c r="I554" s="145"/>
      <c r="J554" s="146"/>
      <c r="K554" s="146"/>
      <c r="L554" s="146"/>
    </row>
    <row r="555" ht="15.75" customHeight="1">
      <c r="A555" s="228"/>
      <c r="B555" s="165"/>
      <c r="C555" s="162"/>
      <c r="D555" s="140"/>
      <c r="E555" s="141"/>
      <c r="F555" s="142"/>
      <c r="G555" s="143"/>
      <c r="H555" s="144"/>
      <c r="I555" s="145"/>
      <c r="J555" s="146"/>
      <c r="K555" s="146"/>
      <c r="L555" s="146"/>
    </row>
    <row r="556" ht="15.75" customHeight="1">
      <c r="A556" s="228"/>
      <c r="B556" s="165"/>
      <c r="C556" s="162"/>
      <c r="D556" s="140"/>
      <c r="E556" s="141"/>
      <c r="F556" s="142"/>
      <c r="G556" s="143"/>
      <c r="H556" s="144"/>
      <c r="I556" s="145"/>
      <c r="J556" s="146"/>
      <c r="K556" s="146"/>
      <c r="L556" s="146"/>
    </row>
    <row r="557" ht="15.75" customHeight="1">
      <c r="A557" s="228"/>
      <c r="B557" s="165"/>
      <c r="C557" s="162"/>
      <c r="D557" s="140"/>
      <c r="E557" s="141"/>
      <c r="F557" s="142"/>
      <c r="G557" s="143"/>
      <c r="H557" s="144"/>
      <c r="I557" s="145"/>
      <c r="J557" s="146"/>
      <c r="K557" s="146"/>
      <c r="L557" s="146"/>
    </row>
    <row r="558" ht="15.75" customHeight="1">
      <c r="A558" s="228"/>
      <c r="B558" s="165"/>
      <c r="C558" s="162"/>
      <c r="D558" s="140"/>
      <c r="E558" s="141"/>
      <c r="F558" s="142"/>
      <c r="G558" s="143"/>
      <c r="H558" s="144"/>
      <c r="I558" s="145"/>
      <c r="J558" s="146"/>
      <c r="K558" s="146"/>
      <c r="L558" s="146"/>
    </row>
    <row r="559" ht="15.75" customHeight="1">
      <c r="A559" s="228"/>
      <c r="B559" s="165"/>
      <c r="C559" s="162"/>
      <c r="D559" s="140"/>
      <c r="E559" s="141"/>
      <c r="F559" s="142"/>
      <c r="G559" s="143"/>
      <c r="H559" s="144"/>
      <c r="I559" s="145"/>
      <c r="J559" s="146"/>
      <c r="K559" s="146"/>
      <c r="L559" s="146"/>
    </row>
    <row r="560" ht="15.75" customHeight="1">
      <c r="A560" s="228"/>
      <c r="B560" s="165"/>
      <c r="C560" s="162"/>
      <c r="D560" s="140"/>
      <c r="E560" s="141"/>
      <c r="F560" s="142"/>
      <c r="G560" s="143"/>
      <c r="H560" s="144"/>
      <c r="I560" s="145"/>
      <c r="J560" s="146"/>
      <c r="K560" s="146"/>
      <c r="L560" s="146"/>
    </row>
    <row r="561" ht="15.75" customHeight="1">
      <c r="A561" s="228"/>
      <c r="B561" s="165"/>
      <c r="C561" s="162"/>
      <c r="D561" s="140"/>
      <c r="E561" s="141"/>
      <c r="F561" s="142"/>
      <c r="G561" s="143"/>
      <c r="H561" s="144"/>
      <c r="I561" s="145"/>
      <c r="J561" s="146"/>
      <c r="K561" s="146"/>
      <c r="L561" s="146"/>
    </row>
    <row r="562" ht="15.75" customHeight="1">
      <c r="A562" s="228"/>
      <c r="B562" s="165"/>
      <c r="C562" s="162"/>
      <c r="D562" s="140"/>
      <c r="E562" s="141"/>
      <c r="F562" s="142"/>
      <c r="G562" s="143"/>
      <c r="H562" s="144"/>
      <c r="I562" s="145"/>
      <c r="J562" s="146"/>
      <c r="K562" s="146"/>
      <c r="L562" s="146"/>
    </row>
    <row r="563" ht="15.75" customHeight="1">
      <c r="A563" s="228"/>
      <c r="B563" s="165"/>
      <c r="C563" s="162"/>
      <c r="D563" s="140"/>
      <c r="E563" s="141"/>
      <c r="F563" s="142"/>
      <c r="G563" s="143"/>
      <c r="H563" s="144"/>
      <c r="I563" s="145"/>
      <c r="J563" s="146"/>
      <c r="K563" s="146"/>
      <c r="L563" s="146"/>
    </row>
    <row r="564" ht="15.75" customHeight="1">
      <c r="A564" s="228"/>
      <c r="B564" s="165"/>
      <c r="C564" s="162"/>
      <c r="D564" s="140"/>
      <c r="E564" s="141"/>
      <c r="F564" s="142"/>
      <c r="G564" s="143"/>
      <c r="H564" s="144"/>
      <c r="I564" s="145"/>
      <c r="J564" s="146"/>
      <c r="K564" s="146"/>
      <c r="L564" s="146"/>
    </row>
    <row r="565" ht="15.75" customHeight="1">
      <c r="A565" s="228"/>
      <c r="B565" s="165"/>
      <c r="C565" s="162"/>
      <c r="D565" s="140"/>
      <c r="E565" s="141"/>
      <c r="F565" s="142"/>
      <c r="G565" s="143"/>
      <c r="H565" s="144"/>
      <c r="I565" s="145"/>
      <c r="J565" s="146"/>
      <c r="K565" s="146"/>
      <c r="L565" s="146"/>
    </row>
    <row r="566" ht="15.75" customHeight="1">
      <c r="A566" s="228"/>
      <c r="B566" s="165"/>
      <c r="C566" s="162"/>
      <c r="D566" s="140"/>
      <c r="E566" s="141"/>
      <c r="F566" s="142"/>
      <c r="G566" s="143"/>
      <c r="H566" s="144"/>
      <c r="I566" s="145"/>
      <c r="J566" s="146"/>
      <c r="K566" s="146"/>
      <c r="L566" s="146"/>
    </row>
    <row r="567" ht="15.75" customHeight="1">
      <c r="A567" s="228"/>
      <c r="B567" s="165"/>
      <c r="C567" s="162"/>
      <c r="D567" s="140"/>
      <c r="E567" s="141"/>
      <c r="F567" s="142"/>
      <c r="G567" s="143"/>
      <c r="H567" s="144"/>
      <c r="I567" s="145"/>
      <c r="J567" s="146"/>
      <c r="K567" s="146"/>
      <c r="L567" s="146"/>
    </row>
    <row r="568" ht="15.75" customHeight="1">
      <c r="A568" s="228"/>
      <c r="B568" s="165"/>
      <c r="C568" s="162"/>
      <c r="D568" s="140"/>
      <c r="E568" s="141"/>
      <c r="F568" s="142"/>
      <c r="G568" s="143"/>
      <c r="H568" s="144"/>
      <c r="I568" s="145"/>
      <c r="J568" s="146"/>
      <c r="K568" s="146"/>
      <c r="L568" s="146"/>
    </row>
    <row r="569" ht="15.75" customHeight="1">
      <c r="A569" s="228"/>
      <c r="B569" s="165"/>
      <c r="C569" s="162"/>
      <c r="D569" s="140"/>
      <c r="E569" s="141"/>
      <c r="F569" s="142"/>
      <c r="G569" s="143"/>
      <c r="H569" s="144"/>
      <c r="I569" s="145"/>
      <c r="J569" s="146"/>
      <c r="K569" s="146"/>
      <c r="L569" s="146"/>
    </row>
    <row r="570" ht="15.75" customHeight="1">
      <c r="A570" s="228"/>
      <c r="B570" s="165"/>
      <c r="C570" s="162"/>
      <c r="D570" s="140"/>
      <c r="E570" s="141"/>
      <c r="F570" s="142"/>
      <c r="G570" s="143"/>
      <c r="H570" s="144"/>
      <c r="I570" s="145"/>
      <c r="J570" s="146"/>
      <c r="K570" s="146"/>
      <c r="L570" s="146"/>
    </row>
    <row r="571" ht="15.75" customHeight="1">
      <c r="A571" s="228"/>
      <c r="B571" s="165"/>
      <c r="C571" s="162"/>
      <c r="D571" s="140"/>
      <c r="E571" s="141"/>
      <c r="F571" s="142"/>
      <c r="G571" s="143"/>
      <c r="H571" s="144"/>
      <c r="I571" s="145"/>
      <c r="J571" s="146"/>
      <c r="K571" s="146"/>
      <c r="L571" s="146"/>
    </row>
    <row r="572" ht="15.75" customHeight="1">
      <c r="A572" s="228"/>
      <c r="B572" s="165"/>
      <c r="C572" s="162"/>
      <c r="D572" s="140"/>
      <c r="E572" s="141"/>
      <c r="F572" s="142"/>
      <c r="G572" s="143"/>
      <c r="H572" s="144"/>
      <c r="I572" s="145"/>
      <c r="J572" s="146"/>
      <c r="K572" s="146"/>
      <c r="L572" s="146"/>
    </row>
    <row r="573" ht="15.75" customHeight="1">
      <c r="A573" s="228"/>
      <c r="B573" s="165"/>
      <c r="C573" s="162"/>
      <c r="D573" s="140"/>
      <c r="E573" s="141"/>
      <c r="F573" s="142"/>
      <c r="G573" s="143"/>
      <c r="H573" s="144"/>
      <c r="I573" s="145"/>
      <c r="J573" s="146"/>
      <c r="K573" s="146"/>
      <c r="L573" s="146"/>
    </row>
    <row r="574" ht="15.75" customHeight="1">
      <c r="A574" s="228"/>
      <c r="B574" s="165"/>
      <c r="C574" s="162"/>
      <c r="D574" s="140"/>
      <c r="E574" s="141"/>
      <c r="F574" s="142"/>
      <c r="G574" s="143"/>
      <c r="H574" s="144"/>
      <c r="I574" s="145"/>
      <c r="J574" s="146"/>
      <c r="K574" s="146"/>
      <c r="L574" s="146"/>
    </row>
    <row r="575" ht="15.75" customHeight="1">
      <c r="A575" s="228"/>
      <c r="B575" s="165"/>
      <c r="C575" s="162"/>
      <c r="D575" s="140"/>
      <c r="E575" s="141"/>
      <c r="F575" s="142"/>
      <c r="G575" s="143"/>
      <c r="H575" s="144"/>
      <c r="I575" s="145"/>
      <c r="J575" s="146"/>
      <c r="K575" s="146"/>
      <c r="L575" s="146"/>
    </row>
    <row r="576" ht="15.75" customHeight="1">
      <c r="A576" s="228"/>
      <c r="B576" s="165"/>
      <c r="C576" s="162"/>
      <c r="D576" s="140"/>
      <c r="E576" s="141"/>
      <c r="F576" s="142"/>
      <c r="G576" s="143"/>
      <c r="H576" s="144"/>
      <c r="I576" s="145"/>
      <c r="J576" s="146"/>
      <c r="K576" s="146"/>
      <c r="L576" s="146"/>
    </row>
    <row r="577" ht="15.75" customHeight="1">
      <c r="A577" s="228"/>
      <c r="B577" s="165"/>
      <c r="C577" s="162"/>
      <c r="D577" s="140"/>
      <c r="E577" s="141"/>
      <c r="F577" s="142"/>
      <c r="G577" s="143"/>
      <c r="H577" s="144"/>
      <c r="I577" s="145"/>
      <c r="J577" s="146"/>
      <c r="K577" s="146"/>
      <c r="L577" s="146"/>
    </row>
    <row r="578" ht="15.75" customHeight="1">
      <c r="A578" s="228"/>
      <c r="B578" s="165"/>
      <c r="C578" s="162"/>
      <c r="D578" s="140"/>
      <c r="E578" s="141"/>
      <c r="F578" s="142"/>
      <c r="G578" s="143"/>
      <c r="H578" s="144"/>
      <c r="I578" s="145"/>
      <c r="J578" s="146"/>
      <c r="K578" s="146"/>
      <c r="L578" s="146"/>
    </row>
    <row r="579" ht="15.75" customHeight="1">
      <c r="A579" s="228"/>
      <c r="B579" s="165"/>
      <c r="C579" s="162"/>
      <c r="D579" s="140"/>
      <c r="E579" s="141"/>
      <c r="F579" s="142"/>
      <c r="G579" s="143"/>
      <c r="H579" s="144"/>
      <c r="I579" s="145"/>
      <c r="J579" s="146"/>
      <c r="K579" s="146"/>
      <c r="L579" s="146"/>
    </row>
    <row r="580" ht="15.75" customHeight="1">
      <c r="A580" s="228"/>
      <c r="B580" s="165"/>
      <c r="C580" s="162"/>
      <c r="D580" s="140"/>
      <c r="E580" s="141"/>
      <c r="F580" s="142"/>
      <c r="G580" s="143"/>
      <c r="H580" s="144"/>
      <c r="I580" s="145"/>
      <c r="J580" s="146"/>
      <c r="K580" s="146"/>
      <c r="L580" s="146"/>
    </row>
    <row r="581" ht="15.75" customHeight="1">
      <c r="A581" s="228"/>
      <c r="B581" s="165"/>
      <c r="C581" s="162"/>
      <c r="D581" s="140"/>
      <c r="E581" s="141"/>
      <c r="F581" s="142"/>
      <c r="G581" s="143"/>
      <c r="H581" s="144"/>
      <c r="I581" s="145"/>
      <c r="J581" s="146"/>
      <c r="K581" s="146"/>
      <c r="L581" s="146"/>
    </row>
    <row r="582" ht="15.75" customHeight="1">
      <c r="A582" s="228"/>
      <c r="B582" s="165"/>
      <c r="C582" s="162"/>
      <c r="D582" s="140"/>
      <c r="E582" s="141"/>
      <c r="F582" s="142"/>
      <c r="G582" s="143"/>
      <c r="H582" s="144"/>
      <c r="I582" s="145"/>
      <c r="J582" s="146"/>
      <c r="K582" s="146"/>
      <c r="L582" s="146"/>
    </row>
    <row r="583" ht="15.75" customHeight="1">
      <c r="A583" s="228"/>
      <c r="B583" s="165"/>
      <c r="C583" s="162"/>
      <c r="D583" s="140"/>
      <c r="E583" s="141"/>
      <c r="F583" s="142"/>
      <c r="G583" s="143"/>
      <c r="H583" s="144"/>
      <c r="I583" s="145"/>
      <c r="J583" s="146"/>
      <c r="K583" s="146"/>
      <c r="L583" s="146"/>
    </row>
    <row r="584" ht="15.75" customHeight="1">
      <c r="A584" s="228"/>
      <c r="B584" s="165"/>
      <c r="C584" s="162"/>
      <c r="D584" s="140"/>
      <c r="E584" s="141"/>
      <c r="F584" s="142"/>
      <c r="G584" s="143"/>
      <c r="H584" s="144"/>
      <c r="I584" s="145"/>
      <c r="J584" s="146"/>
      <c r="K584" s="146"/>
      <c r="L584" s="146"/>
    </row>
    <row r="585" ht="15.75" customHeight="1">
      <c r="A585" s="228"/>
      <c r="B585" s="165"/>
      <c r="C585" s="162"/>
      <c r="D585" s="140"/>
      <c r="E585" s="141"/>
      <c r="F585" s="142"/>
      <c r="G585" s="143"/>
      <c r="H585" s="144"/>
      <c r="I585" s="145"/>
      <c r="J585" s="146"/>
      <c r="K585" s="146"/>
      <c r="L585" s="146"/>
    </row>
    <row r="586" ht="15.75" customHeight="1">
      <c r="A586" s="228"/>
      <c r="B586" s="165"/>
      <c r="C586" s="162"/>
      <c r="D586" s="140"/>
      <c r="E586" s="141"/>
      <c r="F586" s="142"/>
      <c r="G586" s="143"/>
      <c r="H586" s="144"/>
      <c r="I586" s="145"/>
      <c r="J586" s="146"/>
      <c r="K586" s="146"/>
      <c r="L586" s="146"/>
    </row>
    <row r="587" ht="15.75" customHeight="1">
      <c r="A587" s="228"/>
      <c r="B587" s="165"/>
      <c r="C587" s="162"/>
      <c r="D587" s="140"/>
      <c r="E587" s="141"/>
      <c r="F587" s="142"/>
      <c r="G587" s="143"/>
      <c r="H587" s="144"/>
      <c r="I587" s="145"/>
      <c r="J587" s="146"/>
      <c r="K587" s="146"/>
      <c r="L587" s="146"/>
    </row>
    <row r="588" ht="15.75" customHeight="1">
      <c r="A588" s="228"/>
      <c r="B588" s="165"/>
      <c r="C588" s="162"/>
      <c r="D588" s="140"/>
      <c r="E588" s="141"/>
      <c r="F588" s="142"/>
      <c r="G588" s="143"/>
      <c r="H588" s="144"/>
      <c r="I588" s="145"/>
      <c r="J588" s="146"/>
      <c r="K588" s="146"/>
      <c r="L588" s="146"/>
    </row>
    <row r="589" ht="15.75" customHeight="1">
      <c r="A589" s="228"/>
      <c r="B589" s="165"/>
      <c r="C589" s="162"/>
      <c r="D589" s="140"/>
      <c r="E589" s="141"/>
      <c r="F589" s="142"/>
      <c r="G589" s="143"/>
      <c r="H589" s="144"/>
      <c r="I589" s="145"/>
      <c r="J589" s="146"/>
      <c r="K589" s="146"/>
      <c r="L589" s="146"/>
    </row>
    <row r="590" ht="15.75" customHeight="1">
      <c r="A590" s="228"/>
      <c r="B590" s="165"/>
      <c r="C590" s="162"/>
      <c r="D590" s="140"/>
      <c r="E590" s="141"/>
      <c r="F590" s="142"/>
      <c r="G590" s="143"/>
      <c r="H590" s="144"/>
      <c r="I590" s="145"/>
      <c r="J590" s="146"/>
      <c r="K590" s="146"/>
      <c r="L590" s="146"/>
    </row>
    <row r="591" ht="15.75" customHeight="1">
      <c r="A591" s="228"/>
      <c r="B591" s="165"/>
      <c r="C591" s="162"/>
      <c r="D591" s="140"/>
      <c r="E591" s="141"/>
      <c r="F591" s="142"/>
      <c r="G591" s="143"/>
      <c r="H591" s="144"/>
      <c r="I591" s="145"/>
      <c r="J591" s="146"/>
      <c r="K591" s="146"/>
      <c r="L591" s="146"/>
    </row>
    <row r="592" ht="15.75" customHeight="1">
      <c r="A592" s="228"/>
      <c r="B592" s="165"/>
      <c r="C592" s="162"/>
      <c r="D592" s="140"/>
      <c r="E592" s="141"/>
      <c r="F592" s="142"/>
      <c r="G592" s="143"/>
      <c r="H592" s="144"/>
      <c r="I592" s="145"/>
      <c r="J592" s="146"/>
      <c r="K592" s="146"/>
      <c r="L592" s="146"/>
    </row>
    <row r="593" ht="15.75" customHeight="1">
      <c r="A593" s="228"/>
      <c r="B593" s="165"/>
      <c r="C593" s="162"/>
      <c r="D593" s="140"/>
      <c r="E593" s="141"/>
      <c r="F593" s="142"/>
      <c r="G593" s="143"/>
      <c r="H593" s="144"/>
      <c r="I593" s="145"/>
      <c r="J593" s="146"/>
      <c r="K593" s="146"/>
      <c r="L593" s="146"/>
    </row>
    <row r="594" ht="15.75" customHeight="1">
      <c r="A594" s="228"/>
      <c r="B594" s="165"/>
      <c r="C594" s="162"/>
      <c r="D594" s="140"/>
      <c r="E594" s="141"/>
      <c r="F594" s="142"/>
      <c r="G594" s="143"/>
      <c r="H594" s="144"/>
      <c r="I594" s="145"/>
      <c r="J594" s="146"/>
      <c r="K594" s="146"/>
      <c r="L594" s="146"/>
    </row>
    <row r="595" ht="15.75" customHeight="1">
      <c r="A595" s="228"/>
      <c r="B595" s="165"/>
      <c r="C595" s="162"/>
      <c r="D595" s="140"/>
      <c r="E595" s="141"/>
      <c r="F595" s="142"/>
      <c r="G595" s="143"/>
      <c r="H595" s="144"/>
      <c r="I595" s="145"/>
      <c r="J595" s="146"/>
      <c r="K595" s="146"/>
      <c r="L595" s="146"/>
    </row>
    <row r="596" ht="15.75" customHeight="1">
      <c r="A596" s="228"/>
      <c r="B596" s="165"/>
      <c r="C596" s="162"/>
      <c r="D596" s="140"/>
      <c r="E596" s="141"/>
      <c r="F596" s="142"/>
      <c r="G596" s="143"/>
      <c r="H596" s="144"/>
      <c r="I596" s="145"/>
      <c r="J596" s="146"/>
      <c r="K596" s="146"/>
      <c r="L596" s="146"/>
    </row>
    <row r="597" ht="15.75" customHeight="1">
      <c r="A597" s="228"/>
      <c r="B597" s="165"/>
      <c r="C597" s="162"/>
      <c r="D597" s="140"/>
      <c r="E597" s="141"/>
      <c r="F597" s="142"/>
      <c r="G597" s="143"/>
      <c r="H597" s="144"/>
      <c r="I597" s="145"/>
      <c r="J597" s="146"/>
      <c r="K597" s="146"/>
      <c r="L597" s="146"/>
    </row>
    <row r="598" ht="15.75" customHeight="1">
      <c r="A598" s="228"/>
      <c r="B598" s="165"/>
      <c r="C598" s="162"/>
      <c r="D598" s="140"/>
      <c r="E598" s="141"/>
      <c r="F598" s="142"/>
      <c r="G598" s="143"/>
      <c r="H598" s="144"/>
      <c r="I598" s="145"/>
      <c r="J598" s="146"/>
      <c r="K598" s="146"/>
      <c r="L598" s="146"/>
    </row>
    <row r="599" ht="15.75" customHeight="1">
      <c r="A599" s="228"/>
      <c r="B599" s="165"/>
      <c r="C599" s="162"/>
      <c r="D599" s="140"/>
      <c r="E599" s="141"/>
      <c r="F599" s="142"/>
      <c r="G599" s="143"/>
      <c r="H599" s="144"/>
      <c r="I599" s="145"/>
      <c r="J599" s="146"/>
      <c r="K599" s="146"/>
      <c r="L599" s="146"/>
    </row>
    <row r="600" ht="15.75" customHeight="1">
      <c r="A600" s="228"/>
      <c r="B600" s="165"/>
      <c r="C600" s="162"/>
      <c r="D600" s="140"/>
      <c r="E600" s="141"/>
      <c r="F600" s="142"/>
      <c r="G600" s="143"/>
      <c r="H600" s="144"/>
      <c r="I600" s="145"/>
      <c r="J600" s="146"/>
      <c r="K600" s="146"/>
      <c r="L600" s="146"/>
    </row>
    <row r="601" ht="15.75" customHeight="1">
      <c r="A601" s="228"/>
      <c r="B601" s="165"/>
      <c r="C601" s="162"/>
      <c r="D601" s="140"/>
      <c r="E601" s="141"/>
      <c r="F601" s="142"/>
      <c r="G601" s="143"/>
      <c r="H601" s="144"/>
      <c r="I601" s="145"/>
      <c r="J601" s="146"/>
      <c r="K601" s="146"/>
      <c r="L601" s="146"/>
    </row>
    <row r="602" ht="15.75" customHeight="1">
      <c r="A602" s="228"/>
      <c r="B602" s="165"/>
      <c r="C602" s="162"/>
      <c r="D602" s="140"/>
      <c r="E602" s="141"/>
      <c r="F602" s="142"/>
      <c r="G602" s="143"/>
      <c r="H602" s="144"/>
      <c r="I602" s="145"/>
      <c r="J602" s="146"/>
      <c r="K602" s="146"/>
      <c r="L602" s="146"/>
    </row>
    <row r="603" ht="15.75" customHeight="1">
      <c r="A603" s="228"/>
      <c r="B603" s="165"/>
      <c r="C603" s="162"/>
      <c r="D603" s="140"/>
      <c r="E603" s="141"/>
      <c r="F603" s="142"/>
      <c r="G603" s="143"/>
      <c r="H603" s="144"/>
      <c r="I603" s="145"/>
      <c r="J603" s="146"/>
      <c r="K603" s="146"/>
      <c r="L603" s="146"/>
    </row>
    <row r="604" ht="15.75" customHeight="1">
      <c r="A604" s="228"/>
      <c r="B604" s="165"/>
      <c r="C604" s="162"/>
      <c r="D604" s="140"/>
      <c r="E604" s="141"/>
      <c r="F604" s="142"/>
      <c r="G604" s="143"/>
      <c r="H604" s="144"/>
      <c r="I604" s="145"/>
      <c r="J604" s="146"/>
      <c r="K604" s="146"/>
      <c r="L604" s="146"/>
    </row>
    <row r="605" ht="15.75" customHeight="1">
      <c r="A605" s="228"/>
      <c r="B605" s="165"/>
      <c r="C605" s="162"/>
      <c r="D605" s="140"/>
      <c r="E605" s="141"/>
      <c r="F605" s="142"/>
      <c r="G605" s="143"/>
      <c r="H605" s="144"/>
      <c r="I605" s="145"/>
      <c r="J605" s="146"/>
      <c r="K605" s="146"/>
      <c r="L605" s="146"/>
    </row>
    <row r="606" ht="15.75" customHeight="1">
      <c r="A606" s="228"/>
      <c r="B606" s="165"/>
      <c r="C606" s="162"/>
      <c r="D606" s="140"/>
      <c r="E606" s="141"/>
      <c r="F606" s="142"/>
      <c r="G606" s="143"/>
      <c r="H606" s="144"/>
      <c r="I606" s="145"/>
      <c r="J606" s="146"/>
      <c r="K606" s="146"/>
      <c r="L606" s="146"/>
    </row>
    <row r="607" ht="15.75" customHeight="1">
      <c r="A607" s="228"/>
      <c r="B607" s="165"/>
      <c r="C607" s="162"/>
      <c r="D607" s="140"/>
      <c r="E607" s="141"/>
      <c r="F607" s="142"/>
      <c r="G607" s="143"/>
      <c r="H607" s="144"/>
      <c r="I607" s="145"/>
      <c r="J607" s="146"/>
      <c r="K607" s="146"/>
      <c r="L607" s="146"/>
    </row>
    <row r="608" ht="15.75" customHeight="1">
      <c r="A608" s="228"/>
      <c r="B608" s="165"/>
      <c r="C608" s="162"/>
      <c r="D608" s="140"/>
      <c r="E608" s="141"/>
      <c r="F608" s="142"/>
      <c r="G608" s="143"/>
      <c r="H608" s="144"/>
      <c r="I608" s="145"/>
      <c r="J608" s="146"/>
      <c r="K608" s="146"/>
      <c r="L608" s="146"/>
    </row>
    <row r="609" ht="15.75" customHeight="1">
      <c r="A609" s="228"/>
      <c r="B609" s="165"/>
      <c r="C609" s="162"/>
      <c r="D609" s="140"/>
      <c r="E609" s="141"/>
      <c r="F609" s="142"/>
      <c r="G609" s="143"/>
      <c r="H609" s="144"/>
      <c r="I609" s="145"/>
      <c r="J609" s="146"/>
      <c r="K609" s="146"/>
      <c r="L609" s="146"/>
    </row>
    <row r="610" ht="15.75" customHeight="1">
      <c r="A610" s="228"/>
      <c r="B610" s="165"/>
      <c r="C610" s="162"/>
      <c r="D610" s="140"/>
      <c r="E610" s="141"/>
      <c r="F610" s="142"/>
      <c r="G610" s="143"/>
      <c r="H610" s="144"/>
      <c r="I610" s="145"/>
      <c r="J610" s="146"/>
      <c r="K610" s="146"/>
      <c r="L610" s="146"/>
    </row>
    <row r="611" ht="15.75" customHeight="1">
      <c r="A611" s="228"/>
      <c r="B611" s="165"/>
      <c r="C611" s="162"/>
      <c r="D611" s="140"/>
      <c r="E611" s="141"/>
      <c r="F611" s="142"/>
      <c r="G611" s="143"/>
      <c r="H611" s="144"/>
      <c r="I611" s="145"/>
      <c r="J611" s="146"/>
      <c r="K611" s="146"/>
      <c r="L611" s="146"/>
    </row>
    <row r="612" ht="15.75" customHeight="1">
      <c r="A612" s="228"/>
      <c r="B612" s="165"/>
      <c r="C612" s="162"/>
      <c r="D612" s="140"/>
      <c r="E612" s="141"/>
      <c r="F612" s="142"/>
      <c r="G612" s="143"/>
      <c r="H612" s="144"/>
      <c r="I612" s="145"/>
      <c r="J612" s="146"/>
      <c r="K612" s="146"/>
      <c r="L612" s="146"/>
    </row>
    <row r="613" ht="15.75" customHeight="1">
      <c r="A613" s="228"/>
      <c r="B613" s="165"/>
      <c r="C613" s="162"/>
      <c r="D613" s="140"/>
      <c r="E613" s="141"/>
      <c r="F613" s="142"/>
      <c r="G613" s="143"/>
      <c r="H613" s="144"/>
      <c r="I613" s="145"/>
      <c r="J613" s="146"/>
      <c r="K613" s="146"/>
      <c r="L613" s="146"/>
    </row>
    <row r="614" ht="15.75" customHeight="1">
      <c r="A614" s="228"/>
      <c r="B614" s="165"/>
      <c r="C614" s="162"/>
      <c r="D614" s="140"/>
      <c r="E614" s="141"/>
      <c r="F614" s="142"/>
      <c r="G614" s="143"/>
      <c r="H614" s="144"/>
      <c r="I614" s="145"/>
      <c r="J614" s="146"/>
      <c r="K614" s="146"/>
      <c r="L614" s="146"/>
    </row>
    <row r="615" ht="15.75" customHeight="1">
      <c r="A615" s="228"/>
      <c r="B615" s="165"/>
      <c r="C615" s="162"/>
      <c r="D615" s="140"/>
      <c r="E615" s="141"/>
      <c r="F615" s="142"/>
      <c r="G615" s="143"/>
      <c r="H615" s="144"/>
      <c r="I615" s="145"/>
      <c r="J615" s="146"/>
      <c r="K615" s="146"/>
      <c r="L615" s="146"/>
    </row>
    <row r="616" ht="15.75" customHeight="1">
      <c r="A616" s="228"/>
      <c r="B616" s="165"/>
      <c r="C616" s="162"/>
      <c r="D616" s="140"/>
      <c r="E616" s="141"/>
      <c r="F616" s="142"/>
      <c r="G616" s="143"/>
      <c r="H616" s="144"/>
      <c r="I616" s="145"/>
      <c r="J616" s="146"/>
      <c r="K616" s="146"/>
      <c r="L616" s="146"/>
    </row>
    <row r="617" ht="15.75" customHeight="1">
      <c r="A617" s="228"/>
      <c r="B617" s="165"/>
      <c r="C617" s="162"/>
      <c r="D617" s="140"/>
      <c r="E617" s="141"/>
      <c r="F617" s="142"/>
      <c r="G617" s="143"/>
      <c r="H617" s="144"/>
      <c r="I617" s="145"/>
      <c r="J617" s="146"/>
      <c r="K617" s="146"/>
      <c r="L617" s="146"/>
    </row>
    <row r="618" ht="15.75" customHeight="1">
      <c r="A618" s="228"/>
      <c r="B618" s="165"/>
      <c r="C618" s="162"/>
      <c r="D618" s="140"/>
      <c r="E618" s="141"/>
      <c r="F618" s="142"/>
      <c r="G618" s="143"/>
      <c r="H618" s="144"/>
      <c r="I618" s="145"/>
      <c r="J618" s="146"/>
      <c r="K618" s="146"/>
      <c r="L618" s="146"/>
    </row>
    <row r="619" ht="15.75" customHeight="1">
      <c r="A619" s="228"/>
      <c r="B619" s="165"/>
      <c r="C619" s="162"/>
      <c r="D619" s="140"/>
      <c r="E619" s="141"/>
      <c r="F619" s="142"/>
      <c r="G619" s="143"/>
      <c r="H619" s="144"/>
      <c r="I619" s="145"/>
      <c r="J619" s="146"/>
      <c r="K619" s="146"/>
      <c r="L619" s="146"/>
    </row>
    <row r="620" ht="15.75" customHeight="1">
      <c r="A620" s="228"/>
      <c r="B620" s="165"/>
      <c r="C620" s="162"/>
      <c r="D620" s="140"/>
      <c r="E620" s="141"/>
      <c r="F620" s="142"/>
      <c r="G620" s="143"/>
      <c r="H620" s="144"/>
      <c r="I620" s="145"/>
      <c r="J620" s="146"/>
      <c r="K620" s="146"/>
      <c r="L620" s="146"/>
    </row>
    <row r="621" ht="15.75" customHeight="1">
      <c r="A621" s="228"/>
      <c r="B621" s="165"/>
      <c r="C621" s="162"/>
      <c r="D621" s="140"/>
      <c r="E621" s="141"/>
      <c r="F621" s="142"/>
      <c r="G621" s="143"/>
      <c r="H621" s="144"/>
      <c r="I621" s="145"/>
      <c r="J621" s="146"/>
      <c r="K621" s="146"/>
      <c r="L621" s="146"/>
    </row>
    <row r="622" ht="15.75" customHeight="1">
      <c r="A622" s="228"/>
      <c r="B622" s="165"/>
      <c r="C622" s="162"/>
      <c r="D622" s="140"/>
      <c r="E622" s="141"/>
      <c r="F622" s="142"/>
      <c r="G622" s="143"/>
      <c r="H622" s="144"/>
      <c r="I622" s="145"/>
      <c r="J622" s="146"/>
      <c r="K622" s="146"/>
      <c r="L622" s="146"/>
    </row>
    <row r="623" ht="15.75" customHeight="1">
      <c r="A623" s="228"/>
      <c r="B623" s="165"/>
      <c r="C623" s="162"/>
      <c r="D623" s="140"/>
      <c r="E623" s="141"/>
      <c r="F623" s="142"/>
      <c r="G623" s="143"/>
      <c r="H623" s="144"/>
      <c r="I623" s="145"/>
      <c r="J623" s="146"/>
      <c r="K623" s="146"/>
      <c r="L623" s="146"/>
    </row>
    <row r="624" ht="15.75" customHeight="1">
      <c r="A624" s="228"/>
      <c r="B624" s="165"/>
      <c r="C624" s="162"/>
      <c r="D624" s="140"/>
      <c r="E624" s="141"/>
      <c r="F624" s="142"/>
      <c r="G624" s="143"/>
      <c r="H624" s="144"/>
      <c r="I624" s="145"/>
      <c r="J624" s="146"/>
      <c r="K624" s="146"/>
      <c r="L624" s="146"/>
    </row>
    <row r="625" ht="15.75" customHeight="1">
      <c r="A625" s="228"/>
      <c r="B625" s="165"/>
      <c r="C625" s="162"/>
      <c r="D625" s="140"/>
      <c r="E625" s="141"/>
      <c r="F625" s="142"/>
      <c r="G625" s="143"/>
      <c r="H625" s="144"/>
      <c r="I625" s="145"/>
      <c r="J625" s="146"/>
      <c r="K625" s="146"/>
      <c r="L625" s="146"/>
    </row>
    <row r="626" ht="15.75" customHeight="1">
      <c r="A626" s="228"/>
      <c r="B626" s="165"/>
      <c r="C626" s="162"/>
      <c r="D626" s="140"/>
      <c r="E626" s="141"/>
      <c r="F626" s="142"/>
      <c r="G626" s="143"/>
      <c r="H626" s="144"/>
      <c r="I626" s="145"/>
      <c r="J626" s="146"/>
      <c r="K626" s="146"/>
      <c r="L626" s="146"/>
    </row>
    <row r="627" ht="15.75" customHeight="1">
      <c r="A627" s="228"/>
      <c r="B627" s="165"/>
      <c r="C627" s="162"/>
      <c r="D627" s="140"/>
      <c r="E627" s="141"/>
      <c r="F627" s="142"/>
      <c r="G627" s="143"/>
      <c r="H627" s="144"/>
      <c r="I627" s="145"/>
      <c r="J627" s="146"/>
      <c r="K627" s="146"/>
      <c r="L627" s="146"/>
    </row>
    <row r="628" ht="15.75" customHeight="1">
      <c r="A628" s="228"/>
      <c r="B628" s="165"/>
      <c r="C628" s="162"/>
      <c r="D628" s="140"/>
      <c r="E628" s="141"/>
      <c r="F628" s="142"/>
      <c r="G628" s="143"/>
      <c r="H628" s="144"/>
      <c r="I628" s="145"/>
      <c r="J628" s="146"/>
      <c r="K628" s="146"/>
      <c r="L628" s="146"/>
    </row>
    <row r="629" ht="15.75" customHeight="1">
      <c r="A629" s="228"/>
      <c r="B629" s="165"/>
      <c r="C629" s="162"/>
      <c r="D629" s="140"/>
      <c r="E629" s="141"/>
      <c r="F629" s="142"/>
      <c r="G629" s="143"/>
      <c r="H629" s="144"/>
      <c r="I629" s="145"/>
      <c r="J629" s="146"/>
      <c r="K629" s="146"/>
      <c r="L629" s="146"/>
    </row>
    <row r="630" ht="15.75" customHeight="1">
      <c r="A630" s="228"/>
      <c r="B630" s="165"/>
      <c r="C630" s="162"/>
      <c r="D630" s="140"/>
      <c r="E630" s="141"/>
      <c r="F630" s="142"/>
      <c r="G630" s="143"/>
      <c r="H630" s="144"/>
      <c r="I630" s="145"/>
      <c r="J630" s="146"/>
      <c r="K630" s="146"/>
      <c r="L630" s="146"/>
    </row>
    <row r="631" ht="15.75" customHeight="1">
      <c r="A631" s="228"/>
      <c r="B631" s="165"/>
      <c r="C631" s="162"/>
      <c r="D631" s="140"/>
      <c r="E631" s="141"/>
      <c r="F631" s="142"/>
      <c r="G631" s="143"/>
      <c r="H631" s="144"/>
      <c r="I631" s="145"/>
      <c r="J631" s="146"/>
      <c r="K631" s="146"/>
      <c r="L631" s="146"/>
    </row>
    <row r="632" ht="15.75" customHeight="1">
      <c r="A632" s="228"/>
      <c r="B632" s="165"/>
      <c r="C632" s="162"/>
      <c r="D632" s="140"/>
      <c r="E632" s="141"/>
      <c r="F632" s="142"/>
      <c r="G632" s="143"/>
      <c r="H632" s="144"/>
      <c r="I632" s="145"/>
      <c r="J632" s="146"/>
      <c r="K632" s="146"/>
      <c r="L632" s="146"/>
    </row>
    <row r="633" ht="15.75" customHeight="1">
      <c r="A633" s="228"/>
      <c r="B633" s="165"/>
      <c r="C633" s="162"/>
      <c r="D633" s="140"/>
      <c r="E633" s="141"/>
      <c r="F633" s="142"/>
      <c r="G633" s="143"/>
      <c r="H633" s="144"/>
      <c r="I633" s="145"/>
      <c r="J633" s="146"/>
      <c r="K633" s="146"/>
      <c r="L633" s="146"/>
    </row>
    <row r="634" ht="15.75" customHeight="1">
      <c r="A634" s="228"/>
      <c r="B634" s="165"/>
      <c r="C634" s="162"/>
      <c r="D634" s="140"/>
      <c r="E634" s="141"/>
      <c r="F634" s="142"/>
      <c r="G634" s="143"/>
      <c r="H634" s="144"/>
      <c r="I634" s="145"/>
      <c r="J634" s="146"/>
      <c r="K634" s="146"/>
      <c r="L634" s="146"/>
    </row>
    <row r="635" ht="15.75" customHeight="1">
      <c r="A635" s="228"/>
      <c r="B635" s="165"/>
      <c r="C635" s="162"/>
      <c r="D635" s="140"/>
      <c r="E635" s="141"/>
      <c r="F635" s="142"/>
      <c r="G635" s="143"/>
      <c r="H635" s="144"/>
      <c r="I635" s="145"/>
      <c r="J635" s="146"/>
      <c r="K635" s="146"/>
      <c r="L635" s="146"/>
    </row>
    <row r="636" ht="15.75" customHeight="1">
      <c r="A636" s="228"/>
      <c r="B636" s="165"/>
      <c r="C636" s="162"/>
      <c r="D636" s="140"/>
      <c r="E636" s="141"/>
      <c r="F636" s="142"/>
      <c r="G636" s="143"/>
      <c r="H636" s="144"/>
      <c r="I636" s="145"/>
      <c r="J636" s="146"/>
      <c r="K636" s="146"/>
      <c r="L636" s="146"/>
    </row>
    <row r="637" ht="15.75" customHeight="1">
      <c r="A637" s="228"/>
      <c r="B637" s="165"/>
      <c r="C637" s="162"/>
      <c r="D637" s="140"/>
      <c r="E637" s="141"/>
      <c r="F637" s="142"/>
      <c r="G637" s="143"/>
      <c r="H637" s="144"/>
      <c r="I637" s="145"/>
      <c r="J637" s="146"/>
      <c r="K637" s="146"/>
      <c r="L637" s="146"/>
    </row>
    <row r="638" ht="15.75" customHeight="1">
      <c r="A638" s="228"/>
      <c r="B638" s="165"/>
      <c r="C638" s="162"/>
      <c r="D638" s="140"/>
      <c r="E638" s="141"/>
      <c r="F638" s="142"/>
      <c r="G638" s="143"/>
      <c r="H638" s="144"/>
      <c r="I638" s="145"/>
      <c r="J638" s="146"/>
      <c r="K638" s="146"/>
      <c r="L638" s="146"/>
    </row>
    <row r="639" ht="15.75" customHeight="1">
      <c r="A639" s="228"/>
      <c r="B639" s="165"/>
      <c r="C639" s="162"/>
      <c r="D639" s="140"/>
      <c r="E639" s="141"/>
      <c r="F639" s="142"/>
      <c r="G639" s="143"/>
      <c r="H639" s="144"/>
      <c r="I639" s="145"/>
      <c r="J639" s="146"/>
      <c r="K639" s="146"/>
      <c r="L639" s="146"/>
    </row>
    <row r="640" ht="15.75" customHeight="1">
      <c r="A640" s="228"/>
      <c r="B640" s="165"/>
      <c r="C640" s="162"/>
      <c r="D640" s="140"/>
      <c r="E640" s="141"/>
      <c r="F640" s="142"/>
      <c r="G640" s="143"/>
      <c r="H640" s="144"/>
      <c r="I640" s="145"/>
      <c r="J640" s="146"/>
      <c r="K640" s="146"/>
      <c r="L640" s="146"/>
    </row>
    <row r="641" ht="15.75" customHeight="1">
      <c r="A641" s="228"/>
      <c r="B641" s="165"/>
      <c r="C641" s="162"/>
      <c r="D641" s="140"/>
      <c r="E641" s="141"/>
      <c r="F641" s="142"/>
      <c r="G641" s="143"/>
      <c r="H641" s="144"/>
      <c r="I641" s="145"/>
      <c r="J641" s="146"/>
      <c r="K641" s="146"/>
      <c r="L641" s="146"/>
    </row>
    <row r="642" ht="15.75" customHeight="1">
      <c r="A642" s="228"/>
      <c r="B642" s="165"/>
      <c r="C642" s="162"/>
      <c r="D642" s="140"/>
      <c r="E642" s="141"/>
      <c r="F642" s="142"/>
      <c r="G642" s="143"/>
      <c r="H642" s="144"/>
      <c r="I642" s="145"/>
      <c r="J642" s="146"/>
      <c r="K642" s="146"/>
      <c r="L642" s="146"/>
    </row>
    <row r="643" ht="15.75" customHeight="1">
      <c r="A643" s="228"/>
      <c r="B643" s="165"/>
      <c r="C643" s="162"/>
      <c r="D643" s="140"/>
      <c r="E643" s="141"/>
      <c r="F643" s="142"/>
      <c r="G643" s="143"/>
      <c r="H643" s="144"/>
      <c r="I643" s="145"/>
      <c r="J643" s="146"/>
      <c r="K643" s="146"/>
      <c r="L643" s="146"/>
    </row>
    <row r="644" ht="15.75" customHeight="1">
      <c r="A644" s="228"/>
      <c r="B644" s="165"/>
      <c r="C644" s="162"/>
      <c r="D644" s="140"/>
      <c r="E644" s="141"/>
      <c r="F644" s="142"/>
      <c r="G644" s="143"/>
      <c r="H644" s="144"/>
      <c r="I644" s="145"/>
      <c r="J644" s="146"/>
      <c r="K644" s="146"/>
      <c r="L644" s="146"/>
    </row>
    <row r="645" ht="15.75" customHeight="1">
      <c r="A645" s="228"/>
      <c r="B645" s="165"/>
      <c r="C645" s="162"/>
      <c r="D645" s="140"/>
      <c r="E645" s="141"/>
      <c r="F645" s="142"/>
      <c r="G645" s="143"/>
      <c r="H645" s="144"/>
      <c r="I645" s="145"/>
      <c r="J645" s="146"/>
      <c r="K645" s="146"/>
      <c r="L645" s="146"/>
    </row>
    <row r="646" ht="15.75" customHeight="1">
      <c r="A646" s="228"/>
      <c r="B646" s="165"/>
      <c r="C646" s="162"/>
      <c r="D646" s="140"/>
      <c r="E646" s="141"/>
      <c r="F646" s="142"/>
      <c r="G646" s="143"/>
      <c r="H646" s="144"/>
      <c r="I646" s="145"/>
      <c r="J646" s="146"/>
      <c r="K646" s="146"/>
      <c r="L646" s="146"/>
    </row>
    <row r="647" ht="15.75" customHeight="1">
      <c r="A647" s="228"/>
      <c r="B647" s="165"/>
      <c r="C647" s="162"/>
      <c r="D647" s="140"/>
      <c r="E647" s="141"/>
      <c r="F647" s="142"/>
      <c r="G647" s="143"/>
      <c r="H647" s="144"/>
      <c r="I647" s="145"/>
      <c r="J647" s="146"/>
      <c r="K647" s="146"/>
      <c r="L647" s="146"/>
    </row>
    <row r="648" ht="15.75" customHeight="1">
      <c r="A648" s="228"/>
      <c r="B648" s="165"/>
      <c r="C648" s="162"/>
      <c r="D648" s="140"/>
      <c r="E648" s="141"/>
      <c r="F648" s="142"/>
      <c r="G648" s="143"/>
      <c r="H648" s="144"/>
      <c r="I648" s="145"/>
      <c r="J648" s="146"/>
      <c r="K648" s="146"/>
      <c r="L648" s="146"/>
    </row>
    <row r="649" ht="15.75" customHeight="1">
      <c r="A649" s="228"/>
      <c r="B649" s="165"/>
      <c r="C649" s="162"/>
      <c r="D649" s="140"/>
      <c r="E649" s="141"/>
      <c r="F649" s="142"/>
      <c r="G649" s="143"/>
      <c r="H649" s="144"/>
      <c r="I649" s="145"/>
      <c r="J649" s="146"/>
      <c r="K649" s="146"/>
      <c r="L649" s="146"/>
    </row>
    <row r="650" ht="15.75" customHeight="1">
      <c r="A650" s="228"/>
      <c r="B650" s="165"/>
      <c r="C650" s="162"/>
      <c r="D650" s="140"/>
      <c r="E650" s="141"/>
      <c r="F650" s="142"/>
      <c r="G650" s="143"/>
      <c r="H650" s="144"/>
      <c r="I650" s="145"/>
      <c r="J650" s="146"/>
      <c r="K650" s="146"/>
      <c r="L650" s="146"/>
    </row>
    <row r="651" ht="15.75" customHeight="1">
      <c r="A651" s="228"/>
      <c r="B651" s="165"/>
      <c r="C651" s="162"/>
      <c r="D651" s="140"/>
      <c r="E651" s="141"/>
      <c r="F651" s="142"/>
      <c r="G651" s="143"/>
      <c r="H651" s="144"/>
      <c r="I651" s="145"/>
      <c r="J651" s="146"/>
      <c r="K651" s="146"/>
      <c r="L651" s="146"/>
    </row>
    <row r="652" ht="15.75" customHeight="1">
      <c r="A652" s="228"/>
      <c r="B652" s="165"/>
      <c r="C652" s="162"/>
      <c r="D652" s="140"/>
      <c r="E652" s="141"/>
      <c r="F652" s="142"/>
      <c r="G652" s="143"/>
      <c r="H652" s="144"/>
      <c r="I652" s="145"/>
      <c r="J652" s="146"/>
      <c r="K652" s="146"/>
      <c r="L652" s="146"/>
    </row>
    <row r="653" ht="15.75" customHeight="1">
      <c r="A653" s="228"/>
      <c r="B653" s="165"/>
      <c r="C653" s="162"/>
      <c r="D653" s="140"/>
      <c r="E653" s="141"/>
      <c r="F653" s="142"/>
      <c r="G653" s="143"/>
      <c r="H653" s="144"/>
      <c r="I653" s="145"/>
      <c r="J653" s="146"/>
      <c r="K653" s="146"/>
      <c r="L653" s="146"/>
    </row>
    <row r="654" ht="15.75" customHeight="1">
      <c r="A654" s="228"/>
      <c r="B654" s="165"/>
      <c r="C654" s="162"/>
      <c r="D654" s="140"/>
      <c r="E654" s="141"/>
      <c r="F654" s="142"/>
      <c r="G654" s="143"/>
      <c r="H654" s="144"/>
      <c r="I654" s="145"/>
      <c r="J654" s="146"/>
      <c r="K654" s="146"/>
      <c r="L654" s="146"/>
    </row>
    <row r="655" ht="15.75" customHeight="1">
      <c r="A655" s="228"/>
      <c r="B655" s="165"/>
      <c r="C655" s="162"/>
      <c r="D655" s="140"/>
      <c r="E655" s="141"/>
      <c r="F655" s="142"/>
      <c r="G655" s="143"/>
      <c r="H655" s="144"/>
      <c r="I655" s="145"/>
      <c r="J655" s="146"/>
      <c r="K655" s="146"/>
      <c r="L655" s="146"/>
    </row>
    <row r="656" ht="15.75" customHeight="1">
      <c r="A656" s="228"/>
      <c r="B656" s="165"/>
      <c r="C656" s="162"/>
      <c r="D656" s="140"/>
      <c r="E656" s="141"/>
      <c r="F656" s="142"/>
      <c r="G656" s="143"/>
      <c r="H656" s="144"/>
      <c r="I656" s="145"/>
      <c r="J656" s="146"/>
      <c r="K656" s="146"/>
      <c r="L656" s="146"/>
    </row>
    <row r="657" ht="15.75" customHeight="1">
      <c r="A657" s="228"/>
      <c r="B657" s="165"/>
      <c r="C657" s="162"/>
      <c r="D657" s="140"/>
      <c r="E657" s="141"/>
      <c r="F657" s="142"/>
      <c r="G657" s="143"/>
      <c r="H657" s="144"/>
      <c r="I657" s="145"/>
      <c r="J657" s="146"/>
      <c r="K657" s="146"/>
      <c r="L657" s="146"/>
    </row>
    <row r="658" ht="15.75" customHeight="1">
      <c r="A658" s="228"/>
      <c r="B658" s="165"/>
      <c r="C658" s="162"/>
      <c r="D658" s="140"/>
      <c r="E658" s="141"/>
      <c r="F658" s="142"/>
      <c r="G658" s="143"/>
      <c r="H658" s="144"/>
      <c r="I658" s="145"/>
      <c r="J658" s="146"/>
      <c r="K658" s="146"/>
      <c r="L658" s="146"/>
    </row>
    <row r="659" ht="15.75" customHeight="1">
      <c r="A659" s="228"/>
      <c r="B659" s="165"/>
      <c r="C659" s="162"/>
      <c r="D659" s="140"/>
      <c r="E659" s="141"/>
      <c r="F659" s="142"/>
      <c r="G659" s="143"/>
      <c r="H659" s="144"/>
      <c r="I659" s="145"/>
      <c r="J659" s="146"/>
      <c r="K659" s="146"/>
      <c r="L659" s="146"/>
    </row>
    <row r="660" ht="15.75" customHeight="1">
      <c r="A660" s="228"/>
      <c r="B660" s="165"/>
      <c r="C660" s="162"/>
      <c r="D660" s="140"/>
      <c r="E660" s="141"/>
      <c r="F660" s="142"/>
      <c r="G660" s="143"/>
      <c r="H660" s="144"/>
      <c r="I660" s="145"/>
      <c r="J660" s="146"/>
      <c r="K660" s="146"/>
      <c r="L660" s="146"/>
    </row>
    <row r="661" ht="15.75" customHeight="1">
      <c r="A661" s="228"/>
      <c r="B661" s="165"/>
      <c r="C661" s="162"/>
      <c r="D661" s="140"/>
      <c r="E661" s="141"/>
      <c r="F661" s="142"/>
      <c r="G661" s="143"/>
      <c r="H661" s="144"/>
      <c r="I661" s="145"/>
      <c r="J661" s="146"/>
      <c r="K661" s="146"/>
      <c r="L661" s="146"/>
    </row>
    <row r="662" ht="15.75" customHeight="1">
      <c r="A662" s="228"/>
      <c r="B662" s="165"/>
      <c r="C662" s="162"/>
      <c r="D662" s="140"/>
      <c r="E662" s="141"/>
      <c r="F662" s="142"/>
      <c r="G662" s="143"/>
      <c r="H662" s="144"/>
      <c r="I662" s="145"/>
      <c r="J662" s="146"/>
      <c r="K662" s="146"/>
      <c r="L662" s="146"/>
    </row>
    <row r="663" ht="15.75" customHeight="1">
      <c r="A663" s="228"/>
      <c r="B663" s="165"/>
      <c r="C663" s="162"/>
      <c r="D663" s="140"/>
      <c r="E663" s="141"/>
      <c r="F663" s="142"/>
      <c r="G663" s="143"/>
      <c r="H663" s="144"/>
      <c r="I663" s="145"/>
      <c r="J663" s="146"/>
      <c r="K663" s="146"/>
      <c r="L663" s="146"/>
    </row>
    <row r="664" ht="15.75" customHeight="1">
      <c r="A664" s="228"/>
      <c r="B664" s="165"/>
      <c r="C664" s="162"/>
      <c r="D664" s="140"/>
      <c r="E664" s="141"/>
      <c r="F664" s="142"/>
      <c r="G664" s="143"/>
      <c r="H664" s="144"/>
      <c r="I664" s="145"/>
      <c r="J664" s="146"/>
      <c r="K664" s="146"/>
      <c r="L664" s="146"/>
    </row>
    <row r="665" ht="15.75" customHeight="1">
      <c r="A665" s="228"/>
      <c r="B665" s="165"/>
      <c r="C665" s="162"/>
      <c r="D665" s="140"/>
      <c r="E665" s="141"/>
      <c r="F665" s="142"/>
      <c r="G665" s="143"/>
      <c r="H665" s="144"/>
      <c r="I665" s="145"/>
      <c r="J665" s="146"/>
      <c r="K665" s="146"/>
      <c r="L665" s="146"/>
    </row>
    <row r="666" ht="15.75" customHeight="1">
      <c r="A666" s="228"/>
      <c r="B666" s="165"/>
      <c r="C666" s="162"/>
      <c r="D666" s="140"/>
      <c r="E666" s="141"/>
      <c r="F666" s="142"/>
      <c r="G666" s="143"/>
      <c r="H666" s="144"/>
      <c r="I666" s="145"/>
      <c r="J666" s="146"/>
      <c r="K666" s="146"/>
      <c r="L666" s="146"/>
    </row>
    <row r="667" ht="15.75" customHeight="1">
      <c r="A667" s="228"/>
      <c r="B667" s="165"/>
      <c r="C667" s="162"/>
      <c r="D667" s="140"/>
      <c r="E667" s="141"/>
      <c r="F667" s="142"/>
      <c r="G667" s="143"/>
      <c r="H667" s="144"/>
      <c r="I667" s="145"/>
      <c r="J667" s="146"/>
      <c r="K667" s="146"/>
      <c r="L667" s="146"/>
    </row>
    <row r="668" ht="15.75" customHeight="1">
      <c r="A668" s="228"/>
      <c r="B668" s="165"/>
      <c r="C668" s="162"/>
      <c r="D668" s="140"/>
      <c r="E668" s="141"/>
      <c r="F668" s="142"/>
      <c r="G668" s="143"/>
      <c r="H668" s="144"/>
      <c r="I668" s="145"/>
      <c r="J668" s="146"/>
      <c r="K668" s="146"/>
      <c r="L668" s="146"/>
    </row>
    <row r="669" ht="15.75" customHeight="1">
      <c r="A669" s="228"/>
      <c r="B669" s="165"/>
      <c r="C669" s="162"/>
      <c r="D669" s="140"/>
      <c r="E669" s="141"/>
      <c r="F669" s="142"/>
      <c r="G669" s="143"/>
      <c r="H669" s="144"/>
      <c r="I669" s="145"/>
      <c r="J669" s="146"/>
      <c r="K669" s="146"/>
      <c r="L669" s="146"/>
    </row>
    <row r="670" ht="15.75" customHeight="1">
      <c r="A670" s="228"/>
      <c r="B670" s="165"/>
      <c r="C670" s="162"/>
      <c r="D670" s="140"/>
      <c r="E670" s="141"/>
      <c r="F670" s="142"/>
      <c r="G670" s="143"/>
      <c r="H670" s="144"/>
      <c r="I670" s="145"/>
      <c r="J670" s="146"/>
      <c r="K670" s="146"/>
      <c r="L670" s="146"/>
    </row>
    <row r="671" ht="15.75" customHeight="1">
      <c r="A671" s="228"/>
      <c r="B671" s="165"/>
      <c r="C671" s="162"/>
      <c r="D671" s="140"/>
      <c r="E671" s="141"/>
      <c r="F671" s="142"/>
      <c r="G671" s="143"/>
      <c r="H671" s="144"/>
      <c r="I671" s="145"/>
      <c r="J671" s="146"/>
      <c r="K671" s="146"/>
      <c r="L671" s="146"/>
    </row>
    <row r="672" ht="15.75" customHeight="1">
      <c r="A672" s="228"/>
      <c r="B672" s="165"/>
      <c r="C672" s="162"/>
      <c r="D672" s="140"/>
      <c r="E672" s="141"/>
      <c r="F672" s="142"/>
      <c r="G672" s="143"/>
      <c r="H672" s="144"/>
      <c r="I672" s="145"/>
      <c r="J672" s="146"/>
      <c r="K672" s="146"/>
      <c r="L672" s="146"/>
    </row>
    <row r="673" ht="15.75" customHeight="1">
      <c r="A673" s="228"/>
      <c r="B673" s="165"/>
      <c r="C673" s="162"/>
      <c r="D673" s="140"/>
      <c r="E673" s="141"/>
      <c r="F673" s="142"/>
      <c r="G673" s="143"/>
      <c r="H673" s="144"/>
      <c r="I673" s="145"/>
      <c r="J673" s="146"/>
      <c r="K673" s="146"/>
      <c r="L673" s="146"/>
    </row>
    <row r="674" ht="15.75" customHeight="1">
      <c r="A674" s="228"/>
      <c r="B674" s="165"/>
      <c r="C674" s="162"/>
      <c r="D674" s="140"/>
      <c r="E674" s="141"/>
      <c r="F674" s="142"/>
      <c r="G674" s="143"/>
      <c r="H674" s="144"/>
      <c r="I674" s="145"/>
      <c r="J674" s="146"/>
      <c r="K674" s="146"/>
      <c r="L674" s="146"/>
    </row>
    <row r="675" ht="15.75" customHeight="1">
      <c r="A675" s="228"/>
      <c r="B675" s="165"/>
      <c r="C675" s="162"/>
      <c r="D675" s="140"/>
      <c r="E675" s="141"/>
      <c r="F675" s="142"/>
      <c r="G675" s="143"/>
      <c r="H675" s="144"/>
      <c r="I675" s="145"/>
      <c r="J675" s="146"/>
      <c r="K675" s="146"/>
      <c r="L675" s="146"/>
    </row>
    <row r="676" ht="15.75" customHeight="1">
      <c r="A676" s="228"/>
      <c r="B676" s="165"/>
      <c r="C676" s="162"/>
      <c r="D676" s="140"/>
      <c r="E676" s="141"/>
      <c r="F676" s="142"/>
      <c r="G676" s="143"/>
      <c r="H676" s="144"/>
      <c r="I676" s="145"/>
      <c r="J676" s="146"/>
      <c r="K676" s="146"/>
      <c r="L676" s="146"/>
    </row>
    <row r="677" ht="15.75" customHeight="1">
      <c r="A677" s="228"/>
      <c r="B677" s="165"/>
      <c r="C677" s="162"/>
      <c r="D677" s="140"/>
      <c r="E677" s="141"/>
      <c r="F677" s="142"/>
      <c r="G677" s="143"/>
      <c r="H677" s="144"/>
      <c r="I677" s="145"/>
      <c r="J677" s="146"/>
      <c r="K677" s="146"/>
      <c r="L677" s="146"/>
    </row>
    <row r="678" ht="15.75" customHeight="1">
      <c r="A678" s="228"/>
      <c r="B678" s="165"/>
      <c r="C678" s="162"/>
      <c r="D678" s="140"/>
      <c r="E678" s="141"/>
      <c r="F678" s="142"/>
      <c r="G678" s="143"/>
      <c r="H678" s="144"/>
      <c r="I678" s="145"/>
      <c r="J678" s="146"/>
      <c r="K678" s="146"/>
      <c r="L678" s="146"/>
    </row>
    <row r="679" ht="15.75" customHeight="1">
      <c r="A679" s="228"/>
      <c r="B679" s="165"/>
      <c r="C679" s="162"/>
      <c r="D679" s="140"/>
      <c r="E679" s="141"/>
      <c r="F679" s="142"/>
      <c r="G679" s="143"/>
      <c r="H679" s="144"/>
      <c r="I679" s="145"/>
      <c r="J679" s="146"/>
      <c r="K679" s="146"/>
      <c r="L679" s="146"/>
    </row>
    <row r="680" ht="15.75" customHeight="1">
      <c r="A680" s="228"/>
      <c r="B680" s="165"/>
      <c r="C680" s="162"/>
      <c r="D680" s="140"/>
      <c r="E680" s="141"/>
      <c r="F680" s="142"/>
      <c r="G680" s="143"/>
      <c r="H680" s="144"/>
      <c r="I680" s="145"/>
      <c r="J680" s="146"/>
      <c r="K680" s="146"/>
      <c r="L680" s="146"/>
    </row>
    <row r="681" ht="15.75" customHeight="1">
      <c r="A681" s="228"/>
      <c r="B681" s="165"/>
      <c r="C681" s="162"/>
      <c r="D681" s="140"/>
      <c r="E681" s="141"/>
      <c r="F681" s="142"/>
      <c r="G681" s="143"/>
      <c r="H681" s="144"/>
      <c r="I681" s="145"/>
      <c r="J681" s="146"/>
      <c r="K681" s="146"/>
      <c r="L681" s="146"/>
    </row>
    <row r="682" ht="15.75" customHeight="1">
      <c r="A682" s="228"/>
      <c r="B682" s="165"/>
      <c r="C682" s="162"/>
      <c r="D682" s="140"/>
      <c r="E682" s="141"/>
      <c r="F682" s="142"/>
      <c r="G682" s="143"/>
      <c r="H682" s="144"/>
      <c r="I682" s="145"/>
      <c r="J682" s="146"/>
      <c r="K682" s="146"/>
      <c r="L682" s="146"/>
    </row>
    <row r="683" ht="15.75" customHeight="1">
      <c r="A683" s="228"/>
      <c r="B683" s="165"/>
      <c r="C683" s="162"/>
      <c r="D683" s="140"/>
      <c r="E683" s="141"/>
      <c r="F683" s="142"/>
      <c r="G683" s="143"/>
      <c r="H683" s="144"/>
      <c r="I683" s="145"/>
      <c r="J683" s="146"/>
      <c r="K683" s="146"/>
      <c r="L683" s="146"/>
    </row>
    <row r="684" ht="15.75" customHeight="1">
      <c r="A684" s="228"/>
      <c r="B684" s="165"/>
      <c r="C684" s="162"/>
      <c r="D684" s="140"/>
      <c r="E684" s="141"/>
      <c r="F684" s="142"/>
      <c r="G684" s="143"/>
      <c r="H684" s="144"/>
      <c r="I684" s="145"/>
      <c r="J684" s="146"/>
      <c r="K684" s="146"/>
      <c r="L684" s="146"/>
    </row>
    <row r="685" ht="15.75" customHeight="1">
      <c r="A685" s="228"/>
      <c r="B685" s="165"/>
      <c r="C685" s="162"/>
      <c r="D685" s="140"/>
      <c r="E685" s="141"/>
      <c r="F685" s="142"/>
      <c r="G685" s="143"/>
      <c r="H685" s="144"/>
      <c r="I685" s="145"/>
      <c r="J685" s="146"/>
      <c r="K685" s="146"/>
      <c r="L685" s="146"/>
    </row>
    <row r="686" ht="15.75" customHeight="1">
      <c r="A686" s="228"/>
      <c r="B686" s="165"/>
      <c r="C686" s="162"/>
      <c r="D686" s="140"/>
      <c r="E686" s="141"/>
      <c r="F686" s="142"/>
      <c r="G686" s="143"/>
      <c r="H686" s="144"/>
      <c r="I686" s="145"/>
      <c r="J686" s="146"/>
      <c r="K686" s="146"/>
      <c r="L686" s="146"/>
    </row>
    <row r="687" ht="15.75" customHeight="1">
      <c r="A687" s="228"/>
      <c r="B687" s="165"/>
      <c r="C687" s="162"/>
      <c r="D687" s="140"/>
      <c r="E687" s="141"/>
      <c r="F687" s="142"/>
      <c r="G687" s="143"/>
      <c r="H687" s="144"/>
      <c r="I687" s="145"/>
      <c r="J687" s="146"/>
      <c r="K687" s="146"/>
      <c r="L687" s="146"/>
    </row>
    <row r="688" ht="15.75" customHeight="1">
      <c r="A688" s="228"/>
      <c r="B688" s="165"/>
      <c r="C688" s="162"/>
      <c r="D688" s="140"/>
      <c r="E688" s="141"/>
      <c r="F688" s="142"/>
      <c r="G688" s="143"/>
      <c r="H688" s="144"/>
      <c r="I688" s="145"/>
      <c r="J688" s="146"/>
      <c r="K688" s="146"/>
      <c r="L688" s="146"/>
    </row>
    <row r="689" ht="15.75" customHeight="1">
      <c r="A689" s="228"/>
      <c r="B689" s="165"/>
      <c r="C689" s="162"/>
      <c r="D689" s="140"/>
      <c r="E689" s="141"/>
      <c r="F689" s="142"/>
      <c r="G689" s="143"/>
      <c r="H689" s="144"/>
      <c r="I689" s="145"/>
      <c r="J689" s="146"/>
      <c r="K689" s="146"/>
      <c r="L689" s="146"/>
    </row>
    <row r="690" ht="15.75" customHeight="1">
      <c r="A690" s="228"/>
      <c r="B690" s="165"/>
      <c r="C690" s="162"/>
      <c r="D690" s="140"/>
      <c r="E690" s="141"/>
      <c r="F690" s="142"/>
      <c r="G690" s="143"/>
      <c r="H690" s="144"/>
      <c r="I690" s="145"/>
      <c r="J690" s="146"/>
      <c r="K690" s="146"/>
      <c r="L690" s="146"/>
    </row>
    <row r="691" ht="15.75" customHeight="1">
      <c r="A691" s="228"/>
      <c r="B691" s="165"/>
      <c r="C691" s="162"/>
      <c r="D691" s="140"/>
      <c r="E691" s="141"/>
      <c r="F691" s="142"/>
      <c r="G691" s="143"/>
      <c r="H691" s="144"/>
      <c r="I691" s="145"/>
      <c r="J691" s="146"/>
      <c r="K691" s="146"/>
      <c r="L691" s="146"/>
    </row>
    <row r="692" ht="15.75" customHeight="1">
      <c r="A692" s="228"/>
      <c r="B692" s="165"/>
      <c r="C692" s="162"/>
      <c r="D692" s="140"/>
      <c r="E692" s="141"/>
      <c r="F692" s="142"/>
      <c r="G692" s="143"/>
      <c r="H692" s="144"/>
      <c r="I692" s="145"/>
      <c r="J692" s="146"/>
      <c r="K692" s="146"/>
      <c r="L692" s="146"/>
    </row>
    <row r="693" ht="15.75" customHeight="1">
      <c r="A693" s="228"/>
      <c r="B693" s="165"/>
      <c r="C693" s="162"/>
      <c r="D693" s="140"/>
      <c r="E693" s="141"/>
      <c r="F693" s="142"/>
      <c r="G693" s="143"/>
      <c r="H693" s="144"/>
      <c r="I693" s="145"/>
      <c r="J693" s="146"/>
      <c r="K693" s="146"/>
      <c r="L693" s="146"/>
    </row>
    <row r="694" ht="15.75" customHeight="1">
      <c r="A694" s="228"/>
      <c r="B694" s="165"/>
      <c r="C694" s="162"/>
      <c r="D694" s="140"/>
      <c r="E694" s="141"/>
      <c r="F694" s="142"/>
      <c r="G694" s="143"/>
      <c r="H694" s="144"/>
      <c r="I694" s="145"/>
      <c r="J694" s="146"/>
      <c r="K694" s="146"/>
      <c r="L694" s="146"/>
    </row>
    <row r="695" ht="15.75" customHeight="1">
      <c r="A695" s="228"/>
      <c r="B695" s="165"/>
      <c r="C695" s="162"/>
      <c r="D695" s="140"/>
      <c r="E695" s="141"/>
      <c r="F695" s="142"/>
      <c r="G695" s="143"/>
      <c r="H695" s="144"/>
      <c r="I695" s="145"/>
      <c r="J695" s="146"/>
      <c r="K695" s="146"/>
      <c r="L695" s="146"/>
    </row>
    <row r="696" ht="15.75" customHeight="1">
      <c r="A696" s="228"/>
      <c r="B696" s="165"/>
      <c r="C696" s="162"/>
      <c r="D696" s="140"/>
      <c r="E696" s="141"/>
      <c r="F696" s="142"/>
      <c r="G696" s="143"/>
      <c r="H696" s="144"/>
      <c r="I696" s="145"/>
      <c r="J696" s="146"/>
      <c r="K696" s="146"/>
      <c r="L696" s="146"/>
    </row>
    <row r="697" ht="15.75" customHeight="1">
      <c r="A697" s="228"/>
      <c r="B697" s="165"/>
      <c r="C697" s="162"/>
      <c r="D697" s="140"/>
      <c r="E697" s="141"/>
      <c r="F697" s="142"/>
      <c r="G697" s="143"/>
      <c r="H697" s="144"/>
      <c r="I697" s="145"/>
      <c r="J697" s="146"/>
      <c r="K697" s="146"/>
      <c r="L697" s="146"/>
    </row>
    <row r="698" ht="15.75" customHeight="1">
      <c r="A698" s="228"/>
      <c r="B698" s="165"/>
      <c r="C698" s="162"/>
      <c r="D698" s="140"/>
      <c r="E698" s="141"/>
      <c r="F698" s="142"/>
      <c r="G698" s="143"/>
      <c r="H698" s="144"/>
      <c r="I698" s="145"/>
      <c r="J698" s="146"/>
      <c r="K698" s="146"/>
      <c r="L698" s="146"/>
    </row>
    <row r="699" ht="15.75" customHeight="1">
      <c r="A699" s="228"/>
      <c r="B699" s="165"/>
      <c r="C699" s="162"/>
      <c r="D699" s="140"/>
      <c r="E699" s="141"/>
      <c r="F699" s="142"/>
      <c r="G699" s="143"/>
      <c r="H699" s="144"/>
      <c r="I699" s="145"/>
      <c r="J699" s="146"/>
      <c r="K699" s="146"/>
      <c r="L699" s="146"/>
    </row>
    <row r="700" ht="15.75" customHeight="1">
      <c r="A700" s="228"/>
      <c r="B700" s="165"/>
      <c r="C700" s="162"/>
      <c r="D700" s="140"/>
      <c r="E700" s="141"/>
      <c r="F700" s="142"/>
      <c r="G700" s="143"/>
      <c r="H700" s="144"/>
      <c r="I700" s="145"/>
      <c r="J700" s="146"/>
      <c r="K700" s="146"/>
      <c r="L700" s="146"/>
    </row>
    <row r="701" ht="15.75" customHeight="1">
      <c r="A701" s="228"/>
      <c r="B701" s="165"/>
      <c r="C701" s="162"/>
      <c r="D701" s="140"/>
      <c r="E701" s="141"/>
      <c r="F701" s="142"/>
      <c r="G701" s="143"/>
      <c r="H701" s="144"/>
      <c r="I701" s="145"/>
      <c r="J701" s="146"/>
      <c r="K701" s="146"/>
      <c r="L701" s="146"/>
    </row>
    <row r="702" ht="15.75" customHeight="1">
      <c r="A702" s="228"/>
      <c r="B702" s="165"/>
      <c r="C702" s="162"/>
      <c r="D702" s="140"/>
      <c r="E702" s="141"/>
      <c r="F702" s="142"/>
      <c r="G702" s="143"/>
      <c r="H702" s="144"/>
      <c r="I702" s="145"/>
      <c r="J702" s="146"/>
      <c r="K702" s="146"/>
      <c r="L702" s="146"/>
    </row>
    <row r="703" ht="15.75" customHeight="1">
      <c r="A703" s="228"/>
      <c r="B703" s="165"/>
      <c r="C703" s="162"/>
      <c r="D703" s="140"/>
      <c r="E703" s="141"/>
      <c r="F703" s="142"/>
      <c r="G703" s="143"/>
      <c r="H703" s="144"/>
      <c r="I703" s="145"/>
      <c r="J703" s="146"/>
      <c r="K703" s="146"/>
      <c r="L703" s="146"/>
    </row>
    <row r="704" ht="15.75" customHeight="1">
      <c r="A704" s="228"/>
      <c r="B704" s="165"/>
      <c r="C704" s="162"/>
      <c r="D704" s="140"/>
      <c r="E704" s="141"/>
      <c r="F704" s="142"/>
      <c r="G704" s="143"/>
      <c r="H704" s="144"/>
      <c r="I704" s="145"/>
      <c r="J704" s="146"/>
      <c r="K704" s="146"/>
      <c r="L704" s="146"/>
    </row>
    <row r="705" ht="15.75" customHeight="1">
      <c r="A705" s="228"/>
      <c r="B705" s="165"/>
      <c r="C705" s="162"/>
      <c r="D705" s="140"/>
      <c r="E705" s="141"/>
      <c r="F705" s="142"/>
      <c r="G705" s="143"/>
      <c r="H705" s="144"/>
      <c r="I705" s="145"/>
      <c r="J705" s="146"/>
      <c r="K705" s="146"/>
      <c r="L705" s="146"/>
    </row>
    <row r="706" ht="15.75" customHeight="1">
      <c r="A706" s="228"/>
      <c r="B706" s="165"/>
      <c r="C706" s="162"/>
      <c r="D706" s="140"/>
      <c r="E706" s="141"/>
      <c r="F706" s="142"/>
      <c r="G706" s="143"/>
      <c r="H706" s="144"/>
      <c r="I706" s="145"/>
      <c r="J706" s="146"/>
      <c r="K706" s="146"/>
      <c r="L706" s="146"/>
    </row>
    <row r="707" ht="15.75" customHeight="1">
      <c r="A707" s="228"/>
      <c r="B707" s="165"/>
      <c r="C707" s="162"/>
      <c r="D707" s="140"/>
      <c r="E707" s="141"/>
      <c r="F707" s="142"/>
      <c r="G707" s="143"/>
      <c r="H707" s="144"/>
      <c r="I707" s="145"/>
      <c r="J707" s="146"/>
      <c r="K707" s="146"/>
      <c r="L707" s="146"/>
    </row>
    <row r="708" ht="15.75" customHeight="1">
      <c r="A708" s="228"/>
      <c r="B708" s="165"/>
      <c r="C708" s="162"/>
      <c r="D708" s="140"/>
      <c r="E708" s="141"/>
      <c r="F708" s="142"/>
      <c r="G708" s="143"/>
      <c r="H708" s="144"/>
      <c r="I708" s="145"/>
      <c r="J708" s="146"/>
      <c r="K708" s="146"/>
      <c r="L708" s="146"/>
    </row>
    <row r="709" ht="15.75" customHeight="1">
      <c r="A709" s="228"/>
      <c r="B709" s="165"/>
      <c r="C709" s="162"/>
      <c r="D709" s="140"/>
      <c r="E709" s="141"/>
      <c r="F709" s="142"/>
      <c r="G709" s="143"/>
      <c r="H709" s="144"/>
      <c r="I709" s="145"/>
      <c r="J709" s="146"/>
      <c r="K709" s="146"/>
      <c r="L709" s="146"/>
    </row>
    <row r="710" ht="15.75" customHeight="1">
      <c r="A710" s="228"/>
      <c r="B710" s="165"/>
      <c r="C710" s="162"/>
      <c r="D710" s="140"/>
      <c r="E710" s="141"/>
      <c r="F710" s="142"/>
      <c r="G710" s="143"/>
      <c r="H710" s="144"/>
      <c r="I710" s="145"/>
      <c r="J710" s="146"/>
      <c r="K710" s="146"/>
      <c r="L710" s="146"/>
    </row>
    <row r="711" ht="15.75" customHeight="1">
      <c r="A711" s="228"/>
      <c r="B711" s="165"/>
      <c r="C711" s="162"/>
      <c r="D711" s="140"/>
      <c r="E711" s="141"/>
      <c r="F711" s="142"/>
      <c r="G711" s="143"/>
      <c r="H711" s="144"/>
      <c r="I711" s="145"/>
      <c r="J711" s="146"/>
      <c r="K711" s="146"/>
      <c r="L711" s="146"/>
    </row>
    <row r="712" ht="15.75" customHeight="1">
      <c r="A712" s="228"/>
      <c r="B712" s="165"/>
      <c r="C712" s="162"/>
      <c r="D712" s="140"/>
      <c r="E712" s="141"/>
      <c r="F712" s="142"/>
      <c r="G712" s="143"/>
      <c r="H712" s="144"/>
      <c r="I712" s="145"/>
      <c r="J712" s="146"/>
      <c r="K712" s="146"/>
      <c r="L712" s="146"/>
    </row>
    <row r="713" ht="15.75" customHeight="1">
      <c r="A713" s="228"/>
      <c r="B713" s="165"/>
      <c r="C713" s="162"/>
      <c r="D713" s="140"/>
      <c r="E713" s="141"/>
      <c r="F713" s="142"/>
      <c r="G713" s="143"/>
      <c r="H713" s="144"/>
      <c r="I713" s="145"/>
      <c r="J713" s="146"/>
      <c r="K713" s="146"/>
      <c r="L713" s="146"/>
    </row>
    <row r="714" ht="15.75" customHeight="1">
      <c r="A714" s="228"/>
      <c r="B714" s="165"/>
      <c r="C714" s="162"/>
      <c r="D714" s="140"/>
      <c r="E714" s="141"/>
      <c r="F714" s="142"/>
      <c r="G714" s="143"/>
      <c r="H714" s="144"/>
      <c r="I714" s="145"/>
      <c r="J714" s="146"/>
      <c r="K714" s="146"/>
      <c r="L714" s="146"/>
    </row>
    <row r="715" ht="15.75" customHeight="1">
      <c r="A715" s="228"/>
      <c r="B715" s="165"/>
      <c r="C715" s="162"/>
      <c r="D715" s="140"/>
      <c r="E715" s="141"/>
      <c r="F715" s="142"/>
      <c r="G715" s="143"/>
      <c r="H715" s="144"/>
      <c r="I715" s="145"/>
      <c r="J715" s="146"/>
      <c r="K715" s="146"/>
      <c r="L715" s="146"/>
    </row>
    <row r="716" ht="15.75" customHeight="1">
      <c r="A716" s="228"/>
      <c r="B716" s="165"/>
      <c r="C716" s="162"/>
      <c r="D716" s="140"/>
      <c r="E716" s="141"/>
      <c r="F716" s="142"/>
      <c r="G716" s="143"/>
      <c r="H716" s="144"/>
      <c r="I716" s="145"/>
      <c r="J716" s="146"/>
      <c r="K716" s="146"/>
      <c r="L716" s="146"/>
    </row>
    <row r="717" ht="15.75" customHeight="1">
      <c r="A717" s="228"/>
      <c r="B717" s="165"/>
      <c r="C717" s="162"/>
      <c r="D717" s="140"/>
      <c r="E717" s="141"/>
      <c r="F717" s="142"/>
      <c r="G717" s="143"/>
      <c r="H717" s="144"/>
      <c r="I717" s="145"/>
      <c r="J717" s="146"/>
      <c r="K717" s="146"/>
      <c r="L717" s="146"/>
    </row>
    <row r="718" ht="15.75" customHeight="1">
      <c r="A718" s="228"/>
      <c r="B718" s="165"/>
      <c r="C718" s="162"/>
      <c r="D718" s="140"/>
      <c r="E718" s="141"/>
      <c r="F718" s="142"/>
      <c r="G718" s="143"/>
      <c r="H718" s="144"/>
      <c r="I718" s="145"/>
      <c r="J718" s="146"/>
      <c r="K718" s="146"/>
      <c r="L718" s="146"/>
    </row>
    <row r="719" ht="15.75" customHeight="1">
      <c r="A719" s="228"/>
      <c r="B719" s="165"/>
      <c r="C719" s="162"/>
      <c r="D719" s="140"/>
      <c r="E719" s="141"/>
      <c r="F719" s="142"/>
      <c r="G719" s="143"/>
      <c r="H719" s="144"/>
      <c r="I719" s="145"/>
      <c r="J719" s="146"/>
      <c r="K719" s="146"/>
      <c r="L719" s="146"/>
    </row>
    <row r="720" ht="15.75" customHeight="1">
      <c r="A720" s="228"/>
      <c r="B720" s="165"/>
      <c r="C720" s="162"/>
      <c r="D720" s="140"/>
      <c r="E720" s="141"/>
      <c r="F720" s="142"/>
      <c r="G720" s="143"/>
      <c r="H720" s="144"/>
      <c r="I720" s="145"/>
      <c r="J720" s="146"/>
      <c r="K720" s="146"/>
      <c r="L720" s="146"/>
    </row>
    <row r="721" ht="15.75" customHeight="1">
      <c r="A721" s="228"/>
      <c r="B721" s="165"/>
      <c r="C721" s="162"/>
      <c r="D721" s="140"/>
      <c r="E721" s="141"/>
      <c r="F721" s="142"/>
      <c r="G721" s="143"/>
      <c r="H721" s="144"/>
      <c r="I721" s="145"/>
      <c r="J721" s="146"/>
      <c r="K721" s="146"/>
      <c r="L721" s="146"/>
    </row>
    <row r="722" ht="15.75" customHeight="1">
      <c r="A722" s="228"/>
      <c r="B722" s="165"/>
      <c r="C722" s="162"/>
      <c r="D722" s="140"/>
      <c r="E722" s="141"/>
      <c r="F722" s="142"/>
      <c r="G722" s="143"/>
      <c r="H722" s="144"/>
      <c r="I722" s="145"/>
      <c r="J722" s="146"/>
      <c r="K722" s="146"/>
      <c r="L722" s="146"/>
    </row>
    <row r="723" ht="15.75" customHeight="1">
      <c r="A723" s="228"/>
      <c r="B723" s="165"/>
      <c r="C723" s="162"/>
      <c r="D723" s="140"/>
      <c r="E723" s="141"/>
      <c r="F723" s="142"/>
      <c r="G723" s="143"/>
      <c r="H723" s="144"/>
      <c r="I723" s="145"/>
      <c r="J723" s="146"/>
      <c r="K723" s="146"/>
      <c r="L723" s="146"/>
    </row>
    <row r="724" ht="15.75" customHeight="1">
      <c r="A724" s="228"/>
      <c r="B724" s="165"/>
      <c r="C724" s="162"/>
      <c r="D724" s="140"/>
      <c r="E724" s="141"/>
      <c r="F724" s="142"/>
      <c r="G724" s="143"/>
      <c r="H724" s="144"/>
      <c r="I724" s="145"/>
      <c r="J724" s="146"/>
      <c r="K724" s="146"/>
      <c r="L724" s="146"/>
    </row>
    <row r="725" ht="15.75" customHeight="1">
      <c r="A725" s="228"/>
      <c r="B725" s="165"/>
      <c r="C725" s="162"/>
      <c r="D725" s="140"/>
      <c r="E725" s="141"/>
      <c r="F725" s="142"/>
      <c r="G725" s="143"/>
      <c r="H725" s="144"/>
      <c r="I725" s="145"/>
      <c r="J725" s="146"/>
      <c r="K725" s="146"/>
      <c r="L725" s="146"/>
    </row>
    <row r="726" ht="15.75" customHeight="1">
      <c r="A726" s="228"/>
      <c r="B726" s="165"/>
      <c r="C726" s="162"/>
      <c r="D726" s="140"/>
      <c r="E726" s="141"/>
      <c r="F726" s="142"/>
      <c r="G726" s="143"/>
      <c r="H726" s="144"/>
      <c r="I726" s="145"/>
      <c r="J726" s="146"/>
      <c r="K726" s="146"/>
      <c r="L726" s="146"/>
    </row>
    <row r="727" ht="15.75" customHeight="1">
      <c r="A727" s="228"/>
      <c r="B727" s="165"/>
      <c r="C727" s="162"/>
      <c r="D727" s="140"/>
      <c r="E727" s="141"/>
      <c r="F727" s="142"/>
      <c r="G727" s="143"/>
      <c r="H727" s="144"/>
      <c r="I727" s="145"/>
      <c r="J727" s="146"/>
      <c r="K727" s="146"/>
      <c r="L727" s="146"/>
    </row>
    <row r="728" ht="15.75" customHeight="1">
      <c r="A728" s="228"/>
      <c r="B728" s="165"/>
      <c r="C728" s="162"/>
      <c r="D728" s="140"/>
      <c r="E728" s="141"/>
      <c r="F728" s="142"/>
      <c r="G728" s="143"/>
      <c r="H728" s="144"/>
      <c r="I728" s="145"/>
      <c r="J728" s="146"/>
      <c r="K728" s="146"/>
      <c r="L728" s="146"/>
    </row>
    <row r="729" ht="15.75" customHeight="1">
      <c r="A729" s="228"/>
      <c r="B729" s="165"/>
      <c r="C729" s="162"/>
      <c r="D729" s="140"/>
      <c r="E729" s="141"/>
      <c r="F729" s="142"/>
      <c r="G729" s="143"/>
      <c r="H729" s="144"/>
      <c r="I729" s="145"/>
      <c r="J729" s="146"/>
      <c r="K729" s="146"/>
      <c r="L729" s="146"/>
    </row>
    <row r="730" ht="15.75" customHeight="1">
      <c r="A730" s="228"/>
      <c r="B730" s="165"/>
      <c r="C730" s="162"/>
      <c r="D730" s="140"/>
      <c r="E730" s="141"/>
      <c r="F730" s="142"/>
      <c r="G730" s="143"/>
      <c r="H730" s="144"/>
      <c r="I730" s="145"/>
      <c r="J730" s="146"/>
      <c r="K730" s="146"/>
      <c r="L730" s="146"/>
    </row>
    <row r="731" ht="15.75" customHeight="1">
      <c r="A731" s="228"/>
      <c r="B731" s="165"/>
      <c r="C731" s="162"/>
      <c r="D731" s="140"/>
      <c r="E731" s="141"/>
      <c r="F731" s="142"/>
      <c r="G731" s="143"/>
      <c r="H731" s="144"/>
      <c r="I731" s="145"/>
      <c r="J731" s="146"/>
      <c r="K731" s="146"/>
      <c r="L731" s="146"/>
    </row>
    <row r="732" ht="15.75" customHeight="1">
      <c r="A732" s="228"/>
      <c r="B732" s="165"/>
      <c r="C732" s="162"/>
      <c r="D732" s="140"/>
      <c r="E732" s="141"/>
      <c r="F732" s="142"/>
      <c r="G732" s="143"/>
      <c r="H732" s="144"/>
      <c r="I732" s="145"/>
      <c r="J732" s="146"/>
      <c r="K732" s="146"/>
      <c r="L732" s="146"/>
    </row>
    <row r="733" ht="15.75" customHeight="1">
      <c r="A733" s="228"/>
      <c r="B733" s="165"/>
      <c r="C733" s="162"/>
      <c r="D733" s="140"/>
      <c r="E733" s="141"/>
      <c r="F733" s="142"/>
      <c r="G733" s="143"/>
      <c r="H733" s="144"/>
      <c r="I733" s="145"/>
      <c r="J733" s="146"/>
      <c r="K733" s="146"/>
      <c r="L733" s="146"/>
    </row>
    <row r="734" ht="15.75" customHeight="1">
      <c r="A734" s="228"/>
      <c r="B734" s="165"/>
      <c r="C734" s="162"/>
      <c r="D734" s="140"/>
      <c r="E734" s="141"/>
      <c r="F734" s="142"/>
      <c r="G734" s="143"/>
      <c r="H734" s="144"/>
      <c r="I734" s="145"/>
      <c r="J734" s="146"/>
      <c r="K734" s="146"/>
      <c r="L734" s="146"/>
    </row>
    <row r="735" ht="15.75" customHeight="1">
      <c r="A735" s="228"/>
      <c r="B735" s="165"/>
      <c r="C735" s="162"/>
      <c r="D735" s="140"/>
      <c r="E735" s="141"/>
      <c r="F735" s="142"/>
      <c r="G735" s="143"/>
      <c r="H735" s="144"/>
      <c r="I735" s="145"/>
      <c r="J735" s="146"/>
      <c r="K735" s="146"/>
      <c r="L735" s="146"/>
    </row>
    <row r="736" ht="15.75" customHeight="1">
      <c r="A736" s="228"/>
      <c r="B736" s="165"/>
      <c r="C736" s="162"/>
      <c r="D736" s="140"/>
      <c r="E736" s="141"/>
      <c r="F736" s="142"/>
      <c r="G736" s="143"/>
      <c r="H736" s="144"/>
      <c r="I736" s="145"/>
      <c r="J736" s="146"/>
      <c r="K736" s="146"/>
      <c r="L736" s="146"/>
    </row>
    <row r="737" ht="15.75" customHeight="1">
      <c r="A737" s="228"/>
      <c r="B737" s="165"/>
      <c r="C737" s="162"/>
      <c r="D737" s="140"/>
      <c r="E737" s="141"/>
      <c r="F737" s="142"/>
      <c r="G737" s="143"/>
      <c r="H737" s="144"/>
      <c r="I737" s="145"/>
      <c r="J737" s="146"/>
      <c r="K737" s="146"/>
      <c r="L737" s="146"/>
    </row>
    <row r="738" ht="15.75" customHeight="1">
      <c r="A738" s="228"/>
      <c r="B738" s="165"/>
      <c r="C738" s="162"/>
      <c r="D738" s="140"/>
      <c r="E738" s="141"/>
      <c r="F738" s="142"/>
      <c r="G738" s="143"/>
      <c r="H738" s="144"/>
      <c r="I738" s="145"/>
      <c r="J738" s="146"/>
      <c r="K738" s="146"/>
      <c r="L738" s="146"/>
    </row>
    <row r="739" ht="15.75" customHeight="1">
      <c r="A739" s="228"/>
      <c r="B739" s="165"/>
      <c r="C739" s="162"/>
      <c r="D739" s="140"/>
      <c r="E739" s="141"/>
      <c r="F739" s="142"/>
      <c r="G739" s="143"/>
      <c r="H739" s="144"/>
      <c r="I739" s="145"/>
      <c r="J739" s="146"/>
      <c r="K739" s="146"/>
      <c r="L739" s="146"/>
    </row>
    <row r="740" ht="15.75" customHeight="1">
      <c r="A740" s="228"/>
      <c r="B740" s="165"/>
      <c r="C740" s="162"/>
      <c r="D740" s="140"/>
      <c r="E740" s="141"/>
      <c r="F740" s="142"/>
      <c r="G740" s="143"/>
      <c r="H740" s="144"/>
      <c r="I740" s="145"/>
      <c r="J740" s="146"/>
      <c r="K740" s="146"/>
      <c r="L740" s="146"/>
    </row>
    <row r="741" ht="15.75" customHeight="1">
      <c r="A741" s="228"/>
      <c r="B741" s="165"/>
      <c r="C741" s="162"/>
      <c r="D741" s="140"/>
      <c r="E741" s="141"/>
      <c r="F741" s="142"/>
      <c r="G741" s="143"/>
      <c r="H741" s="144"/>
      <c r="I741" s="145"/>
      <c r="J741" s="146"/>
      <c r="K741" s="146"/>
      <c r="L741" s="146"/>
    </row>
    <row r="742" ht="15.75" customHeight="1">
      <c r="A742" s="228"/>
      <c r="B742" s="165"/>
      <c r="C742" s="162"/>
      <c r="D742" s="140"/>
      <c r="E742" s="141"/>
      <c r="F742" s="142"/>
      <c r="G742" s="143"/>
      <c r="H742" s="144"/>
      <c r="I742" s="145"/>
      <c r="J742" s="146"/>
      <c r="K742" s="146"/>
      <c r="L742" s="146"/>
    </row>
    <row r="743" ht="15.75" customHeight="1">
      <c r="A743" s="228"/>
      <c r="B743" s="165"/>
      <c r="C743" s="162"/>
      <c r="D743" s="140"/>
      <c r="E743" s="141"/>
      <c r="F743" s="142"/>
      <c r="G743" s="143"/>
      <c r="H743" s="144"/>
      <c r="I743" s="145"/>
      <c r="J743" s="146"/>
      <c r="K743" s="146"/>
      <c r="L743" s="146"/>
    </row>
    <row r="744" ht="15.75" customHeight="1">
      <c r="A744" s="228"/>
      <c r="B744" s="165"/>
      <c r="C744" s="162"/>
      <c r="D744" s="140"/>
      <c r="E744" s="141"/>
      <c r="F744" s="142"/>
      <c r="G744" s="143"/>
      <c r="H744" s="144"/>
      <c r="I744" s="145"/>
      <c r="J744" s="146"/>
      <c r="K744" s="146"/>
      <c r="L744" s="146"/>
    </row>
    <row r="745" ht="15.75" customHeight="1">
      <c r="A745" s="228"/>
      <c r="B745" s="165"/>
      <c r="C745" s="162"/>
      <c r="D745" s="140"/>
      <c r="E745" s="141"/>
      <c r="F745" s="142"/>
      <c r="G745" s="143"/>
      <c r="H745" s="144"/>
      <c r="I745" s="145"/>
      <c r="J745" s="146"/>
      <c r="K745" s="146"/>
      <c r="L745" s="146"/>
    </row>
    <row r="746" ht="15.75" customHeight="1">
      <c r="A746" s="228"/>
      <c r="B746" s="165"/>
      <c r="C746" s="162"/>
      <c r="D746" s="140"/>
      <c r="E746" s="141"/>
      <c r="F746" s="142"/>
      <c r="G746" s="143"/>
      <c r="H746" s="144"/>
      <c r="I746" s="145"/>
      <c r="J746" s="146"/>
      <c r="K746" s="146"/>
      <c r="L746" s="146"/>
    </row>
    <row r="747" ht="15.75" customHeight="1">
      <c r="A747" s="228"/>
      <c r="B747" s="165"/>
      <c r="C747" s="162"/>
      <c r="D747" s="140"/>
      <c r="E747" s="141"/>
      <c r="F747" s="142"/>
      <c r="G747" s="143"/>
      <c r="H747" s="144"/>
      <c r="I747" s="145"/>
      <c r="J747" s="146"/>
      <c r="K747" s="146"/>
      <c r="L747" s="146"/>
    </row>
    <row r="748" ht="15.75" customHeight="1">
      <c r="A748" s="228"/>
      <c r="B748" s="165"/>
      <c r="C748" s="162"/>
      <c r="D748" s="140"/>
      <c r="E748" s="141"/>
      <c r="F748" s="142"/>
      <c r="G748" s="143"/>
      <c r="H748" s="144"/>
      <c r="I748" s="145"/>
      <c r="J748" s="146"/>
      <c r="K748" s="146"/>
      <c r="L748" s="146"/>
    </row>
    <row r="749" ht="15.75" customHeight="1">
      <c r="A749" s="228"/>
      <c r="B749" s="165"/>
      <c r="C749" s="162"/>
      <c r="D749" s="140"/>
      <c r="E749" s="141"/>
      <c r="F749" s="142"/>
      <c r="G749" s="143"/>
      <c r="H749" s="144"/>
      <c r="I749" s="145"/>
      <c r="J749" s="146"/>
      <c r="K749" s="146"/>
      <c r="L749" s="146"/>
    </row>
    <row r="750" ht="15.75" customHeight="1">
      <c r="A750" s="228"/>
      <c r="B750" s="165"/>
      <c r="C750" s="162"/>
      <c r="D750" s="140"/>
      <c r="E750" s="141"/>
      <c r="F750" s="142"/>
      <c r="G750" s="143"/>
      <c r="H750" s="144"/>
      <c r="I750" s="145"/>
      <c r="J750" s="146"/>
      <c r="K750" s="146"/>
      <c r="L750" s="146"/>
    </row>
    <row r="751" ht="15.75" customHeight="1">
      <c r="A751" s="228"/>
      <c r="B751" s="165"/>
      <c r="C751" s="162"/>
      <c r="D751" s="140"/>
      <c r="E751" s="141"/>
      <c r="F751" s="142"/>
      <c r="G751" s="143"/>
      <c r="H751" s="144"/>
      <c r="I751" s="145"/>
      <c r="J751" s="146"/>
      <c r="K751" s="146"/>
      <c r="L751" s="146"/>
    </row>
    <row r="752" ht="15.75" customHeight="1">
      <c r="A752" s="228"/>
      <c r="B752" s="165"/>
      <c r="C752" s="162"/>
      <c r="D752" s="140"/>
      <c r="E752" s="141"/>
      <c r="F752" s="142"/>
      <c r="G752" s="143"/>
      <c r="H752" s="144"/>
      <c r="I752" s="145"/>
      <c r="J752" s="146"/>
      <c r="K752" s="146"/>
      <c r="L752" s="146"/>
    </row>
    <row r="753" ht="15.75" customHeight="1">
      <c r="A753" s="228"/>
      <c r="B753" s="165"/>
      <c r="C753" s="162"/>
      <c r="D753" s="140"/>
      <c r="E753" s="141"/>
      <c r="F753" s="142"/>
      <c r="G753" s="143"/>
      <c r="H753" s="144"/>
      <c r="I753" s="145"/>
      <c r="J753" s="146"/>
      <c r="K753" s="146"/>
      <c r="L753" s="146"/>
    </row>
    <row r="754" ht="15.75" customHeight="1">
      <c r="A754" s="228"/>
      <c r="B754" s="165"/>
      <c r="C754" s="162"/>
      <c r="D754" s="140"/>
      <c r="E754" s="141"/>
      <c r="F754" s="142"/>
      <c r="G754" s="143"/>
      <c r="H754" s="144"/>
      <c r="I754" s="145"/>
      <c r="J754" s="146"/>
      <c r="K754" s="146"/>
      <c r="L754" s="146"/>
    </row>
    <row r="755" ht="15.75" customHeight="1">
      <c r="A755" s="228"/>
      <c r="B755" s="165"/>
      <c r="C755" s="162"/>
      <c r="D755" s="140"/>
      <c r="E755" s="141"/>
      <c r="F755" s="142"/>
      <c r="G755" s="143"/>
      <c r="H755" s="144"/>
      <c r="I755" s="145"/>
      <c r="J755" s="146"/>
      <c r="K755" s="146"/>
      <c r="L755" s="146"/>
    </row>
    <row r="756" ht="15.75" customHeight="1">
      <c r="A756" s="228"/>
      <c r="B756" s="165"/>
      <c r="C756" s="162"/>
      <c r="D756" s="140"/>
      <c r="E756" s="141"/>
      <c r="F756" s="142"/>
      <c r="G756" s="143"/>
      <c r="H756" s="144"/>
      <c r="I756" s="145"/>
      <c r="J756" s="146"/>
      <c r="K756" s="146"/>
      <c r="L756" s="146"/>
    </row>
    <row r="757" ht="15.75" customHeight="1">
      <c r="A757" s="228"/>
      <c r="B757" s="165"/>
      <c r="C757" s="162"/>
      <c r="D757" s="140"/>
      <c r="E757" s="141"/>
      <c r="F757" s="142"/>
      <c r="G757" s="143"/>
      <c r="H757" s="144"/>
      <c r="I757" s="145"/>
      <c r="J757" s="146"/>
      <c r="K757" s="146"/>
      <c r="L757" s="146"/>
    </row>
    <row r="758" ht="15.75" customHeight="1">
      <c r="A758" s="228"/>
      <c r="B758" s="165"/>
      <c r="C758" s="162"/>
      <c r="D758" s="140"/>
      <c r="E758" s="141"/>
      <c r="F758" s="142"/>
      <c r="G758" s="143"/>
      <c r="H758" s="144"/>
      <c r="I758" s="145"/>
      <c r="J758" s="146"/>
      <c r="K758" s="146"/>
      <c r="L758" s="146"/>
    </row>
    <row r="759" ht="15.75" customHeight="1">
      <c r="A759" s="228"/>
      <c r="B759" s="165"/>
      <c r="C759" s="162"/>
      <c r="D759" s="140"/>
      <c r="E759" s="141"/>
      <c r="F759" s="142"/>
      <c r="G759" s="143"/>
      <c r="H759" s="144"/>
      <c r="I759" s="145"/>
      <c r="J759" s="146"/>
      <c r="K759" s="146"/>
      <c r="L759" s="146"/>
    </row>
    <row r="760" ht="15.75" customHeight="1">
      <c r="A760" s="228"/>
      <c r="B760" s="165"/>
      <c r="C760" s="162"/>
      <c r="D760" s="140"/>
      <c r="E760" s="141"/>
      <c r="F760" s="142"/>
      <c r="G760" s="143"/>
      <c r="H760" s="144"/>
      <c r="I760" s="145"/>
      <c r="J760" s="146"/>
      <c r="K760" s="146"/>
      <c r="L760" s="146"/>
    </row>
    <row r="761" ht="15.75" customHeight="1">
      <c r="A761" s="228"/>
      <c r="B761" s="165"/>
      <c r="C761" s="162"/>
      <c r="D761" s="140"/>
      <c r="E761" s="141"/>
      <c r="F761" s="142"/>
      <c r="G761" s="143"/>
      <c r="H761" s="144"/>
      <c r="I761" s="145"/>
      <c r="J761" s="146"/>
      <c r="K761" s="146"/>
      <c r="L761" s="146"/>
    </row>
    <row r="762" ht="15.75" customHeight="1">
      <c r="A762" s="228"/>
      <c r="B762" s="165"/>
      <c r="C762" s="162"/>
      <c r="D762" s="140"/>
      <c r="E762" s="141"/>
      <c r="F762" s="142"/>
      <c r="G762" s="143"/>
      <c r="H762" s="144"/>
      <c r="I762" s="145"/>
      <c r="J762" s="146"/>
      <c r="K762" s="146"/>
      <c r="L762" s="146"/>
    </row>
    <row r="763" ht="15.75" customHeight="1">
      <c r="A763" s="228"/>
      <c r="B763" s="165"/>
      <c r="C763" s="162"/>
      <c r="D763" s="140"/>
      <c r="E763" s="141"/>
      <c r="F763" s="142"/>
      <c r="G763" s="143"/>
      <c r="H763" s="144"/>
      <c r="I763" s="145"/>
      <c r="J763" s="146"/>
      <c r="K763" s="146"/>
      <c r="L763" s="146"/>
    </row>
    <row r="764" ht="15.75" customHeight="1">
      <c r="A764" s="228"/>
      <c r="B764" s="165"/>
      <c r="C764" s="162"/>
      <c r="D764" s="140"/>
      <c r="E764" s="141"/>
      <c r="F764" s="142"/>
      <c r="G764" s="143"/>
      <c r="H764" s="144"/>
      <c r="I764" s="145"/>
      <c r="J764" s="146"/>
      <c r="K764" s="146"/>
      <c r="L764" s="146"/>
    </row>
    <row r="765" ht="15.75" customHeight="1">
      <c r="A765" s="228"/>
      <c r="B765" s="165"/>
      <c r="C765" s="162"/>
      <c r="D765" s="140"/>
      <c r="E765" s="141"/>
      <c r="F765" s="142"/>
      <c r="G765" s="143"/>
      <c r="H765" s="144"/>
      <c r="I765" s="145"/>
      <c r="J765" s="146"/>
      <c r="K765" s="146"/>
      <c r="L765" s="146"/>
    </row>
    <row r="766" ht="15.75" customHeight="1">
      <c r="A766" s="228"/>
      <c r="B766" s="165"/>
      <c r="C766" s="162"/>
      <c r="D766" s="140"/>
      <c r="E766" s="141"/>
      <c r="F766" s="142"/>
      <c r="G766" s="143"/>
      <c r="H766" s="144"/>
      <c r="I766" s="145"/>
      <c r="J766" s="146"/>
      <c r="K766" s="146"/>
      <c r="L766" s="146"/>
    </row>
    <row r="767" ht="15.75" customHeight="1">
      <c r="A767" s="228"/>
      <c r="B767" s="165"/>
      <c r="C767" s="162"/>
      <c r="D767" s="140"/>
      <c r="E767" s="141"/>
      <c r="F767" s="142"/>
      <c r="G767" s="143"/>
      <c r="H767" s="144"/>
      <c r="I767" s="145"/>
      <c r="J767" s="146"/>
      <c r="K767" s="146"/>
      <c r="L767" s="146"/>
    </row>
    <row r="768" ht="15.75" customHeight="1">
      <c r="A768" s="228"/>
      <c r="B768" s="165"/>
      <c r="C768" s="162"/>
      <c r="D768" s="140"/>
      <c r="E768" s="141"/>
      <c r="F768" s="142"/>
      <c r="G768" s="143"/>
      <c r="H768" s="144"/>
      <c r="I768" s="145"/>
      <c r="J768" s="146"/>
      <c r="K768" s="146"/>
      <c r="L768" s="146"/>
    </row>
    <row r="769" ht="15.75" customHeight="1">
      <c r="A769" s="228"/>
      <c r="B769" s="165"/>
      <c r="C769" s="162"/>
      <c r="D769" s="140"/>
      <c r="E769" s="141"/>
      <c r="F769" s="142"/>
      <c r="G769" s="143"/>
      <c r="H769" s="144"/>
      <c r="I769" s="145"/>
      <c r="J769" s="146"/>
      <c r="K769" s="146"/>
      <c r="L769" s="146"/>
    </row>
    <row r="770" ht="15.75" customHeight="1">
      <c r="A770" s="228"/>
      <c r="B770" s="165"/>
      <c r="C770" s="162"/>
      <c r="D770" s="140"/>
      <c r="E770" s="141"/>
      <c r="F770" s="142"/>
      <c r="G770" s="143"/>
      <c r="H770" s="144"/>
      <c r="I770" s="145"/>
      <c r="J770" s="146"/>
      <c r="K770" s="146"/>
      <c r="L770" s="146"/>
    </row>
    <row r="771" ht="15.75" customHeight="1">
      <c r="A771" s="228"/>
      <c r="B771" s="165"/>
      <c r="C771" s="162"/>
      <c r="D771" s="140"/>
      <c r="E771" s="141"/>
      <c r="F771" s="142"/>
      <c r="G771" s="143"/>
      <c r="H771" s="144"/>
      <c r="I771" s="145"/>
      <c r="J771" s="146"/>
      <c r="K771" s="146"/>
      <c r="L771" s="146"/>
    </row>
    <row r="772" ht="15.75" customHeight="1">
      <c r="A772" s="228"/>
      <c r="B772" s="165"/>
      <c r="C772" s="162"/>
      <c r="D772" s="140"/>
      <c r="E772" s="141"/>
      <c r="F772" s="142"/>
      <c r="G772" s="143"/>
      <c r="H772" s="144"/>
      <c r="I772" s="145"/>
      <c r="J772" s="146"/>
      <c r="K772" s="146"/>
      <c r="L772" s="146"/>
    </row>
    <row r="773" ht="15.75" customHeight="1">
      <c r="A773" s="228"/>
      <c r="B773" s="165"/>
      <c r="C773" s="162"/>
      <c r="D773" s="140"/>
      <c r="E773" s="141"/>
      <c r="F773" s="142"/>
      <c r="G773" s="143"/>
      <c r="H773" s="144"/>
      <c r="I773" s="145"/>
      <c r="J773" s="146"/>
      <c r="K773" s="146"/>
      <c r="L773" s="146"/>
    </row>
    <row r="774" ht="15.75" customHeight="1">
      <c r="A774" s="228"/>
      <c r="B774" s="165"/>
      <c r="C774" s="162"/>
      <c r="D774" s="140"/>
      <c r="E774" s="141"/>
      <c r="F774" s="142"/>
      <c r="G774" s="143"/>
      <c r="H774" s="144"/>
      <c r="I774" s="145"/>
      <c r="J774" s="146"/>
      <c r="K774" s="146"/>
      <c r="L774" s="146"/>
    </row>
    <row r="775" ht="15.75" customHeight="1">
      <c r="A775" s="228"/>
      <c r="B775" s="165"/>
      <c r="C775" s="162"/>
      <c r="D775" s="140"/>
      <c r="E775" s="141"/>
      <c r="F775" s="142"/>
      <c r="G775" s="143"/>
      <c r="H775" s="144"/>
      <c r="I775" s="145"/>
      <c r="J775" s="146"/>
      <c r="K775" s="146"/>
      <c r="L775" s="146"/>
    </row>
    <row r="776" ht="15.75" customHeight="1">
      <c r="A776" s="228"/>
      <c r="B776" s="165"/>
      <c r="C776" s="162"/>
      <c r="D776" s="140"/>
      <c r="E776" s="141"/>
      <c r="F776" s="142"/>
      <c r="G776" s="143"/>
      <c r="H776" s="144"/>
      <c r="I776" s="145"/>
      <c r="J776" s="146"/>
      <c r="K776" s="146"/>
      <c r="L776" s="146"/>
    </row>
    <row r="777" ht="15.75" customHeight="1">
      <c r="A777" s="228"/>
      <c r="B777" s="165"/>
      <c r="C777" s="162"/>
      <c r="D777" s="140"/>
      <c r="E777" s="141"/>
      <c r="F777" s="142"/>
      <c r="G777" s="143"/>
      <c r="H777" s="144"/>
      <c r="I777" s="145"/>
      <c r="J777" s="146"/>
      <c r="K777" s="146"/>
      <c r="L777" s="146"/>
    </row>
    <row r="778" ht="15.75" customHeight="1">
      <c r="A778" s="228"/>
      <c r="B778" s="165"/>
      <c r="C778" s="162"/>
      <c r="D778" s="140"/>
      <c r="E778" s="141"/>
      <c r="F778" s="142"/>
      <c r="G778" s="143"/>
      <c r="H778" s="144"/>
      <c r="I778" s="145"/>
      <c r="J778" s="146"/>
      <c r="K778" s="146"/>
      <c r="L778" s="146"/>
    </row>
    <row r="779" ht="15.75" customHeight="1">
      <c r="A779" s="228"/>
      <c r="B779" s="165"/>
      <c r="C779" s="162"/>
      <c r="D779" s="140"/>
      <c r="E779" s="141"/>
      <c r="F779" s="142"/>
      <c r="G779" s="143"/>
      <c r="H779" s="144"/>
      <c r="I779" s="145"/>
      <c r="J779" s="146"/>
      <c r="K779" s="146"/>
      <c r="L779" s="146"/>
    </row>
    <row r="780" ht="15.75" customHeight="1">
      <c r="A780" s="228"/>
      <c r="B780" s="165"/>
      <c r="C780" s="162"/>
      <c r="D780" s="140"/>
      <c r="E780" s="141"/>
      <c r="F780" s="142"/>
      <c r="G780" s="143"/>
      <c r="H780" s="144"/>
      <c r="I780" s="145"/>
      <c r="J780" s="146"/>
      <c r="K780" s="146"/>
      <c r="L780" s="146"/>
    </row>
    <row r="781" ht="15.75" customHeight="1">
      <c r="A781" s="228"/>
      <c r="B781" s="165"/>
      <c r="C781" s="162"/>
      <c r="D781" s="140"/>
      <c r="E781" s="141"/>
      <c r="F781" s="142"/>
      <c r="G781" s="143"/>
      <c r="H781" s="144"/>
      <c r="I781" s="145"/>
      <c r="J781" s="146"/>
      <c r="K781" s="146"/>
      <c r="L781" s="146"/>
    </row>
    <row r="782" ht="15.75" customHeight="1">
      <c r="A782" s="228"/>
      <c r="B782" s="165"/>
      <c r="C782" s="162"/>
      <c r="D782" s="140"/>
      <c r="E782" s="141"/>
      <c r="F782" s="142"/>
      <c r="G782" s="143"/>
      <c r="H782" s="144"/>
      <c r="I782" s="145"/>
      <c r="J782" s="146"/>
      <c r="K782" s="146"/>
      <c r="L782" s="146"/>
    </row>
    <row r="783" ht="15.75" customHeight="1">
      <c r="A783" s="228"/>
      <c r="B783" s="165"/>
      <c r="C783" s="162"/>
      <c r="D783" s="140"/>
      <c r="E783" s="141"/>
      <c r="F783" s="142"/>
      <c r="G783" s="143"/>
      <c r="H783" s="144"/>
      <c r="I783" s="145"/>
      <c r="J783" s="146"/>
      <c r="K783" s="146"/>
      <c r="L783" s="146"/>
    </row>
    <row r="784" ht="15.75" customHeight="1">
      <c r="A784" s="228"/>
      <c r="B784" s="165"/>
      <c r="C784" s="162"/>
      <c r="D784" s="140"/>
      <c r="E784" s="141"/>
      <c r="F784" s="142"/>
      <c r="G784" s="143"/>
      <c r="H784" s="144"/>
      <c r="I784" s="145"/>
      <c r="J784" s="146"/>
      <c r="K784" s="146"/>
      <c r="L784" s="146"/>
    </row>
    <row r="785" ht="15.75" customHeight="1">
      <c r="A785" s="228"/>
      <c r="B785" s="165"/>
      <c r="C785" s="162"/>
      <c r="D785" s="140"/>
      <c r="E785" s="141"/>
      <c r="F785" s="142"/>
      <c r="G785" s="143"/>
      <c r="H785" s="144"/>
      <c r="I785" s="145"/>
      <c r="J785" s="146"/>
      <c r="K785" s="146"/>
      <c r="L785" s="146"/>
    </row>
    <row r="786" ht="15.75" customHeight="1">
      <c r="A786" s="228"/>
      <c r="B786" s="165"/>
      <c r="C786" s="162"/>
      <c r="D786" s="140"/>
      <c r="E786" s="141"/>
      <c r="F786" s="142"/>
      <c r="G786" s="143"/>
      <c r="H786" s="144"/>
      <c r="I786" s="145"/>
      <c r="J786" s="146"/>
      <c r="K786" s="146"/>
      <c r="L786" s="146"/>
    </row>
    <row r="787" ht="15.75" customHeight="1">
      <c r="A787" s="228"/>
      <c r="B787" s="165"/>
      <c r="C787" s="162"/>
      <c r="D787" s="140"/>
      <c r="E787" s="141"/>
      <c r="F787" s="142"/>
      <c r="G787" s="143"/>
      <c r="H787" s="144"/>
      <c r="I787" s="145"/>
      <c r="J787" s="146"/>
      <c r="K787" s="146"/>
      <c r="L787" s="146"/>
    </row>
    <row r="788" ht="15.75" customHeight="1">
      <c r="A788" s="228"/>
      <c r="B788" s="165"/>
      <c r="C788" s="162"/>
      <c r="D788" s="140"/>
      <c r="E788" s="141"/>
      <c r="F788" s="142"/>
      <c r="G788" s="143"/>
      <c r="H788" s="144"/>
      <c r="I788" s="145"/>
      <c r="J788" s="146"/>
      <c r="K788" s="146"/>
      <c r="L788" s="146"/>
    </row>
    <row r="789" ht="15.75" customHeight="1">
      <c r="A789" s="228"/>
      <c r="B789" s="165"/>
      <c r="C789" s="162"/>
      <c r="D789" s="140"/>
      <c r="E789" s="141"/>
      <c r="F789" s="142"/>
      <c r="G789" s="143"/>
      <c r="H789" s="144"/>
      <c r="I789" s="145"/>
      <c r="J789" s="146"/>
      <c r="K789" s="146"/>
      <c r="L789" s="146"/>
    </row>
    <row r="790" ht="15.75" customHeight="1">
      <c r="A790" s="228"/>
      <c r="B790" s="165"/>
      <c r="C790" s="162"/>
      <c r="D790" s="140"/>
      <c r="E790" s="141"/>
      <c r="F790" s="142"/>
      <c r="G790" s="143"/>
      <c r="H790" s="144"/>
      <c r="I790" s="145"/>
      <c r="J790" s="146"/>
      <c r="K790" s="146"/>
      <c r="L790" s="146"/>
    </row>
    <row r="791" ht="15.75" customHeight="1">
      <c r="A791" s="228"/>
      <c r="B791" s="165"/>
      <c r="C791" s="162"/>
      <c r="D791" s="140"/>
      <c r="E791" s="141"/>
      <c r="F791" s="142"/>
      <c r="G791" s="143"/>
      <c r="H791" s="144"/>
      <c r="I791" s="145"/>
      <c r="J791" s="146"/>
      <c r="K791" s="146"/>
      <c r="L791" s="146"/>
    </row>
    <row r="792" ht="15.75" customHeight="1">
      <c r="A792" s="228"/>
      <c r="B792" s="165"/>
      <c r="C792" s="162"/>
      <c r="D792" s="140"/>
      <c r="E792" s="141"/>
      <c r="F792" s="142"/>
      <c r="G792" s="143"/>
      <c r="H792" s="144"/>
      <c r="I792" s="145"/>
      <c r="J792" s="146"/>
      <c r="K792" s="146"/>
      <c r="L792" s="146"/>
    </row>
    <row r="793" ht="15.75" customHeight="1">
      <c r="A793" s="228"/>
      <c r="B793" s="165"/>
      <c r="C793" s="162"/>
      <c r="D793" s="140"/>
      <c r="E793" s="141"/>
      <c r="F793" s="142"/>
      <c r="G793" s="143"/>
      <c r="H793" s="144"/>
      <c r="I793" s="145"/>
      <c r="J793" s="146"/>
      <c r="K793" s="146"/>
      <c r="L793" s="146"/>
    </row>
    <row r="794" ht="15.75" customHeight="1">
      <c r="A794" s="228"/>
      <c r="B794" s="165"/>
      <c r="C794" s="162"/>
      <c r="D794" s="140"/>
      <c r="E794" s="141"/>
      <c r="F794" s="142"/>
      <c r="G794" s="143"/>
      <c r="H794" s="144"/>
      <c r="I794" s="145"/>
      <c r="J794" s="146"/>
      <c r="K794" s="146"/>
      <c r="L794" s="146"/>
    </row>
    <row r="795" ht="15.75" customHeight="1">
      <c r="A795" s="228"/>
      <c r="B795" s="165"/>
      <c r="C795" s="162"/>
      <c r="D795" s="140"/>
      <c r="E795" s="141"/>
      <c r="F795" s="142"/>
      <c r="G795" s="143"/>
      <c r="H795" s="144"/>
      <c r="I795" s="145"/>
      <c r="J795" s="146"/>
      <c r="K795" s="146"/>
      <c r="L795" s="146"/>
    </row>
    <row r="796" ht="15.75" customHeight="1">
      <c r="A796" s="228"/>
      <c r="B796" s="165"/>
      <c r="C796" s="162"/>
      <c r="D796" s="140"/>
      <c r="E796" s="141"/>
      <c r="F796" s="142"/>
      <c r="G796" s="143"/>
      <c r="H796" s="144"/>
      <c r="I796" s="145"/>
      <c r="J796" s="146"/>
      <c r="K796" s="146"/>
      <c r="L796" s="146"/>
    </row>
    <row r="797" ht="15.75" customHeight="1">
      <c r="A797" s="228"/>
      <c r="B797" s="165"/>
      <c r="C797" s="162"/>
      <c r="D797" s="140"/>
      <c r="E797" s="141"/>
      <c r="F797" s="142"/>
      <c r="G797" s="143"/>
      <c r="H797" s="144"/>
      <c r="I797" s="145"/>
      <c r="J797" s="146"/>
      <c r="K797" s="146"/>
      <c r="L797" s="146"/>
    </row>
    <row r="798" ht="15.75" customHeight="1">
      <c r="A798" s="228"/>
      <c r="B798" s="165"/>
      <c r="C798" s="162"/>
      <c r="D798" s="140"/>
      <c r="E798" s="141"/>
      <c r="F798" s="142"/>
      <c r="G798" s="143"/>
      <c r="H798" s="144"/>
      <c r="I798" s="145"/>
      <c r="J798" s="146"/>
      <c r="K798" s="146"/>
      <c r="L798" s="146"/>
    </row>
    <row r="799" ht="15.75" customHeight="1">
      <c r="A799" s="228"/>
      <c r="B799" s="165"/>
      <c r="C799" s="162"/>
      <c r="D799" s="140"/>
      <c r="E799" s="141"/>
      <c r="F799" s="142"/>
      <c r="G799" s="143"/>
      <c r="H799" s="144"/>
      <c r="I799" s="145"/>
      <c r="J799" s="146"/>
      <c r="K799" s="146"/>
      <c r="L799" s="146"/>
    </row>
    <row r="800" ht="15.75" customHeight="1">
      <c r="A800" s="228"/>
      <c r="B800" s="165"/>
      <c r="C800" s="162"/>
      <c r="D800" s="140"/>
      <c r="E800" s="141"/>
      <c r="F800" s="142"/>
      <c r="G800" s="143"/>
      <c r="H800" s="144"/>
      <c r="I800" s="145"/>
      <c r="J800" s="146"/>
      <c r="K800" s="146"/>
      <c r="L800" s="146"/>
    </row>
    <row r="801" ht="15.75" customHeight="1">
      <c r="A801" s="228"/>
      <c r="B801" s="165"/>
      <c r="C801" s="162"/>
      <c r="D801" s="140"/>
      <c r="E801" s="141"/>
      <c r="F801" s="142"/>
      <c r="G801" s="143"/>
      <c r="H801" s="144"/>
      <c r="I801" s="145"/>
      <c r="J801" s="146"/>
      <c r="K801" s="146"/>
      <c r="L801" s="146"/>
    </row>
    <row r="802" ht="15.75" customHeight="1">
      <c r="A802" s="228"/>
      <c r="B802" s="165"/>
      <c r="C802" s="162"/>
      <c r="D802" s="140"/>
      <c r="E802" s="141"/>
      <c r="F802" s="142"/>
      <c r="G802" s="143"/>
      <c r="H802" s="144"/>
      <c r="I802" s="145"/>
      <c r="J802" s="146"/>
      <c r="K802" s="146"/>
      <c r="L802" s="146"/>
    </row>
    <row r="803" ht="15.75" customHeight="1">
      <c r="A803" s="228"/>
      <c r="B803" s="165"/>
      <c r="C803" s="162"/>
      <c r="D803" s="140"/>
      <c r="E803" s="141"/>
      <c r="F803" s="142"/>
      <c r="G803" s="143"/>
      <c r="H803" s="144"/>
      <c r="I803" s="145"/>
      <c r="J803" s="146"/>
      <c r="K803" s="146"/>
      <c r="L803" s="146"/>
    </row>
    <row r="804" ht="15.75" customHeight="1">
      <c r="A804" s="228"/>
      <c r="B804" s="165"/>
      <c r="C804" s="162"/>
      <c r="D804" s="140"/>
      <c r="E804" s="141"/>
      <c r="F804" s="142"/>
      <c r="G804" s="143"/>
      <c r="H804" s="144"/>
      <c r="I804" s="145"/>
      <c r="J804" s="146"/>
      <c r="K804" s="146"/>
      <c r="L804" s="146"/>
    </row>
    <row r="805" ht="15.75" customHeight="1">
      <c r="A805" s="228"/>
      <c r="B805" s="165"/>
      <c r="C805" s="162"/>
      <c r="D805" s="140"/>
      <c r="E805" s="141"/>
      <c r="F805" s="142"/>
      <c r="G805" s="143"/>
      <c r="H805" s="144"/>
      <c r="I805" s="145"/>
      <c r="J805" s="146"/>
      <c r="K805" s="146"/>
      <c r="L805" s="146"/>
    </row>
    <row r="806" ht="15.75" customHeight="1">
      <c r="A806" s="228"/>
      <c r="B806" s="165"/>
      <c r="C806" s="162"/>
      <c r="D806" s="140"/>
      <c r="E806" s="141"/>
      <c r="F806" s="142"/>
      <c r="G806" s="143"/>
      <c r="H806" s="144"/>
      <c r="I806" s="145"/>
      <c r="J806" s="146"/>
      <c r="K806" s="146"/>
      <c r="L806" s="146"/>
    </row>
    <row r="807" ht="15.75" customHeight="1">
      <c r="A807" s="228"/>
      <c r="B807" s="165"/>
      <c r="C807" s="162"/>
      <c r="D807" s="140"/>
      <c r="E807" s="141"/>
      <c r="F807" s="142"/>
      <c r="G807" s="143"/>
      <c r="H807" s="144"/>
      <c r="I807" s="145"/>
      <c r="J807" s="146"/>
      <c r="K807" s="146"/>
      <c r="L807" s="146"/>
    </row>
    <row r="808" ht="15.75" customHeight="1">
      <c r="A808" s="228"/>
      <c r="B808" s="165"/>
      <c r="C808" s="162"/>
      <c r="D808" s="140"/>
      <c r="E808" s="141"/>
      <c r="F808" s="142"/>
      <c r="G808" s="143"/>
      <c r="H808" s="144"/>
      <c r="I808" s="145"/>
      <c r="J808" s="146"/>
      <c r="K808" s="146"/>
      <c r="L808" s="146"/>
    </row>
    <row r="809" ht="15.75" customHeight="1">
      <c r="A809" s="228"/>
      <c r="B809" s="165"/>
      <c r="C809" s="162"/>
      <c r="D809" s="140"/>
      <c r="E809" s="141"/>
      <c r="F809" s="142"/>
      <c r="G809" s="143"/>
      <c r="H809" s="144"/>
      <c r="I809" s="145"/>
      <c r="J809" s="146"/>
      <c r="K809" s="146"/>
      <c r="L809" s="146"/>
    </row>
    <row r="810" ht="15.75" customHeight="1">
      <c r="A810" s="228"/>
      <c r="B810" s="165"/>
      <c r="C810" s="162"/>
      <c r="D810" s="140"/>
      <c r="E810" s="141"/>
      <c r="F810" s="142"/>
      <c r="G810" s="143"/>
      <c r="H810" s="144"/>
      <c r="I810" s="145"/>
      <c r="J810" s="146"/>
      <c r="K810" s="146"/>
      <c r="L810" s="146"/>
    </row>
    <row r="811" ht="15.75" customHeight="1">
      <c r="A811" s="228"/>
      <c r="B811" s="165"/>
      <c r="C811" s="162"/>
      <c r="D811" s="140"/>
      <c r="E811" s="141"/>
      <c r="F811" s="142"/>
      <c r="G811" s="143"/>
      <c r="H811" s="144"/>
      <c r="I811" s="145"/>
      <c r="J811" s="146"/>
      <c r="K811" s="146"/>
      <c r="L811" s="146"/>
    </row>
    <row r="812" ht="15.75" customHeight="1">
      <c r="A812" s="228"/>
      <c r="B812" s="165"/>
      <c r="C812" s="162"/>
      <c r="D812" s="140"/>
      <c r="E812" s="141"/>
      <c r="F812" s="142"/>
      <c r="G812" s="143"/>
      <c r="H812" s="144"/>
      <c r="I812" s="145"/>
      <c r="J812" s="146"/>
      <c r="K812" s="146"/>
      <c r="L812" s="146"/>
    </row>
    <row r="813" ht="15.75" customHeight="1">
      <c r="A813" s="228"/>
      <c r="B813" s="165"/>
      <c r="C813" s="162"/>
      <c r="D813" s="140"/>
      <c r="E813" s="141"/>
      <c r="F813" s="142"/>
      <c r="G813" s="143"/>
      <c r="H813" s="144"/>
      <c r="I813" s="145"/>
      <c r="J813" s="146"/>
      <c r="K813" s="146"/>
      <c r="L813" s="146"/>
    </row>
    <row r="814" ht="15.75" customHeight="1">
      <c r="A814" s="228"/>
      <c r="B814" s="165"/>
      <c r="C814" s="162"/>
      <c r="D814" s="140"/>
      <c r="E814" s="141"/>
      <c r="F814" s="142"/>
      <c r="G814" s="143"/>
      <c r="H814" s="144"/>
      <c r="I814" s="145"/>
      <c r="J814" s="146"/>
      <c r="K814" s="146"/>
      <c r="L814" s="146"/>
    </row>
    <row r="815" ht="15.75" customHeight="1">
      <c r="A815" s="228"/>
      <c r="B815" s="165"/>
      <c r="C815" s="162"/>
      <c r="D815" s="140"/>
      <c r="E815" s="141"/>
      <c r="F815" s="142"/>
      <c r="G815" s="143"/>
      <c r="H815" s="144"/>
      <c r="I815" s="145"/>
      <c r="J815" s="146"/>
      <c r="K815" s="146"/>
      <c r="L815" s="146"/>
    </row>
    <row r="816" ht="15.75" customHeight="1">
      <c r="A816" s="228"/>
      <c r="B816" s="165"/>
      <c r="C816" s="162"/>
      <c r="D816" s="140"/>
      <c r="E816" s="141"/>
      <c r="F816" s="142"/>
      <c r="G816" s="143"/>
      <c r="H816" s="144"/>
      <c r="I816" s="145"/>
      <c r="J816" s="146"/>
      <c r="K816" s="146"/>
      <c r="L816" s="146"/>
    </row>
    <row r="817" ht="15.75" customHeight="1">
      <c r="A817" s="228"/>
      <c r="B817" s="165"/>
      <c r="C817" s="162"/>
      <c r="D817" s="140"/>
      <c r="E817" s="141"/>
      <c r="F817" s="142"/>
      <c r="G817" s="143"/>
      <c r="H817" s="144"/>
      <c r="I817" s="145"/>
      <c r="J817" s="146"/>
      <c r="K817" s="146"/>
      <c r="L817" s="146"/>
    </row>
    <row r="818" ht="15.75" customHeight="1">
      <c r="A818" s="228"/>
      <c r="B818" s="165"/>
      <c r="C818" s="162"/>
      <c r="D818" s="140"/>
      <c r="E818" s="141"/>
      <c r="F818" s="142"/>
      <c r="G818" s="143"/>
      <c r="H818" s="144"/>
      <c r="I818" s="145"/>
      <c r="J818" s="146"/>
      <c r="K818" s="146"/>
      <c r="L818" s="146"/>
    </row>
    <row r="819" ht="15.75" customHeight="1">
      <c r="A819" s="228"/>
      <c r="B819" s="165"/>
      <c r="C819" s="162"/>
      <c r="D819" s="140"/>
      <c r="E819" s="141"/>
      <c r="F819" s="142"/>
      <c r="G819" s="143"/>
      <c r="H819" s="144"/>
      <c r="I819" s="145"/>
      <c r="J819" s="146"/>
      <c r="K819" s="146"/>
      <c r="L819" s="146"/>
    </row>
    <row r="820" ht="15.75" customHeight="1">
      <c r="A820" s="228"/>
      <c r="B820" s="165"/>
      <c r="C820" s="162"/>
      <c r="D820" s="140"/>
      <c r="E820" s="141"/>
      <c r="F820" s="142"/>
      <c r="G820" s="143"/>
      <c r="H820" s="144"/>
      <c r="I820" s="145"/>
      <c r="J820" s="146"/>
      <c r="K820" s="146"/>
      <c r="L820" s="146"/>
    </row>
    <row r="821" ht="15.75" customHeight="1">
      <c r="A821" s="228"/>
      <c r="B821" s="165"/>
      <c r="C821" s="162"/>
      <c r="D821" s="140"/>
      <c r="E821" s="141"/>
      <c r="F821" s="142"/>
      <c r="G821" s="143"/>
      <c r="H821" s="144"/>
      <c r="I821" s="145"/>
      <c r="J821" s="146"/>
      <c r="K821" s="146"/>
      <c r="L821" s="146"/>
    </row>
    <row r="822" ht="15.75" customHeight="1">
      <c r="A822" s="228"/>
      <c r="B822" s="165"/>
      <c r="C822" s="162"/>
      <c r="D822" s="140"/>
      <c r="E822" s="141"/>
      <c r="F822" s="142"/>
      <c r="G822" s="143"/>
      <c r="H822" s="144"/>
      <c r="I822" s="145"/>
      <c r="J822" s="146"/>
      <c r="K822" s="146"/>
      <c r="L822" s="146"/>
    </row>
    <row r="823" ht="15.75" customHeight="1">
      <c r="A823" s="228"/>
      <c r="B823" s="165"/>
      <c r="C823" s="162"/>
      <c r="D823" s="140"/>
      <c r="E823" s="141"/>
      <c r="F823" s="142"/>
      <c r="G823" s="143"/>
      <c r="H823" s="144"/>
      <c r="I823" s="145"/>
      <c r="J823" s="146"/>
      <c r="K823" s="146"/>
      <c r="L823" s="146"/>
    </row>
    <row r="824" ht="15.75" customHeight="1">
      <c r="A824" s="228"/>
      <c r="B824" s="165"/>
      <c r="C824" s="162"/>
      <c r="D824" s="140"/>
      <c r="E824" s="141"/>
      <c r="F824" s="142"/>
      <c r="G824" s="143"/>
      <c r="H824" s="144"/>
      <c r="I824" s="145"/>
      <c r="J824" s="146"/>
      <c r="K824" s="146"/>
      <c r="L824" s="146"/>
    </row>
    <row r="825" ht="15.75" customHeight="1">
      <c r="A825" s="228"/>
      <c r="B825" s="165"/>
      <c r="C825" s="162"/>
      <c r="D825" s="140"/>
      <c r="E825" s="141"/>
      <c r="F825" s="142"/>
      <c r="G825" s="143"/>
      <c r="H825" s="144"/>
      <c r="I825" s="145"/>
      <c r="J825" s="146"/>
      <c r="K825" s="146"/>
      <c r="L825" s="146"/>
    </row>
    <row r="826" ht="15.75" customHeight="1">
      <c r="A826" s="228"/>
      <c r="B826" s="165"/>
      <c r="C826" s="162"/>
      <c r="D826" s="140"/>
      <c r="E826" s="141"/>
      <c r="F826" s="142"/>
      <c r="G826" s="143"/>
      <c r="H826" s="144"/>
      <c r="I826" s="145"/>
      <c r="J826" s="146"/>
      <c r="K826" s="146"/>
      <c r="L826" s="146"/>
    </row>
    <row r="827" ht="15.75" customHeight="1">
      <c r="A827" s="228"/>
      <c r="B827" s="165"/>
      <c r="C827" s="162"/>
      <c r="D827" s="140"/>
      <c r="E827" s="141"/>
      <c r="F827" s="142"/>
      <c r="G827" s="143"/>
      <c r="H827" s="144"/>
      <c r="I827" s="145"/>
      <c r="J827" s="146"/>
      <c r="K827" s="146"/>
      <c r="L827" s="146"/>
    </row>
    <row r="828" ht="15.75" customHeight="1">
      <c r="A828" s="228"/>
      <c r="B828" s="165"/>
      <c r="C828" s="162"/>
      <c r="D828" s="140"/>
      <c r="E828" s="141"/>
      <c r="F828" s="142"/>
      <c r="G828" s="143"/>
      <c r="H828" s="144"/>
      <c r="I828" s="145"/>
      <c r="J828" s="146"/>
      <c r="K828" s="146"/>
      <c r="L828" s="146"/>
    </row>
    <row r="829" ht="15.75" customHeight="1">
      <c r="A829" s="228"/>
      <c r="B829" s="165"/>
      <c r="C829" s="162"/>
      <c r="D829" s="140"/>
      <c r="E829" s="141"/>
      <c r="F829" s="142"/>
      <c r="G829" s="143"/>
      <c r="H829" s="144"/>
      <c r="I829" s="145"/>
      <c r="J829" s="146"/>
      <c r="K829" s="146"/>
      <c r="L829" s="146"/>
    </row>
    <row r="830" ht="15.75" customHeight="1">
      <c r="A830" s="228"/>
      <c r="B830" s="165"/>
      <c r="C830" s="162"/>
      <c r="D830" s="140"/>
      <c r="E830" s="141"/>
      <c r="F830" s="142"/>
      <c r="G830" s="143"/>
      <c r="H830" s="144"/>
      <c r="I830" s="145"/>
      <c r="J830" s="146"/>
      <c r="K830" s="146"/>
      <c r="L830" s="146"/>
    </row>
    <row r="831" ht="15.75" customHeight="1">
      <c r="A831" s="228"/>
      <c r="B831" s="165"/>
      <c r="C831" s="162"/>
      <c r="D831" s="140"/>
      <c r="E831" s="141"/>
      <c r="F831" s="142"/>
      <c r="G831" s="143"/>
      <c r="H831" s="144"/>
      <c r="I831" s="145"/>
      <c r="J831" s="146"/>
      <c r="K831" s="146"/>
      <c r="L831" s="146"/>
    </row>
    <row r="832" ht="15.75" customHeight="1">
      <c r="A832" s="228"/>
      <c r="B832" s="165"/>
      <c r="C832" s="162"/>
      <c r="D832" s="140"/>
      <c r="E832" s="141"/>
      <c r="F832" s="142"/>
      <c r="G832" s="143"/>
      <c r="H832" s="144"/>
      <c r="I832" s="145"/>
      <c r="J832" s="146"/>
      <c r="K832" s="146"/>
      <c r="L832" s="146"/>
    </row>
    <row r="833" ht="15.75" customHeight="1">
      <c r="A833" s="228"/>
      <c r="B833" s="165"/>
      <c r="C833" s="162"/>
      <c r="D833" s="140"/>
      <c r="E833" s="141"/>
      <c r="F833" s="142"/>
      <c r="G833" s="143"/>
      <c r="H833" s="144"/>
      <c r="I833" s="145"/>
      <c r="J833" s="146"/>
      <c r="K833" s="146"/>
      <c r="L833" s="146"/>
    </row>
    <row r="834" ht="15.75" customHeight="1">
      <c r="A834" s="228"/>
      <c r="B834" s="165"/>
      <c r="C834" s="162"/>
      <c r="D834" s="140"/>
      <c r="E834" s="141"/>
      <c r="F834" s="142"/>
      <c r="G834" s="143"/>
      <c r="H834" s="144"/>
      <c r="I834" s="145"/>
      <c r="J834" s="146"/>
      <c r="K834" s="146"/>
      <c r="L834" s="146"/>
    </row>
    <row r="835" ht="15.75" customHeight="1">
      <c r="A835" s="228"/>
      <c r="B835" s="165"/>
      <c r="C835" s="162"/>
      <c r="D835" s="140"/>
      <c r="E835" s="141"/>
      <c r="F835" s="142"/>
      <c r="G835" s="143"/>
      <c r="H835" s="144"/>
      <c r="I835" s="145"/>
      <c r="J835" s="146"/>
      <c r="K835" s="146"/>
      <c r="L835" s="146"/>
    </row>
    <row r="836" ht="15.75" customHeight="1">
      <c r="A836" s="228"/>
      <c r="B836" s="165"/>
      <c r="C836" s="162"/>
      <c r="D836" s="140"/>
      <c r="E836" s="141"/>
      <c r="F836" s="142"/>
      <c r="G836" s="143"/>
      <c r="H836" s="144"/>
      <c r="I836" s="145"/>
      <c r="J836" s="146"/>
      <c r="K836" s="146"/>
      <c r="L836" s="146"/>
    </row>
    <row r="837" ht="15.75" customHeight="1">
      <c r="A837" s="228"/>
      <c r="B837" s="165"/>
      <c r="C837" s="162"/>
      <c r="D837" s="140"/>
      <c r="E837" s="141"/>
      <c r="F837" s="142"/>
      <c r="G837" s="143"/>
      <c r="H837" s="144"/>
      <c r="I837" s="145"/>
      <c r="J837" s="146"/>
      <c r="K837" s="146"/>
      <c r="L837" s="146"/>
    </row>
    <row r="838" ht="15.75" customHeight="1">
      <c r="A838" s="228"/>
      <c r="B838" s="165"/>
      <c r="C838" s="162"/>
      <c r="D838" s="140"/>
      <c r="E838" s="141"/>
      <c r="F838" s="142"/>
      <c r="G838" s="143"/>
      <c r="H838" s="144"/>
      <c r="I838" s="145"/>
      <c r="J838" s="146"/>
      <c r="K838" s="146"/>
      <c r="L838" s="146"/>
    </row>
    <row r="839" ht="15.75" customHeight="1">
      <c r="A839" s="228"/>
      <c r="B839" s="165"/>
      <c r="C839" s="162"/>
      <c r="D839" s="140"/>
      <c r="E839" s="141"/>
      <c r="F839" s="142"/>
      <c r="G839" s="143"/>
      <c r="H839" s="144"/>
      <c r="I839" s="145"/>
      <c r="J839" s="146"/>
      <c r="K839" s="146"/>
      <c r="L839" s="146"/>
    </row>
    <row r="840" ht="15.75" customHeight="1">
      <c r="A840" s="228"/>
      <c r="B840" s="165"/>
      <c r="C840" s="162"/>
      <c r="D840" s="140"/>
      <c r="E840" s="141"/>
      <c r="F840" s="142"/>
      <c r="G840" s="143"/>
      <c r="H840" s="144"/>
      <c r="I840" s="145"/>
      <c r="J840" s="146"/>
      <c r="K840" s="146"/>
      <c r="L840" s="146"/>
    </row>
    <row r="841" ht="15.75" customHeight="1">
      <c r="A841" s="228"/>
      <c r="B841" s="165"/>
      <c r="C841" s="162"/>
      <c r="D841" s="140"/>
      <c r="E841" s="141"/>
      <c r="F841" s="142"/>
      <c r="G841" s="143"/>
      <c r="H841" s="144"/>
      <c r="I841" s="145"/>
      <c r="J841" s="146"/>
      <c r="K841" s="146"/>
      <c r="L841" s="146"/>
    </row>
    <row r="842" ht="15.75" customHeight="1">
      <c r="A842" s="228"/>
      <c r="B842" s="165"/>
      <c r="C842" s="162"/>
      <c r="D842" s="140"/>
      <c r="E842" s="141"/>
      <c r="F842" s="142"/>
      <c r="G842" s="143"/>
      <c r="H842" s="144"/>
      <c r="I842" s="145"/>
      <c r="J842" s="146"/>
      <c r="K842" s="146"/>
      <c r="L842" s="146"/>
    </row>
    <row r="843" ht="15.75" customHeight="1">
      <c r="A843" s="228"/>
      <c r="B843" s="165"/>
      <c r="C843" s="162"/>
      <c r="D843" s="140"/>
      <c r="E843" s="141"/>
      <c r="F843" s="142"/>
      <c r="G843" s="143"/>
      <c r="H843" s="144"/>
      <c r="I843" s="145"/>
      <c r="J843" s="146"/>
      <c r="K843" s="146"/>
      <c r="L843" s="146"/>
    </row>
    <row r="844" ht="15.75" customHeight="1">
      <c r="A844" s="228"/>
      <c r="B844" s="165"/>
      <c r="C844" s="162"/>
      <c r="D844" s="140"/>
      <c r="E844" s="141"/>
      <c r="F844" s="142"/>
      <c r="G844" s="143"/>
      <c r="H844" s="144"/>
      <c r="I844" s="145"/>
      <c r="J844" s="146"/>
      <c r="K844" s="146"/>
      <c r="L844" s="146"/>
    </row>
    <row r="845" ht="15.75" customHeight="1">
      <c r="A845" s="228"/>
      <c r="B845" s="165"/>
      <c r="C845" s="162"/>
      <c r="D845" s="140"/>
      <c r="E845" s="141"/>
      <c r="F845" s="142"/>
      <c r="G845" s="143"/>
      <c r="H845" s="144"/>
      <c r="I845" s="145"/>
      <c r="J845" s="146"/>
      <c r="K845" s="146"/>
      <c r="L845" s="146"/>
    </row>
    <row r="846" ht="15.75" customHeight="1">
      <c r="A846" s="228"/>
      <c r="B846" s="165"/>
      <c r="C846" s="162"/>
      <c r="D846" s="140"/>
      <c r="E846" s="141"/>
      <c r="F846" s="142"/>
      <c r="G846" s="143"/>
      <c r="H846" s="144"/>
      <c r="I846" s="145"/>
      <c r="J846" s="146"/>
      <c r="K846" s="146"/>
      <c r="L846" s="146"/>
    </row>
    <row r="847" ht="15.75" customHeight="1">
      <c r="A847" s="228"/>
      <c r="B847" s="165"/>
      <c r="C847" s="162"/>
      <c r="D847" s="140"/>
      <c r="E847" s="141"/>
      <c r="F847" s="142"/>
      <c r="G847" s="143"/>
      <c r="H847" s="144"/>
      <c r="I847" s="145"/>
      <c r="J847" s="146"/>
      <c r="K847" s="146"/>
      <c r="L847" s="146"/>
    </row>
    <row r="848" ht="15.75" customHeight="1">
      <c r="A848" s="228"/>
      <c r="B848" s="165"/>
      <c r="C848" s="162"/>
      <c r="D848" s="140"/>
      <c r="E848" s="141"/>
      <c r="F848" s="142"/>
      <c r="G848" s="143"/>
      <c r="H848" s="144"/>
      <c r="I848" s="145"/>
      <c r="J848" s="146"/>
      <c r="K848" s="146"/>
      <c r="L848" s="146"/>
    </row>
    <row r="849" ht="15.75" customHeight="1">
      <c r="A849" s="228"/>
      <c r="B849" s="165"/>
      <c r="C849" s="162"/>
      <c r="D849" s="140"/>
      <c r="E849" s="141"/>
      <c r="F849" s="142"/>
      <c r="G849" s="143"/>
      <c r="H849" s="144"/>
      <c r="I849" s="145"/>
      <c r="J849" s="146"/>
      <c r="K849" s="146"/>
      <c r="L849" s="146"/>
    </row>
    <row r="850" ht="15.75" customHeight="1">
      <c r="A850" s="228"/>
      <c r="B850" s="165"/>
      <c r="C850" s="162"/>
      <c r="D850" s="140"/>
      <c r="E850" s="141"/>
      <c r="F850" s="142"/>
      <c r="G850" s="143"/>
      <c r="H850" s="144"/>
      <c r="I850" s="145"/>
      <c r="J850" s="146"/>
      <c r="K850" s="146"/>
      <c r="L850" s="146"/>
    </row>
    <row r="851" ht="15.75" customHeight="1">
      <c r="A851" s="228"/>
      <c r="B851" s="165"/>
      <c r="C851" s="162"/>
      <c r="D851" s="140"/>
      <c r="E851" s="141"/>
      <c r="F851" s="142"/>
      <c r="G851" s="143"/>
      <c r="H851" s="144"/>
      <c r="I851" s="145"/>
      <c r="J851" s="146"/>
      <c r="K851" s="146"/>
      <c r="L851" s="146"/>
    </row>
    <row r="852" ht="15.75" customHeight="1">
      <c r="A852" s="228"/>
      <c r="B852" s="165"/>
      <c r="C852" s="162"/>
      <c r="D852" s="140"/>
      <c r="E852" s="141"/>
      <c r="F852" s="142"/>
      <c r="G852" s="143"/>
      <c r="H852" s="144"/>
      <c r="I852" s="145"/>
      <c r="J852" s="146"/>
      <c r="K852" s="146"/>
      <c r="L852" s="146"/>
    </row>
    <row r="853" ht="15.75" customHeight="1">
      <c r="A853" s="228"/>
      <c r="B853" s="165"/>
      <c r="C853" s="162"/>
      <c r="D853" s="140"/>
      <c r="E853" s="141"/>
      <c r="F853" s="142"/>
      <c r="G853" s="143"/>
      <c r="H853" s="144"/>
      <c r="I853" s="145"/>
      <c r="J853" s="146"/>
      <c r="K853" s="146"/>
      <c r="L853" s="146"/>
    </row>
    <row r="854" ht="15.75" customHeight="1">
      <c r="A854" s="228"/>
      <c r="B854" s="165"/>
      <c r="C854" s="162"/>
      <c r="D854" s="140"/>
      <c r="E854" s="141"/>
      <c r="F854" s="142"/>
      <c r="G854" s="143"/>
      <c r="H854" s="144"/>
      <c r="I854" s="145"/>
      <c r="J854" s="146"/>
      <c r="K854" s="146"/>
      <c r="L854" s="146"/>
    </row>
    <row r="855" ht="15.75" customHeight="1">
      <c r="A855" s="228"/>
      <c r="B855" s="165"/>
      <c r="C855" s="162"/>
      <c r="D855" s="140"/>
      <c r="E855" s="141"/>
      <c r="F855" s="142"/>
      <c r="G855" s="143"/>
      <c r="H855" s="144"/>
      <c r="I855" s="145"/>
      <c r="J855" s="146"/>
      <c r="K855" s="146"/>
      <c r="L855" s="146"/>
    </row>
    <row r="856" ht="15.75" customHeight="1">
      <c r="A856" s="228"/>
      <c r="B856" s="165"/>
      <c r="C856" s="162"/>
      <c r="D856" s="140"/>
      <c r="E856" s="141"/>
      <c r="F856" s="142"/>
      <c r="G856" s="143"/>
      <c r="H856" s="144"/>
      <c r="I856" s="145"/>
      <c r="J856" s="146"/>
      <c r="K856" s="146"/>
      <c r="L856" s="146"/>
    </row>
    <row r="857" ht="15.75" customHeight="1">
      <c r="A857" s="228"/>
      <c r="B857" s="165"/>
      <c r="C857" s="162"/>
      <c r="D857" s="140"/>
      <c r="E857" s="141"/>
      <c r="F857" s="142"/>
      <c r="G857" s="143"/>
      <c r="H857" s="144"/>
      <c r="I857" s="145"/>
      <c r="J857" s="146"/>
      <c r="K857" s="146"/>
      <c r="L857" s="146"/>
    </row>
    <row r="858" ht="15.75" customHeight="1">
      <c r="A858" s="228"/>
      <c r="B858" s="165"/>
      <c r="C858" s="162"/>
      <c r="D858" s="140"/>
      <c r="E858" s="141"/>
      <c r="F858" s="142"/>
      <c r="G858" s="143"/>
      <c r="H858" s="144"/>
      <c r="I858" s="145"/>
      <c r="J858" s="146"/>
      <c r="K858" s="146"/>
      <c r="L858" s="146"/>
    </row>
    <row r="859" ht="15.75" customHeight="1">
      <c r="A859" s="228"/>
      <c r="B859" s="165"/>
      <c r="C859" s="162"/>
      <c r="D859" s="140"/>
      <c r="E859" s="141"/>
      <c r="F859" s="142"/>
      <c r="G859" s="143"/>
      <c r="H859" s="144"/>
      <c r="I859" s="145"/>
      <c r="J859" s="146"/>
      <c r="K859" s="146"/>
      <c r="L859" s="146"/>
    </row>
    <row r="860" ht="15.75" customHeight="1">
      <c r="A860" s="228"/>
      <c r="B860" s="165"/>
      <c r="C860" s="162"/>
      <c r="D860" s="140"/>
      <c r="E860" s="141"/>
      <c r="F860" s="142"/>
      <c r="G860" s="143"/>
      <c r="H860" s="144"/>
      <c r="I860" s="145"/>
      <c r="J860" s="146"/>
      <c r="K860" s="146"/>
      <c r="L860" s="146"/>
    </row>
    <row r="861" ht="15.75" customHeight="1">
      <c r="A861" s="228"/>
      <c r="B861" s="165"/>
      <c r="C861" s="162"/>
      <c r="D861" s="140"/>
      <c r="E861" s="141"/>
      <c r="F861" s="142"/>
      <c r="G861" s="143"/>
      <c r="H861" s="144"/>
      <c r="I861" s="145"/>
      <c r="J861" s="146"/>
      <c r="K861" s="146"/>
      <c r="L861" s="146"/>
    </row>
    <row r="862" ht="15.75" customHeight="1">
      <c r="A862" s="228"/>
      <c r="B862" s="165"/>
      <c r="C862" s="162"/>
      <c r="D862" s="140"/>
      <c r="E862" s="141"/>
      <c r="F862" s="142"/>
      <c r="G862" s="143"/>
      <c r="H862" s="144"/>
      <c r="I862" s="145"/>
      <c r="J862" s="146"/>
      <c r="K862" s="146"/>
      <c r="L862" s="146"/>
    </row>
    <row r="863" ht="15.75" customHeight="1">
      <c r="A863" s="228"/>
      <c r="B863" s="165"/>
      <c r="C863" s="162"/>
      <c r="D863" s="140"/>
      <c r="E863" s="141"/>
      <c r="F863" s="142"/>
      <c r="G863" s="143"/>
      <c r="H863" s="144"/>
      <c r="I863" s="145"/>
      <c r="J863" s="146"/>
      <c r="K863" s="146"/>
      <c r="L863" s="146"/>
    </row>
    <row r="864" ht="15.75" customHeight="1">
      <c r="A864" s="228"/>
      <c r="B864" s="165"/>
      <c r="C864" s="162"/>
      <c r="D864" s="140"/>
      <c r="E864" s="141"/>
      <c r="F864" s="142"/>
      <c r="G864" s="143"/>
      <c r="H864" s="144"/>
      <c r="I864" s="145"/>
      <c r="J864" s="146"/>
      <c r="K864" s="146"/>
      <c r="L864" s="146"/>
    </row>
    <row r="865" ht="15.75" customHeight="1">
      <c r="A865" s="228"/>
      <c r="B865" s="165"/>
      <c r="C865" s="162"/>
      <c r="D865" s="140"/>
      <c r="E865" s="141"/>
      <c r="F865" s="142"/>
      <c r="G865" s="143"/>
      <c r="H865" s="144"/>
      <c r="I865" s="145"/>
      <c r="J865" s="146"/>
      <c r="K865" s="146"/>
      <c r="L865" s="146"/>
    </row>
    <row r="866" ht="15.75" customHeight="1">
      <c r="A866" s="228"/>
      <c r="B866" s="165"/>
      <c r="C866" s="162"/>
      <c r="D866" s="140"/>
      <c r="E866" s="141"/>
      <c r="F866" s="142"/>
      <c r="G866" s="143"/>
      <c r="H866" s="144"/>
      <c r="I866" s="145"/>
      <c r="J866" s="146"/>
      <c r="K866" s="146"/>
      <c r="L866" s="146"/>
    </row>
    <row r="867" ht="15.75" customHeight="1">
      <c r="A867" s="228"/>
      <c r="B867" s="165"/>
      <c r="C867" s="162"/>
      <c r="D867" s="140"/>
      <c r="E867" s="141"/>
      <c r="F867" s="142"/>
      <c r="G867" s="143"/>
      <c r="H867" s="144"/>
      <c r="I867" s="145"/>
      <c r="J867" s="146"/>
      <c r="K867" s="146"/>
      <c r="L867" s="146"/>
    </row>
    <row r="868" ht="15.75" customHeight="1">
      <c r="A868" s="228"/>
      <c r="B868" s="165"/>
      <c r="C868" s="162"/>
      <c r="D868" s="140"/>
      <c r="E868" s="141"/>
      <c r="F868" s="142"/>
      <c r="G868" s="143"/>
      <c r="H868" s="144"/>
      <c r="I868" s="145"/>
      <c r="J868" s="146"/>
      <c r="K868" s="146"/>
      <c r="L868" s="146"/>
    </row>
    <row r="869" ht="15.75" customHeight="1">
      <c r="A869" s="228"/>
      <c r="B869" s="165"/>
      <c r="C869" s="162"/>
      <c r="D869" s="140"/>
      <c r="E869" s="141"/>
      <c r="F869" s="142"/>
      <c r="G869" s="143"/>
      <c r="H869" s="144"/>
      <c r="I869" s="145"/>
      <c r="J869" s="146"/>
      <c r="K869" s="146"/>
      <c r="L869" s="146"/>
    </row>
    <row r="870" ht="15.75" customHeight="1">
      <c r="A870" s="228"/>
      <c r="B870" s="165"/>
      <c r="C870" s="162"/>
      <c r="D870" s="140"/>
      <c r="E870" s="141"/>
      <c r="F870" s="142"/>
      <c r="G870" s="143"/>
      <c r="H870" s="144"/>
      <c r="I870" s="145"/>
      <c r="J870" s="146"/>
      <c r="K870" s="146"/>
      <c r="L870" s="146"/>
    </row>
    <row r="871" ht="15.75" customHeight="1">
      <c r="A871" s="228"/>
      <c r="B871" s="165"/>
      <c r="C871" s="162"/>
      <c r="D871" s="140"/>
      <c r="E871" s="141"/>
      <c r="F871" s="142"/>
      <c r="G871" s="143"/>
      <c r="H871" s="144"/>
      <c r="I871" s="145"/>
      <c r="J871" s="146"/>
      <c r="K871" s="146"/>
      <c r="L871" s="146"/>
    </row>
    <row r="872" ht="15.75" customHeight="1">
      <c r="A872" s="228"/>
      <c r="B872" s="165"/>
      <c r="C872" s="162"/>
      <c r="D872" s="140"/>
      <c r="E872" s="141"/>
      <c r="F872" s="142"/>
      <c r="G872" s="143"/>
      <c r="H872" s="144"/>
      <c r="I872" s="145"/>
      <c r="J872" s="146"/>
      <c r="K872" s="146"/>
      <c r="L872" s="146"/>
    </row>
    <row r="873" ht="15.75" customHeight="1">
      <c r="A873" s="228"/>
      <c r="B873" s="165"/>
      <c r="C873" s="162"/>
      <c r="D873" s="140"/>
      <c r="E873" s="141"/>
      <c r="F873" s="142"/>
      <c r="G873" s="143"/>
      <c r="H873" s="144"/>
      <c r="I873" s="145"/>
      <c r="J873" s="146"/>
      <c r="K873" s="146"/>
      <c r="L873" s="146"/>
    </row>
    <row r="874" ht="15.75" customHeight="1">
      <c r="A874" s="228"/>
      <c r="B874" s="165"/>
      <c r="C874" s="162"/>
      <c r="D874" s="140"/>
      <c r="E874" s="141"/>
      <c r="F874" s="142"/>
      <c r="G874" s="143"/>
      <c r="H874" s="144"/>
      <c r="I874" s="145"/>
      <c r="J874" s="146"/>
      <c r="K874" s="146"/>
      <c r="L874" s="146"/>
    </row>
    <row r="875" ht="15.75" customHeight="1">
      <c r="A875" s="228"/>
      <c r="B875" s="165"/>
      <c r="C875" s="162"/>
      <c r="D875" s="140"/>
      <c r="E875" s="141"/>
      <c r="F875" s="142"/>
      <c r="G875" s="143"/>
      <c r="H875" s="144"/>
      <c r="I875" s="145"/>
      <c r="J875" s="146"/>
      <c r="K875" s="146"/>
      <c r="L875" s="146"/>
    </row>
    <row r="876" ht="15.75" customHeight="1">
      <c r="A876" s="228"/>
      <c r="B876" s="165"/>
      <c r="C876" s="162"/>
      <c r="D876" s="140"/>
      <c r="E876" s="141"/>
      <c r="F876" s="142"/>
      <c r="G876" s="143"/>
      <c r="H876" s="144"/>
      <c r="I876" s="145"/>
      <c r="J876" s="146"/>
      <c r="K876" s="146"/>
      <c r="L876" s="146"/>
    </row>
    <row r="877" ht="15.75" customHeight="1">
      <c r="A877" s="228"/>
      <c r="B877" s="165"/>
      <c r="C877" s="162"/>
      <c r="D877" s="140"/>
      <c r="E877" s="141"/>
      <c r="F877" s="142"/>
      <c r="G877" s="143"/>
      <c r="H877" s="144"/>
      <c r="I877" s="145"/>
      <c r="J877" s="146"/>
      <c r="K877" s="146"/>
      <c r="L877" s="146"/>
    </row>
    <row r="878" ht="15.75" customHeight="1">
      <c r="A878" s="228"/>
      <c r="B878" s="165"/>
      <c r="C878" s="162"/>
      <c r="D878" s="140"/>
      <c r="E878" s="141"/>
      <c r="F878" s="142"/>
      <c r="G878" s="143"/>
      <c r="H878" s="144"/>
      <c r="I878" s="145"/>
      <c r="J878" s="146"/>
      <c r="K878" s="146"/>
      <c r="L878" s="146"/>
    </row>
    <row r="879" ht="15.75" customHeight="1">
      <c r="A879" s="228"/>
      <c r="B879" s="165"/>
      <c r="C879" s="162"/>
      <c r="D879" s="140"/>
      <c r="E879" s="141"/>
      <c r="F879" s="142"/>
      <c r="G879" s="143"/>
      <c r="H879" s="144"/>
      <c r="I879" s="145"/>
      <c r="J879" s="146"/>
      <c r="K879" s="146"/>
      <c r="L879" s="146"/>
    </row>
    <row r="880" ht="15.75" customHeight="1">
      <c r="A880" s="228"/>
      <c r="B880" s="165"/>
      <c r="C880" s="162"/>
      <c r="D880" s="140"/>
      <c r="E880" s="141"/>
      <c r="F880" s="142"/>
      <c r="G880" s="143"/>
      <c r="H880" s="144"/>
      <c r="I880" s="145"/>
      <c r="J880" s="146"/>
      <c r="K880" s="146"/>
      <c r="L880" s="146"/>
    </row>
    <row r="881" ht="15.75" customHeight="1">
      <c r="A881" s="228"/>
      <c r="B881" s="165"/>
      <c r="C881" s="162"/>
      <c r="D881" s="140"/>
      <c r="E881" s="141"/>
      <c r="F881" s="142"/>
      <c r="G881" s="143"/>
      <c r="H881" s="144"/>
      <c r="I881" s="145"/>
      <c r="J881" s="146"/>
      <c r="K881" s="146"/>
      <c r="L881" s="146"/>
    </row>
    <row r="882" ht="15.75" customHeight="1">
      <c r="A882" s="228"/>
      <c r="B882" s="165"/>
      <c r="C882" s="162"/>
      <c r="D882" s="140"/>
      <c r="E882" s="141"/>
      <c r="F882" s="142"/>
      <c r="G882" s="143"/>
      <c r="H882" s="144"/>
      <c r="I882" s="145"/>
      <c r="J882" s="146"/>
      <c r="K882" s="146"/>
      <c r="L882" s="146"/>
    </row>
    <row r="883" ht="15.75" customHeight="1">
      <c r="A883" s="228"/>
      <c r="B883" s="165"/>
      <c r="C883" s="162"/>
      <c r="D883" s="140"/>
      <c r="E883" s="141"/>
      <c r="F883" s="142"/>
      <c r="G883" s="143"/>
      <c r="H883" s="144"/>
      <c r="I883" s="145"/>
      <c r="J883" s="146"/>
      <c r="K883" s="146"/>
      <c r="L883" s="146"/>
    </row>
    <row r="884" ht="15.75" customHeight="1">
      <c r="A884" s="228"/>
      <c r="B884" s="165"/>
      <c r="C884" s="162"/>
      <c r="D884" s="140"/>
      <c r="E884" s="141"/>
      <c r="F884" s="142"/>
      <c r="G884" s="143"/>
      <c r="H884" s="144"/>
      <c r="I884" s="145"/>
      <c r="J884" s="146"/>
      <c r="K884" s="146"/>
      <c r="L884" s="146"/>
    </row>
    <row r="885" ht="15.75" customHeight="1">
      <c r="A885" s="228"/>
      <c r="B885" s="165"/>
      <c r="C885" s="162"/>
      <c r="D885" s="140"/>
      <c r="E885" s="141"/>
      <c r="F885" s="142"/>
      <c r="G885" s="143"/>
      <c r="H885" s="144"/>
      <c r="I885" s="145"/>
      <c r="J885" s="146"/>
      <c r="K885" s="146"/>
      <c r="L885" s="146"/>
    </row>
    <row r="886" ht="15.75" customHeight="1">
      <c r="A886" s="228"/>
      <c r="B886" s="165"/>
      <c r="C886" s="162"/>
      <c r="D886" s="140"/>
      <c r="E886" s="141"/>
      <c r="F886" s="142"/>
      <c r="G886" s="143"/>
      <c r="H886" s="144"/>
      <c r="I886" s="145"/>
      <c r="J886" s="146"/>
      <c r="K886" s="146"/>
      <c r="L886" s="146"/>
    </row>
    <row r="887" ht="15.75" customHeight="1">
      <c r="A887" s="228"/>
      <c r="B887" s="165"/>
      <c r="C887" s="162"/>
      <c r="D887" s="140"/>
      <c r="E887" s="141"/>
      <c r="F887" s="142"/>
      <c r="G887" s="143"/>
      <c r="H887" s="144"/>
      <c r="I887" s="145"/>
      <c r="J887" s="146"/>
      <c r="K887" s="146"/>
      <c r="L887" s="146"/>
    </row>
    <row r="888" ht="15.75" customHeight="1">
      <c r="A888" s="228"/>
      <c r="B888" s="165"/>
      <c r="C888" s="162"/>
      <c r="D888" s="140"/>
      <c r="E888" s="141"/>
      <c r="F888" s="142"/>
      <c r="G888" s="143"/>
      <c r="H888" s="144"/>
      <c r="I888" s="145"/>
      <c r="J888" s="146"/>
      <c r="K888" s="146"/>
      <c r="L888" s="146"/>
    </row>
    <row r="889" ht="15.75" customHeight="1">
      <c r="A889" s="228"/>
      <c r="B889" s="165"/>
      <c r="C889" s="162"/>
      <c r="D889" s="140"/>
      <c r="E889" s="141"/>
      <c r="F889" s="142"/>
      <c r="G889" s="143"/>
      <c r="H889" s="144"/>
      <c r="I889" s="145"/>
      <c r="J889" s="146"/>
      <c r="K889" s="146"/>
      <c r="L889" s="146"/>
    </row>
    <row r="890" ht="15.75" customHeight="1">
      <c r="A890" s="228"/>
      <c r="B890" s="165"/>
      <c r="C890" s="162"/>
      <c r="D890" s="140"/>
      <c r="E890" s="141"/>
      <c r="F890" s="142"/>
      <c r="G890" s="143"/>
      <c r="H890" s="144"/>
      <c r="I890" s="145"/>
      <c r="J890" s="146"/>
      <c r="K890" s="146"/>
      <c r="L890" s="146"/>
    </row>
    <row r="891" ht="15.75" customHeight="1">
      <c r="A891" s="228"/>
      <c r="B891" s="165"/>
      <c r="C891" s="162"/>
      <c r="D891" s="140"/>
      <c r="E891" s="141"/>
      <c r="F891" s="142"/>
      <c r="G891" s="143"/>
      <c r="H891" s="144"/>
      <c r="I891" s="145"/>
      <c r="J891" s="146"/>
      <c r="K891" s="146"/>
      <c r="L891" s="146"/>
    </row>
    <row r="892" ht="15.75" customHeight="1">
      <c r="A892" s="228"/>
      <c r="B892" s="165"/>
      <c r="C892" s="162"/>
      <c r="D892" s="140"/>
      <c r="E892" s="141"/>
      <c r="F892" s="142"/>
      <c r="G892" s="143"/>
      <c r="H892" s="144"/>
      <c r="I892" s="145"/>
      <c r="J892" s="146"/>
      <c r="K892" s="146"/>
      <c r="L892" s="146"/>
    </row>
    <row r="893" ht="15.75" customHeight="1">
      <c r="A893" s="228"/>
      <c r="B893" s="165"/>
      <c r="C893" s="162"/>
      <c r="D893" s="140"/>
      <c r="E893" s="141"/>
      <c r="F893" s="142"/>
      <c r="G893" s="143"/>
      <c r="H893" s="144"/>
      <c r="I893" s="145"/>
      <c r="J893" s="146"/>
      <c r="K893" s="146"/>
      <c r="L893" s="146"/>
    </row>
    <row r="894" ht="15.75" customHeight="1">
      <c r="A894" s="228"/>
      <c r="B894" s="165"/>
      <c r="C894" s="162"/>
      <c r="D894" s="140"/>
      <c r="E894" s="141"/>
      <c r="F894" s="142"/>
      <c r="G894" s="143"/>
      <c r="H894" s="144"/>
      <c r="I894" s="145"/>
      <c r="J894" s="146"/>
      <c r="K894" s="146"/>
      <c r="L894" s="146"/>
    </row>
    <row r="895" ht="15.75" customHeight="1">
      <c r="A895" s="228"/>
      <c r="B895" s="165"/>
      <c r="C895" s="162"/>
      <c r="D895" s="140"/>
      <c r="E895" s="141"/>
      <c r="F895" s="142"/>
      <c r="G895" s="143"/>
      <c r="H895" s="144"/>
      <c r="I895" s="145"/>
      <c r="J895" s="146"/>
      <c r="K895" s="146"/>
      <c r="L895" s="146"/>
    </row>
    <row r="896" ht="15.75" customHeight="1">
      <c r="A896" s="228"/>
      <c r="B896" s="165"/>
      <c r="C896" s="162"/>
      <c r="D896" s="140"/>
      <c r="E896" s="141"/>
      <c r="F896" s="142"/>
      <c r="G896" s="143"/>
      <c r="H896" s="144"/>
      <c r="I896" s="145"/>
      <c r="J896" s="146"/>
      <c r="K896" s="146"/>
      <c r="L896" s="146"/>
    </row>
    <row r="897" ht="15.75" customHeight="1">
      <c r="A897" s="228"/>
      <c r="B897" s="165"/>
      <c r="C897" s="162"/>
      <c r="D897" s="140"/>
      <c r="E897" s="141"/>
      <c r="F897" s="142"/>
      <c r="G897" s="143"/>
      <c r="H897" s="144"/>
      <c r="I897" s="145"/>
      <c r="J897" s="146"/>
      <c r="K897" s="146"/>
      <c r="L897" s="146"/>
    </row>
    <row r="898" ht="15.75" customHeight="1">
      <c r="A898" s="228"/>
      <c r="B898" s="165"/>
      <c r="C898" s="162"/>
      <c r="D898" s="140"/>
      <c r="E898" s="141"/>
      <c r="F898" s="142"/>
      <c r="G898" s="143"/>
      <c r="H898" s="144"/>
      <c r="I898" s="145"/>
      <c r="J898" s="146"/>
      <c r="K898" s="146"/>
      <c r="L898" s="146"/>
    </row>
    <row r="899" ht="15.75" customHeight="1">
      <c r="A899" s="228"/>
      <c r="B899" s="165"/>
      <c r="C899" s="162"/>
      <c r="D899" s="140"/>
      <c r="E899" s="141"/>
      <c r="F899" s="142"/>
      <c r="G899" s="143"/>
      <c r="H899" s="144"/>
      <c r="I899" s="145"/>
      <c r="J899" s="146"/>
      <c r="K899" s="146"/>
      <c r="L899" s="146"/>
    </row>
    <row r="900" ht="15.75" customHeight="1">
      <c r="A900" s="228"/>
      <c r="B900" s="165"/>
      <c r="C900" s="162"/>
      <c r="D900" s="140"/>
      <c r="E900" s="141"/>
      <c r="F900" s="142"/>
      <c r="G900" s="143"/>
      <c r="H900" s="144"/>
      <c r="I900" s="145"/>
      <c r="J900" s="146"/>
      <c r="K900" s="146"/>
      <c r="L900" s="146"/>
    </row>
    <row r="901" ht="15.75" customHeight="1">
      <c r="A901" s="228"/>
      <c r="B901" s="165"/>
      <c r="C901" s="162"/>
      <c r="D901" s="140"/>
      <c r="E901" s="141"/>
      <c r="F901" s="142"/>
      <c r="G901" s="143"/>
      <c r="H901" s="144"/>
      <c r="I901" s="145"/>
      <c r="J901" s="146"/>
      <c r="K901" s="146"/>
      <c r="L901" s="146"/>
    </row>
    <row r="902" ht="15.75" customHeight="1">
      <c r="A902" s="228"/>
      <c r="B902" s="165"/>
      <c r="C902" s="162"/>
      <c r="D902" s="140"/>
      <c r="E902" s="141"/>
      <c r="F902" s="142"/>
      <c r="G902" s="143"/>
      <c r="H902" s="144"/>
      <c r="I902" s="145"/>
      <c r="J902" s="146"/>
      <c r="K902" s="146"/>
      <c r="L902" s="146"/>
    </row>
    <row r="903" ht="15.75" customHeight="1">
      <c r="A903" s="228"/>
      <c r="B903" s="165"/>
      <c r="C903" s="162"/>
      <c r="D903" s="140"/>
      <c r="E903" s="141"/>
      <c r="F903" s="142"/>
      <c r="G903" s="143"/>
      <c r="H903" s="144"/>
      <c r="I903" s="145"/>
      <c r="J903" s="146"/>
      <c r="K903" s="146"/>
      <c r="L903" s="146"/>
    </row>
    <row r="904" ht="15.75" customHeight="1">
      <c r="A904" s="228"/>
      <c r="B904" s="165"/>
      <c r="C904" s="162"/>
      <c r="D904" s="140"/>
      <c r="E904" s="141"/>
      <c r="F904" s="142"/>
      <c r="G904" s="143"/>
      <c r="H904" s="144"/>
      <c r="I904" s="145"/>
      <c r="J904" s="146"/>
      <c r="K904" s="146"/>
      <c r="L904" s="146"/>
    </row>
    <row r="905" ht="15.75" customHeight="1">
      <c r="A905" s="228"/>
      <c r="B905" s="165"/>
      <c r="C905" s="162"/>
      <c r="D905" s="140"/>
      <c r="E905" s="141"/>
      <c r="F905" s="142"/>
      <c r="G905" s="143"/>
      <c r="H905" s="144"/>
      <c r="I905" s="145"/>
      <c r="J905" s="146"/>
      <c r="K905" s="146"/>
      <c r="L905" s="146"/>
    </row>
    <row r="906" ht="15.75" customHeight="1">
      <c r="A906" s="228"/>
      <c r="B906" s="165"/>
      <c r="C906" s="162"/>
      <c r="D906" s="140"/>
      <c r="E906" s="141"/>
      <c r="F906" s="142"/>
      <c r="G906" s="143"/>
      <c r="H906" s="144"/>
      <c r="I906" s="145"/>
      <c r="J906" s="146"/>
      <c r="K906" s="146"/>
      <c r="L906" s="146"/>
    </row>
    <row r="907" ht="15.75" customHeight="1">
      <c r="A907" s="228"/>
      <c r="B907" s="165"/>
      <c r="C907" s="162"/>
      <c r="D907" s="140"/>
      <c r="E907" s="141"/>
      <c r="F907" s="142"/>
      <c r="G907" s="143"/>
      <c r="H907" s="144"/>
      <c r="I907" s="145"/>
      <c r="J907" s="146"/>
      <c r="K907" s="146"/>
      <c r="L907" s="146"/>
    </row>
    <row r="908" ht="15.75" customHeight="1">
      <c r="A908" s="228"/>
      <c r="B908" s="165"/>
      <c r="C908" s="162"/>
      <c r="D908" s="140"/>
      <c r="E908" s="141"/>
      <c r="F908" s="142"/>
      <c r="G908" s="143"/>
      <c r="H908" s="144"/>
      <c r="I908" s="145"/>
      <c r="J908" s="146"/>
      <c r="K908" s="146"/>
      <c r="L908" s="146"/>
    </row>
    <row r="909" ht="15.75" customHeight="1">
      <c r="A909" s="228"/>
      <c r="B909" s="165"/>
      <c r="C909" s="162"/>
      <c r="D909" s="140"/>
      <c r="E909" s="141"/>
      <c r="F909" s="142"/>
      <c r="G909" s="143"/>
      <c r="H909" s="144"/>
      <c r="I909" s="145"/>
      <c r="J909" s="146"/>
      <c r="K909" s="146"/>
      <c r="L909" s="146"/>
    </row>
    <row r="910" ht="15.75" customHeight="1">
      <c r="A910" s="228"/>
      <c r="B910" s="165"/>
      <c r="C910" s="162"/>
      <c r="D910" s="140"/>
      <c r="E910" s="141"/>
      <c r="F910" s="142"/>
      <c r="G910" s="143"/>
      <c r="H910" s="144"/>
      <c r="I910" s="145"/>
      <c r="J910" s="146"/>
      <c r="K910" s="146"/>
      <c r="L910" s="146"/>
    </row>
    <row r="911" ht="15.75" customHeight="1">
      <c r="A911" s="228"/>
      <c r="B911" s="165"/>
      <c r="C911" s="162"/>
      <c r="D911" s="140"/>
      <c r="E911" s="141"/>
      <c r="F911" s="142"/>
      <c r="G911" s="143"/>
      <c r="H911" s="144"/>
      <c r="I911" s="145"/>
      <c r="J911" s="146"/>
      <c r="K911" s="146"/>
      <c r="L911" s="146"/>
    </row>
    <row r="912" ht="15.75" customHeight="1">
      <c r="A912" s="228"/>
      <c r="B912" s="165"/>
      <c r="C912" s="162"/>
      <c r="D912" s="140"/>
      <c r="E912" s="141"/>
      <c r="F912" s="142"/>
      <c r="G912" s="143"/>
      <c r="H912" s="144"/>
      <c r="I912" s="145"/>
      <c r="J912" s="146"/>
      <c r="K912" s="146"/>
      <c r="L912" s="146"/>
    </row>
    <row r="913" ht="15.75" customHeight="1">
      <c r="A913" s="228"/>
      <c r="B913" s="165"/>
      <c r="C913" s="162"/>
      <c r="D913" s="140"/>
      <c r="E913" s="141"/>
      <c r="F913" s="142"/>
      <c r="G913" s="143"/>
      <c r="H913" s="144"/>
      <c r="I913" s="145"/>
      <c r="J913" s="146"/>
      <c r="K913" s="146"/>
      <c r="L913" s="146"/>
    </row>
    <row r="914" ht="15.75" customHeight="1">
      <c r="A914" s="228"/>
      <c r="B914" s="165"/>
      <c r="C914" s="162"/>
      <c r="D914" s="140"/>
      <c r="E914" s="141"/>
      <c r="F914" s="142"/>
      <c r="G914" s="143"/>
      <c r="H914" s="144"/>
      <c r="I914" s="145"/>
      <c r="J914" s="146"/>
      <c r="K914" s="146"/>
      <c r="L914" s="146"/>
    </row>
    <row r="915" ht="15.75" customHeight="1">
      <c r="A915" s="228"/>
      <c r="B915" s="165"/>
      <c r="C915" s="162"/>
      <c r="D915" s="140"/>
      <c r="E915" s="141"/>
      <c r="F915" s="142"/>
      <c r="G915" s="143"/>
      <c r="H915" s="144"/>
      <c r="I915" s="145"/>
      <c r="J915" s="146"/>
      <c r="K915" s="146"/>
      <c r="L915" s="146"/>
    </row>
    <row r="916" ht="15.75" customHeight="1">
      <c r="A916" s="228"/>
      <c r="B916" s="165"/>
      <c r="C916" s="162"/>
      <c r="D916" s="140"/>
      <c r="E916" s="141"/>
      <c r="F916" s="142"/>
      <c r="G916" s="143"/>
      <c r="H916" s="144"/>
      <c r="I916" s="145"/>
      <c r="J916" s="146"/>
      <c r="K916" s="146"/>
      <c r="L916" s="146"/>
    </row>
    <row r="917" ht="15.75" customHeight="1">
      <c r="A917" s="228"/>
      <c r="B917" s="165"/>
      <c r="C917" s="162"/>
      <c r="D917" s="140"/>
      <c r="E917" s="141"/>
      <c r="F917" s="142"/>
      <c r="G917" s="143"/>
      <c r="H917" s="144"/>
      <c r="I917" s="145"/>
      <c r="J917" s="146"/>
      <c r="K917" s="146"/>
      <c r="L917" s="146"/>
    </row>
    <row r="918" ht="15.75" customHeight="1">
      <c r="A918" s="228"/>
      <c r="B918" s="165"/>
      <c r="C918" s="162"/>
      <c r="D918" s="140"/>
      <c r="E918" s="141"/>
      <c r="F918" s="142"/>
      <c r="G918" s="143"/>
      <c r="H918" s="144"/>
      <c r="I918" s="145"/>
      <c r="J918" s="146"/>
      <c r="K918" s="146"/>
      <c r="L918" s="146"/>
    </row>
    <row r="919" ht="15.75" customHeight="1">
      <c r="A919" s="228"/>
      <c r="B919" s="165"/>
      <c r="C919" s="162"/>
      <c r="D919" s="140"/>
      <c r="E919" s="141"/>
      <c r="F919" s="142"/>
      <c r="G919" s="143"/>
      <c r="H919" s="144"/>
      <c r="I919" s="145"/>
      <c r="J919" s="146"/>
      <c r="K919" s="146"/>
      <c r="L919" s="146"/>
    </row>
    <row r="920" ht="15.75" customHeight="1">
      <c r="A920" s="228"/>
      <c r="B920" s="165"/>
      <c r="C920" s="162"/>
      <c r="D920" s="140"/>
      <c r="E920" s="141"/>
      <c r="F920" s="142"/>
      <c r="G920" s="143"/>
      <c r="H920" s="144"/>
      <c r="I920" s="145"/>
      <c r="J920" s="146"/>
      <c r="K920" s="146"/>
      <c r="L920" s="146"/>
    </row>
    <row r="921" ht="15.75" customHeight="1">
      <c r="A921" s="228"/>
      <c r="B921" s="165"/>
      <c r="C921" s="162"/>
      <c r="D921" s="140"/>
      <c r="E921" s="141"/>
      <c r="F921" s="142"/>
      <c r="G921" s="143"/>
      <c r="H921" s="144"/>
      <c r="I921" s="145"/>
      <c r="J921" s="146"/>
      <c r="K921" s="146"/>
      <c r="L921" s="146"/>
    </row>
    <row r="922" ht="15.75" customHeight="1">
      <c r="A922" s="228"/>
      <c r="B922" s="165"/>
      <c r="C922" s="162"/>
      <c r="D922" s="140"/>
      <c r="E922" s="141"/>
      <c r="F922" s="142"/>
      <c r="G922" s="143"/>
      <c r="H922" s="144"/>
      <c r="I922" s="145"/>
      <c r="J922" s="146"/>
      <c r="K922" s="146"/>
      <c r="L922" s="146"/>
    </row>
    <row r="923" ht="15.75" customHeight="1">
      <c r="A923" s="228"/>
      <c r="B923" s="165"/>
      <c r="C923" s="162"/>
      <c r="D923" s="140"/>
      <c r="E923" s="141"/>
      <c r="F923" s="142"/>
      <c r="G923" s="143"/>
      <c r="H923" s="144"/>
      <c r="I923" s="145"/>
      <c r="J923" s="146"/>
      <c r="K923" s="146"/>
      <c r="L923" s="146"/>
    </row>
    <row r="924" ht="15.75" customHeight="1">
      <c r="A924" s="228"/>
      <c r="B924" s="165"/>
      <c r="C924" s="162"/>
      <c r="D924" s="140"/>
      <c r="E924" s="141"/>
      <c r="F924" s="142"/>
      <c r="G924" s="143"/>
      <c r="H924" s="144"/>
      <c r="I924" s="145"/>
      <c r="J924" s="146"/>
      <c r="K924" s="146"/>
      <c r="L924" s="146"/>
    </row>
    <row r="925" ht="15.75" customHeight="1">
      <c r="A925" s="228"/>
      <c r="B925" s="165"/>
      <c r="C925" s="162"/>
      <c r="D925" s="140"/>
      <c r="E925" s="141"/>
      <c r="F925" s="142"/>
      <c r="G925" s="143"/>
      <c r="H925" s="144"/>
      <c r="I925" s="145"/>
      <c r="J925" s="146"/>
      <c r="K925" s="146"/>
      <c r="L925" s="146"/>
    </row>
    <row r="926" ht="15.75" customHeight="1">
      <c r="A926" s="228"/>
      <c r="B926" s="165"/>
      <c r="C926" s="162"/>
      <c r="D926" s="140"/>
      <c r="E926" s="141"/>
      <c r="F926" s="142"/>
      <c r="G926" s="143"/>
      <c r="H926" s="144"/>
      <c r="I926" s="145"/>
      <c r="J926" s="146"/>
      <c r="K926" s="146"/>
      <c r="L926" s="146"/>
    </row>
    <row r="927" ht="15.75" customHeight="1">
      <c r="A927" s="228"/>
      <c r="B927" s="165"/>
      <c r="C927" s="162"/>
      <c r="D927" s="140"/>
      <c r="E927" s="141"/>
      <c r="F927" s="142"/>
      <c r="G927" s="143"/>
      <c r="H927" s="144"/>
      <c r="I927" s="145"/>
      <c r="J927" s="146"/>
      <c r="K927" s="146"/>
      <c r="L927" s="146"/>
    </row>
    <row r="928" ht="15.75" customHeight="1">
      <c r="A928" s="228"/>
      <c r="B928" s="165"/>
      <c r="C928" s="162"/>
      <c r="D928" s="140"/>
      <c r="E928" s="141"/>
      <c r="F928" s="142"/>
      <c r="G928" s="143"/>
      <c r="H928" s="144"/>
      <c r="I928" s="145"/>
      <c r="J928" s="146"/>
      <c r="K928" s="146"/>
      <c r="L928" s="146"/>
    </row>
    <row r="929" ht="15.75" customHeight="1">
      <c r="A929" s="228"/>
      <c r="B929" s="165"/>
      <c r="C929" s="162"/>
      <c r="D929" s="140"/>
      <c r="E929" s="141"/>
      <c r="F929" s="142"/>
      <c r="G929" s="143"/>
      <c r="H929" s="144"/>
      <c r="I929" s="145"/>
      <c r="J929" s="146"/>
      <c r="K929" s="146"/>
      <c r="L929" s="146"/>
    </row>
    <row r="930" ht="15.75" customHeight="1">
      <c r="A930" s="228"/>
      <c r="B930" s="165"/>
      <c r="C930" s="162"/>
      <c r="D930" s="140"/>
      <c r="E930" s="141"/>
      <c r="F930" s="142"/>
      <c r="G930" s="143"/>
      <c r="H930" s="144"/>
      <c r="I930" s="145"/>
      <c r="J930" s="146"/>
      <c r="K930" s="146"/>
      <c r="L930" s="146"/>
    </row>
    <row r="931" ht="15.75" customHeight="1">
      <c r="A931" s="228"/>
      <c r="B931" s="165"/>
      <c r="C931" s="162"/>
      <c r="D931" s="140"/>
      <c r="E931" s="141"/>
      <c r="F931" s="142"/>
      <c r="G931" s="143"/>
      <c r="H931" s="144"/>
      <c r="I931" s="145"/>
      <c r="J931" s="146"/>
      <c r="K931" s="146"/>
      <c r="L931" s="146"/>
    </row>
    <row r="932" ht="15.75" customHeight="1">
      <c r="A932" s="228"/>
      <c r="B932" s="165"/>
      <c r="C932" s="162"/>
      <c r="D932" s="140"/>
      <c r="E932" s="141"/>
      <c r="F932" s="142"/>
      <c r="G932" s="143"/>
      <c r="H932" s="144"/>
      <c r="I932" s="145"/>
      <c r="J932" s="146"/>
      <c r="K932" s="146"/>
      <c r="L932" s="146"/>
    </row>
    <row r="933" ht="15.75" customHeight="1">
      <c r="A933" s="228"/>
      <c r="B933" s="165"/>
      <c r="C933" s="162"/>
      <c r="D933" s="140"/>
      <c r="E933" s="141"/>
      <c r="F933" s="142"/>
      <c r="G933" s="143"/>
      <c r="H933" s="144"/>
      <c r="I933" s="145"/>
      <c r="J933" s="146"/>
      <c r="K933" s="146"/>
      <c r="L933" s="146"/>
    </row>
    <row r="934" ht="15.75" customHeight="1">
      <c r="A934" s="228"/>
      <c r="B934" s="165"/>
      <c r="C934" s="162"/>
      <c r="D934" s="140"/>
      <c r="E934" s="141"/>
      <c r="F934" s="142"/>
      <c r="G934" s="143"/>
      <c r="H934" s="144"/>
      <c r="I934" s="145"/>
      <c r="J934" s="146"/>
      <c r="K934" s="146"/>
      <c r="L934" s="146"/>
    </row>
    <row r="935" ht="15.75" customHeight="1">
      <c r="A935" s="228"/>
      <c r="B935" s="165"/>
      <c r="C935" s="162"/>
      <c r="D935" s="140"/>
      <c r="E935" s="141"/>
      <c r="F935" s="142"/>
      <c r="G935" s="143"/>
      <c r="H935" s="144"/>
      <c r="I935" s="145"/>
      <c r="J935" s="146"/>
      <c r="K935" s="146"/>
      <c r="L935" s="146"/>
    </row>
    <row r="936" ht="15.75" customHeight="1">
      <c r="A936" s="228"/>
      <c r="B936" s="165"/>
      <c r="C936" s="162"/>
      <c r="D936" s="140"/>
      <c r="E936" s="141"/>
      <c r="F936" s="142"/>
      <c r="G936" s="143"/>
      <c r="H936" s="144"/>
      <c r="I936" s="145"/>
      <c r="J936" s="146"/>
      <c r="K936" s="146"/>
      <c r="L936" s="146"/>
    </row>
    <row r="937" ht="15.75" customHeight="1">
      <c r="A937" s="228"/>
      <c r="B937" s="165"/>
      <c r="C937" s="162"/>
      <c r="D937" s="140"/>
      <c r="E937" s="141"/>
      <c r="F937" s="142"/>
      <c r="G937" s="143"/>
      <c r="H937" s="144"/>
      <c r="I937" s="145"/>
      <c r="J937" s="146"/>
      <c r="K937" s="146"/>
      <c r="L937" s="146"/>
    </row>
    <row r="938" ht="15.75" customHeight="1">
      <c r="A938" s="228"/>
      <c r="B938" s="165"/>
      <c r="C938" s="162"/>
      <c r="D938" s="140"/>
      <c r="E938" s="141"/>
      <c r="F938" s="142"/>
      <c r="G938" s="143"/>
      <c r="H938" s="144"/>
      <c r="I938" s="145"/>
      <c r="J938" s="146"/>
      <c r="K938" s="146"/>
      <c r="L938" s="146"/>
    </row>
    <row r="939" ht="15.75" customHeight="1">
      <c r="A939" s="228"/>
      <c r="B939" s="165"/>
      <c r="C939" s="162"/>
      <c r="D939" s="140"/>
      <c r="E939" s="141"/>
      <c r="F939" s="142"/>
      <c r="G939" s="143"/>
      <c r="H939" s="144"/>
      <c r="I939" s="145"/>
      <c r="J939" s="146"/>
      <c r="K939" s="146"/>
      <c r="L939" s="146"/>
    </row>
    <row r="940" ht="15.75" customHeight="1">
      <c r="A940" s="228"/>
      <c r="B940" s="165"/>
      <c r="C940" s="162"/>
      <c r="D940" s="140"/>
      <c r="E940" s="141"/>
      <c r="F940" s="142"/>
      <c r="G940" s="143"/>
      <c r="H940" s="144"/>
      <c r="I940" s="145"/>
      <c r="J940" s="146"/>
      <c r="K940" s="146"/>
      <c r="L940" s="146"/>
    </row>
    <row r="941" ht="15.75" customHeight="1">
      <c r="A941" s="228"/>
      <c r="B941" s="165"/>
      <c r="C941" s="162"/>
      <c r="D941" s="140"/>
      <c r="E941" s="141"/>
      <c r="F941" s="142"/>
      <c r="G941" s="143"/>
      <c r="H941" s="144"/>
      <c r="I941" s="145"/>
      <c r="J941" s="146"/>
      <c r="K941" s="146"/>
      <c r="L941" s="146"/>
    </row>
    <row r="942" ht="15.75" customHeight="1">
      <c r="A942" s="228"/>
      <c r="B942" s="165"/>
      <c r="C942" s="162"/>
      <c r="D942" s="140"/>
      <c r="E942" s="141"/>
      <c r="F942" s="142"/>
      <c r="G942" s="143"/>
      <c r="H942" s="144"/>
      <c r="I942" s="145"/>
      <c r="J942" s="146"/>
      <c r="K942" s="146"/>
      <c r="L942" s="146"/>
    </row>
    <row r="943" ht="15.75" customHeight="1">
      <c r="A943" s="228"/>
      <c r="B943" s="165"/>
      <c r="C943" s="162"/>
      <c r="D943" s="140"/>
      <c r="E943" s="141"/>
      <c r="F943" s="142"/>
      <c r="G943" s="143"/>
      <c r="H943" s="144"/>
      <c r="I943" s="145"/>
      <c r="J943" s="146"/>
      <c r="K943" s="146"/>
      <c r="L943" s="146"/>
    </row>
    <row r="944" ht="15.75" customHeight="1">
      <c r="A944" s="228"/>
      <c r="B944" s="165"/>
      <c r="C944" s="162"/>
      <c r="D944" s="140"/>
      <c r="E944" s="141"/>
      <c r="F944" s="142"/>
      <c r="G944" s="143"/>
      <c r="H944" s="144"/>
      <c r="I944" s="145"/>
      <c r="J944" s="146"/>
      <c r="K944" s="146"/>
      <c r="L944" s="146"/>
    </row>
    <row r="945" ht="15.75" customHeight="1">
      <c r="A945" s="228"/>
      <c r="B945" s="165"/>
      <c r="C945" s="162"/>
      <c r="D945" s="140"/>
      <c r="E945" s="141"/>
      <c r="F945" s="142"/>
      <c r="G945" s="143"/>
      <c r="H945" s="144"/>
      <c r="I945" s="145"/>
      <c r="J945" s="146"/>
      <c r="K945" s="146"/>
      <c r="L945" s="146"/>
    </row>
    <row r="946" ht="15.75" customHeight="1">
      <c r="A946" s="228"/>
      <c r="B946" s="165"/>
      <c r="C946" s="162"/>
      <c r="D946" s="140"/>
      <c r="E946" s="141"/>
      <c r="F946" s="142"/>
      <c r="G946" s="143"/>
      <c r="H946" s="144"/>
      <c r="I946" s="145"/>
      <c r="J946" s="146"/>
      <c r="K946" s="146"/>
      <c r="L946" s="146"/>
    </row>
    <row r="947" ht="15.75" customHeight="1">
      <c r="A947" s="228"/>
      <c r="B947" s="165"/>
      <c r="C947" s="162"/>
      <c r="D947" s="140"/>
      <c r="E947" s="141"/>
      <c r="F947" s="142"/>
      <c r="G947" s="143"/>
      <c r="H947" s="144"/>
      <c r="I947" s="145"/>
      <c r="J947" s="146"/>
      <c r="K947" s="146"/>
      <c r="L947" s="146"/>
    </row>
    <row r="948" ht="15.75" customHeight="1">
      <c r="A948" s="228"/>
      <c r="B948" s="165"/>
      <c r="C948" s="162"/>
      <c r="D948" s="140"/>
      <c r="E948" s="141"/>
      <c r="F948" s="142"/>
      <c r="G948" s="143"/>
      <c r="H948" s="144"/>
      <c r="I948" s="145"/>
      <c r="J948" s="146"/>
      <c r="K948" s="146"/>
      <c r="L948" s="146"/>
    </row>
    <row r="949" ht="15.75" customHeight="1">
      <c r="A949" s="228"/>
      <c r="B949" s="165"/>
      <c r="C949" s="162"/>
      <c r="D949" s="140"/>
      <c r="E949" s="141"/>
      <c r="F949" s="142"/>
      <c r="G949" s="143"/>
      <c r="H949" s="144"/>
      <c r="I949" s="145"/>
      <c r="J949" s="146"/>
      <c r="K949" s="146"/>
      <c r="L949" s="146"/>
    </row>
    <row r="950" ht="15.75" customHeight="1">
      <c r="A950" s="228"/>
      <c r="B950" s="165"/>
      <c r="C950" s="162"/>
      <c r="D950" s="140"/>
      <c r="E950" s="141"/>
      <c r="F950" s="142"/>
      <c r="G950" s="143"/>
      <c r="H950" s="144"/>
      <c r="I950" s="145"/>
      <c r="J950" s="146"/>
      <c r="K950" s="146"/>
      <c r="L950" s="146"/>
    </row>
    <row r="951" ht="15.75" customHeight="1">
      <c r="A951" s="228"/>
      <c r="B951" s="165"/>
      <c r="C951" s="162"/>
      <c r="D951" s="140"/>
      <c r="E951" s="141"/>
      <c r="F951" s="142"/>
      <c r="G951" s="143"/>
      <c r="H951" s="144"/>
      <c r="I951" s="145"/>
      <c r="J951" s="146"/>
      <c r="K951" s="146"/>
      <c r="L951" s="146"/>
    </row>
    <row r="952" ht="15.75" customHeight="1">
      <c r="A952" s="228"/>
      <c r="B952" s="165"/>
      <c r="C952" s="162"/>
      <c r="D952" s="140"/>
      <c r="E952" s="141"/>
      <c r="F952" s="142"/>
      <c r="G952" s="143"/>
      <c r="H952" s="144"/>
      <c r="I952" s="145"/>
      <c r="J952" s="146"/>
      <c r="K952" s="146"/>
      <c r="L952" s="146"/>
    </row>
    <row r="953" ht="15.75" customHeight="1">
      <c r="A953" s="228"/>
      <c r="B953" s="165"/>
      <c r="C953" s="162"/>
      <c r="D953" s="140"/>
      <c r="E953" s="141"/>
      <c r="F953" s="142"/>
      <c r="G953" s="143"/>
      <c r="H953" s="144"/>
      <c r="I953" s="145"/>
      <c r="J953" s="146"/>
      <c r="K953" s="146"/>
      <c r="L953" s="146"/>
    </row>
    <row r="954" ht="15.75" customHeight="1">
      <c r="A954" s="228"/>
      <c r="B954" s="165"/>
      <c r="C954" s="162"/>
      <c r="D954" s="140"/>
      <c r="E954" s="141"/>
      <c r="F954" s="142"/>
      <c r="G954" s="143"/>
      <c r="H954" s="144"/>
      <c r="I954" s="145"/>
      <c r="J954" s="146"/>
      <c r="K954" s="146"/>
      <c r="L954" s="146"/>
    </row>
    <row r="955" ht="15.75" customHeight="1">
      <c r="A955" s="228"/>
      <c r="B955" s="165"/>
      <c r="C955" s="162"/>
      <c r="D955" s="140"/>
      <c r="E955" s="141"/>
      <c r="F955" s="142"/>
      <c r="G955" s="143"/>
      <c r="H955" s="144"/>
      <c r="I955" s="145"/>
      <c r="J955" s="146"/>
      <c r="K955" s="146"/>
      <c r="L955" s="146"/>
    </row>
    <row r="956" ht="15.75" customHeight="1">
      <c r="A956" s="228"/>
      <c r="B956" s="165"/>
      <c r="C956" s="162"/>
      <c r="D956" s="140"/>
      <c r="E956" s="141"/>
      <c r="F956" s="142"/>
      <c r="G956" s="143"/>
      <c r="H956" s="144"/>
      <c r="I956" s="145"/>
      <c r="J956" s="146"/>
      <c r="K956" s="146"/>
      <c r="L956" s="146"/>
    </row>
    <row r="957" ht="15.75" customHeight="1">
      <c r="A957" s="228"/>
      <c r="B957" s="165"/>
      <c r="C957" s="162"/>
      <c r="D957" s="140"/>
      <c r="E957" s="141"/>
      <c r="F957" s="142"/>
      <c r="G957" s="143"/>
      <c r="H957" s="144"/>
      <c r="I957" s="145"/>
      <c r="J957" s="146"/>
      <c r="K957" s="146"/>
      <c r="L957" s="146"/>
    </row>
    <row r="958" ht="15.75" customHeight="1">
      <c r="A958" s="228"/>
      <c r="B958" s="165"/>
      <c r="C958" s="162"/>
      <c r="D958" s="140"/>
      <c r="E958" s="141"/>
      <c r="F958" s="142"/>
      <c r="G958" s="143"/>
      <c r="H958" s="144"/>
      <c r="I958" s="145"/>
      <c r="J958" s="146"/>
      <c r="K958" s="146"/>
      <c r="L958" s="146"/>
    </row>
    <row r="959" ht="15.75" customHeight="1">
      <c r="A959" s="228"/>
      <c r="B959" s="165"/>
      <c r="C959" s="162"/>
      <c r="D959" s="140"/>
      <c r="E959" s="141"/>
      <c r="F959" s="142"/>
      <c r="G959" s="143"/>
      <c r="H959" s="144"/>
      <c r="I959" s="145"/>
      <c r="J959" s="146"/>
      <c r="K959" s="146"/>
      <c r="L959" s="146"/>
    </row>
    <row r="960" ht="15.75" customHeight="1">
      <c r="A960" s="228"/>
      <c r="B960" s="165"/>
      <c r="C960" s="162"/>
      <c r="D960" s="140"/>
      <c r="E960" s="141"/>
      <c r="F960" s="142"/>
      <c r="G960" s="143"/>
      <c r="H960" s="144"/>
      <c r="I960" s="145"/>
      <c r="J960" s="146"/>
      <c r="K960" s="146"/>
      <c r="L960" s="146"/>
    </row>
    <row r="961" ht="15.75" customHeight="1">
      <c r="A961" s="228"/>
      <c r="B961" s="165"/>
      <c r="C961" s="162"/>
      <c r="D961" s="140"/>
      <c r="E961" s="141"/>
      <c r="F961" s="142"/>
      <c r="G961" s="143"/>
      <c r="H961" s="144"/>
      <c r="I961" s="145"/>
      <c r="J961" s="146"/>
      <c r="K961" s="146"/>
      <c r="L961" s="146"/>
    </row>
    <row r="962" ht="15.75" customHeight="1">
      <c r="A962" s="228"/>
      <c r="B962" s="165"/>
      <c r="C962" s="162"/>
      <c r="D962" s="140"/>
      <c r="E962" s="141"/>
      <c r="F962" s="142"/>
      <c r="G962" s="143"/>
      <c r="H962" s="144"/>
      <c r="I962" s="145"/>
      <c r="J962" s="146"/>
      <c r="K962" s="146"/>
      <c r="L962" s="146"/>
    </row>
    <row r="963" ht="15.75" customHeight="1">
      <c r="A963" s="228"/>
      <c r="B963" s="165"/>
      <c r="C963" s="162"/>
      <c r="D963" s="140"/>
      <c r="E963" s="141"/>
      <c r="F963" s="142"/>
      <c r="G963" s="143"/>
      <c r="H963" s="144"/>
      <c r="I963" s="145"/>
      <c r="J963" s="146"/>
      <c r="K963" s="146"/>
      <c r="L963" s="146"/>
    </row>
    <row r="964" ht="15.75" customHeight="1">
      <c r="A964" s="228"/>
      <c r="B964" s="165"/>
      <c r="C964" s="162"/>
      <c r="D964" s="140"/>
      <c r="E964" s="141"/>
      <c r="F964" s="142"/>
      <c r="G964" s="143"/>
      <c r="H964" s="144"/>
      <c r="I964" s="145"/>
      <c r="J964" s="146"/>
      <c r="K964" s="146"/>
      <c r="L964" s="146"/>
    </row>
    <row r="965" ht="15.75" customHeight="1">
      <c r="A965" s="228"/>
      <c r="B965" s="165"/>
      <c r="C965" s="162"/>
      <c r="D965" s="140"/>
      <c r="E965" s="141"/>
      <c r="F965" s="142"/>
      <c r="G965" s="143"/>
      <c r="H965" s="144"/>
      <c r="I965" s="145"/>
      <c r="J965" s="146"/>
      <c r="K965" s="146"/>
      <c r="L965" s="146"/>
    </row>
    <row r="966" ht="15.75" customHeight="1">
      <c r="A966" s="228"/>
      <c r="B966" s="165"/>
      <c r="C966" s="162"/>
      <c r="D966" s="140"/>
      <c r="E966" s="141"/>
      <c r="F966" s="142"/>
      <c r="G966" s="143"/>
      <c r="H966" s="144"/>
      <c r="I966" s="145"/>
      <c r="J966" s="146"/>
      <c r="K966" s="146"/>
      <c r="L966" s="146"/>
    </row>
    <row r="967" ht="15.75" customHeight="1">
      <c r="A967" s="228"/>
      <c r="B967" s="165"/>
      <c r="C967" s="162"/>
      <c r="D967" s="140"/>
      <c r="E967" s="141"/>
      <c r="F967" s="142"/>
      <c r="G967" s="143"/>
      <c r="H967" s="144"/>
      <c r="I967" s="145"/>
      <c r="J967" s="146"/>
      <c r="K967" s="146"/>
      <c r="L967" s="146"/>
    </row>
    <row r="968" ht="15.75" customHeight="1">
      <c r="A968" s="228"/>
      <c r="B968" s="165"/>
      <c r="C968" s="162"/>
      <c r="D968" s="140"/>
      <c r="E968" s="141"/>
      <c r="F968" s="142"/>
      <c r="G968" s="143"/>
      <c r="H968" s="144"/>
      <c r="I968" s="145"/>
      <c r="J968" s="146"/>
      <c r="K968" s="146"/>
      <c r="L968" s="146"/>
    </row>
    <row r="969" ht="15.75" customHeight="1">
      <c r="A969" s="228"/>
      <c r="B969" s="165"/>
      <c r="C969" s="162"/>
      <c r="D969" s="140"/>
      <c r="E969" s="141"/>
      <c r="F969" s="142"/>
      <c r="G969" s="143"/>
      <c r="H969" s="144"/>
      <c r="I969" s="145"/>
      <c r="J969" s="146"/>
      <c r="K969" s="146"/>
      <c r="L969" s="146"/>
    </row>
    <row r="970" ht="15.75" customHeight="1">
      <c r="A970" s="228"/>
      <c r="B970" s="165"/>
      <c r="C970" s="162"/>
      <c r="D970" s="140"/>
      <c r="E970" s="141"/>
      <c r="F970" s="142"/>
      <c r="G970" s="143"/>
      <c r="H970" s="144"/>
      <c r="I970" s="145"/>
      <c r="J970" s="146"/>
      <c r="K970" s="146"/>
      <c r="L970" s="146"/>
    </row>
    <row r="971" ht="15.75" customHeight="1">
      <c r="A971" s="228"/>
      <c r="B971" s="165"/>
      <c r="C971" s="162"/>
      <c r="D971" s="140"/>
      <c r="E971" s="141"/>
      <c r="F971" s="142"/>
      <c r="G971" s="143"/>
      <c r="H971" s="144"/>
      <c r="I971" s="145"/>
      <c r="J971" s="146"/>
      <c r="K971" s="146"/>
      <c r="L971" s="146"/>
    </row>
    <row r="972" ht="15.75" customHeight="1">
      <c r="A972" s="228"/>
      <c r="B972" s="165"/>
      <c r="C972" s="162"/>
      <c r="D972" s="140"/>
      <c r="E972" s="141"/>
      <c r="F972" s="142"/>
      <c r="G972" s="143"/>
      <c r="H972" s="144"/>
      <c r="I972" s="145"/>
      <c r="J972" s="146"/>
      <c r="K972" s="146"/>
      <c r="L972" s="146"/>
    </row>
    <row r="973" ht="15.75" customHeight="1">
      <c r="A973" s="228"/>
      <c r="B973" s="165"/>
      <c r="C973" s="162"/>
      <c r="D973" s="140"/>
      <c r="E973" s="141"/>
      <c r="F973" s="142"/>
      <c r="G973" s="143"/>
      <c r="H973" s="144"/>
      <c r="I973" s="145"/>
      <c r="J973" s="146"/>
      <c r="K973" s="146"/>
      <c r="L973" s="146"/>
    </row>
    <row r="974" ht="15.75" customHeight="1">
      <c r="A974" s="228"/>
      <c r="B974" s="165"/>
      <c r="C974" s="162"/>
      <c r="D974" s="140"/>
      <c r="E974" s="141"/>
      <c r="F974" s="142"/>
      <c r="G974" s="143"/>
      <c r="H974" s="144"/>
      <c r="I974" s="145"/>
      <c r="J974" s="146"/>
      <c r="K974" s="146"/>
      <c r="L974" s="146"/>
    </row>
    <row r="975" ht="15.75" customHeight="1">
      <c r="A975" s="228"/>
      <c r="B975" s="165"/>
      <c r="C975" s="162"/>
      <c r="D975" s="140"/>
      <c r="E975" s="141"/>
      <c r="F975" s="142"/>
      <c r="G975" s="143"/>
      <c r="H975" s="144"/>
      <c r="I975" s="145"/>
      <c r="J975" s="146"/>
      <c r="K975" s="146"/>
      <c r="L975" s="146"/>
    </row>
    <row r="976" ht="15.75" customHeight="1">
      <c r="A976" s="228"/>
      <c r="B976" s="165"/>
      <c r="C976" s="162"/>
      <c r="D976" s="140"/>
      <c r="E976" s="141"/>
      <c r="F976" s="142"/>
      <c r="G976" s="143"/>
      <c r="H976" s="144"/>
      <c r="I976" s="145"/>
      <c r="J976" s="146"/>
      <c r="K976" s="146"/>
      <c r="L976" s="146"/>
    </row>
    <row r="977" ht="15.75" customHeight="1">
      <c r="A977" s="228"/>
      <c r="B977" s="165"/>
      <c r="C977" s="162"/>
      <c r="D977" s="140"/>
      <c r="E977" s="141"/>
      <c r="F977" s="142"/>
      <c r="G977" s="143"/>
      <c r="H977" s="144"/>
      <c r="I977" s="145"/>
      <c r="J977" s="146"/>
      <c r="K977" s="146"/>
      <c r="L977" s="146"/>
    </row>
    <row r="978" ht="15.75" customHeight="1">
      <c r="A978" s="228"/>
      <c r="B978" s="165"/>
      <c r="C978" s="162"/>
      <c r="D978" s="140"/>
      <c r="E978" s="141"/>
      <c r="F978" s="142"/>
      <c r="G978" s="143"/>
      <c r="H978" s="144"/>
      <c r="I978" s="145"/>
      <c r="J978" s="146"/>
      <c r="K978" s="146"/>
      <c r="L978" s="146"/>
    </row>
    <row r="979" ht="15.75" customHeight="1">
      <c r="A979" s="228"/>
      <c r="B979" s="165"/>
      <c r="C979" s="162"/>
      <c r="D979" s="140"/>
      <c r="E979" s="141"/>
      <c r="F979" s="142"/>
      <c r="G979" s="143"/>
      <c r="H979" s="144"/>
      <c r="I979" s="145"/>
      <c r="J979" s="146"/>
      <c r="K979" s="146"/>
      <c r="L979" s="146"/>
    </row>
    <row r="980" ht="15.75" customHeight="1">
      <c r="A980" s="228"/>
      <c r="B980" s="165"/>
      <c r="C980" s="162"/>
      <c r="D980" s="140"/>
      <c r="E980" s="141"/>
      <c r="F980" s="142"/>
      <c r="G980" s="143"/>
      <c r="H980" s="144"/>
      <c r="I980" s="145"/>
      <c r="J980" s="146"/>
      <c r="K980" s="146"/>
      <c r="L980" s="146"/>
    </row>
    <row r="981" ht="15.75" customHeight="1">
      <c r="A981" s="228"/>
      <c r="B981" s="165"/>
      <c r="C981" s="162"/>
      <c r="D981" s="140"/>
      <c r="E981" s="141"/>
      <c r="F981" s="142"/>
      <c r="G981" s="143"/>
      <c r="H981" s="144"/>
      <c r="I981" s="145"/>
      <c r="J981" s="146"/>
      <c r="K981" s="146"/>
      <c r="L981" s="146"/>
    </row>
    <row r="982" ht="15.75" customHeight="1">
      <c r="A982" s="228"/>
      <c r="B982" s="165"/>
      <c r="C982" s="162"/>
      <c r="D982" s="140"/>
      <c r="E982" s="141"/>
      <c r="F982" s="142"/>
      <c r="G982" s="143"/>
      <c r="H982" s="144"/>
      <c r="I982" s="145"/>
      <c r="J982" s="146"/>
      <c r="K982" s="146"/>
      <c r="L982" s="146"/>
    </row>
    <row r="983" ht="15.75" customHeight="1">
      <c r="A983" s="228"/>
      <c r="B983" s="165"/>
      <c r="C983" s="162"/>
      <c r="D983" s="140"/>
      <c r="E983" s="141"/>
      <c r="F983" s="142"/>
      <c r="G983" s="143"/>
      <c r="H983" s="144"/>
      <c r="I983" s="145"/>
      <c r="J983" s="146"/>
      <c r="K983" s="146"/>
      <c r="L983" s="146"/>
    </row>
    <row r="984" ht="15.75" customHeight="1">
      <c r="A984" s="228"/>
      <c r="B984" s="165"/>
      <c r="C984" s="162"/>
      <c r="D984" s="140"/>
      <c r="E984" s="141"/>
      <c r="F984" s="142"/>
      <c r="G984" s="143"/>
      <c r="H984" s="144"/>
      <c r="I984" s="145"/>
      <c r="J984" s="146"/>
      <c r="K984" s="146"/>
      <c r="L984" s="146"/>
    </row>
    <row r="985" ht="15.75" customHeight="1">
      <c r="A985" s="228"/>
      <c r="B985" s="165"/>
      <c r="C985" s="162"/>
      <c r="D985" s="140"/>
      <c r="E985" s="141"/>
      <c r="F985" s="142"/>
      <c r="G985" s="143"/>
      <c r="H985" s="144"/>
      <c r="I985" s="145"/>
      <c r="J985" s="146"/>
      <c r="K985" s="146"/>
      <c r="L985" s="146"/>
    </row>
    <row r="986" ht="15.75" customHeight="1">
      <c r="A986" s="228"/>
      <c r="B986" s="165"/>
      <c r="C986" s="162"/>
      <c r="D986" s="140"/>
      <c r="E986" s="141"/>
      <c r="F986" s="142"/>
      <c r="G986" s="143"/>
      <c r="H986" s="144"/>
      <c r="I986" s="145"/>
      <c r="J986" s="146"/>
      <c r="K986" s="146"/>
      <c r="L986" s="146"/>
    </row>
    <row r="987" ht="15.75" customHeight="1">
      <c r="A987" s="228"/>
      <c r="B987" s="165"/>
      <c r="C987" s="162"/>
      <c r="D987" s="140"/>
      <c r="E987" s="141"/>
      <c r="F987" s="142"/>
      <c r="G987" s="143"/>
      <c r="H987" s="144"/>
      <c r="I987" s="145"/>
      <c r="J987" s="146"/>
      <c r="K987" s="146"/>
      <c r="L987" s="146"/>
    </row>
    <row r="988" ht="15.75" customHeight="1">
      <c r="A988" s="228"/>
      <c r="B988" s="165"/>
      <c r="C988" s="162"/>
      <c r="D988" s="140"/>
      <c r="E988" s="141"/>
      <c r="F988" s="142"/>
      <c r="G988" s="143"/>
      <c r="H988" s="144"/>
      <c r="I988" s="145"/>
      <c r="J988" s="146"/>
      <c r="K988" s="146"/>
      <c r="L988" s="146"/>
    </row>
    <row r="989" ht="15.75" customHeight="1">
      <c r="A989" s="228"/>
      <c r="B989" s="165"/>
      <c r="C989" s="162"/>
      <c r="D989" s="140"/>
      <c r="E989" s="141"/>
      <c r="F989" s="142"/>
      <c r="G989" s="143"/>
      <c r="H989" s="144"/>
      <c r="I989" s="145"/>
      <c r="J989" s="146"/>
      <c r="K989" s="146"/>
      <c r="L989" s="146"/>
    </row>
    <row r="990" ht="15.75" customHeight="1">
      <c r="A990" s="228"/>
      <c r="B990" s="165"/>
      <c r="C990" s="162"/>
      <c r="D990" s="140"/>
      <c r="E990" s="141"/>
      <c r="F990" s="142"/>
      <c r="G990" s="143"/>
      <c r="H990" s="144"/>
      <c r="I990" s="145"/>
      <c r="J990" s="146"/>
      <c r="K990" s="146"/>
      <c r="L990" s="146"/>
    </row>
    <row r="991" ht="15.75" customHeight="1">
      <c r="A991" s="228"/>
      <c r="B991" s="165"/>
      <c r="C991" s="162"/>
      <c r="D991" s="140"/>
      <c r="E991" s="141"/>
      <c r="F991" s="142"/>
      <c r="G991" s="143"/>
      <c r="H991" s="144"/>
      <c r="I991" s="145"/>
      <c r="J991" s="146"/>
      <c r="K991" s="146"/>
      <c r="L991" s="146"/>
    </row>
    <row r="992" ht="15.75" customHeight="1">
      <c r="A992" s="228"/>
      <c r="B992" s="165"/>
      <c r="C992" s="162"/>
      <c r="D992" s="140"/>
      <c r="E992" s="141"/>
      <c r="F992" s="142"/>
      <c r="G992" s="143"/>
      <c r="H992" s="144"/>
      <c r="I992" s="145"/>
      <c r="J992" s="146"/>
      <c r="K992" s="146"/>
      <c r="L992" s="146"/>
    </row>
    <row r="993" ht="15.75" customHeight="1">
      <c r="A993" s="228"/>
      <c r="B993" s="165"/>
      <c r="C993" s="162"/>
      <c r="D993" s="140"/>
      <c r="E993" s="141"/>
      <c r="F993" s="142"/>
      <c r="G993" s="143"/>
      <c r="H993" s="144"/>
      <c r="I993" s="145"/>
      <c r="J993" s="146"/>
      <c r="K993" s="146"/>
      <c r="L993" s="146"/>
    </row>
    <row r="994" ht="15.75" customHeight="1">
      <c r="A994" s="228"/>
      <c r="B994" s="165"/>
      <c r="C994" s="162"/>
      <c r="D994" s="140"/>
      <c r="E994" s="141"/>
      <c r="F994" s="142"/>
      <c r="G994" s="143"/>
      <c r="H994" s="144"/>
      <c r="I994" s="145"/>
      <c r="J994" s="146"/>
      <c r="K994" s="146"/>
      <c r="L994" s="146"/>
    </row>
    <row r="995" ht="15.75" customHeight="1">
      <c r="A995" s="228"/>
      <c r="B995" s="165"/>
      <c r="C995" s="162"/>
      <c r="D995" s="140"/>
      <c r="E995" s="141"/>
      <c r="F995" s="142"/>
      <c r="G995" s="143"/>
      <c r="H995" s="144"/>
      <c r="I995" s="145"/>
      <c r="J995" s="146"/>
      <c r="K995" s="146"/>
      <c r="L995" s="146"/>
    </row>
    <row r="996" ht="15.75" customHeight="1">
      <c r="A996" s="228"/>
      <c r="B996" s="165"/>
      <c r="C996" s="162"/>
      <c r="D996" s="140"/>
      <c r="E996" s="141"/>
      <c r="F996" s="142"/>
      <c r="G996" s="143"/>
      <c r="H996" s="144"/>
      <c r="I996" s="145"/>
      <c r="J996" s="146"/>
      <c r="K996" s="146"/>
      <c r="L996" s="146"/>
    </row>
    <row r="997" ht="15.75" customHeight="1">
      <c r="A997" s="228"/>
      <c r="B997" s="165"/>
      <c r="C997" s="162"/>
      <c r="D997" s="140"/>
      <c r="E997" s="141"/>
      <c r="F997" s="142"/>
      <c r="G997" s="143"/>
      <c r="H997" s="144"/>
      <c r="I997" s="145"/>
      <c r="J997" s="146"/>
      <c r="K997" s="146"/>
      <c r="L997" s="146"/>
    </row>
    <row r="998" ht="15.75" customHeight="1">
      <c r="A998" s="228"/>
      <c r="B998" s="165"/>
      <c r="C998" s="162"/>
      <c r="D998" s="140"/>
      <c r="E998" s="141"/>
      <c r="F998" s="142"/>
      <c r="G998" s="143"/>
      <c r="H998" s="144"/>
      <c r="I998" s="145"/>
      <c r="J998" s="146"/>
      <c r="K998" s="146"/>
      <c r="L998" s="146"/>
    </row>
    <row r="999" ht="15.75" customHeight="1">
      <c r="A999" s="228"/>
      <c r="B999" s="165"/>
      <c r="C999" s="162"/>
      <c r="D999" s="140"/>
      <c r="E999" s="141"/>
      <c r="F999" s="142"/>
      <c r="G999" s="143"/>
      <c r="H999" s="144"/>
      <c r="I999" s="145"/>
      <c r="J999" s="146"/>
      <c r="K999" s="146"/>
      <c r="L999" s="146"/>
    </row>
    <row r="1000" ht="15.75" customHeight="1">
      <c r="A1000" s="228"/>
      <c r="B1000" s="165"/>
      <c r="C1000" s="162"/>
      <c r="D1000" s="140"/>
      <c r="E1000" s="141"/>
      <c r="F1000" s="142"/>
      <c r="G1000" s="143"/>
      <c r="H1000" s="144"/>
      <c r="I1000" s="145"/>
      <c r="J1000" s="146"/>
      <c r="K1000" s="146"/>
      <c r="L1000" s="146"/>
    </row>
  </sheetData>
  <dataValidations>
    <dataValidation type="list" allowBlank="1" showErrorMessage="1" sqref="D3:D10">
      <formula1>"I,II,III,IV,V,VI,VII,VIII,IX,X,XI,XII,Sem informação"</formula1>
    </dataValidation>
  </dataValidations>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0"/>
  <cols>
    <col customWidth="1" min="1" max="1" width="1.25"/>
    <col customWidth="1" min="2" max="2" width="21.88"/>
    <col customWidth="1" min="3" max="3" width="25.13"/>
    <col customWidth="1" min="4" max="4" width="10.25"/>
    <col customWidth="1" min="5" max="5" width="13.88"/>
    <col customWidth="1" min="6" max="6" width="42.13"/>
    <col customWidth="1" min="7" max="7" width="20.0"/>
    <col customWidth="1" min="8" max="8" width="18.25"/>
    <col customWidth="1" min="9" max="9" width="40.13"/>
    <col customWidth="1" min="10" max="10" width="19.25"/>
    <col customWidth="1" min="11" max="11" width="17.13"/>
    <col customWidth="1" min="12" max="12" width="14.13"/>
    <col customWidth="1" min="13" max="15" width="16.0"/>
  </cols>
  <sheetData>
    <row r="1" ht="89.25" customHeight="1">
      <c r="A1" s="2"/>
      <c r="B1" s="4"/>
      <c r="C1" s="6"/>
      <c r="D1" s="7"/>
      <c r="E1" s="7"/>
      <c r="F1" s="7"/>
      <c r="G1" s="6"/>
      <c r="H1" s="10"/>
      <c r="I1" s="6"/>
      <c r="J1" s="11"/>
      <c r="K1" s="12"/>
      <c r="L1" s="12"/>
      <c r="M1" s="12"/>
      <c r="N1" s="12"/>
      <c r="O1" s="12"/>
    </row>
    <row r="2" ht="36.75" customHeight="1">
      <c r="A2" s="16"/>
      <c r="B2" s="22" t="s">
        <v>4</v>
      </c>
      <c r="C2" s="24" t="s">
        <v>2</v>
      </c>
      <c r="D2" s="28" t="s">
        <v>3</v>
      </c>
      <c r="E2" s="28" t="s">
        <v>10</v>
      </c>
      <c r="F2" s="28" t="s">
        <v>9</v>
      </c>
      <c r="G2" s="28" t="s">
        <v>11</v>
      </c>
      <c r="H2" s="28" t="s">
        <v>12</v>
      </c>
      <c r="I2" s="28" t="s">
        <v>18</v>
      </c>
      <c r="J2" s="30" t="s">
        <v>20</v>
      </c>
      <c r="K2" s="30" t="s">
        <v>23</v>
      </c>
      <c r="L2" s="30" t="s">
        <v>25</v>
      </c>
      <c r="M2" s="30" t="s">
        <v>27</v>
      </c>
      <c r="N2" s="30" t="s">
        <v>28</v>
      </c>
      <c r="O2" s="30" t="s">
        <v>27</v>
      </c>
    </row>
    <row r="3" ht="137.25" customHeight="1">
      <c r="A3" s="40"/>
      <c r="B3" s="45" t="s">
        <v>43</v>
      </c>
      <c r="C3" s="52" t="s">
        <v>46</v>
      </c>
      <c r="D3" s="56" t="s">
        <v>50</v>
      </c>
      <c r="E3" s="58" t="s">
        <v>32</v>
      </c>
      <c r="F3" s="58" t="s">
        <v>54</v>
      </c>
      <c r="G3" s="61">
        <v>53.0</v>
      </c>
      <c r="H3" s="58">
        <v>1052154.31</v>
      </c>
      <c r="I3" s="64" t="s">
        <v>55</v>
      </c>
      <c r="J3" s="65"/>
      <c r="K3" s="66"/>
      <c r="L3" s="67"/>
      <c r="M3" s="66"/>
      <c r="N3" s="68"/>
      <c r="O3" s="68"/>
    </row>
    <row r="4" ht="137.25" customHeight="1">
      <c r="A4" s="69"/>
      <c r="B4" s="70" t="s">
        <v>56</v>
      </c>
      <c r="C4" s="71" t="s">
        <v>57</v>
      </c>
      <c r="D4" s="72" t="s">
        <v>58</v>
      </c>
      <c r="E4" s="73" t="s">
        <v>32</v>
      </c>
      <c r="F4" s="73" t="s">
        <v>59</v>
      </c>
      <c r="G4" s="72">
        <v>114.0</v>
      </c>
      <c r="H4" s="74">
        <v>475385.55</v>
      </c>
      <c r="I4" s="75" t="s">
        <v>60</v>
      </c>
      <c r="J4" s="77"/>
      <c r="K4" s="78">
        <v>70.0</v>
      </c>
      <c r="L4" s="78">
        <v>44.0</v>
      </c>
      <c r="M4" s="77"/>
      <c r="N4" s="80"/>
      <c r="O4" s="80"/>
    </row>
    <row r="5" ht="296.25" customHeight="1">
      <c r="A5" s="81"/>
      <c r="B5" s="82" t="s">
        <v>62</v>
      </c>
      <c r="C5" s="61" t="s">
        <v>63</v>
      </c>
      <c r="D5" s="56" t="s">
        <v>65</v>
      </c>
      <c r="E5" s="83" t="s">
        <v>32</v>
      </c>
      <c r="F5" s="83" t="s">
        <v>66</v>
      </c>
      <c r="G5" s="61">
        <v>66.0</v>
      </c>
      <c r="H5" s="84"/>
      <c r="I5" s="58" t="s">
        <v>69</v>
      </c>
      <c r="J5" s="88">
        <v>42.0</v>
      </c>
      <c r="K5" s="90"/>
      <c r="L5" s="94"/>
      <c r="M5" s="99">
        <v>24.0</v>
      </c>
      <c r="N5" s="101"/>
      <c r="O5" s="101"/>
    </row>
    <row r="6" ht="137.25" customHeight="1">
      <c r="A6" s="69"/>
      <c r="B6" s="70" t="s">
        <v>95</v>
      </c>
      <c r="C6" s="103" t="s">
        <v>97</v>
      </c>
      <c r="D6" s="72" t="s">
        <v>102</v>
      </c>
      <c r="E6" s="73" t="s">
        <v>32</v>
      </c>
      <c r="F6" s="73" t="s">
        <v>104</v>
      </c>
      <c r="G6" s="72">
        <v>84.0</v>
      </c>
      <c r="H6" s="74">
        <v>465962.14</v>
      </c>
      <c r="I6" s="73" t="s">
        <v>107</v>
      </c>
      <c r="J6" s="77"/>
      <c r="K6" s="77"/>
      <c r="L6" s="77"/>
      <c r="M6" s="77"/>
      <c r="N6" s="80"/>
      <c r="O6" s="80"/>
    </row>
    <row r="7" ht="137.25" customHeight="1">
      <c r="A7" s="81"/>
      <c r="B7" s="82" t="s">
        <v>111</v>
      </c>
      <c r="C7" s="61" t="s">
        <v>112</v>
      </c>
      <c r="D7" s="56" t="s">
        <v>114</v>
      </c>
      <c r="E7" s="58" t="s">
        <v>32</v>
      </c>
      <c r="F7" s="58" t="s">
        <v>115</v>
      </c>
      <c r="G7" s="56">
        <v>95.0</v>
      </c>
      <c r="H7" s="58">
        <v>330972.87</v>
      </c>
      <c r="I7" s="58" t="s">
        <v>117</v>
      </c>
      <c r="J7" s="94"/>
      <c r="K7" s="90">
        <v>66.0</v>
      </c>
      <c r="L7" s="90">
        <v>29.0</v>
      </c>
      <c r="M7" s="94"/>
      <c r="N7" s="112"/>
      <c r="O7" s="112"/>
    </row>
    <row r="8" ht="137.25" customHeight="1">
      <c r="A8" s="69"/>
      <c r="B8" s="70" t="s">
        <v>121</v>
      </c>
      <c r="C8" s="103" t="s">
        <v>122</v>
      </c>
      <c r="D8" s="72" t="s">
        <v>114</v>
      </c>
      <c r="E8" s="73" t="s">
        <v>32</v>
      </c>
      <c r="F8" s="73" t="s">
        <v>126</v>
      </c>
      <c r="G8" s="72">
        <v>92.0</v>
      </c>
      <c r="H8" s="118" t="s">
        <v>128</v>
      </c>
      <c r="I8" s="73" t="s">
        <v>131</v>
      </c>
      <c r="J8" s="122"/>
      <c r="K8" s="78">
        <v>59.0</v>
      </c>
      <c r="L8" s="78">
        <v>31.0</v>
      </c>
      <c r="M8" s="77"/>
      <c r="N8" s="126">
        <v>2.0</v>
      </c>
      <c r="O8" s="80"/>
    </row>
    <row r="9" ht="137.25" customHeight="1">
      <c r="A9" s="81"/>
      <c r="B9" s="82" t="s">
        <v>140</v>
      </c>
      <c r="C9" s="128" t="s">
        <v>141</v>
      </c>
      <c r="D9" s="56" t="s">
        <v>138</v>
      </c>
      <c r="E9" s="61" t="s">
        <v>32</v>
      </c>
      <c r="F9" s="130" t="s">
        <v>146</v>
      </c>
      <c r="G9" s="56">
        <v>119.0</v>
      </c>
      <c r="H9" s="132" t="s">
        <v>148</v>
      </c>
      <c r="I9" s="58" t="s">
        <v>151</v>
      </c>
      <c r="J9" s="94"/>
      <c r="K9" s="94"/>
      <c r="L9" s="94"/>
      <c r="M9" s="94"/>
      <c r="N9" s="112"/>
      <c r="O9" s="112"/>
    </row>
    <row r="10" ht="137.25" customHeight="1">
      <c r="A10" s="69"/>
      <c r="B10" s="70" t="s">
        <v>152</v>
      </c>
      <c r="C10" s="103" t="s">
        <v>153</v>
      </c>
      <c r="D10" s="72" t="s">
        <v>138</v>
      </c>
      <c r="E10" s="72" t="s">
        <v>32</v>
      </c>
      <c r="F10" s="73" t="s">
        <v>154</v>
      </c>
      <c r="G10" s="72">
        <v>92.0</v>
      </c>
      <c r="H10" s="74" t="s">
        <v>156</v>
      </c>
      <c r="I10" s="73" t="s">
        <v>157</v>
      </c>
      <c r="J10" s="77"/>
      <c r="K10" s="77"/>
      <c r="L10" s="77"/>
      <c r="M10" s="77"/>
      <c r="N10" s="80"/>
      <c r="O10" s="80"/>
    </row>
    <row r="11" ht="137.25" customHeight="1">
      <c r="A11" s="81"/>
      <c r="B11" s="82" t="s">
        <v>161</v>
      </c>
      <c r="C11" s="61" t="s">
        <v>162</v>
      </c>
      <c r="D11" s="56" t="s">
        <v>58</v>
      </c>
      <c r="E11" s="56" t="s">
        <v>32</v>
      </c>
      <c r="F11" s="58" t="s">
        <v>165</v>
      </c>
      <c r="G11" s="56">
        <v>95.0</v>
      </c>
      <c r="H11" s="58">
        <v>905105.0</v>
      </c>
      <c r="I11" s="58" t="s">
        <v>166</v>
      </c>
      <c r="J11" s="148"/>
      <c r="K11" s="94"/>
      <c r="L11" s="94"/>
      <c r="M11" s="94"/>
      <c r="N11" s="112"/>
      <c r="O11" s="112"/>
    </row>
    <row r="12" ht="137.25" customHeight="1">
      <c r="A12" s="69"/>
      <c r="B12" s="70" t="s">
        <v>171</v>
      </c>
      <c r="C12" s="103" t="s">
        <v>172</v>
      </c>
      <c r="D12" s="72" t="s">
        <v>37</v>
      </c>
      <c r="E12" s="156" t="s">
        <v>32</v>
      </c>
      <c r="F12" s="158" t="s">
        <v>175</v>
      </c>
      <c r="G12" s="72">
        <v>258.0</v>
      </c>
      <c r="H12" s="160" t="s">
        <v>179</v>
      </c>
      <c r="I12" s="73" t="s">
        <v>181</v>
      </c>
      <c r="J12" s="77"/>
      <c r="K12" s="78">
        <v>166.0</v>
      </c>
      <c r="L12" s="78">
        <v>41.0</v>
      </c>
      <c r="M12" s="78"/>
      <c r="N12" s="126"/>
      <c r="O12" s="126"/>
    </row>
    <row r="13" ht="137.25" customHeight="1">
      <c r="A13" s="81"/>
      <c r="B13" s="82" t="s">
        <v>185</v>
      </c>
      <c r="C13" s="61" t="s">
        <v>186</v>
      </c>
      <c r="D13" s="56" t="s">
        <v>188</v>
      </c>
      <c r="E13" s="161" t="s">
        <v>32</v>
      </c>
      <c r="F13" s="58" t="s">
        <v>189</v>
      </c>
      <c r="G13" s="56">
        <v>87.0</v>
      </c>
      <c r="H13" s="58">
        <v>233120.62</v>
      </c>
      <c r="I13" s="58" t="s">
        <v>32</v>
      </c>
      <c r="J13" s="148"/>
      <c r="K13" s="90">
        <v>63.0</v>
      </c>
      <c r="L13" s="90">
        <v>24.0</v>
      </c>
      <c r="M13" s="94"/>
      <c r="N13" s="112"/>
      <c r="O13" s="112"/>
    </row>
    <row r="14" ht="137.25" customHeight="1">
      <c r="A14" s="69"/>
      <c r="B14" s="70" t="s">
        <v>194</v>
      </c>
      <c r="C14" s="71" t="s">
        <v>195</v>
      </c>
      <c r="D14" s="72" t="s">
        <v>94</v>
      </c>
      <c r="E14" s="156" t="s">
        <v>32</v>
      </c>
      <c r="F14" s="73" t="s">
        <v>198</v>
      </c>
      <c r="G14" s="72">
        <v>37.0</v>
      </c>
      <c r="H14" s="73">
        <v>1305568.55</v>
      </c>
      <c r="I14" s="73" t="s">
        <v>202</v>
      </c>
      <c r="J14" s="77"/>
      <c r="K14" s="78">
        <v>14.0</v>
      </c>
      <c r="L14" s="78">
        <v>23.0</v>
      </c>
      <c r="M14" s="78"/>
      <c r="N14" s="126"/>
      <c r="O14" s="126"/>
    </row>
    <row r="15" ht="137.25" customHeight="1">
      <c r="A15" s="81"/>
      <c r="B15" s="82" t="s">
        <v>205</v>
      </c>
      <c r="C15" s="128" t="s">
        <v>207</v>
      </c>
      <c r="D15" s="56" t="s">
        <v>209</v>
      </c>
      <c r="E15" s="161" t="s">
        <v>32</v>
      </c>
      <c r="F15" s="58" t="s">
        <v>211</v>
      </c>
      <c r="G15" s="56">
        <v>74.0</v>
      </c>
      <c r="H15" s="58">
        <v>128308.19</v>
      </c>
      <c r="I15" s="58" t="s">
        <v>213</v>
      </c>
      <c r="J15" s="94"/>
      <c r="K15" s="90">
        <v>69.0</v>
      </c>
      <c r="L15" s="90">
        <v>5.0</v>
      </c>
      <c r="M15" s="94"/>
      <c r="N15" s="112"/>
      <c r="O15" s="112"/>
    </row>
    <row r="16" ht="137.25" customHeight="1">
      <c r="A16" s="69"/>
      <c r="B16" s="70" t="s">
        <v>216</v>
      </c>
      <c r="C16" s="71" t="s">
        <v>218</v>
      </c>
      <c r="D16" s="72" t="s">
        <v>119</v>
      </c>
      <c r="E16" s="156" t="s">
        <v>32</v>
      </c>
      <c r="F16" s="73" t="s">
        <v>220</v>
      </c>
      <c r="G16" s="72">
        <v>98.0</v>
      </c>
      <c r="H16" s="156">
        <v>718499.64</v>
      </c>
      <c r="I16" s="73" t="s">
        <v>222</v>
      </c>
      <c r="J16" s="77"/>
      <c r="K16" s="77"/>
      <c r="L16" s="77"/>
      <c r="M16" s="78"/>
      <c r="N16" s="126"/>
      <c r="O16" s="126"/>
    </row>
    <row r="17" ht="137.25" customHeight="1">
      <c r="A17" s="81"/>
      <c r="B17" s="82" t="s">
        <v>225</v>
      </c>
      <c r="C17" s="128" t="s">
        <v>226</v>
      </c>
      <c r="D17" s="56" t="s">
        <v>127</v>
      </c>
      <c r="E17" s="166">
        <v>17.0</v>
      </c>
      <c r="F17" s="58" t="s">
        <v>228</v>
      </c>
      <c r="G17" s="56">
        <v>375.0</v>
      </c>
      <c r="H17" s="168" t="s">
        <v>230</v>
      </c>
      <c r="I17" s="58" t="s">
        <v>231</v>
      </c>
      <c r="J17" s="94"/>
      <c r="K17" s="90">
        <v>320.0</v>
      </c>
      <c r="L17" s="90">
        <v>55.0</v>
      </c>
      <c r="M17" s="94"/>
      <c r="N17" s="112"/>
      <c r="O17" s="112"/>
    </row>
    <row r="18" ht="137.25" customHeight="1">
      <c r="A18" s="69"/>
      <c r="B18" s="70" t="s">
        <v>232</v>
      </c>
      <c r="C18" s="71" t="s">
        <v>233</v>
      </c>
      <c r="D18" s="72" t="s">
        <v>50</v>
      </c>
      <c r="E18" s="170">
        <v>18.0</v>
      </c>
      <c r="F18" s="73" t="s">
        <v>237</v>
      </c>
      <c r="G18" s="72" t="s">
        <v>32</v>
      </c>
      <c r="H18" s="73">
        <v>669611.94</v>
      </c>
      <c r="I18" s="73" t="s">
        <v>239</v>
      </c>
      <c r="J18" s="77"/>
      <c r="K18" s="77"/>
      <c r="L18" s="77"/>
      <c r="M18" s="78"/>
      <c r="N18" s="126"/>
      <c r="O18" s="126"/>
    </row>
    <row r="19" ht="137.25" customHeight="1">
      <c r="A19" s="81"/>
      <c r="B19" s="82" t="s">
        <v>242</v>
      </c>
      <c r="C19" s="61" t="s">
        <v>244</v>
      </c>
      <c r="D19" s="56" t="s">
        <v>50</v>
      </c>
      <c r="E19" s="171">
        <v>19.0</v>
      </c>
      <c r="F19" s="58" t="s">
        <v>245</v>
      </c>
      <c r="G19" s="56" t="s">
        <v>32</v>
      </c>
      <c r="H19" s="58">
        <v>679276.27</v>
      </c>
      <c r="I19" s="58" t="s">
        <v>247</v>
      </c>
      <c r="J19" s="94"/>
      <c r="K19" s="94"/>
      <c r="L19" s="94"/>
      <c r="M19" s="94"/>
      <c r="N19" s="112"/>
      <c r="O19" s="112"/>
    </row>
    <row r="20" ht="137.25" customHeight="1">
      <c r="A20" s="69"/>
      <c r="B20" s="70" t="s">
        <v>249</v>
      </c>
      <c r="C20" s="172" t="s">
        <v>250</v>
      </c>
      <c r="D20" s="72" t="s">
        <v>50</v>
      </c>
      <c r="E20" s="170">
        <v>19.0</v>
      </c>
      <c r="F20" s="73" t="s">
        <v>251</v>
      </c>
      <c r="G20" s="72" t="s">
        <v>32</v>
      </c>
      <c r="H20" s="158">
        <v>1851245.45</v>
      </c>
      <c r="I20" s="73" t="s">
        <v>252</v>
      </c>
      <c r="J20" s="173"/>
      <c r="K20" s="77"/>
      <c r="L20" s="77"/>
      <c r="M20" s="78"/>
      <c r="N20" s="126"/>
      <c r="O20" s="126"/>
    </row>
    <row r="21" ht="137.25" customHeight="1">
      <c r="A21" s="81"/>
      <c r="B21" s="82" t="s">
        <v>253</v>
      </c>
      <c r="C21" s="174" t="s">
        <v>254</v>
      </c>
      <c r="D21" s="56" t="s">
        <v>50</v>
      </c>
      <c r="E21" s="171">
        <v>19.0</v>
      </c>
      <c r="F21" s="58" t="s">
        <v>251</v>
      </c>
      <c r="G21" s="56" t="s">
        <v>32</v>
      </c>
      <c r="H21" s="58">
        <v>704030.67</v>
      </c>
      <c r="I21" s="58" t="s">
        <v>255</v>
      </c>
      <c r="J21" s="94"/>
      <c r="K21" s="94"/>
      <c r="L21" s="94"/>
      <c r="M21" s="94"/>
      <c r="N21" s="112"/>
      <c r="O21" s="112"/>
    </row>
    <row r="22" ht="137.25" customHeight="1">
      <c r="A22" s="69"/>
      <c r="B22" s="175" t="s">
        <v>257</v>
      </c>
      <c r="C22" s="71" t="s">
        <v>258</v>
      </c>
      <c r="D22" s="72" t="s">
        <v>50</v>
      </c>
      <c r="E22" s="170">
        <v>20.0</v>
      </c>
      <c r="F22" s="73" t="s">
        <v>251</v>
      </c>
      <c r="G22" s="72" t="s">
        <v>32</v>
      </c>
      <c r="H22" s="73">
        <v>809755.13</v>
      </c>
      <c r="I22" s="73" t="s">
        <v>260</v>
      </c>
      <c r="J22" s="77"/>
      <c r="K22" s="77"/>
      <c r="L22" s="77"/>
      <c r="M22" s="78"/>
      <c r="N22" s="126"/>
      <c r="O22" s="126"/>
    </row>
    <row r="23">
      <c r="A23" s="81"/>
      <c r="B23" s="176" t="s">
        <v>261</v>
      </c>
      <c r="C23" s="61" t="s">
        <v>262</v>
      </c>
      <c r="D23" s="56" t="s">
        <v>50</v>
      </c>
      <c r="E23" s="171">
        <v>21.0</v>
      </c>
      <c r="F23" s="58" t="s">
        <v>264</v>
      </c>
      <c r="G23" s="56" t="s">
        <v>32</v>
      </c>
      <c r="H23" s="58">
        <v>571703.83</v>
      </c>
      <c r="I23" s="58" t="s">
        <v>266</v>
      </c>
      <c r="J23" s="94"/>
      <c r="K23" s="94"/>
      <c r="L23" s="94"/>
      <c r="M23" s="94"/>
      <c r="N23" s="112"/>
      <c r="O23" s="112"/>
    </row>
    <row r="24">
      <c r="A24" s="69"/>
      <c r="B24" s="70" t="s">
        <v>270</v>
      </c>
      <c r="C24" s="71" t="s">
        <v>271</v>
      </c>
      <c r="D24" s="72" t="s">
        <v>50</v>
      </c>
      <c r="E24" s="170">
        <v>19.0</v>
      </c>
      <c r="F24" s="73" t="s">
        <v>273</v>
      </c>
      <c r="G24" s="72" t="s">
        <v>32</v>
      </c>
      <c r="H24" s="73">
        <v>555180.64</v>
      </c>
      <c r="I24" s="73" t="s">
        <v>275</v>
      </c>
      <c r="J24" s="77"/>
      <c r="K24" s="77"/>
      <c r="L24" s="77"/>
      <c r="M24" s="77"/>
      <c r="N24" s="80"/>
      <c r="O24" s="80"/>
    </row>
    <row r="25" ht="137.25" customHeight="1">
      <c r="A25" s="81"/>
      <c r="B25" s="82" t="s">
        <v>279</v>
      </c>
      <c r="C25" s="61" t="s">
        <v>280</v>
      </c>
      <c r="D25" s="56" t="s">
        <v>50</v>
      </c>
      <c r="E25" s="171">
        <v>19.0</v>
      </c>
      <c r="F25" s="58" t="s">
        <v>281</v>
      </c>
      <c r="G25" s="56" t="s">
        <v>32</v>
      </c>
      <c r="H25" s="58">
        <v>1013875.32</v>
      </c>
      <c r="I25" s="58" t="s">
        <v>282</v>
      </c>
      <c r="J25" s="94"/>
      <c r="K25" s="94"/>
      <c r="L25" s="94"/>
      <c r="M25" s="90"/>
      <c r="N25" s="179"/>
      <c r="O25" s="179"/>
    </row>
    <row r="26" ht="137.25" customHeight="1">
      <c r="A26" s="69"/>
      <c r="B26" s="70" t="s">
        <v>286</v>
      </c>
      <c r="C26" s="71" t="s">
        <v>288</v>
      </c>
      <c r="D26" s="72" t="s">
        <v>50</v>
      </c>
      <c r="E26" s="170">
        <v>19.0</v>
      </c>
      <c r="F26" s="73" t="s">
        <v>290</v>
      </c>
      <c r="G26" s="72" t="s">
        <v>32</v>
      </c>
      <c r="H26" s="73">
        <v>805773.82</v>
      </c>
      <c r="I26" s="73" t="s">
        <v>291</v>
      </c>
      <c r="J26" s="77"/>
      <c r="K26" s="77"/>
      <c r="L26" s="77"/>
      <c r="M26" s="77"/>
      <c r="N26" s="80"/>
      <c r="O26" s="80"/>
    </row>
    <row r="27" ht="137.25" customHeight="1">
      <c r="A27" s="81"/>
      <c r="B27" s="82" t="s">
        <v>293</v>
      </c>
      <c r="C27" s="61" t="s">
        <v>294</v>
      </c>
      <c r="D27" s="56" t="s">
        <v>50</v>
      </c>
      <c r="E27" s="171">
        <v>22.0</v>
      </c>
      <c r="F27" s="58" t="s">
        <v>296</v>
      </c>
      <c r="G27" s="56" t="s">
        <v>32</v>
      </c>
      <c r="H27" s="184">
        <v>606032.8</v>
      </c>
      <c r="I27" s="58" t="s">
        <v>299</v>
      </c>
      <c r="J27" s="94"/>
      <c r="K27" s="94"/>
      <c r="L27" s="94"/>
      <c r="M27" s="94"/>
      <c r="N27" s="112"/>
      <c r="O27" s="112"/>
    </row>
    <row r="28" ht="137.25" customHeight="1">
      <c r="A28" s="69"/>
      <c r="B28" s="70" t="s">
        <v>301</v>
      </c>
      <c r="C28" s="71" t="s">
        <v>302</v>
      </c>
      <c r="D28" s="72" t="s">
        <v>50</v>
      </c>
      <c r="E28" s="170">
        <v>19.0</v>
      </c>
      <c r="F28" s="73" t="s">
        <v>303</v>
      </c>
      <c r="G28" s="72" t="s">
        <v>32</v>
      </c>
      <c r="H28" s="73">
        <v>559244.7</v>
      </c>
      <c r="I28" s="73" t="s">
        <v>304</v>
      </c>
      <c r="J28" s="77"/>
      <c r="K28" s="77"/>
      <c r="L28" s="77"/>
      <c r="M28" s="78"/>
      <c r="N28" s="126"/>
      <c r="O28" s="126"/>
    </row>
    <row r="29" ht="137.25" customHeight="1">
      <c r="A29" s="81"/>
      <c r="B29" s="82" t="s">
        <v>305</v>
      </c>
      <c r="C29" s="191" t="s">
        <v>306</v>
      </c>
      <c r="D29" s="56" t="s">
        <v>50</v>
      </c>
      <c r="E29" s="171">
        <v>19.0</v>
      </c>
      <c r="F29" s="58" t="s">
        <v>308</v>
      </c>
      <c r="G29" s="56" t="s">
        <v>32</v>
      </c>
      <c r="H29" s="58">
        <v>942168.6</v>
      </c>
      <c r="I29" s="58" t="s">
        <v>309</v>
      </c>
      <c r="J29" s="94"/>
      <c r="K29" s="94"/>
      <c r="L29" s="94"/>
      <c r="M29" s="90"/>
      <c r="N29" s="179"/>
      <c r="O29" s="179"/>
    </row>
    <row r="30" ht="137.25" customHeight="1">
      <c r="A30" s="69"/>
      <c r="B30" s="175" t="s">
        <v>310</v>
      </c>
      <c r="C30" s="172" t="s">
        <v>311</v>
      </c>
      <c r="D30" s="72" t="s">
        <v>138</v>
      </c>
      <c r="E30" s="170">
        <v>19.0</v>
      </c>
      <c r="F30" s="73" t="s">
        <v>312</v>
      </c>
      <c r="G30" s="72" t="s">
        <v>32</v>
      </c>
      <c r="H30" s="73">
        <v>636644.72</v>
      </c>
      <c r="I30" s="73" t="s">
        <v>313</v>
      </c>
      <c r="J30" s="77"/>
      <c r="K30" s="77"/>
      <c r="L30" s="77"/>
      <c r="M30" s="78"/>
      <c r="N30" s="126"/>
      <c r="O30" s="126"/>
    </row>
    <row r="31" ht="137.25" customHeight="1">
      <c r="A31" s="81"/>
      <c r="B31" s="176" t="s">
        <v>314</v>
      </c>
      <c r="C31" s="61" t="s">
        <v>315</v>
      </c>
      <c r="D31" s="56" t="s">
        <v>50</v>
      </c>
      <c r="E31" s="171">
        <v>19.0</v>
      </c>
      <c r="F31" s="161" t="s">
        <v>316</v>
      </c>
      <c r="G31" s="56" t="s">
        <v>32</v>
      </c>
      <c r="H31" s="58">
        <v>672332.12</v>
      </c>
      <c r="I31" s="191" t="s">
        <v>318</v>
      </c>
      <c r="J31" s="94"/>
      <c r="K31" s="94"/>
      <c r="L31" s="94"/>
      <c r="M31" s="90"/>
      <c r="N31" s="179"/>
      <c r="O31" s="179"/>
    </row>
    <row r="32" ht="277.5" customHeight="1">
      <c r="A32" s="69"/>
      <c r="B32" s="193" t="s">
        <v>320</v>
      </c>
      <c r="C32" s="172" t="s">
        <v>321</v>
      </c>
      <c r="D32" s="72" t="s">
        <v>50</v>
      </c>
      <c r="E32" s="170" t="s">
        <v>44</v>
      </c>
      <c r="F32" s="73" t="s">
        <v>322</v>
      </c>
      <c r="G32" s="71">
        <v>54.0</v>
      </c>
      <c r="H32" s="195">
        <v>8200000.0</v>
      </c>
      <c r="I32" s="196" t="s">
        <v>324</v>
      </c>
      <c r="J32" s="78">
        <v>36.0</v>
      </c>
      <c r="K32" s="77"/>
      <c r="L32" s="77"/>
      <c r="M32" s="78">
        <v>18.0</v>
      </c>
      <c r="N32" s="126"/>
      <c r="O32" s="126"/>
    </row>
    <row r="33" ht="19.5" customHeight="1">
      <c r="A33" s="81"/>
      <c r="B33" s="197"/>
      <c r="C33" s="198"/>
      <c r="D33" s="56"/>
      <c r="E33" s="199"/>
      <c r="F33" s="200"/>
      <c r="G33" s="198"/>
      <c r="H33" s="201"/>
      <c r="I33" s="202"/>
      <c r="J33" s="94"/>
      <c r="K33" s="94"/>
      <c r="L33" s="94"/>
      <c r="M33" s="90"/>
      <c r="N33" s="179"/>
      <c r="O33" s="179"/>
    </row>
    <row r="34" ht="19.5" customHeight="1">
      <c r="A34" s="69"/>
      <c r="B34" s="203" t="s">
        <v>330</v>
      </c>
      <c r="C34" s="204"/>
      <c r="D34" s="72"/>
      <c r="E34" s="205"/>
      <c r="F34" s="206"/>
      <c r="G34" s="204"/>
      <c r="H34" s="207"/>
      <c r="I34" s="209"/>
      <c r="J34" s="173"/>
      <c r="K34" s="77"/>
      <c r="L34" s="77"/>
      <c r="M34" s="78"/>
      <c r="N34" s="126"/>
      <c r="O34" s="126"/>
    </row>
    <row r="35" ht="19.5" customHeight="1">
      <c r="A35" s="81"/>
      <c r="B35" s="197"/>
      <c r="C35" s="198"/>
      <c r="D35" s="200"/>
      <c r="E35" s="199"/>
      <c r="F35" s="200"/>
      <c r="G35" s="198"/>
      <c r="H35" s="201"/>
      <c r="I35" s="202"/>
      <c r="J35" s="94"/>
      <c r="K35" s="94"/>
      <c r="L35" s="94"/>
      <c r="M35" s="90"/>
      <c r="N35" s="179"/>
      <c r="O35" s="179"/>
    </row>
    <row r="36" ht="19.5" customHeight="1">
      <c r="A36" s="69"/>
      <c r="B36" s="211"/>
      <c r="C36" s="204"/>
      <c r="D36" s="206"/>
      <c r="E36" s="205"/>
      <c r="F36" s="206"/>
      <c r="G36" s="204"/>
      <c r="H36" s="207"/>
      <c r="I36" s="209"/>
      <c r="J36" s="173"/>
      <c r="K36" s="77"/>
      <c r="L36" s="77"/>
      <c r="M36" s="77"/>
      <c r="N36" s="80"/>
      <c r="O36" s="80"/>
    </row>
    <row r="37" ht="19.5" customHeight="1">
      <c r="A37" s="81"/>
      <c r="B37" s="197"/>
      <c r="C37" s="198"/>
      <c r="D37" s="200"/>
      <c r="E37" s="199"/>
      <c r="F37" s="200"/>
      <c r="G37" s="198"/>
      <c r="H37" s="201"/>
      <c r="I37" s="202"/>
      <c r="J37" s="94"/>
      <c r="K37" s="94"/>
      <c r="L37" s="94"/>
      <c r="M37" s="94"/>
      <c r="N37" s="112"/>
      <c r="O37" s="112"/>
    </row>
    <row r="38" ht="19.5" customHeight="1">
      <c r="A38" s="69"/>
      <c r="B38" s="214"/>
      <c r="C38" s="215"/>
      <c r="D38" s="206"/>
      <c r="E38" s="205"/>
      <c r="F38" s="206"/>
      <c r="G38" s="215"/>
      <c r="H38" s="207"/>
      <c r="I38" s="218"/>
      <c r="J38" s="77"/>
      <c r="K38" s="77"/>
      <c r="L38" s="77"/>
      <c r="M38" s="77"/>
      <c r="N38" s="80"/>
      <c r="O38" s="80"/>
    </row>
    <row r="39" ht="19.5" customHeight="1">
      <c r="A39" s="81"/>
      <c r="B39" s="197"/>
      <c r="C39" s="198"/>
      <c r="D39" s="200"/>
      <c r="E39" s="199"/>
      <c r="F39" s="200"/>
      <c r="G39" s="198"/>
      <c r="H39" s="201"/>
      <c r="I39" s="202"/>
      <c r="J39" s="94"/>
      <c r="K39" s="94"/>
      <c r="L39" s="94"/>
      <c r="M39" s="94"/>
      <c r="N39" s="112"/>
      <c r="O39" s="112"/>
    </row>
    <row r="40" ht="19.5" customHeight="1">
      <c r="A40" s="69"/>
      <c r="B40" s="211"/>
      <c r="C40" s="204"/>
      <c r="D40" s="206"/>
      <c r="E40" s="205"/>
      <c r="F40" s="206"/>
      <c r="G40" s="204"/>
      <c r="H40" s="207"/>
      <c r="I40" s="209"/>
      <c r="J40" s="173"/>
      <c r="K40" s="77"/>
      <c r="L40" s="77"/>
      <c r="M40" s="77"/>
      <c r="N40" s="80"/>
      <c r="O40" s="80"/>
    </row>
    <row r="41" ht="19.5" customHeight="1">
      <c r="A41" s="81"/>
      <c r="B41" s="225"/>
      <c r="C41" s="226"/>
      <c r="D41" s="200"/>
      <c r="E41" s="199"/>
      <c r="F41" s="200"/>
      <c r="G41" s="226"/>
      <c r="H41" s="201"/>
      <c r="I41" s="227"/>
      <c r="J41" s="148"/>
      <c r="K41" s="94"/>
      <c r="L41" s="94"/>
      <c r="M41" s="94"/>
      <c r="N41" s="112"/>
      <c r="O41" s="112"/>
    </row>
    <row r="42" ht="19.5" customHeight="1">
      <c r="A42" s="69"/>
      <c r="B42" s="211"/>
      <c r="C42" s="204"/>
      <c r="D42" s="206"/>
      <c r="E42" s="205"/>
      <c r="F42" s="206"/>
      <c r="G42" s="204"/>
      <c r="H42" s="207"/>
      <c r="I42" s="209"/>
      <c r="J42" s="173"/>
      <c r="K42" s="77"/>
      <c r="L42" s="77"/>
      <c r="M42" s="77"/>
      <c r="N42" s="80"/>
      <c r="O42" s="80"/>
    </row>
    <row r="43" ht="19.5" customHeight="1">
      <c r="A43" s="81"/>
      <c r="B43" s="225"/>
      <c r="C43" s="226"/>
      <c r="D43" s="200"/>
      <c r="E43" s="199"/>
      <c r="F43" s="200"/>
      <c r="G43" s="226"/>
      <c r="H43" s="201"/>
      <c r="I43" s="227"/>
      <c r="J43" s="148"/>
      <c r="K43" s="94"/>
      <c r="L43" s="94"/>
      <c r="M43" s="94"/>
      <c r="N43" s="112"/>
      <c r="O43" s="112"/>
    </row>
    <row r="44" ht="19.5" customHeight="1">
      <c r="A44" s="69"/>
      <c r="B44" s="211"/>
      <c r="C44" s="204"/>
      <c r="D44" s="206"/>
      <c r="E44" s="205"/>
      <c r="F44" s="206"/>
      <c r="G44" s="204"/>
      <c r="H44" s="207"/>
      <c r="I44" s="209"/>
      <c r="J44" s="173"/>
      <c r="K44" s="77"/>
      <c r="L44" s="77"/>
      <c r="M44" s="77"/>
      <c r="N44" s="80"/>
      <c r="O44" s="80"/>
    </row>
    <row r="45" ht="19.5" customHeight="1">
      <c r="A45" s="81"/>
      <c r="B45" s="225"/>
      <c r="C45" s="226"/>
      <c r="D45" s="200"/>
      <c r="E45" s="199"/>
      <c r="F45" s="200"/>
      <c r="G45" s="226"/>
      <c r="H45" s="201"/>
      <c r="I45" s="227"/>
      <c r="J45" s="148"/>
      <c r="K45" s="94"/>
      <c r="L45" s="94"/>
      <c r="M45" s="94"/>
      <c r="N45" s="112"/>
      <c r="O45" s="112"/>
    </row>
    <row r="46" ht="19.5" customHeight="1">
      <c r="A46" s="69"/>
      <c r="B46" s="211"/>
      <c r="C46" s="204"/>
      <c r="D46" s="206"/>
      <c r="E46" s="205"/>
      <c r="F46" s="206"/>
      <c r="G46" s="204"/>
      <c r="H46" s="207"/>
      <c r="I46" s="209"/>
      <c r="J46" s="173"/>
      <c r="K46" s="77"/>
      <c r="L46" s="77"/>
      <c r="M46" s="77"/>
      <c r="N46" s="80"/>
      <c r="O46" s="80"/>
    </row>
    <row r="47" ht="19.5" customHeight="1">
      <c r="A47" s="81"/>
      <c r="B47" s="225"/>
      <c r="C47" s="226"/>
      <c r="D47" s="200"/>
      <c r="E47" s="199"/>
      <c r="F47" s="200"/>
      <c r="G47" s="226"/>
      <c r="H47" s="201"/>
      <c r="I47" s="227"/>
      <c r="J47" s="148"/>
      <c r="K47" s="94"/>
      <c r="L47" s="94"/>
      <c r="M47" s="94"/>
      <c r="N47" s="112"/>
      <c r="O47" s="112"/>
    </row>
    <row r="48" ht="19.5" customHeight="1">
      <c r="A48" s="69"/>
      <c r="B48" s="211"/>
      <c r="C48" s="204"/>
      <c r="D48" s="206"/>
      <c r="E48" s="205"/>
      <c r="F48" s="206"/>
      <c r="G48" s="204"/>
      <c r="H48" s="207"/>
      <c r="I48" s="209"/>
      <c r="J48" s="173"/>
      <c r="K48" s="77"/>
      <c r="L48" s="77"/>
      <c r="M48" s="77"/>
      <c r="N48" s="80"/>
      <c r="O48" s="80"/>
    </row>
    <row r="49" ht="19.5" customHeight="1">
      <c r="A49" s="81"/>
      <c r="B49" s="225"/>
      <c r="C49" s="226"/>
      <c r="D49" s="200"/>
      <c r="E49" s="199"/>
      <c r="F49" s="200"/>
      <c r="G49" s="226"/>
      <c r="H49" s="201"/>
      <c r="I49" s="227"/>
      <c r="J49" s="148"/>
      <c r="K49" s="94"/>
      <c r="L49" s="94"/>
      <c r="M49" s="94"/>
      <c r="N49" s="112"/>
      <c r="O49" s="112"/>
    </row>
    <row r="50" ht="19.5" customHeight="1">
      <c r="A50" s="69"/>
      <c r="B50" s="211"/>
      <c r="C50" s="204"/>
      <c r="D50" s="206"/>
      <c r="E50" s="205"/>
      <c r="F50" s="206"/>
      <c r="G50" s="204"/>
      <c r="H50" s="207"/>
      <c r="I50" s="209"/>
      <c r="J50" s="173"/>
      <c r="K50" s="77"/>
      <c r="L50" s="77"/>
      <c r="M50" s="77"/>
      <c r="N50" s="80"/>
      <c r="O50" s="80"/>
    </row>
    <row r="51" ht="19.5" customHeight="1">
      <c r="A51" s="81"/>
      <c r="B51" s="225"/>
      <c r="C51" s="226"/>
      <c r="D51" s="200"/>
      <c r="E51" s="199"/>
      <c r="F51" s="200"/>
      <c r="G51" s="226"/>
      <c r="H51" s="201"/>
      <c r="I51" s="227"/>
      <c r="J51" s="148"/>
      <c r="K51" s="94"/>
      <c r="L51" s="94"/>
      <c r="M51" s="94"/>
      <c r="N51" s="112"/>
      <c r="O51" s="112"/>
    </row>
    <row r="52" ht="19.5" customHeight="1">
      <c r="A52" s="69"/>
      <c r="B52" s="211"/>
      <c r="C52" s="204"/>
      <c r="D52" s="206"/>
      <c r="E52" s="205"/>
      <c r="F52" s="206"/>
      <c r="G52" s="204"/>
      <c r="H52" s="207"/>
      <c r="I52" s="209"/>
      <c r="J52" s="173"/>
      <c r="K52" s="77"/>
      <c r="L52" s="77"/>
      <c r="M52" s="77"/>
      <c r="N52" s="80"/>
      <c r="O52" s="80"/>
    </row>
    <row r="53" ht="19.5" customHeight="1">
      <c r="A53" s="81"/>
      <c r="B53" s="225"/>
      <c r="C53" s="226"/>
      <c r="D53" s="200"/>
      <c r="E53" s="199"/>
      <c r="F53" s="200"/>
      <c r="G53" s="226"/>
      <c r="H53" s="201"/>
      <c r="I53" s="227"/>
      <c r="J53" s="148"/>
      <c r="K53" s="94"/>
      <c r="L53" s="94"/>
      <c r="M53" s="94"/>
      <c r="N53" s="112"/>
      <c r="O53" s="112"/>
    </row>
    <row r="54" ht="19.5" customHeight="1">
      <c r="A54" s="69"/>
      <c r="B54" s="211"/>
      <c r="C54" s="204"/>
      <c r="D54" s="206"/>
      <c r="E54" s="205"/>
      <c r="F54" s="206"/>
      <c r="G54" s="204"/>
      <c r="H54" s="207"/>
      <c r="I54" s="209"/>
      <c r="J54" s="173"/>
      <c r="K54" s="77"/>
      <c r="L54" s="77"/>
      <c r="M54" s="77"/>
      <c r="N54" s="80"/>
      <c r="O54" s="80"/>
    </row>
    <row r="55" ht="19.5" customHeight="1">
      <c r="A55" s="81"/>
      <c r="B55" s="225"/>
      <c r="C55" s="226"/>
      <c r="D55" s="200"/>
      <c r="E55" s="199"/>
      <c r="F55" s="200"/>
      <c r="G55" s="226"/>
      <c r="H55" s="201"/>
      <c r="I55" s="227"/>
      <c r="J55" s="148"/>
      <c r="K55" s="94"/>
      <c r="L55" s="94"/>
      <c r="M55" s="94"/>
      <c r="N55" s="112"/>
      <c r="O55" s="112"/>
    </row>
    <row r="56" ht="19.5" customHeight="1">
      <c r="A56" s="69"/>
      <c r="B56" s="211"/>
      <c r="C56" s="204"/>
      <c r="D56" s="206"/>
      <c r="E56" s="205"/>
      <c r="F56" s="206"/>
      <c r="G56" s="204"/>
      <c r="H56" s="207"/>
      <c r="I56" s="209"/>
      <c r="J56" s="173"/>
      <c r="K56" s="77"/>
      <c r="L56" s="77"/>
      <c r="M56" s="77"/>
      <c r="N56" s="80"/>
      <c r="O56" s="80"/>
    </row>
    <row r="57" ht="19.5" customHeight="1">
      <c r="A57" s="81"/>
      <c r="B57" s="225"/>
      <c r="C57" s="226"/>
      <c r="D57" s="200"/>
      <c r="E57" s="199"/>
      <c r="F57" s="200"/>
      <c r="G57" s="226"/>
      <c r="H57" s="201"/>
      <c r="I57" s="227"/>
      <c r="J57" s="148"/>
      <c r="K57" s="94"/>
      <c r="L57" s="94"/>
      <c r="M57" s="94"/>
      <c r="N57" s="112"/>
      <c r="O57" s="112"/>
    </row>
    <row r="58" ht="19.5" customHeight="1">
      <c r="A58" s="69"/>
      <c r="B58" s="211"/>
      <c r="C58" s="204"/>
      <c r="D58" s="206"/>
      <c r="E58" s="205"/>
      <c r="F58" s="206"/>
      <c r="G58" s="204"/>
      <c r="H58" s="207"/>
      <c r="I58" s="209"/>
      <c r="J58" s="173"/>
      <c r="K58" s="77"/>
      <c r="L58" s="77"/>
      <c r="M58" s="77"/>
      <c r="N58" s="80"/>
      <c r="O58" s="80"/>
    </row>
    <row r="59" ht="19.5" customHeight="1">
      <c r="A59" s="81"/>
      <c r="B59" s="225"/>
      <c r="C59" s="226"/>
      <c r="D59" s="200"/>
      <c r="E59" s="199"/>
      <c r="F59" s="200"/>
      <c r="G59" s="226"/>
      <c r="H59" s="201"/>
      <c r="I59" s="227"/>
      <c r="J59" s="148"/>
      <c r="K59" s="94"/>
      <c r="L59" s="94"/>
      <c r="M59" s="94"/>
      <c r="N59" s="112"/>
      <c r="O59" s="112"/>
    </row>
    <row r="60" ht="19.5" customHeight="1">
      <c r="A60" s="69"/>
      <c r="B60" s="211"/>
      <c r="C60" s="204"/>
      <c r="D60" s="206"/>
      <c r="E60" s="205"/>
      <c r="F60" s="206"/>
      <c r="G60" s="204"/>
      <c r="H60" s="207"/>
      <c r="I60" s="209"/>
      <c r="J60" s="173"/>
      <c r="K60" s="77"/>
      <c r="L60" s="77"/>
      <c r="M60" s="77"/>
      <c r="N60" s="80"/>
      <c r="O60" s="80"/>
    </row>
    <row r="61" ht="19.5" customHeight="1">
      <c r="A61" s="81"/>
      <c r="B61" s="225"/>
      <c r="C61" s="226"/>
      <c r="D61" s="200"/>
      <c r="E61" s="199"/>
      <c r="F61" s="200"/>
      <c r="G61" s="226"/>
      <c r="H61" s="201"/>
      <c r="I61" s="227"/>
      <c r="J61" s="148"/>
      <c r="K61" s="94"/>
      <c r="L61" s="94"/>
      <c r="M61" s="94"/>
      <c r="N61" s="112"/>
      <c r="O61" s="112"/>
    </row>
    <row r="62" ht="19.5" customHeight="1">
      <c r="A62" s="69"/>
      <c r="B62" s="211"/>
      <c r="C62" s="204"/>
      <c r="D62" s="206"/>
      <c r="E62" s="205"/>
      <c r="F62" s="206"/>
      <c r="G62" s="204"/>
      <c r="H62" s="207"/>
      <c r="I62" s="209"/>
      <c r="J62" s="173"/>
      <c r="K62" s="77"/>
      <c r="L62" s="77"/>
      <c r="M62" s="77"/>
      <c r="N62" s="80"/>
      <c r="O62" s="80"/>
    </row>
    <row r="63" ht="19.5" customHeight="1">
      <c r="A63" s="81"/>
      <c r="B63" s="225"/>
      <c r="C63" s="226"/>
      <c r="D63" s="200"/>
      <c r="E63" s="199"/>
      <c r="F63" s="200"/>
      <c r="G63" s="226"/>
      <c r="H63" s="201"/>
      <c r="I63" s="227"/>
      <c r="J63" s="148"/>
      <c r="K63" s="94"/>
      <c r="L63" s="94"/>
      <c r="M63" s="94"/>
      <c r="N63" s="112"/>
      <c r="O63" s="112"/>
    </row>
    <row r="64" ht="19.5" customHeight="1">
      <c r="A64" s="69"/>
      <c r="B64" s="211"/>
      <c r="C64" s="204"/>
      <c r="D64" s="206"/>
      <c r="E64" s="205"/>
      <c r="F64" s="206"/>
      <c r="G64" s="204"/>
      <c r="H64" s="207"/>
      <c r="I64" s="209"/>
      <c r="J64" s="173"/>
      <c r="K64" s="77"/>
      <c r="L64" s="77"/>
      <c r="M64" s="77"/>
      <c r="N64" s="80"/>
      <c r="O64" s="80"/>
    </row>
    <row r="65" ht="19.5" customHeight="1">
      <c r="A65" s="81"/>
      <c r="B65" s="225"/>
      <c r="C65" s="226"/>
      <c r="D65" s="200"/>
      <c r="E65" s="199"/>
      <c r="F65" s="200"/>
      <c r="G65" s="226"/>
      <c r="H65" s="201"/>
      <c r="I65" s="227"/>
      <c r="J65" s="148"/>
      <c r="K65" s="94"/>
      <c r="L65" s="94"/>
      <c r="M65" s="94"/>
      <c r="N65" s="112"/>
      <c r="O65" s="112"/>
    </row>
    <row r="66" ht="19.5" customHeight="1">
      <c r="A66" s="69"/>
      <c r="B66" s="211"/>
      <c r="C66" s="229"/>
      <c r="D66" s="230"/>
      <c r="E66" s="231"/>
      <c r="F66" s="232"/>
      <c r="G66" s="233"/>
      <c r="H66" s="234"/>
      <c r="I66" s="233"/>
      <c r="J66" s="173"/>
      <c r="K66" s="77"/>
      <c r="L66" s="77"/>
      <c r="M66" s="77"/>
      <c r="N66" s="80"/>
      <c r="O66" s="80"/>
    </row>
    <row r="67" ht="19.5" customHeight="1">
      <c r="A67" s="81"/>
      <c r="B67" s="225"/>
      <c r="C67" s="235"/>
      <c r="D67" s="236"/>
      <c r="E67" s="237"/>
      <c r="F67" s="238"/>
      <c r="G67" s="239"/>
      <c r="H67" s="240"/>
      <c r="I67" s="239"/>
      <c r="J67" s="148"/>
      <c r="K67" s="94"/>
      <c r="L67" s="94"/>
      <c r="M67" s="94"/>
      <c r="N67" s="112"/>
      <c r="O67" s="112"/>
    </row>
    <row r="68" ht="19.5" customHeight="1">
      <c r="A68" s="69"/>
      <c r="B68" s="211"/>
      <c r="C68" s="229"/>
      <c r="D68" s="230"/>
      <c r="E68" s="231"/>
      <c r="F68" s="232"/>
      <c r="G68" s="233"/>
      <c r="H68" s="234"/>
      <c r="I68" s="233"/>
      <c r="J68" s="173"/>
      <c r="K68" s="77"/>
      <c r="L68" s="77"/>
      <c r="M68" s="77"/>
      <c r="N68" s="80"/>
      <c r="O68" s="80"/>
    </row>
    <row r="69" ht="19.5" customHeight="1">
      <c r="A69" s="81"/>
      <c r="B69" s="225"/>
      <c r="C69" s="235"/>
      <c r="D69" s="236"/>
      <c r="E69" s="237"/>
      <c r="F69" s="238"/>
      <c r="G69" s="239"/>
      <c r="H69" s="240"/>
      <c r="I69" s="239"/>
      <c r="J69" s="148"/>
      <c r="K69" s="94"/>
      <c r="L69" s="94"/>
      <c r="M69" s="94"/>
      <c r="N69" s="112"/>
      <c r="O69" s="112"/>
    </row>
    <row r="70" ht="19.5" customHeight="1">
      <c r="A70" s="69"/>
      <c r="B70" s="211"/>
      <c r="C70" s="229"/>
      <c r="D70" s="230"/>
      <c r="E70" s="231"/>
      <c r="F70" s="232"/>
      <c r="G70" s="233"/>
      <c r="H70" s="234"/>
      <c r="I70" s="233"/>
      <c r="J70" s="173"/>
      <c r="K70" s="77"/>
      <c r="L70" s="77"/>
      <c r="M70" s="77"/>
      <c r="N70" s="80"/>
      <c r="O70" s="80"/>
    </row>
    <row r="71" ht="19.5" customHeight="1">
      <c r="A71" s="81"/>
      <c r="B71" s="225"/>
      <c r="C71" s="235"/>
      <c r="D71" s="236"/>
      <c r="E71" s="237"/>
      <c r="F71" s="238"/>
      <c r="G71" s="239"/>
      <c r="H71" s="240"/>
      <c r="I71" s="239"/>
      <c r="J71" s="148"/>
      <c r="K71" s="94"/>
      <c r="L71" s="94"/>
      <c r="M71" s="94"/>
      <c r="N71" s="112"/>
      <c r="O71" s="112"/>
    </row>
    <row r="72" ht="19.5" customHeight="1">
      <c r="A72" s="69"/>
      <c r="B72" s="211"/>
      <c r="C72" s="229"/>
      <c r="D72" s="230"/>
      <c r="E72" s="231"/>
      <c r="F72" s="232"/>
      <c r="G72" s="233"/>
      <c r="H72" s="234"/>
      <c r="I72" s="233"/>
      <c r="J72" s="173"/>
      <c r="K72" s="77"/>
      <c r="L72" s="77"/>
      <c r="M72" s="77"/>
      <c r="N72" s="80"/>
      <c r="O72" s="80"/>
    </row>
    <row r="73" ht="19.5" customHeight="1">
      <c r="A73" s="81"/>
      <c r="B73" s="225"/>
      <c r="C73" s="235"/>
      <c r="D73" s="236"/>
      <c r="E73" s="237"/>
      <c r="F73" s="238"/>
      <c r="G73" s="239"/>
      <c r="H73" s="240"/>
      <c r="I73" s="239"/>
      <c r="J73" s="148"/>
      <c r="K73" s="94"/>
      <c r="L73" s="94"/>
      <c r="M73" s="94"/>
      <c r="N73" s="112"/>
      <c r="O73" s="112"/>
    </row>
    <row r="74" ht="19.5" customHeight="1">
      <c r="A74" s="69"/>
      <c r="B74" s="211"/>
      <c r="C74" s="229"/>
      <c r="D74" s="230"/>
      <c r="E74" s="231"/>
      <c r="F74" s="232"/>
      <c r="G74" s="233"/>
      <c r="H74" s="234"/>
      <c r="I74" s="233"/>
      <c r="J74" s="173"/>
      <c r="K74" s="77"/>
      <c r="L74" s="77"/>
      <c r="M74" s="77"/>
      <c r="N74" s="80"/>
      <c r="O74" s="80"/>
    </row>
    <row r="75" ht="19.5" customHeight="1">
      <c r="A75" s="81"/>
      <c r="B75" s="225"/>
      <c r="C75" s="235"/>
      <c r="D75" s="236"/>
      <c r="E75" s="237"/>
      <c r="F75" s="238"/>
      <c r="G75" s="239"/>
      <c r="H75" s="240"/>
      <c r="I75" s="239"/>
      <c r="J75" s="148"/>
      <c r="K75" s="94"/>
      <c r="L75" s="94"/>
      <c r="M75" s="94"/>
      <c r="N75" s="112"/>
      <c r="O75" s="112"/>
    </row>
    <row r="76" ht="19.5" customHeight="1">
      <c r="A76" s="69"/>
      <c r="B76" s="211"/>
      <c r="C76" s="229"/>
      <c r="D76" s="230"/>
      <c r="E76" s="231"/>
      <c r="F76" s="232"/>
      <c r="G76" s="233"/>
      <c r="H76" s="234"/>
      <c r="I76" s="233"/>
      <c r="J76" s="173"/>
      <c r="K76" s="77"/>
      <c r="L76" s="77"/>
      <c r="M76" s="77"/>
      <c r="N76" s="80"/>
      <c r="O76" s="80"/>
    </row>
    <row r="77" ht="19.5" customHeight="1">
      <c r="A77" s="81"/>
      <c r="B77" s="225"/>
      <c r="C77" s="235"/>
      <c r="D77" s="236"/>
      <c r="E77" s="237"/>
      <c r="F77" s="238"/>
      <c r="G77" s="239"/>
      <c r="H77" s="240"/>
      <c r="I77" s="239"/>
      <c r="J77" s="148"/>
      <c r="K77" s="94"/>
      <c r="L77" s="94"/>
      <c r="M77" s="94"/>
      <c r="N77" s="112"/>
      <c r="O77" s="112"/>
    </row>
    <row r="78" ht="19.5" customHeight="1">
      <c r="A78" s="69"/>
      <c r="B78" s="211"/>
      <c r="C78" s="229"/>
      <c r="D78" s="230"/>
      <c r="E78" s="231"/>
      <c r="F78" s="232"/>
      <c r="G78" s="233"/>
      <c r="H78" s="234"/>
      <c r="I78" s="233"/>
      <c r="J78" s="173"/>
      <c r="K78" s="77"/>
      <c r="L78" s="77"/>
      <c r="M78" s="77"/>
      <c r="N78" s="80"/>
      <c r="O78" s="80"/>
    </row>
    <row r="79" ht="19.5" customHeight="1">
      <c r="A79" s="81"/>
      <c r="B79" s="225"/>
      <c r="C79" s="235"/>
      <c r="D79" s="236"/>
      <c r="E79" s="237"/>
      <c r="F79" s="238"/>
      <c r="G79" s="239"/>
      <c r="H79" s="240"/>
      <c r="I79" s="239"/>
      <c r="J79" s="148"/>
      <c r="K79" s="94"/>
      <c r="L79" s="94"/>
      <c r="M79" s="94"/>
      <c r="N79" s="112"/>
      <c r="O79" s="112"/>
    </row>
    <row r="80" ht="19.5" customHeight="1">
      <c r="A80" s="69"/>
      <c r="B80" s="211"/>
      <c r="C80" s="229"/>
      <c r="D80" s="230"/>
      <c r="E80" s="231"/>
      <c r="F80" s="232"/>
      <c r="G80" s="233"/>
      <c r="H80" s="234"/>
      <c r="I80" s="233"/>
      <c r="J80" s="173"/>
      <c r="K80" s="77"/>
      <c r="L80" s="77"/>
      <c r="M80" s="77"/>
      <c r="N80" s="80"/>
      <c r="O80" s="80"/>
    </row>
    <row r="81" ht="19.5" customHeight="1">
      <c r="A81" s="81"/>
      <c r="B81" s="225"/>
      <c r="C81" s="235"/>
      <c r="D81" s="236"/>
      <c r="E81" s="237"/>
      <c r="F81" s="238"/>
      <c r="G81" s="239"/>
      <c r="H81" s="240"/>
      <c r="I81" s="239"/>
      <c r="J81" s="148"/>
      <c r="K81" s="94"/>
      <c r="L81" s="94"/>
      <c r="M81" s="94"/>
      <c r="N81" s="112"/>
      <c r="O81" s="112"/>
    </row>
    <row r="82" ht="19.5" customHeight="1">
      <c r="A82" s="69"/>
      <c r="B82" s="211"/>
      <c r="C82" s="229"/>
      <c r="D82" s="230"/>
      <c r="E82" s="231"/>
      <c r="F82" s="232"/>
      <c r="G82" s="233"/>
      <c r="H82" s="234"/>
      <c r="I82" s="233"/>
      <c r="J82" s="173"/>
      <c r="K82" s="77"/>
      <c r="L82" s="77"/>
      <c r="M82" s="77"/>
      <c r="N82" s="80"/>
      <c r="O82" s="80"/>
    </row>
    <row r="83" ht="19.5" customHeight="1">
      <c r="A83" s="81"/>
      <c r="B83" s="225"/>
      <c r="C83" s="235"/>
      <c r="D83" s="236"/>
      <c r="E83" s="237"/>
      <c r="F83" s="238"/>
      <c r="G83" s="239"/>
      <c r="H83" s="240"/>
      <c r="I83" s="239"/>
      <c r="J83" s="148"/>
      <c r="K83" s="94"/>
      <c r="L83" s="94"/>
      <c r="M83" s="94"/>
      <c r="N83" s="112"/>
      <c r="O83" s="112"/>
    </row>
    <row r="84" ht="19.5" customHeight="1">
      <c r="A84" s="69"/>
      <c r="B84" s="211"/>
      <c r="C84" s="229"/>
      <c r="D84" s="230"/>
      <c r="E84" s="231"/>
      <c r="F84" s="232"/>
      <c r="G84" s="233"/>
      <c r="H84" s="234"/>
      <c r="I84" s="233"/>
      <c r="J84" s="173"/>
      <c r="K84" s="77"/>
      <c r="L84" s="77"/>
      <c r="M84" s="77"/>
      <c r="N84" s="80"/>
      <c r="O84" s="80"/>
    </row>
    <row r="85" ht="19.5" customHeight="1">
      <c r="A85" s="81"/>
      <c r="B85" s="225"/>
      <c r="C85" s="235"/>
      <c r="D85" s="236"/>
      <c r="E85" s="237"/>
      <c r="F85" s="238"/>
      <c r="G85" s="239"/>
      <c r="H85" s="240"/>
      <c r="I85" s="239"/>
      <c r="J85" s="148"/>
      <c r="K85" s="94"/>
      <c r="L85" s="94"/>
      <c r="M85" s="94"/>
      <c r="N85" s="112"/>
      <c r="O85" s="112"/>
    </row>
    <row r="86" ht="19.5" customHeight="1">
      <c r="A86" s="69"/>
      <c r="B86" s="211"/>
      <c r="C86" s="229"/>
      <c r="D86" s="230"/>
      <c r="E86" s="231"/>
      <c r="F86" s="232"/>
      <c r="G86" s="233"/>
      <c r="H86" s="234"/>
      <c r="I86" s="233"/>
      <c r="J86" s="173"/>
      <c r="K86" s="77"/>
      <c r="L86" s="77"/>
      <c r="M86" s="77"/>
      <c r="N86" s="80"/>
      <c r="O86" s="80"/>
    </row>
    <row r="87" ht="19.5" customHeight="1">
      <c r="A87" s="81"/>
      <c r="B87" s="225"/>
      <c r="C87" s="235"/>
      <c r="D87" s="236"/>
      <c r="E87" s="237"/>
      <c r="F87" s="238"/>
      <c r="G87" s="239"/>
      <c r="H87" s="240"/>
      <c r="I87" s="239"/>
      <c r="J87" s="148"/>
      <c r="K87" s="94"/>
      <c r="L87" s="94"/>
      <c r="M87" s="94"/>
      <c r="N87" s="112"/>
      <c r="O87" s="112"/>
    </row>
    <row r="88" ht="19.5" customHeight="1">
      <c r="A88" s="69"/>
      <c r="B88" s="211"/>
      <c r="C88" s="229"/>
      <c r="D88" s="230"/>
      <c r="E88" s="231"/>
      <c r="F88" s="232"/>
      <c r="G88" s="233"/>
      <c r="H88" s="234"/>
      <c r="I88" s="233"/>
      <c r="J88" s="173"/>
      <c r="K88" s="77"/>
      <c r="L88" s="77"/>
      <c r="M88" s="77"/>
      <c r="N88" s="80"/>
      <c r="O88" s="80"/>
    </row>
    <row r="89" ht="19.5" customHeight="1">
      <c r="A89" s="81"/>
      <c r="B89" s="225"/>
      <c r="C89" s="235"/>
      <c r="D89" s="236"/>
      <c r="E89" s="237"/>
      <c r="F89" s="238"/>
      <c r="G89" s="239"/>
      <c r="H89" s="240"/>
      <c r="I89" s="239"/>
      <c r="J89" s="148"/>
      <c r="K89" s="94"/>
      <c r="L89" s="94"/>
      <c r="M89" s="94"/>
      <c r="N89" s="112"/>
      <c r="O89" s="112"/>
    </row>
    <row r="90" ht="19.5" customHeight="1">
      <c r="A90" s="69"/>
      <c r="B90" s="211"/>
      <c r="C90" s="229"/>
      <c r="D90" s="230"/>
      <c r="E90" s="231"/>
      <c r="F90" s="232"/>
      <c r="G90" s="233"/>
      <c r="H90" s="234"/>
      <c r="I90" s="233"/>
      <c r="J90" s="173"/>
      <c r="K90" s="77"/>
      <c r="L90" s="77"/>
      <c r="M90" s="77"/>
      <c r="N90" s="80"/>
      <c r="O90" s="80"/>
    </row>
    <row r="91" ht="19.5" customHeight="1">
      <c r="A91" s="81"/>
      <c r="B91" s="225"/>
      <c r="C91" s="235"/>
      <c r="D91" s="236"/>
      <c r="E91" s="237"/>
      <c r="F91" s="238"/>
      <c r="G91" s="239"/>
      <c r="H91" s="240"/>
      <c r="I91" s="239"/>
      <c r="J91" s="148"/>
      <c r="K91" s="94"/>
      <c r="L91" s="94"/>
      <c r="M91" s="94"/>
      <c r="N91" s="112"/>
      <c r="O91" s="112"/>
    </row>
    <row r="92" ht="19.5" customHeight="1">
      <c r="A92" s="69"/>
      <c r="B92" s="211"/>
      <c r="C92" s="229"/>
      <c r="D92" s="230"/>
      <c r="E92" s="231"/>
      <c r="F92" s="232"/>
      <c r="G92" s="233"/>
      <c r="H92" s="234"/>
      <c r="I92" s="233"/>
      <c r="J92" s="173"/>
      <c r="K92" s="77"/>
      <c r="L92" s="77"/>
      <c r="M92" s="77"/>
      <c r="N92" s="80"/>
      <c r="O92" s="80"/>
    </row>
    <row r="93" ht="19.5" customHeight="1">
      <c r="A93" s="81"/>
      <c r="B93" s="225"/>
      <c r="C93" s="235"/>
      <c r="D93" s="236"/>
      <c r="E93" s="237"/>
      <c r="F93" s="238"/>
      <c r="G93" s="239"/>
      <c r="H93" s="240"/>
      <c r="I93" s="239"/>
      <c r="J93" s="148"/>
      <c r="K93" s="94"/>
      <c r="L93" s="94"/>
      <c r="M93" s="94"/>
      <c r="N93" s="112"/>
      <c r="O93" s="112"/>
    </row>
    <row r="94" ht="19.5" customHeight="1">
      <c r="A94" s="69"/>
      <c r="B94" s="211"/>
      <c r="C94" s="229"/>
      <c r="D94" s="230"/>
      <c r="E94" s="231"/>
      <c r="F94" s="232"/>
      <c r="G94" s="233"/>
      <c r="H94" s="234"/>
      <c r="I94" s="233"/>
      <c r="J94" s="173"/>
      <c r="K94" s="77"/>
      <c r="L94" s="77"/>
      <c r="M94" s="77"/>
      <c r="N94" s="80"/>
      <c r="O94" s="80"/>
    </row>
    <row r="95" ht="19.5" customHeight="1">
      <c r="A95" s="81"/>
      <c r="B95" s="225"/>
      <c r="C95" s="235"/>
      <c r="D95" s="236"/>
      <c r="E95" s="237"/>
      <c r="F95" s="238"/>
      <c r="G95" s="239"/>
      <c r="H95" s="240"/>
      <c r="I95" s="239"/>
      <c r="J95" s="148"/>
      <c r="K95" s="94"/>
      <c r="L95" s="94"/>
      <c r="M95" s="94"/>
      <c r="N95" s="112"/>
      <c r="O95" s="112"/>
    </row>
    <row r="96" ht="19.5" customHeight="1">
      <c r="A96" s="69"/>
      <c r="B96" s="211"/>
      <c r="C96" s="229"/>
      <c r="D96" s="230"/>
      <c r="E96" s="231"/>
      <c r="F96" s="232"/>
      <c r="G96" s="233"/>
      <c r="H96" s="234"/>
      <c r="I96" s="233"/>
      <c r="J96" s="173"/>
      <c r="K96" s="77"/>
      <c r="L96" s="77"/>
      <c r="M96" s="77"/>
      <c r="N96" s="80"/>
      <c r="O96" s="80"/>
    </row>
    <row r="97" ht="19.5" customHeight="1">
      <c r="A97" s="81"/>
      <c r="B97" s="225"/>
      <c r="C97" s="235"/>
      <c r="D97" s="236"/>
      <c r="E97" s="237"/>
      <c r="F97" s="238"/>
      <c r="G97" s="239"/>
      <c r="H97" s="240"/>
      <c r="I97" s="239"/>
      <c r="J97" s="148"/>
      <c r="K97" s="94"/>
      <c r="L97" s="94"/>
      <c r="M97" s="94"/>
      <c r="N97" s="112"/>
      <c r="O97" s="112"/>
    </row>
    <row r="98" ht="19.5" customHeight="1">
      <c r="A98" s="69"/>
      <c r="B98" s="211"/>
      <c r="C98" s="229"/>
      <c r="D98" s="230"/>
      <c r="E98" s="231"/>
      <c r="F98" s="232"/>
      <c r="G98" s="233"/>
      <c r="H98" s="234"/>
      <c r="I98" s="233"/>
      <c r="J98" s="173"/>
      <c r="K98" s="77"/>
      <c r="L98" s="77"/>
      <c r="M98" s="77"/>
      <c r="N98" s="80"/>
      <c r="O98" s="80"/>
    </row>
    <row r="99" ht="19.5" customHeight="1">
      <c r="A99" s="81"/>
      <c r="B99" s="225"/>
      <c r="C99" s="235"/>
      <c r="D99" s="236"/>
      <c r="E99" s="237"/>
      <c r="F99" s="238"/>
      <c r="G99" s="239"/>
      <c r="H99" s="240"/>
      <c r="I99" s="239"/>
      <c r="J99" s="148"/>
      <c r="K99" s="94"/>
      <c r="L99" s="94"/>
      <c r="M99" s="94"/>
      <c r="N99" s="112"/>
      <c r="O99" s="112"/>
    </row>
    <row r="100" ht="19.5" customHeight="1">
      <c r="A100" s="69"/>
      <c r="B100" s="211"/>
      <c r="C100" s="229"/>
      <c r="D100" s="230"/>
      <c r="E100" s="231"/>
      <c r="F100" s="232"/>
      <c r="G100" s="233"/>
      <c r="H100" s="234"/>
      <c r="I100" s="233"/>
      <c r="J100" s="173"/>
      <c r="K100" s="77"/>
      <c r="L100" s="77"/>
      <c r="M100" s="77"/>
      <c r="N100" s="80"/>
      <c r="O100" s="80"/>
    </row>
    <row r="101" ht="19.5" customHeight="1">
      <c r="A101" s="81"/>
      <c r="B101" s="225"/>
      <c r="C101" s="235"/>
      <c r="D101" s="236"/>
      <c r="E101" s="237"/>
      <c r="F101" s="238"/>
      <c r="G101" s="239"/>
      <c r="H101" s="240"/>
      <c r="I101" s="239"/>
      <c r="J101" s="148"/>
      <c r="K101" s="94"/>
      <c r="L101" s="94"/>
      <c r="M101" s="94"/>
      <c r="N101" s="112"/>
      <c r="O101" s="112"/>
    </row>
    <row r="102" ht="19.5" customHeight="1">
      <c r="A102" s="69"/>
      <c r="B102" s="211"/>
      <c r="C102" s="229"/>
      <c r="D102" s="230"/>
      <c r="E102" s="231"/>
      <c r="F102" s="232"/>
      <c r="G102" s="233"/>
      <c r="H102" s="234"/>
      <c r="I102" s="233"/>
      <c r="J102" s="173"/>
      <c r="K102" s="77"/>
      <c r="L102" s="77"/>
      <c r="M102" s="77"/>
      <c r="N102" s="80"/>
      <c r="O102" s="80"/>
    </row>
    <row r="103" ht="19.5" customHeight="1">
      <c r="A103" s="81"/>
      <c r="B103" s="225"/>
      <c r="C103" s="235"/>
      <c r="D103" s="236"/>
      <c r="E103" s="237"/>
      <c r="F103" s="238"/>
      <c r="G103" s="239"/>
      <c r="H103" s="240"/>
      <c r="I103" s="239"/>
      <c r="J103" s="148"/>
      <c r="K103" s="94"/>
      <c r="L103" s="94"/>
      <c r="M103" s="94"/>
      <c r="N103" s="112"/>
      <c r="O103" s="112"/>
    </row>
    <row r="104" ht="19.5" customHeight="1">
      <c r="A104" s="69"/>
      <c r="B104" s="211"/>
      <c r="C104" s="229"/>
      <c r="D104" s="230"/>
      <c r="E104" s="231"/>
      <c r="F104" s="232"/>
      <c r="G104" s="233"/>
      <c r="H104" s="234"/>
      <c r="I104" s="233"/>
      <c r="J104" s="173"/>
      <c r="K104" s="77"/>
      <c r="L104" s="77"/>
      <c r="M104" s="77"/>
      <c r="N104" s="80"/>
      <c r="O104" s="80"/>
    </row>
    <row r="105" ht="19.5" customHeight="1">
      <c r="A105" s="81"/>
      <c r="B105" s="225"/>
      <c r="C105" s="235"/>
      <c r="D105" s="236"/>
      <c r="E105" s="237"/>
      <c r="F105" s="238"/>
      <c r="G105" s="239"/>
      <c r="H105" s="240"/>
      <c r="I105" s="239"/>
      <c r="J105" s="148"/>
      <c r="K105" s="94"/>
      <c r="L105" s="94"/>
      <c r="M105" s="94"/>
      <c r="N105" s="112"/>
      <c r="O105" s="112"/>
    </row>
    <row r="106" ht="19.5" customHeight="1">
      <c r="A106" s="69"/>
      <c r="B106" s="211"/>
      <c r="C106" s="229"/>
      <c r="D106" s="230"/>
      <c r="E106" s="231"/>
      <c r="F106" s="232"/>
      <c r="G106" s="233"/>
      <c r="H106" s="234"/>
      <c r="I106" s="233"/>
      <c r="J106" s="173"/>
      <c r="K106" s="77"/>
      <c r="L106" s="77"/>
      <c r="M106" s="77"/>
      <c r="N106" s="80"/>
      <c r="O106" s="80"/>
    </row>
    <row r="107" ht="19.5" customHeight="1">
      <c r="A107" s="81"/>
      <c r="B107" s="225"/>
      <c r="C107" s="235"/>
      <c r="D107" s="236"/>
      <c r="E107" s="237"/>
      <c r="F107" s="238"/>
      <c r="G107" s="239"/>
      <c r="H107" s="240"/>
      <c r="I107" s="239"/>
      <c r="J107" s="148"/>
      <c r="K107" s="94"/>
      <c r="L107" s="94"/>
      <c r="M107" s="94"/>
      <c r="N107" s="112"/>
      <c r="O107" s="112"/>
    </row>
    <row r="108" ht="19.5" customHeight="1">
      <c r="A108" s="69"/>
      <c r="B108" s="211"/>
      <c r="C108" s="229"/>
      <c r="D108" s="230"/>
      <c r="E108" s="231"/>
      <c r="F108" s="232"/>
      <c r="G108" s="233"/>
      <c r="H108" s="234"/>
      <c r="I108" s="233"/>
      <c r="J108" s="173"/>
      <c r="K108" s="77"/>
      <c r="L108" s="77"/>
      <c r="M108" s="77"/>
      <c r="N108" s="80"/>
      <c r="O108" s="80"/>
    </row>
    <row r="109" ht="19.5" customHeight="1">
      <c r="A109" s="81"/>
      <c r="B109" s="225"/>
      <c r="C109" s="235"/>
      <c r="D109" s="236"/>
      <c r="E109" s="237"/>
      <c r="F109" s="238"/>
      <c r="G109" s="239"/>
      <c r="H109" s="240"/>
      <c r="I109" s="239"/>
      <c r="J109" s="148"/>
      <c r="K109" s="94"/>
      <c r="L109" s="94"/>
      <c r="M109" s="94"/>
      <c r="N109" s="112"/>
      <c r="O109" s="112"/>
    </row>
    <row r="110" ht="19.5" customHeight="1">
      <c r="A110" s="69"/>
      <c r="B110" s="211"/>
      <c r="C110" s="229"/>
      <c r="D110" s="230"/>
      <c r="E110" s="231"/>
      <c r="F110" s="232"/>
      <c r="G110" s="233"/>
      <c r="H110" s="234"/>
      <c r="I110" s="233"/>
      <c r="J110" s="173"/>
      <c r="K110" s="77"/>
      <c r="L110" s="77"/>
      <c r="M110" s="77"/>
      <c r="N110" s="80"/>
      <c r="O110" s="80"/>
    </row>
    <row r="111" ht="19.5" customHeight="1">
      <c r="A111" s="81"/>
      <c r="B111" s="225"/>
      <c r="C111" s="235"/>
      <c r="D111" s="236"/>
      <c r="E111" s="237"/>
      <c r="F111" s="238"/>
      <c r="G111" s="239"/>
      <c r="H111" s="240"/>
      <c r="I111" s="239"/>
      <c r="J111" s="148"/>
      <c r="K111" s="94"/>
      <c r="L111" s="94"/>
      <c r="M111" s="94"/>
      <c r="N111" s="112"/>
      <c r="O111" s="112"/>
    </row>
    <row r="112" ht="19.5" customHeight="1">
      <c r="A112" s="69"/>
      <c r="B112" s="211"/>
      <c r="C112" s="229"/>
      <c r="D112" s="230"/>
      <c r="E112" s="231"/>
      <c r="F112" s="232"/>
      <c r="G112" s="233"/>
      <c r="H112" s="234"/>
      <c r="I112" s="233"/>
      <c r="J112" s="173"/>
      <c r="K112" s="77"/>
      <c r="L112" s="77"/>
      <c r="M112" s="77"/>
      <c r="N112" s="80"/>
      <c r="O112" s="80"/>
    </row>
    <row r="113" ht="19.5" customHeight="1">
      <c r="A113" s="81"/>
      <c r="B113" s="225"/>
      <c r="C113" s="235"/>
      <c r="D113" s="236"/>
      <c r="E113" s="237"/>
      <c r="F113" s="238"/>
      <c r="G113" s="239"/>
      <c r="H113" s="240"/>
      <c r="I113" s="239"/>
      <c r="J113" s="148"/>
      <c r="K113" s="94"/>
      <c r="L113" s="94"/>
      <c r="M113" s="94"/>
      <c r="N113" s="112"/>
      <c r="O113" s="112"/>
    </row>
    <row r="114" ht="19.5" customHeight="1">
      <c r="A114" s="69"/>
      <c r="B114" s="211"/>
      <c r="C114" s="229"/>
      <c r="D114" s="230"/>
      <c r="E114" s="231"/>
      <c r="F114" s="232"/>
      <c r="G114" s="233"/>
      <c r="H114" s="234"/>
      <c r="I114" s="233"/>
      <c r="J114" s="173"/>
      <c r="K114" s="77"/>
      <c r="L114" s="77"/>
      <c r="M114" s="77"/>
      <c r="N114" s="80"/>
      <c r="O114" s="80"/>
    </row>
    <row r="115" ht="19.5" customHeight="1">
      <c r="A115" s="81"/>
      <c r="B115" s="225"/>
      <c r="C115" s="235"/>
      <c r="D115" s="236"/>
      <c r="E115" s="237"/>
      <c r="F115" s="238"/>
      <c r="G115" s="239"/>
      <c r="H115" s="240"/>
      <c r="I115" s="239"/>
      <c r="J115" s="148"/>
      <c r="K115" s="94"/>
      <c r="L115" s="94"/>
      <c r="M115" s="94"/>
      <c r="N115" s="112"/>
      <c r="O115" s="112"/>
    </row>
    <row r="116" ht="19.5" customHeight="1">
      <c r="A116" s="69"/>
      <c r="B116" s="211"/>
      <c r="C116" s="229"/>
      <c r="D116" s="230"/>
      <c r="E116" s="231"/>
      <c r="F116" s="232"/>
      <c r="G116" s="233"/>
      <c r="H116" s="234"/>
      <c r="I116" s="233"/>
      <c r="J116" s="173"/>
      <c r="K116" s="77"/>
      <c r="L116" s="77"/>
      <c r="M116" s="77"/>
      <c r="N116" s="80"/>
      <c r="O116" s="80"/>
    </row>
    <row r="117" ht="19.5" customHeight="1">
      <c r="A117" s="81"/>
      <c r="B117" s="225"/>
      <c r="C117" s="235"/>
      <c r="D117" s="236"/>
      <c r="E117" s="237"/>
      <c r="F117" s="238"/>
      <c r="G117" s="239"/>
      <c r="H117" s="240"/>
      <c r="I117" s="239"/>
      <c r="J117" s="148"/>
      <c r="K117" s="94"/>
      <c r="L117" s="94"/>
      <c r="M117" s="94"/>
      <c r="N117" s="112"/>
      <c r="O117" s="112"/>
    </row>
    <row r="118" ht="19.5" customHeight="1">
      <c r="A118" s="69"/>
      <c r="B118" s="211"/>
      <c r="C118" s="229"/>
      <c r="D118" s="230"/>
      <c r="E118" s="231"/>
      <c r="F118" s="232"/>
      <c r="G118" s="233"/>
      <c r="H118" s="234"/>
      <c r="I118" s="233"/>
      <c r="J118" s="173"/>
      <c r="K118" s="77"/>
      <c r="L118" s="77"/>
      <c r="M118" s="77"/>
      <c r="N118" s="80"/>
      <c r="O118" s="80"/>
    </row>
    <row r="119" ht="19.5" customHeight="1">
      <c r="A119" s="81"/>
      <c r="B119" s="225"/>
      <c r="C119" s="235"/>
      <c r="D119" s="236"/>
      <c r="E119" s="237"/>
      <c r="F119" s="238"/>
      <c r="G119" s="239"/>
      <c r="H119" s="240"/>
      <c r="I119" s="239"/>
      <c r="J119" s="148"/>
      <c r="K119" s="94"/>
      <c r="L119" s="94"/>
      <c r="M119" s="94"/>
      <c r="N119" s="112"/>
      <c r="O119" s="112"/>
    </row>
    <row r="120" ht="19.5" customHeight="1">
      <c r="A120" s="69"/>
      <c r="B120" s="211"/>
      <c r="C120" s="229"/>
      <c r="D120" s="230"/>
      <c r="E120" s="231"/>
      <c r="F120" s="232"/>
      <c r="G120" s="233"/>
      <c r="H120" s="234"/>
      <c r="I120" s="233"/>
      <c r="J120" s="173"/>
      <c r="K120" s="77"/>
      <c r="L120" s="77"/>
      <c r="M120" s="77"/>
      <c r="N120" s="80"/>
      <c r="O120" s="80"/>
    </row>
    <row r="121" ht="19.5" customHeight="1">
      <c r="A121" s="81"/>
      <c r="B121" s="225"/>
      <c r="C121" s="235"/>
      <c r="D121" s="236"/>
      <c r="E121" s="237"/>
      <c r="F121" s="238"/>
      <c r="G121" s="239"/>
      <c r="H121" s="240"/>
      <c r="I121" s="239"/>
      <c r="J121" s="148"/>
      <c r="K121" s="94"/>
      <c r="L121" s="94"/>
      <c r="M121" s="94"/>
      <c r="N121" s="112"/>
      <c r="O121" s="112"/>
    </row>
    <row r="122" ht="19.5" customHeight="1">
      <c r="A122" s="69"/>
      <c r="B122" s="211"/>
      <c r="C122" s="229"/>
      <c r="D122" s="230"/>
      <c r="E122" s="231"/>
      <c r="F122" s="232"/>
      <c r="G122" s="233"/>
      <c r="H122" s="234"/>
      <c r="I122" s="233"/>
      <c r="J122" s="173"/>
      <c r="K122" s="77"/>
      <c r="L122" s="77"/>
      <c r="M122" s="77"/>
      <c r="N122" s="80"/>
      <c r="O122" s="80"/>
    </row>
    <row r="123" ht="19.5" customHeight="1">
      <c r="A123" s="81"/>
      <c r="B123" s="225"/>
      <c r="C123" s="235"/>
      <c r="D123" s="236"/>
      <c r="E123" s="237"/>
      <c r="F123" s="238"/>
      <c r="G123" s="239"/>
      <c r="H123" s="240"/>
      <c r="I123" s="239"/>
      <c r="J123" s="148"/>
      <c r="K123" s="94"/>
      <c r="L123" s="94"/>
      <c r="M123" s="94"/>
      <c r="N123" s="112"/>
      <c r="O123" s="112"/>
    </row>
    <row r="124" ht="19.5" customHeight="1">
      <c r="A124" s="69"/>
      <c r="B124" s="211"/>
      <c r="C124" s="229"/>
      <c r="D124" s="230"/>
      <c r="E124" s="231"/>
      <c r="F124" s="232"/>
      <c r="G124" s="233"/>
      <c r="H124" s="234"/>
      <c r="I124" s="233"/>
      <c r="J124" s="173"/>
      <c r="K124" s="77"/>
      <c r="L124" s="77"/>
      <c r="M124" s="77"/>
      <c r="N124" s="80"/>
      <c r="O124" s="80"/>
    </row>
    <row r="125" ht="19.5" customHeight="1">
      <c r="A125" s="81"/>
      <c r="B125" s="225"/>
      <c r="C125" s="235"/>
      <c r="D125" s="236"/>
      <c r="E125" s="237"/>
      <c r="F125" s="238"/>
      <c r="G125" s="239"/>
      <c r="H125" s="240"/>
      <c r="I125" s="239"/>
      <c r="J125" s="148"/>
      <c r="K125" s="94"/>
      <c r="L125" s="94"/>
      <c r="M125" s="94"/>
      <c r="N125" s="112"/>
      <c r="O125" s="112"/>
    </row>
    <row r="126" ht="19.5" customHeight="1">
      <c r="A126" s="69"/>
      <c r="B126" s="211"/>
      <c r="C126" s="229"/>
      <c r="D126" s="230"/>
      <c r="E126" s="231"/>
      <c r="F126" s="232"/>
      <c r="G126" s="233"/>
      <c r="H126" s="234"/>
      <c r="I126" s="233"/>
      <c r="J126" s="173"/>
      <c r="K126" s="77"/>
      <c r="L126" s="77"/>
      <c r="M126" s="77"/>
      <c r="N126" s="80"/>
      <c r="O126" s="80"/>
    </row>
    <row r="127" ht="19.5" customHeight="1">
      <c r="A127" s="81"/>
      <c r="B127" s="225"/>
      <c r="C127" s="235"/>
      <c r="D127" s="236"/>
      <c r="E127" s="237"/>
      <c r="F127" s="238"/>
      <c r="G127" s="239"/>
      <c r="H127" s="240"/>
      <c r="I127" s="239"/>
      <c r="J127" s="148"/>
      <c r="K127" s="94"/>
      <c r="L127" s="94"/>
      <c r="M127" s="94"/>
      <c r="N127" s="112"/>
      <c r="O127" s="112"/>
    </row>
    <row r="128" ht="19.5" customHeight="1">
      <c r="A128" s="69"/>
      <c r="B128" s="211"/>
      <c r="C128" s="229"/>
      <c r="D128" s="230"/>
      <c r="E128" s="231"/>
      <c r="F128" s="232"/>
      <c r="G128" s="233"/>
      <c r="H128" s="234"/>
      <c r="I128" s="233"/>
      <c r="J128" s="173"/>
      <c r="K128" s="77"/>
      <c r="L128" s="77"/>
      <c r="M128" s="77"/>
      <c r="N128" s="80"/>
      <c r="O128" s="80"/>
    </row>
    <row r="129" ht="19.5" customHeight="1">
      <c r="A129" s="81"/>
      <c r="B129" s="225"/>
      <c r="C129" s="235"/>
      <c r="D129" s="236"/>
      <c r="E129" s="237"/>
      <c r="F129" s="238"/>
      <c r="G129" s="239"/>
      <c r="H129" s="240"/>
      <c r="I129" s="239"/>
      <c r="J129" s="148"/>
      <c r="K129" s="94"/>
      <c r="L129" s="94"/>
      <c r="M129" s="94"/>
      <c r="N129" s="112"/>
      <c r="O129" s="112"/>
    </row>
    <row r="130" ht="19.5" customHeight="1">
      <c r="A130" s="69"/>
      <c r="B130" s="211"/>
      <c r="C130" s="229"/>
      <c r="D130" s="230"/>
      <c r="E130" s="231"/>
      <c r="F130" s="232"/>
      <c r="G130" s="233"/>
      <c r="H130" s="234"/>
      <c r="I130" s="233"/>
      <c r="J130" s="173"/>
      <c r="K130" s="77"/>
      <c r="L130" s="77"/>
      <c r="M130" s="77"/>
      <c r="N130" s="80"/>
      <c r="O130" s="80"/>
    </row>
    <row r="131" ht="19.5" customHeight="1">
      <c r="A131" s="81"/>
      <c r="B131" s="225"/>
      <c r="C131" s="235"/>
      <c r="D131" s="236"/>
      <c r="E131" s="237"/>
      <c r="F131" s="238"/>
      <c r="G131" s="239"/>
      <c r="H131" s="240"/>
      <c r="I131" s="239"/>
      <c r="J131" s="148"/>
      <c r="K131" s="94"/>
      <c r="L131" s="94"/>
      <c r="M131" s="94"/>
      <c r="N131" s="112"/>
      <c r="O131" s="112"/>
    </row>
    <row r="132" ht="19.5" customHeight="1">
      <c r="A132" s="69"/>
      <c r="B132" s="211"/>
      <c r="C132" s="229"/>
      <c r="D132" s="230"/>
      <c r="E132" s="231"/>
      <c r="F132" s="232"/>
      <c r="G132" s="233"/>
      <c r="H132" s="234"/>
      <c r="I132" s="233"/>
      <c r="J132" s="173"/>
      <c r="K132" s="77"/>
      <c r="L132" s="77"/>
      <c r="M132" s="77"/>
      <c r="N132" s="80"/>
      <c r="O132" s="80"/>
    </row>
    <row r="133" ht="19.5" customHeight="1">
      <c r="A133" s="81"/>
      <c r="B133" s="225"/>
      <c r="C133" s="235"/>
      <c r="D133" s="236"/>
      <c r="E133" s="237"/>
      <c r="F133" s="238"/>
      <c r="G133" s="239"/>
      <c r="H133" s="240"/>
      <c r="I133" s="239"/>
      <c r="J133" s="148"/>
      <c r="K133" s="94"/>
      <c r="L133" s="94"/>
      <c r="M133" s="94"/>
      <c r="N133" s="112"/>
      <c r="O133" s="112"/>
    </row>
    <row r="134" ht="19.5" customHeight="1">
      <c r="A134" s="69"/>
      <c r="B134" s="211"/>
      <c r="C134" s="229"/>
      <c r="D134" s="230"/>
      <c r="E134" s="231"/>
      <c r="F134" s="232"/>
      <c r="G134" s="233"/>
      <c r="H134" s="234"/>
      <c r="I134" s="233"/>
      <c r="J134" s="173"/>
      <c r="K134" s="77"/>
      <c r="L134" s="77"/>
      <c r="M134" s="77"/>
      <c r="N134" s="80"/>
      <c r="O134" s="80"/>
    </row>
    <row r="135" ht="19.5" customHeight="1">
      <c r="A135" s="81"/>
      <c r="B135" s="225"/>
      <c r="C135" s="235"/>
      <c r="D135" s="236"/>
      <c r="E135" s="237"/>
      <c r="F135" s="238"/>
      <c r="G135" s="239"/>
      <c r="H135" s="240"/>
      <c r="I135" s="239"/>
      <c r="J135" s="148"/>
      <c r="K135" s="94"/>
      <c r="L135" s="94"/>
      <c r="M135" s="94"/>
      <c r="N135" s="112"/>
      <c r="O135" s="112"/>
    </row>
    <row r="136" ht="19.5" customHeight="1">
      <c r="A136" s="69"/>
      <c r="B136" s="211"/>
      <c r="C136" s="229"/>
      <c r="D136" s="230"/>
      <c r="E136" s="231"/>
      <c r="F136" s="232"/>
      <c r="G136" s="233"/>
      <c r="H136" s="234"/>
      <c r="I136" s="233"/>
      <c r="J136" s="173"/>
      <c r="K136" s="77"/>
      <c r="L136" s="77"/>
      <c r="M136" s="77"/>
      <c r="N136" s="80"/>
      <c r="O136" s="80"/>
    </row>
    <row r="137" ht="19.5" customHeight="1">
      <c r="A137" s="81"/>
      <c r="B137" s="225"/>
      <c r="C137" s="235"/>
      <c r="D137" s="236"/>
      <c r="E137" s="237"/>
      <c r="F137" s="238"/>
      <c r="G137" s="239"/>
      <c r="H137" s="240"/>
      <c r="I137" s="239"/>
      <c r="J137" s="148"/>
      <c r="K137" s="94"/>
      <c r="L137" s="94"/>
      <c r="M137" s="94"/>
      <c r="N137" s="112"/>
      <c r="O137" s="112"/>
    </row>
    <row r="138" ht="19.5" customHeight="1">
      <c r="A138" s="69"/>
      <c r="B138" s="211"/>
      <c r="C138" s="229"/>
      <c r="D138" s="230"/>
      <c r="E138" s="231"/>
      <c r="F138" s="232"/>
      <c r="G138" s="233"/>
      <c r="H138" s="234"/>
      <c r="I138" s="233"/>
      <c r="J138" s="173"/>
      <c r="K138" s="77"/>
      <c r="L138" s="77"/>
      <c r="M138" s="77"/>
      <c r="N138" s="80"/>
      <c r="O138" s="80"/>
    </row>
    <row r="139" ht="19.5" customHeight="1">
      <c r="A139" s="81"/>
      <c r="B139" s="225"/>
      <c r="C139" s="235"/>
      <c r="D139" s="236"/>
      <c r="E139" s="237"/>
      <c r="F139" s="238"/>
      <c r="G139" s="239"/>
      <c r="H139" s="240"/>
      <c r="I139" s="239"/>
      <c r="J139" s="148"/>
      <c r="K139" s="94"/>
      <c r="L139" s="94"/>
      <c r="M139" s="94"/>
      <c r="N139" s="112"/>
      <c r="O139" s="112"/>
    </row>
    <row r="140" ht="19.5" customHeight="1">
      <c r="A140" s="69"/>
      <c r="B140" s="211"/>
      <c r="C140" s="229"/>
      <c r="D140" s="230"/>
      <c r="E140" s="231"/>
      <c r="F140" s="232"/>
      <c r="G140" s="233"/>
      <c r="H140" s="234"/>
      <c r="I140" s="233"/>
      <c r="J140" s="173"/>
      <c r="K140" s="77"/>
      <c r="L140" s="77"/>
      <c r="M140" s="77"/>
      <c r="N140" s="80"/>
      <c r="O140" s="80"/>
    </row>
    <row r="141" ht="19.5" customHeight="1">
      <c r="A141" s="81"/>
      <c r="B141" s="225"/>
      <c r="C141" s="235"/>
      <c r="D141" s="236"/>
      <c r="E141" s="237"/>
      <c r="F141" s="238"/>
      <c r="G141" s="239"/>
      <c r="H141" s="240"/>
      <c r="I141" s="239"/>
      <c r="J141" s="148"/>
      <c r="K141" s="94"/>
      <c r="L141" s="94"/>
      <c r="M141" s="94"/>
      <c r="N141" s="112"/>
      <c r="O141" s="112"/>
    </row>
    <row r="142" ht="19.5" customHeight="1">
      <c r="A142" s="69"/>
      <c r="B142" s="211"/>
      <c r="C142" s="229"/>
      <c r="D142" s="230"/>
      <c r="E142" s="231"/>
      <c r="F142" s="232"/>
      <c r="G142" s="233"/>
      <c r="H142" s="234"/>
      <c r="I142" s="233"/>
      <c r="J142" s="173"/>
      <c r="K142" s="77"/>
      <c r="L142" s="77"/>
      <c r="M142" s="77"/>
      <c r="N142" s="80"/>
      <c r="O142" s="80"/>
    </row>
    <row r="143" ht="19.5" customHeight="1">
      <c r="A143" s="81"/>
      <c r="B143" s="225"/>
      <c r="C143" s="235"/>
      <c r="D143" s="236"/>
      <c r="E143" s="237"/>
      <c r="F143" s="238"/>
      <c r="G143" s="239"/>
      <c r="H143" s="240"/>
      <c r="I143" s="239"/>
      <c r="J143" s="148"/>
      <c r="K143" s="94"/>
      <c r="L143" s="94"/>
      <c r="M143" s="94"/>
      <c r="N143" s="112"/>
      <c r="O143" s="112"/>
    </row>
    <row r="144" ht="19.5" customHeight="1">
      <c r="A144" s="69"/>
      <c r="B144" s="211"/>
      <c r="C144" s="229"/>
      <c r="D144" s="230"/>
      <c r="E144" s="231"/>
      <c r="F144" s="232"/>
      <c r="G144" s="233"/>
      <c r="H144" s="234"/>
      <c r="I144" s="233"/>
      <c r="J144" s="173"/>
      <c r="K144" s="77"/>
      <c r="L144" s="77"/>
      <c r="M144" s="77"/>
      <c r="N144" s="80"/>
      <c r="O144" s="80"/>
    </row>
    <row r="145" ht="19.5" customHeight="1">
      <c r="A145" s="81"/>
      <c r="B145" s="225"/>
      <c r="C145" s="235"/>
      <c r="D145" s="236"/>
      <c r="E145" s="237"/>
      <c r="F145" s="238"/>
      <c r="G145" s="239"/>
      <c r="H145" s="240"/>
      <c r="I145" s="239"/>
      <c r="J145" s="148"/>
      <c r="K145" s="94"/>
      <c r="L145" s="94"/>
      <c r="M145" s="94"/>
      <c r="N145" s="112"/>
      <c r="O145" s="112"/>
    </row>
    <row r="146" ht="19.5" customHeight="1">
      <c r="A146" s="69"/>
      <c r="B146" s="211"/>
      <c r="C146" s="229"/>
      <c r="D146" s="230"/>
      <c r="E146" s="231"/>
      <c r="F146" s="232"/>
      <c r="G146" s="233"/>
      <c r="H146" s="234"/>
      <c r="I146" s="233"/>
      <c r="J146" s="173"/>
      <c r="K146" s="77"/>
      <c r="L146" s="77"/>
      <c r="M146" s="77"/>
      <c r="N146" s="80"/>
      <c r="O146" s="80"/>
    </row>
    <row r="147" ht="19.5" customHeight="1">
      <c r="A147" s="81"/>
      <c r="B147" s="225"/>
      <c r="C147" s="235"/>
      <c r="D147" s="236"/>
      <c r="E147" s="237"/>
      <c r="F147" s="238"/>
      <c r="G147" s="239"/>
      <c r="H147" s="240"/>
      <c r="I147" s="239"/>
      <c r="J147" s="148"/>
      <c r="K147" s="94"/>
      <c r="L147" s="94"/>
      <c r="M147" s="94"/>
      <c r="N147" s="112"/>
      <c r="O147" s="112"/>
    </row>
    <row r="148" ht="19.5" customHeight="1">
      <c r="A148" s="69"/>
      <c r="B148" s="211"/>
      <c r="C148" s="229"/>
      <c r="D148" s="230"/>
      <c r="E148" s="231"/>
      <c r="F148" s="232"/>
      <c r="G148" s="233"/>
      <c r="H148" s="234"/>
      <c r="I148" s="233"/>
      <c r="J148" s="173"/>
      <c r="K148" s="77"/>
      <c r="L148" s="77"/>
      <c r="M148" s="77"/>
      <c r="N148" s="80"/>
      <c r="O148" s="80"/>
    </row>
    <row r="149" ht="19.5" customHeight="1">
      <c r="A149" s="81"/>
      <c r="B149" s="225"/>
      <c r="C149" s="235"/>
      <c r="D149" s="236"/>
      <c r="E149" s="237"/>
      <c r="F149" s="238"/>
      <c r="G149" s="239"/>
      <c r="H149" s="240"/>
      <c r="I149" s="239"/>
      <c r="J149" s="148"/>
      <c r="K149" s="94"/>
      <c r="L149" s="94"/>
      <c r="M149" s="94"/>
      <c r="N149" s="112"/>
      <c r="O149" s="112"/>
    </row>
    <row r="150" ht="19.5" customHeight="1">
      <c r="A150" s="69"/>
      <c r="B150" s="211"/>
      <c r="C150" s="229"/>
      <c r="D150" s="230"/>
      <c r="E150" s="231"/>
      <c r="F150" s="232"/>
      <c r="G150" s="233"/>
      <c r="H150" s="234"/>
      <c r="I150" s="233"/>
      <c r="J150" s="173"/>
      <c r="K150" s="77"/>
      <c r="L150" s="77"/>
      <c r="M150" s="77"/>
      <c r="N150" s="80"/>
      <c r="O150" s="80"/>
    </row>
    <row r="151" ht="19.5" customHeight="1">
      <c r="A151" s="81"/>
      <c r="B151" s="225"/>
      <c r="C151" s="235"/>
      <c r="D151" s="236"/>
      <c r="E151" s="237"/>
      <c r="F151" s="238"/>
      <c r="G151" s="239"/>
      <c r="H151" s="240"/>
      <c r="I151" s="239"/>
      <c r="J151" s="148"/>
      <c r="K151" s="94"/>
      <c r="L151" s="94"/>
      <c r="M151" s="94"/>
      <c r="N151" s="112"/>
      <c r="O151" s="112"/>
    </row>
    <row r="152" ht="19.5" customHeight="1">
      <c r="A152" s="69"/>
      <c r="B152" s="211"/>
      <c r="C152" s="229"/>
      <c r="D152" s="230"/>
      <c r="E152" s="231"/>
      <c r="F152" s="232"/>
      <c r="G152" s="233"/>
      <c r="H152" s="234"/>
      <c r="I152" s="233"/>
      <c r="J152" s="173"/>
      <c r="K152" s="77"/>
      <c r="L152" s="77"/>
      <c r="M152" s="77"/>
      <c r="N152" s="80"/>
      <c r="O152" s="80"/>
    </row>
    <row r="153" ht="19.5" customHeight="1">
      <c r="A153" s="81"/>
      <c r="B153" s="225"/>
      <c r="C153" s="235"/>
      <c r="D153" s="236"/>
      <c r="E153" s="237"/>
      <c r="F153" s="238"/>
      <c r="G153" s="239"/>
      <c r="H153" s="240"/>
      <c r="I153" s="239"/>
      <c r="J153" s="148"/>
      <c r="K153" s="94"/>
      <c r="L153" s="94"/>
      <c r="M153" s="94"/>
      <c r="N153" s="112"/>
      <c r="O153" s="112"/>
    </row>
    <row r="154" ht="19.5" customHeight="1">
      <c r="A154" s="69"/>
      <c r="B154" s="211"/>
      <c r="C154" s="229"/>
      <c r="D154" s="230"/>
      <c r="E154" s="231"/>
      <c r="F154" s="232"/>
      <c r="G154" s="233"/>
      <c r="H154" s="234"/>
      <c r="I154" s="233"/>
      <c r="J154" s="173"/>
      <c r="K154" s="77"/>
      <c r="L154" s="77"/>
      <c r="M154" s="77"/>
      <c r="N154" s="80"/>
      <c r="O154" s="80"/>
    </row>
    <row r="155" ht="19.5" customHeight="1">
      <c r="A155" s="81"/>
      <c r="B155" s="225"/>
      <c r="C155" s="235"/>
      <c r="D155" s="236"/>
      <c r="E155" s="237"/>
      <c r="F155" s="238"/>
      <c r="G155" s="239"/>
      <c r="H155" s="240"/>
      <c r="I155" s="239"/>
      <c r="J155" s="148"/>
      <c r="K155" s="94"/>
      <c r="L155" s="94"/>
      <c r="M155" s="94"/>
      <c r="N155" s="112"/>
      <c r="O155" s="112"/>
    </row>
    <row r="156" ht="19.5" customHeight="1">
      <c r="A156" s="69"/>
      <c r="B156" s="211"/>
      <c r="C156" s="229"/>
      <c r="D156" s="230"/>
      <c r="E156" s="231"/>
      <c r="F156" s="232"/>
      <c r="G156" s="233"/>
      <c r="H156" s="234"/>
      <c r="I156" s="233"/>
      <c r="J156" s="173"/>
      <c r="K156" s="77"/>
      <c r="L156" s="77"/>
      <c r="M156" s="77"/>
      <c r="N156" s="80"/>
      <c r="O156" s="80"/>
    </row>
    <row r="157" ht="19.5" customHeight="1">
      <c r="A157" s="81"/>
      <c r="B157" s="225"/>
      <c r="C157" s="235"/>
      <c r="D157" s="236"/>
      <c r="E157" s="237"/>
      <c r="F157" s="238"/>
      <c r="G157" s="239"/>
      <c r="H157" s="240"/>
      <c r="I157" s="239"/>
      <c r="J157" s="148"/>
      <c r="K157" s="94"/>
      <c r="L157" s="94"/>
      <c r="M157" s="94"/>
      <c r="N157" s="112"/>
      <c r="O157" s="112"/>
    </row>
    <row r="158" ht="19.5" customHeight="1">
      <c r="A158" s="69"/>
      <c r="B158" s="211"/>
      <c r="C158" s="229"/>
      <c r="D158" s="230"/>
      <c r="E158" s="231"/>
      <c r="F158" s="232"/>
      <c r="G158" s="233"/>
      <c r="H158" s="234"/>
      <c r="I158" s="233"/>
      <c r="J158" s="173"/>
      <c r="K158" s="77"/>
      <c r="L158" s="77"/>
      <c r="M158" s="77"/>
      <c r="N158" s="80"/>
      <c r="O158" s="80"/>
    </row>
    <row r="159" ht="19.5" customHeight="1">
      <c r="A159" s="81"/>
      <c r="B159" s="225"/>
      <c r="C159" s="235"/>
      <c r="D159" s="236"/>
      <c r="E159" s="237"/>
      <c r="F159" s="238"/>
      <c r="G159" s="239"/>
      <c r="H159" s="240"/>
      <c r="I159" s="239"/>
      <c r="J159" s="148"/>
      <c r="K159" s="94"/>
      <c r="L159" s="94"/>
      <c r="M159" s="94"/>
      <c r="N159" s="112"/>
      <c r="O159" s="112"/>
    </row>
    <row r="160" ht="19.5" customHeight="1">
      <c r="A160" s="69"/>
      <c r="B160" s="211"/>
      <c r="C160" s="229"/>
      <c r="D160" s="230"/>
      <c r="E160" s="231"/>
      <c r="F160" s="232"/>
      <c r="G160" s="233"/>
      <c r="H160" s="234"/>
      <c r="I160" s="233"/>
      <c r="J160" s="173"/>
      <c r="K160" s="77"/>
      <c r="L160" s="77"/>
      <c r="M160" s="77"/>
      <c r="N160" s="80"/>
      <c r="O160" s="80"/>
    </row>
    <row r="161" ht="19.5" customHeight="1">
      <c r="A161" s="81"/>
      <c r="B161" s="225"/>
      <c r="C161" s="235"/>
      <c r="D161" s="236"/>
      <c r="E161" s="237"/>
      <c r="F161" s="238"/>
      <c r="G161" s="239"/>
      <c r="H161" s="240"/>
      <c r="I161" s="239"/>
      <c r="J161" s="148"/>
      <c r="K161" s="94"/>
      <c r="L161" s="94"/>
      <c r="M161" s="94"/>
      <c r="N161" s="112"/>
      <c r="O161" s="112"/>
    </row>
    <row r="162" ht="19.5" customHeight="1">
      <c r="A162" s="69"/>
      <c r="B162" s="211"/>
      <c r="C162" s="229"/>
      <c r="D162" s="230"/>
      <c r="E162" s="231"/>
      <c r="F162" s="232"/>
      <c r="G162" s="233"/>
      <c r="H162" s="234"/>
      <c r="I162" s="233"/>
      <c r="J162" s="173"/>
      <c r="K162" s="77"/>
      <c r="L162" s="77"/>
      <c r="M162" s="77"/>
      <c r="N162" s="80"/>
      <c r="O162" s="80"/>
    </row>
    <row r="163" ht="19.5" customHeight="1">
      <c r="A163" s="81"/>
      <c r="B163" s="225"/>
      <c r="C163" s="235"/>
      <c r="D163" s="236"/>
      <c r="E163" s="237"/>
      <c r="F163" s="238"/>
      <c r="G163" s="239"/>
      <c r="H163" s="240"/>
      <c r="I163" s="239"/>
      <c r="J163" s="148"/>
      <c r="K163" s="94"/>
      <c r="L163" s="94"/>
      <c r="M163" s="94"/>
      <c r="N163" s="112"/>
      <c r="O163" s="112"/>
    </row>
    <row r="164" ht="19.5" customHeight="1">
      <c r="A164" s="69"/>
      <c r="B164" s="211"/>
      <c r="C164" s="229"/>
      <c r="D164" s="230"/>
      <c r="E164" s="231"/>
      <c r="F164" s="232"/>
      <c r="G164" s="233"/>
      <c r="H164" s="234"/>
      <c r="I164" s="233"/>
      <c r="J164" s="173"/>
      <c r="K164" s="77"/>
      <c r="L164" s="77"/>
      <c r="M164" s="77"/>
      <c r="N164" s="80"/>
      <c r="O164" s="80"/>
    </row>
    <row r="165" ht="19.5" customHeight="1">
      <c r="A165" s="81"/>
      <c r="B165" s="225"/>
      <c r="C165" s="235"/>
      <c r="D165" s="236"/>
      <c r="E165" s="237"/>
      <c r="F165" s="238"/>
      <c r="G165" s="239"/>
      <c r="H165" s="240"/>
      <c r="I165" s="239"/>
      <c r="J165" s="148"/>
      <c r="K165" s="94"/>
      <c r="L165" s="94"/>
      <c r="M165" s="94"/>
      <c r="N165" s="112"/>
      <c r="O165" s="112"/>
    </row>
    <row r="166" ht="19.5" customHeight="1">
      <c r="A166" s="69"/>
      <c r="B166" s="211"/>
      <c r="C166" s="229"/>
      <c r="D166" s="230"/>
      <c r="E166" s="231"/>
      <c r="F166" s="232"/>
      <c r="G166" s="233"/>
      <c r="H166" s="234"/>
      <c r="I166" s="233"/>
      <c r="J166" s="173"/>
      <c r="K166" s="77"/>
      <c r="L166" s="77"/>
      <c r="M166" s="77"/>
      <c r="N166" s="80"/>
      <c r="O166" s="80"/>
    </row>
    <row r="167" ht="19.5" customHeight="1">
      <c r="A167" s="81"/>
      <c r="B167" s="225"/>
      <c r="C167" s="235"/>
      <c r="D167" s="236"/>
      <c r="E167" s="237"/>
      <c r="F167" s="238"/>
      <c r="G167" s="239"/>
      <c r="H167" s="240"/>
      <c r="I167" s="239"/>
      <c r="J167" s="148"/>
      <c r="K167" s="94"/>
      <c r="L167" s="94"/>
      <c r="M167" s="94"/>
      <c r="N167" s="112"/>
      <c r="O167" s="112"/>
    </row>
    <row r="168" ht="19.5" customHeight="1">
      <c r="A168" s="69"/>
      <c r="B168" s="211"/>
      <c r="C168" s="229"/>
      <c r="D168" s="230"/>
      <c r="E168" s="231"/>
      <c r="F168" s="232"/>
      <c r="G168" s="233"/>
      <c r="H168" s="234"/>
      <c r="I168" s="233"/>
      <c r="J168" s="173"/>
      <c r="K168" s="77"/>
      <c r="L168" s="77"/>
      <c r="M168" s="77"/>
      <c r="N168" s="80"/>
      <c r="O168" s="80"/>
    </row>
    <row r="169" ht="19.5" customHeight="1">
      <c r="A169" s="81"/>
      <c r="B169" s="225"/>
      <c r="C169" s="235"/>
      <c r="D169" s="236"/>
      <c r="E169" s="237"/>
      <c r="F169" s="238"/>
      <c r="G169" s="239"/>
      <c r="H169" s="240"/>
      <c r="I169" s="239"/>
      <c r="J169" s="148"/>
      <c r="K169" s="94"/>
      <c r="L169" s="94"/>
      <c r="M169" s="94"/>
      <c r="N169" s="112"/>
      <c r="O169" s="112"/>
    </row>
    <row r="170" ht="19.5" customHeight="1">
      <c r="A170" s="69"/>
      <c r="B170" s="211"/>
      <c r="C170" s="229"/>
      <c r="D170" s="230"/>
      <c r="E170" s="231"/>
      <c r="F170" s="232"/>
      <c r="G170" s="233"/>
      <c r="H170" s="234"/>
      <c r="I170" s="233"/>
      <c r="J170" s="173"/>
      <c r="K170" s="77"/>
      <c r="L170" s="77"/>
      <c r="M170" s="77"/>
      <c r="N170" s="80"/>
      <c r="O170" s="80"/>
    </row>
    <row r="171" ht="19.5" customHeight="1">
      <c r="A171" s="81"/>
      <c r="B171" s="225"/>
      <c r="C171" s="235"/>
      <c r="D171" s="236"/>
      <c r="E171" s="237"/>
      <c r="F171" s="238"/>
      <c r="G171" s="239"/>
      <c r="H171" s="240"/>
      <c r="I171" s="239"/>
      <c r="J171" s="148"/>
      <c r="K171" s="94"/>
      <c r="L171" s="94"/>
      <c r="M171" s="94"/>
      <c r="N171" s="112"/>
      <c r="O171" s="112"/>
    </row>
    <row r="172" ht="19.5" customHeight="1">
      <c r="A172" s="69"/>
      <c r="B172" s="211"/>
      <c r="C172" s="229"/>
      <c r="D172" s="230"/>
      <c r="E172" s="231"/>
      <c r="F172" s="232"/>
      <c r="G172" s="233"/>
      <c r="H172" s="234"/>
      <c r="I172" s="233"/>
      <c r="J172" s="173"/>
      <c r="K172" s="77"/>
      <c r="L172" s="77"/>
      <c r="M172" s="77"/>
      <c r="N172" s="80"/>
      <c r="O172" s="80"/>
    </row>
    <row r="173" ht="19.5" customHeight="1">
      <c r="A173" s="81"/>
      <c r="B173" s="225"/>
      <c r="C173" s="235"/>
      <c r="D173" s="236"/>
      <c r="E173" s="237"/>
      <c r="F173" s="238"/>
      <c r="G173" s="239"/>
      <c r="H173" s="240"/>
      <c r="I173" s="239"/>
      <c r="J173" s="148"/>
      <c r="K173" s="94"/>
      <c r="L173" s="94"/>
      <c r="M173" s="94"/>
      <c r="N173" s="112"/>
      <c r="O173" s="112"/>
    </row>
    <row r="174" ht="19.5" customHeight="1">
      <c r="A174" s="69"/>
      <c r="B174" s="211"/>
      <c r="C174" s="229"/>
      <c r="D174" s="230"/>
      <c r="E174" s="231"/>
      <c r="F174" s="232"/>
      <c r="G174" s="233"/>
      <c r="H174" s="234"/>
      <c r="I174" s="233"/>
      <c r="J174" s="173"/>
      <c r="K174" s="77"/>
      <c r="L174" s="77"/>
      <c r="M174" s="77"/>
      <c r="N174" s="80"/>
      <c r="O174" s="80"/>
    </row>
    <row r="175" ht="19.5" customHeight="1">
      <c r="A175" s="81"/>
      <c r="B175" s="225"/>
      <c r="C175" s="235"/>
      <c r="D175" s="236"/>
      <c r="E175" s="237"/>
      <c r="F175" s="238"/>
      <c r="G175" s="239"/>
      <c r="H175" s="240"/>
      <c r="I175" s="239"/>
      <c r="J175" s="148"/>
      <c r="K175" s="94"/>
      <c r="L175" s="94"/>
      <c r="M175" s="94"/>
      <c r="N175" s="112"/>
      <c r="O175" s="112"/>
    </row>
    <row r="176" ht="19.5" customHeight="1">
      <c r="A176" s="69"/>
      <c r="B176" s="211"/>
      <c r="C176" s="229"/>
      <c r="D176" s="230"/>
      <c r="E176" s="231"/>
      <c r="F176" s="232"/>
      <c r="G176" s="233"/>
      <c r="H176" s="234"/>
      <c r="I176" s="233"/>
      <c r="J176" s="173"/>
      <c r="K176" s="77"/>
      <c r="L176" s="77"/>
      <c r="M176" s="77"/>
      <c r="N176" s="80"/>
      <c r="O176" s="80"/>
    </row>
    <row r="177" ht="19.5" customHeight="1">
      <c r="A177" s="81"/>
      <c r="B177" s="225"/>
      <c r="C177" s="235"/>
      <c r="D177" s="236"/>
      <c r="E177" s="237"/>
      <c r="F177" s="238"/>
      <c r="G177" s="239"/>
      <c r="H177" s="240"/>
      <c r="I177" s="239"/>
      <c r="J177" s="148"/>
      <c r="K177" s="94"/>
      <c r="L177" s="94"/>
      <c r="M177" s="94"/>
      <c r="N177" s="112"/>
      <c r="O177" s="112"/>
    </row>
    <row r="178" ht="19.5" customHeight="1">
      <c r="A178" s="69"/>
      <c r="B178" s="211"/>
      <c r="C178" s="229"/>
      <c r="D178" s="230"/>
      <c r="E178" s="231"/>
      <c r="F178" s="232"/>
      <c r="G178" s="233"/>
      <c r="H178" s="234"/>
      <c r="I178" s="233"/>
      <c r="J178" s="173"/>
      <c r="K178" s="77"/>
      <c r="L178" s="77"/>
      <c r="M178" s="77"/>
      <c r="N178" s="80"/>
      <c r="O178" s="80"/>
    </row>
    <row r="179" ht="19.5" customHeight="1">
      <c r="A179" s="81"/>
      <c r="B179" s="225"/>
      <c r="C179" s="235"/>
      <c r="D179" s="236"/>
      <c r="E179" s="237"/>
      <c r="F179" s="238"/>
      <c r="G179" s="239"/>
      <c r="H179" s="240"/>
      <c r="I179" s="239"/>
      <c r="J179" s="148"/>
      <c r="K179" s="94"/>
      <c r="L179" s="94"/>
      <c r="M179" s="94"/>
      <c r="N179" s="112"/>
      <c r="O179" s="112"/>
    </row>
    <row r="180" ht="19.5" customHeight="1">
      <c r="A180" s="69"/>
      <c r="B180" s="211"/>
      <c r="C180" s="229"/>
      <c r="D180" s="230"/>
      <c r="E180" s="231"/>
      <c r="F180" s="232"/>
      <c r="G180" s="233"/>
      <c r="H180" s="234"/>
      <c r="I180" s="233"/>
      <c r="J180" s="173"/>
      <c r="K180" s="77"/>
      <c r="L180" s="77"/>
      <c r="M180" s="77"/>
      <c r="N180" s="80"/>
      <c r="O180" s="80"/>
    </row>
    <row r="181" ht="19.5" customHeight="1">
      <c r="A181" s="81"/>
      <c r="B181" s="225"/>
      <c r="C181" s="235"/>
      <c r="D181" s="236"/>
      <c r="E181" s="237"/>
      <c r="F181" s="238"/>
      <c r="G181" s="239"/>
      <c r="H181" s="240"/>
      <c r="I181" s="239"/>
      <c r="J181" s="148"/>
      <c r="K181" s="94"/>
      <c r="L181" s="94"/>
      <c r="M181" s="94"/>
      <c r="N181" s="112"/>
      <c r="O181" s="112"/>
    </row>
    <row r="182" ht="19.5" customHeight="1">
      <c r="A182" s="69"/>
      <c r="B182" s="211"/>
      <c r="C182" s="229"/>
      <c r="D182" s="230"/>
      <c r="E182" s="231"/>
      <c r="F182" s="232"/>
      <c r="G182" s="233"/>
      <c r="H182" s="234"/>
      <c r="I182" s="233"/>
      <c r="J182" s="173"/>
      <c r="K182" s="77"/>
      <c r="L182" s="77"/>
      <c r="M182" s="77"/>
      <c r="N182" s="80"/>
      <c r="O182" s="80"/>
    </row>
    <row r="183" ht="19.5" customHeight="1">
      <c r="A183" s="81"/>
      <c r="B183" s="225"/>
      <c r="C183" s="235"/>
      <c r="D183" s="236"/>
      <c r="E183" s="237"/>
      <c r="F183" s="238"/>
      <c r="G183" s="239"/>
      <c r="H183" s="240"/>
      <c r="I183" s="239"/>
      <c r="J183" s="148"/>
      <c r="K183" s="94"/>
      <c r="L183" s="94"/>
      <c r="M183" s="94"/>
      <c r="N183" s="112"/>
      <c r="O183" s="112"/>
    </row>
    <row r="184" ht="19.5" customHeight="1">
      <c r="A184" s="69"/>
      <c r="B184" s="211"/>
      <c r="C184" s="229"/>
      <c r="D184" s="230"/>
      <c r="E184" s="231"/>
      <c r="F184" s="232"/>
      <c r="G184" s="233"/>
      <c r="H184" s="234"/>
      <c r="I184" s="233"/>
      <c r="J184" s="173"/>
      <c r="K184" s="77"/>
      <c r="L184" s="77"/>
      <c r="M184" s="77"/>
      <c r="N184" s="80"/>
      <c r="O184" s="80"/>
    </row>
    <row r="185" ht="19.5" customHeight="1">
      <c r="A185" s="81"/>
      <c r="B185" s="225"/>
      <c r="C185" s="235"/>
      <c r="D185" s="236"/>
      <c r="E185" s="237"/>
      <c r="F185" s="238"/>
      <c r="G185" s="239"/>
      <c r="H185" s="240"/>
      <c r="I185" s="239"/>
      <c r="J185" s="148"/>
      <c r="K185" s="94"/>
      <c r="L185" s="94"/>
      <c r="M185" s="94"/>
      <c r="N185" s="112"/>
      <c r="O185" s="112"/>
    </row>
    <row r="186" ht="19.5" customHeight="1">
      <c r="A186" s="69"/>
      <c r="B186" s="211"/>
      <c r="C186" s="229"/>
      <c r="D186" s="230"/>
      <c r="E186" s="231"/>
      <c r="F186" s="232"/>
      <c r="G186" s="233"/>
      <c r="H186" s="234"/>
      <c r="I186" s="233"/>
      <c r="J186" s="173"/>
      <c r="K186" s="77"/>
      <c r="L186" s="77"/>
      <c r="M186" s="77"/>
      <c r="N186" s="80"/>
      <c r="O186" s="80"/>
    </row>
    <row r="187" ht="19.5" customHeight="1">
      <c r="A187" s="81"/>
      <c r="B187" s="225"/>
      <c r="C187" s="235"/>
      <c r="D187" s="236"/>
      <c r="E187" s="237"/>
      <c r="F187" s="238"/>
      <c r="G187" s="239"/>
      <c r="H187" s="240"/>
      <c r="I187" s="239"/>
      <c r="J187" s="148"/>
      <c r="K187" s="94"/>
      <c r="L187" s="94"/>
      <c r="M187" s="94"/>
      <c r="N187" s="112"/>
      <c r="O187" s="112"/>
    </row>
    <row r="188" ht="19.5" customHeight="1">
      <c r="A188" s="69"/>
      <c r="B188" s="211"/>
      <c r="C188" s="229"/>
      <c r="D188" s="230"/>
      <c r="E188" s="231"/>
      <c r="F188" s="232"/>
      <c r="G188" s="233"/>
      <c r="H188" s="234"/>
      <c r="I188" s="233"/>
      <c r="J188" s="173"/>
      <c r="K188" s="77"/>
      <c r="L188" s="77"/>
      <c r="M188" s="77"/>
      <c r="N188" s="80"/>
      <c r="O188" s="80"/>
    </row>
    <row r="189" ht="19.5" customHeight="1">
      <c r="A189" s="81"/>
      <c r="B189" s="225"/>
      <c r="C189" s="235"/>
      <c r="D189" s="236"/>
      <c r="E189" s="237"/>
      <c r="F189" s="238"/>
      <c r="G189" s="239"/>
      <c r="H189" s="240"/>
      <c r="I189" s="239"/>
      <c r="J189" s="148"/>
      <c r="K189" s="94"/>
      <c r="L189" s="94"/>
      <c r="M189" s="94"/>
      <c r="N189" s="112"/>
      <c r="O189" s="112"/>
    </row>
    <row r="190" ht="19.5" customHeight="1">
      <c r="A190" s="69"/>
      <c r="B190" s="211"/>
      <c r="C190" s="229"/>
      <c r="D190" s="230"/>
      <c r="E190" s="231"/>
      <c r="F190" s="232"/>
      <c r="G190" s="233"/>
      <c r="H190" s="234"/>
      <c r="I190" s="233"/>
      <c r="J190" s="173"/>
      <c r="K190" s="77"/>
      <c r="L190" s="77"/>
      <c r="M190" s="77"/>
      <c r="N190" s="80"/>
      <c r="O190" s="80"/>
    </row>
    <row r="191" ht="19.5" customHeight="1">
      <c r="A191" s="81"/>
      <c r="B191" s="225"/>
      <c r="C191" s="235"/>
      <c r="D191" s="236"/>
      <c r="E191" s="237"/>
      <c r="F191" s="238"/>
      <c r="G191" s="239"/>
      <c r="H191" s="240"/>
      <c r="I191" s="239"/>
      <c r="J191" s="148"/>
      <c r="K191" s="94"/>
      <c r="L191" s="94"/>
      <c r="M191" s="94"/>
      <c r="N191" s="112"/>
      <c r="O191" s="112"/>
    </row>
    <row r="192" ht="19.5" customHeight="1">
      <c r="A192" s="69"/>
      <c r="B192" s="211"/>
      <c r="C192" s="229"/>
      <c r="D192" s="230"/>
      <c r="E192" s="231"/>
      <c r="F192" s="232"/>
      <c r="G192" s="233"/>
      <c r="H192" s="234"/>
      <c r="I192" s="233"/>
      <c r="J192" s="173"/>
      <c r="K192" s="77"/>
      <c r="L192" s="77"/>
      <c r="M192" s="77"/>
      <c r="N192" s="80"/>
      <c r="O192" s="80"/>
    </row>
    <row r="193" ht="19.5" customHeight="1">
      <c r="A193" s="81"/>
      <c r="B193" s="225"/>
      <c r="C193" s="235"/>
      <c r="D193" s="236"/>
      <c r="E193" s="237"/>
      <c r="F193" s="238"/>
      <c r="G193" s="239"/>
      <c r="H193" s="240"/>
      <c r="I193" s="239"/>
      <c r="J193" s="148"/>
      <c r="K193" s="94"/>
      <c r="L193" s="94"/>
      <c r="M193" s="94"/>
      <c r="N193" s="112"/>
      <c r="O193" s="112"/>
    </row>
    <row r="194" ht="19.5" customHeight="1">
      <c r="A194" s="69"/>
      <c r="B194" s="211"/>
      <c r="C194" s="229"/>
      <c r="D194" s="230"/>
      <c r="E194" s="231"/>
      <c r="F194" s="232"/>
      <c r="G194" s="233"/>
      <c r="H194" s="234"/>
      <c r="I194" s="233"/>
      <c r="J194" s="173"/>
      <c r="K194" s="77"/>
      <c r="L194" s="77"/>
      <c r="M194" s="77"/>
      <c r="N194" s="80"/>
      <c r="O194" s="80"/>
    </row>
    <row r="195" ht="19.5" customHeight="1">
      <c r="A195" s="81"/>
      <c r="B195" s="225"/>
      <c r="C195" s="235"/>
      <c r="D195" s="236"/>
      <c r="E195" s="237"/>
      <c r="F195" s="238"/>
      <c r="G195" s="239"/>
      <c r="H195" s="240"/>
      <c r="I195" s="239"/>
      <c r="J195" s="148"/>
      <c r="K195" s="94"/>
      <c r="L195" s="94"/>
      <c r="M195" s="94"/>
      <c r="N195" s="112"/>
      <c r="O195" s="112"/>
    </row>
    <row r="196" ht="19.5" customHeight="1">
      <c r="A196" s="69"/>
      <c r="B196" s="211"/>
      <c r="C196" s="229"/>
      <c r="D196" s="230"/>
      <c r="E196" s="231"/>
      <c r="F196" s="232"/>
      <c r="G196" s="233"/>
      <c r="H196" s="234"/>
      <c r="I196" s="233"/>
      <c r="J196" s="173"/>
      <c r="K196" s="77"/>
      <c r="L196" s="77"/>
      <c r="M196" s="77"/>
      <c r="N196" s="80"/>
      <c r="O196" s="80"/>
    </row>
    <row r="197" ht="19.5" customHeight="1">
      <c r="A197" s="81"/>
      <c r="B197" s="225"/>
      <c r="C197" s="235"/>
      <c r="D197" s="236"/>
      <c r="E197" s="237"/>
      <c r="F197" s="238"/>
      <c r="G197" s="239"/>
      <c r="H197" s="240"/>
      <c r="I197" s="239"/>
      <c r="J197" s="148"/>
      <c r="K197" s="94"/>
      <c r="L197" s="94"/>
      <c r="M197" s="94"/>
      <c r="N197" s="112"/>
      <c r="O197" s="112"/>
    </row>
    <row r="198" ht="19.5" customHeight="1">
      <c r="A198" s="69"/>
      <c r="B198" s="211"/>
      <c r="C198" s="229"/>
      <c r="D198" s="230"/>
      <c r="E198" s="231"/>
      <c r="F198" s="232"/>
      <c r="G198" s="233"/>
      <c r="H198" s="234"/>
      <c r="I198" s="233"/>
      <c r="J198" s="173"/>
      <c r="K198" s="77"/>
      <c r="L198" s="77"/>
      <c r="M198" s="77"/>
      <c r="N198" s="80"/>
      <c r="O198" s="80"/>
    </row>
    <row r="199" ht="19.5" customHeight="1">
      <c r="A199" s="81"/>
      <c r="B199" s="225"/>
      <c r="C199" s="235"/>
      <c r="D199" s="236"/>
      <c r="E199" s="237"/>
      <c r="F199" s="238"/>
      <c r="G199" s="239"/>
      <c r="H199" s="240"/>
      <c r="I199" s="239"/>
      <c r="J199" s="148"/>
      <c r="K199" s="94"/>
      <c r="L199" s="94"/>
      <c r="M199" s="94"/>
      <c r="N199" s="112"/>
      <c r="O199" s="112"/>
    </row>
    <row r="200" ht="19.5" customHeight="1">
      <c r="A200" s="69"/>
      <c r="B200" s="211"/>
      <c r="C200" s="229"/>
      <c r="D200" s="230"/>
      <c r="E200" s="231"/>
      <c r="F200" s="232"/>
      <c r="G200" s="233"/>
      <c r="H200" s="234"/>
      <c r="I200" s="233"/>
      <c r="J200" s="173"/>
      <c r="K200" s="77"/>
      <c r="L200" s="77"/>
      <c r="M200" s="77"/>
      <c r="N200" s="80"/>
      <c r="O200" s="80"/>
    </row>
    <row r="201" ht="19.5" customHeight="1">
      <c r="A201" s="81"/>
      <c r="B201" s="225"/>
      <c r="C201" s="235"/>
      <c r="D201" s="236"/>
      <c r="E201" s="237"/>
      <c r="F201" s="238"/>
      <c r="G201" s="239"/>
      <c r="H201" s="240"/>
      <c r="I201" s="239"/>
      <c r="J201" s="148"/>
      <c r="K201" s="94"/>
      <c r="L201" s="94"/>
      <c r="M201" s="94"/>
      <c r="N201" s="112"/>
      <c r="O201" s="112"/>
    </row>
    <row r="202" ht="19.5" customHeight="1">
      <c r="A202" s="69"/>
      <c r="B202" s="211"/>
      <c r="C202" s="229"/>
      <c r="D202" s="230"/>
      <c r="E202" s="231"/>
      <c r="F202" s="232"/>
      <c r="G202" s="233"/>
      <c r="H202" s="234"/>
      <c r="I202" s="233"/>
      <c r="J202" s="173"/>
      <c r="K202" s="77"/>
      <c r="L202" s="77"/>
      <c r="M202" s="77"/>
      <c r="N202" s="80"/>
      <c r="O202" s="80"/>
    </row>
    <row r="203" ht="19.5" customHeight="1">
      <c r="A203" s="81"/>
      <c r="B203" s="225"/>
      <c r="C203" s="235"/>
      <c r="D203" s="236"/>
      <c r="E203" s="237"/>
      <c r="F203" s="238"/>
      <c r="G203" s="239"/>
      <c r="H203" s="240"/>
      <c r="I203" s="239"/>
      <c r="J203" s="148"/>
      <c r="K203" s="94"/>
      <c r="L203" s="94"/>
      <c r="M203" s="94"/>
      <c r="N203" s="112"/>
      <c r="O203" s="112"/>
    </row>
    <row r="204" ht="19.5" customHeight="1">
      <c r="A204" s="69"/>
      <c r="B204" s="211"/>
      <c r="C204" s="229"/>
      <c r="D204" s="230"/>
      <c r="E204" s="231"/>
      <c r="F204" s="232"/>
      <c r="G204" s="233"/>
      <c r="H204" s="234"/>
      <c r="I204" s="233"/>
      <c r="J204" s="173"/>
      <c r="K204" s="77"/>
      <c r="L204" s="77"/>
      <c r="M204" s="77"/>
      <c r="N204" s="80"/>
      <c r="O204" s="80"/>
    </row>
    <row r="205" ht="19.5" customHeight="1">
      <c r="A205" s="81"/>
      <c r="B205" s="225"/>
      <c r="C205" s="235"/>
      <c r="D205" s="236"/>
      <c r="E205" s="237"/>
      <c r="F205" s="238"/>
      <c r="G205" s="239"/>
      <c r="H205" s="240"/>
      <c r="I205" s="239"/>
      <c r="J205" s="148"/>
      <c r="K205" s="94"/>
      <c r="L205" s="94"/>
      <c r="M205" s="94"/>
      <c r="N205" s="112"/>
      <c r="O205" s="112"/>
    </row>
    <row r="206" ht="19.5" customHeight="1">
      <c r="A206" s="69"/>
      <c r="B206" s="211"/>
      <c r="C206" s="229"/>
      <c r="D206" s="230"/>
      <c r="E206" s="231"/>
      <c r="F206" s="232"/>
      <c r="G206" s="233"/>
      <c r="H206" s="234"/>
      <c r="I206" s="233"/>
      <c r="J206" s="173"/>
      <c r="K206" s="77"/>
      <c r="L206" s="77"/>
      <c r="M206" s="77"/>
      <c r="N206" s="80"/>
      <c r="O206" s="80"/>
    </row>
    <row r="207" ht="19.5" customHeight="1">
      <c r="A207" s="81"/>
      <c r="B207" s="225"/>
      <c r="C207" s="235"/>
      <c r="D207" s="236"/>
      <c r="E207" s="237"/>
      <c r="F207" s="238"/>
      <c r="G207" s="239"/>
      <c r="H207" s="240"/>
      <c r="I207" s="239"/>
      <c r="J207" s="148"/>
      <c r="K207" s="94"/>
      <c r="L207" s="94"/>
      <c r="M207" s="94"/>
      <c r="N207" s="112"/>
      <c r="O207" s="112"/>
    </row>
    <row r="208" ht="19.5" customHeight="1">
      <c r="A208" s="69"/>
      <c r="B208" s="211"/>
      <c r="C208" s="229"/>
      <c r="D208" s="230"/>
      <c r="E208" s="231"/>
      <c r="F208" s="232"/>
      <c r="G208" s="233"/>
      <c r="H208" s="234"/>
      <c r="I208" s="233"/>
      <c r="J208" s="173"/>
      <c r="K208" s="77"/>
      <c r="L208" s="77"/>
      <c r="M208" s="77"/>
      <c r="N208" s="80"/>
      <c r="O208" s="80"/>
    </row>
    <row r="209" ht="19.5" customHeight="1">
      <c r="A209" s="81"/>
      <c r="B209" s="225"/>
      <c r="C209" s="235"/>
      <c r="D209" s="236"/>
      <c r="E209" s="237"/>
      <c r="F209" s="238"/>
      <c r="G209" s="239"/>
      <c r="H209" s="240"/>
      <c r="I209" s="239"/>
      <c r="J209" s="148"/>
      <c r="K209" s="94"/>
      <c r="L209" s="94"/>
      <c r="M209" s="94"/>
      <c r="N209" s="112"/>
      <c r="O209" s="112"/>
    </row>
    <row r="210" ht="19.5" customHeight="1">
      <c r="A210" s="69"/>
      <c r="B210" s="211"/>
      <c r="C210" s="229"/>
      <c r="D210" s="230"/>
      <c r="E210" s="231"/>
      <c r="F210" s="232"/>
      <c r="G210" s="233"/>
      <c r="H210" s="234"/>
      <c r="I210" s="233"/>
      <c r="J210" s="173"/>
      <c r="K210" s="77"/>
      <c r="L210" s="77"/>
      <c r="M210" s="77"/>
      <c r="N210" s="80"/>
      <c r="O210" s="80"/>
    </row>
    <row r="211" ht="19.5" customHeight="1">
      <c r="A211" s="81"/>
      <c r="B211" s="225"/>
      <c r="C211" s="235"/>
      <c r="D211" s="236"/>
      <c r="E211" s="237"/>
      <c r="F211" s="238"/>
      <c r="G211" s="239"/>
      <c r="H211" s="240"/>
      <c r="I211" s="239"/>
      <c r="J211" s="148"/>
      <c r="K211" s="94"/>
      <c r="L211" s="94"/>
      <c r="M211" s="94"/>
      <c r="N211" s="112"/>
      <c r="O211" s="112"/>
    </row>
    <row r="212" ht="19.5" customHeight="1">
      <c r="A212" s="69"/>
      <c r="B212" s="211"/>
      <c r="C212" s="229"/>
      <c r="D212" s="230"/>
      <c r="E212" s="231"/>
      <c r="F212" s="232"/>
      <c r="G212" s="233"/>
      <c r="H212" s="234"/>
      <c r="I212" s="233"/>
      <c r="J212" s="173"/>
      <c r="K212" s="77"/>
      <c r="L212" s="77"/>
      <c r="M212" s="77"/>
      <c r="N212" s="80"/>
      <c r="O212" s="80"/>
    </row>
    <row r="213" ht="19.5" customHeight="1">
      <c r="A213" s="81"/>
      <c r="B213" s="225"/>
      <c r="C213" s="235"/>
      <c r="D213" s="236"/>
      <c r="E213" s="237"/>
      <c r="F213" s="238"/>
      <c r="G213" s="239"/>
      <c r="H213" s="240"/>
      <c r="I213" s="239"/>
      <c r="J213" s="148"/>
      <c r="K213" s="94"/>
      <c r="L213" s="94"/>
      <c r="M213" s="94"/>
      <c r="N213" s="112"/>
      <c r="O213" s="112"/>
    </row>
    <row r="214" ht="19.5" customHeight="1">
      <c r="A214" s="69"/>
      <c r="B214" s="211"/>
      <c r="C214" s="229"/>
      <c r="D214" s="230"/>
      <c r="E214" s="231"/>
      <c r="F214" s="232"/>
      <c r="G214" s="233"/>
      <c r="H214" s="234"/>
      <c r="I214" s="233"/>
      <c r="J214" s="173"/>
      <c r="K214" s="77"/>
      <c r="L214" s="77"/>
      <c r="M214" s="77"/>
      <c r="N214" s="80"/>
      <c r="O214" s="80"/>
    </row>
    <row r="215" ht="19.5" customHeight="1">
      <c r="A215" s="81"/>
      <c r="B215" s="225"/>
      <c r="C215" s="235"/>
      <c r="D215" s="236"/>
      <c r="E215" s="237"/>
      <c r="F215" s="238"/>
      <c r="G215" s="239"/>
      <c r="H215" s="240"/>
      <c r="I215" s="239"/>
      <c r="J215" s="148"/>
      <c r="K215" s="94"/>
      <c r="L215" s="94"/>
      <c r="M215" s="94"/>
      <c r="N215" s="112"/>
      <c r="O215" s="112"/>
    </row>
    <row r="216" ht="19.5" customHeight="1">
      <c r="A216" s="69"/>
      <c r="B216" s="211"/>
      <c r="C216" s="229"/>
      <c r="D216" s="230"/>
      <c r="E216" s="231"/>
      <c r="F216" s="232"/>
      <c r="G216" s="233"/>
      <c r="H216" s="234"/>
      <c r="I216" s="233"/>
      <c r="J216" s="173"/>
      <c r="K216" s="77"/>
      <c r="L216" s="77"/>
      <c r="M216" s="77"/>
      <c r="N216" s="80"/>
      <c r="O216" s="80"/>
    </row>
    <row r="217" ht="19.5" customHeight="1">
      <c r="A217" s="81"/>
      <c r="B217" s="225"/>
      <c r="C217" s="235"/>
      <c r="D217" s="236"/>
      <c r="E217" s="237"/>
      <c r="F217" s="238"/>
      <c r="G217" s="239"/>
      <c r="H217" s="240"/>
      <c r="I217" s="239"/>
      <c r="J217" s="148"/>
      <c r="K217" s="94"/>
      <c r="L217" s="94"/>
      <c r="M217" s="94"/>
      <c r="N217" s="112"/>
      <c r="O217" s="112"/>
    </row>
    <row r="218" ht="19.5" customHeight="1">
      <c r="A218" s="69"/>
      <c r="B218" s="211"/>
      <c r="C218" s="229"/>
      <c r="D218" s="230"/>
      <c r="E218" s="231"/>
      <c r="F218" s="232"/>
      <c r="G218" s="233"/>
      <c r="H218" s="234"/>
      <c r="I218" s="233"/>
      <c r="J218" s="173"/>
      <c r="K218" s="77"/>
      <c r="L218" s="77"/>
      <c r="M218" s="77"/>
      <c r="N218" s="80"/>
      <c r="O218" s="80"/>
    </row>
    <row r="219" ht="19.5" customHeight="1">
      <c r="A219" s="81"/>
      <c r="B219" s="225"/>
      <c r="C219" s="235"/>
      <c r="D219" s="236"/>
      <c r="E219" s="237"/>
      <c r="F219" s="238"/>
      <c r="G219" s="239"/>
      <c r="H219" s="240"/>
      <c r="I219" s="239"/>
      <c r="J219" s="148"/>
      <c r="K219" s="94"/>
      <c r="L219" s="94"/>
      <c r="M219" s="94"/>
      <c r="N219" s="112"/>
      <c r="O219" s="112"/>
    </row>
    <row r="220" ht="19.5" customHeight="1">
      <c r="A220" s="69"/>
      <c r="B220" s="211"/>
      <c r="C220" s="229"/>
      <c r="D220" s="230"/>
      <c r="E220" s="231"/>
      <c r="F220" s="232"/>
      <c r="G220" s="233"/>
      <c r="H220" s="234"/>
      <c r="I220" s="233"/>
      <c r="J220" s="173"/>
      <c r="K220" s="77"/>
      <c r="L220" s="77"/>
      <c r="M220" s="77"/>
      <c r="N220" s="80"/>
      <c r="O220" s="80"/>
    </row>
    <row r="221" ht="19.5" customHeight="1">
      <c r="A221" s="81"/>
      <c r="B221" s="225"/>
      <c r="C221" s="235"/>
      <c r="D221" s="236"/>
      <c r="E221" s="237"/>
      <c r="F221" s="238"/>
      <c r="G221" s="239"/>
      <c r="H221" s="240"/>
      <c r="I221" s="239"/>
      <c r="J221" s="148"/>
      <c r="K221" s="94"/>
      <c r="L221" s="94"/>
      <c r="M221" s="94"/>
      <c r="N221" s="112"/>
      <c r="O221" s="112"/>
    </row>
    <row r="222" ht="19.5" customHeight="1">
      <c r="A222" s="69"/>
      <c r="B222" s="211"/>
      <c r="C222" s="229"/>
      <c r="D222" s="230"/>
      <c r="E222" s="231"/>
      <c r="F222" s="232"/>
      <c r="G222" s="233"/>
      <c r="H222" s="234"/>
      <c r="I222" s="233"/>
      <c r="J222" s="173"/>
      <c r="K222" s="77"/>
      <c r="L222" s="77"/>
      <c r="M222" s="77"/>
      <c r="N222" s="80"/>
      <c r="O222" s="80"/>
    </row>
    <row r="223" ht="15.75" customHeight="1">
      <c r="A223" s="242"/>
      <c r="B223" s="225"/>
      <c r="C223" s="235"/>
      <c r="D223" s="236"/>
      <c r="E223" s="237"/>
      <c r="F223" s="238"/>
      <c r="G223" s="239"/>
      <c r="H223" s="240"/>
      <c r="I223" s="239"/>
      <c r="J223" s="148"/>
      <c r="K223" s="94"/>
      <c r="L223" s="94"/>
      <c r="M223" s="94"/>
      <c r="N223" s="112"/>
      <c r="O223" s="112"/>
    </row>
    <row r="224" ht="15.75" customHeight="1">
      <c r="A224" s="243"/>
      <c r="B224" s="211"/>
      <c r="C224" s="229"/>
      <c r="D224" s="230"/>
      <c r="E224" s="231"/>
      <c r="F224" s="232"/>
      <c r="G224" s="233"/>
      <c r="H224" s="234"/>
      <c r="I224" s="233"/>
      <c r="J224" s="173"/>
      <c r="K224" s="77"/>
      <c r="L224" s="77"/>
      <c r="M224" s="77"/>
      <c r="N224" s="80"/>
      <c r="O224" s="80"/>
    </row>
    <row r="225" ht="15.75" customHeight="1">
      <c r="A225" s="242"/>
      <c r="B225" s="225"/>
      <c r="C225" s="235"/>
      <c r="D225" s="236"/>
      <c r="E225" s="237"/>
      <c r="F225" s="238"/>
      <c r="G225" s="239"/>
      <c r="H225" s="240"/>
      <c r="I225" s="239"/>
      <c r="J225" s="148"/>
      <c r="K225" s="94"/>
      <c r="L225" s="94"/>
      <c r="M225" s="94"/>
      <c r="N225" s="112"/>
      <c r="O225" s="112"/>
    </row>
    <row r="226" ht="15.75" customHeight="1">
      <c r="A226" s="243"/>
      <c r="B226" s="211"/>
      <c r="C226" s="229"/>
      <c r="D226" s="230"/>
      <c r="E226" s="231"/>
      <c r="F226" s="232"/>
      <c r="G226" s="233"/>
      <c r="H226" s="234"/>
      <c r="I226" s="233"/>
      <c r="J226" s="173"/>
      <c r="K226" s="77"/>
      <c r="L226" s="77"/>
      <c r="M226" s="77"/>
      <c r="N226" s="80"/>
      <c r="O226" s="80"/>
    </row>
    <row r="227" ht="15.75" customHeight="1">
      <c r="A227" s="242"/>
      <c r="B227" s="225"/>
      <c r="C227" s="235"/>
      <c r="D227" s="236"/>
      <c r="E227" s="237"/>
      <c r="F227" s="238"/>
      <c r="G227" s="239"/>
      <c r="H227" s="240"/>
      <c r="I227" s="239"/>
      <c r="J227" s="148"/>
      <c r="K227" s="94"/>
      <c r="L227" s="94"/>
      <c r="M227" s="94"/>
      <c r="N227" s="112"/>
      <c r="O227" s="112"/>
    </row>
    <row r="228" ht="15.75" customHeight="1">
      <c r="A228" s="243"/>
      <c r="B228" s="211"/>
      <c r="C228" s="229"/>
      <c r="D228" s="230"/>
      <c r="E228" s="231"/>
      <c r="F228" s="232"/>
      <c r="G228" s="233"/>
      <c r="H228" s="234"/>
      <c r="I228" s="233"/>
      <c r="J228" s="173"/>
      <c r="K228" s="77"/>
      <c r="L228" s="77"/>
      <c r="M228" s="77"/>
      <c r="N228" s="80"/>
      <c r="O228" s="80"/>
    </row>
    <row r="229" ht="15.75" customHeight="1">
      <c r="A229" s="242"/>
      <c r="B229" s="225"/>
      <c r="C229" s="235"/>
      <c r="D229" s="236"/>
      <c r="E229" s="237"/>
      <c r="F229" s="238"/>
      <c r="G229" s="239"/>
      <c r="H229" s="240"/>
      <c r="I229" s="239"/>
      <c r="J229" s="148"/>
      <c r="K229" s="94"/>
      <c r="L229" s="94"/>
      <c r="M229" s="94"/>
      <c r="N229" s="112"/>
      <c r="O229" s="112"/>
    </row>
    <row r="230" ht="15.75" customHeight="1">
      <c r="A230" s="243"/>
      <c r="B230" s="211"/>
      <c r="C230" s="229"/>
      <c r="D230" s="230"/>
      <c r="E230" s="231"/>
      <c r="F230" s="232"/>
      <c r="G230" s="233"/>
      <c r="H230" s="234"/>
      <c r="I230" s="233"/>
      <c r="J230" s="173"/>
      <c r="K230" s="77"/>
      <c r="L230" s="77"/>
      <c r="M230" s="77"/>
      <c r="N230" s="80"/>
      <c r="O230" s="80"/>
    </row>
    <row r="231" ht="15.75" customHeight="1">
      <c r="A231" s="242"/>
      <c r="B231" s="225"/>
      <c r="C231" s="235"/>
      <c r="D231" s="236"/>
      <c r="E231" s="237"/>
      <c r="F231" s="238"/>
      <c r="G231" s="239"/>
      <c r="H231" s="240"/>
      <c r="I231" s="239"/>
      <c r="J231" s="148"/>
      <c r="K231" s="94"/>
      <c r="L231" s="94"/>
      <c r="M231" s="94"/>
      <c r="N231" s="112"/>
      <c r="O231" s="112"/>
    </row>
    <row r="232" ht="15.75" customHeight="1">
      <c r="A232" s="243"/>
      <c r="B232" s="211"/>
      <c r="C232" s="229"/>
      <c r="D232" s="230"/>
      <c r="E232" s="231"/>
      <c r="F232" s="232"/>
      <c r="G232" s="233"/>
      <c r="H232" s="234"/>
      <c r="I232" s="233"/>
      <c r="J232" s="173"/>
      <c r="K232" s="77"/>
      <c r="L232" s="77"/>
      <c r="M232" s="77"/>
      <c r="N232" s="80"/>
      <c r="O232" s="80"/>
    </row>
    <row r="233" ht="15.75" customHeight="1">
      <c r="A233" s="242"/>
      <c r="B233" s="225"/>
      <c r="C233" s="235"/>
      <c r="D233" s="236"/>
      <c r="E233" s="237"/>
      <c r="F233" s="238"/>
      <c r="G233" s="239"/>
      <c r="H233" s="240"/>
      <c r="I233" s="239"/>
      <c r="J233" s="148"/>
      <c r="K233" s="94"/>
      <c r="L233" s="94"/>
      <c r="M233" s="94"/>
      <c r="N233" s="112"/>
      <c r="O233" s="112"/>
    </row>
    <row r="234" ht="15.75" customHeight="1">
      <c r="A234" s="243"/>
      <c r="B234" s="211"/>
      <c r="C234" s="229"/>
      <c r="D234" s="230"/>
      <c r="E234" s="231"/>
      <c r="F234" s="232"/>
      <c r="G234" s="233"/>
      <c r="H234" s="234"/>
      <c r="I234" s="233"/>
      <c r="J234" s="173"/>
      <c r="K234" s="77"/>
      <c r="L234" s="77"/>
      <c r="M234" s="77"/>
      <c r="N234" s="80"/>
      <c r="O234" s="80"/>
    </row>
    <row r="235" ht="15.75" customHeight="1">
      <c r="A235" s="242"/>
      <c r="B235" s="225"/>
      <c r="C235" s="235"/>
      <c r="D235" s="236"/>
      <c r="E235" s="237"/>
      <c r="F235" s="238"/>
      <c r="G235" s="239"/>
      <c r="H235" s="240"/>
      <c r="I235" s="239"/>
      <c r="J235" s="148"/>
      <c r="K235" s="94"/>
      <c r="L235" s="94"/>
      <c r="M235" s="94"/>
      <c r="N235" s="112"/>
      <c r="O235" s="112"/>
    </row>
    <row r="236" ht="15.75" customHeight="1">
      <c r="A236" s="243"/>
      <c r="B236" s="211"/>
      <c r="C236" s="229"/>
      <c r="D236" s="230"/>
      <c r="E236" s="231"/>
      <c r="F236" s="232"/>
      <c r="G236" s="233"/>
      <c r="H236" s="234"/>
      <c r="I236" s="233"/>
      <c r="J236" s="173"/>
      <c r="K236" s="77"/>
      <c r="L236" s="77"/>
      <c r="M236" s="77"/>
      <c r="N236" s="80"/>
      <c r="O236" s="80"/>
    </row>
    <row r="237" ht="15.75" customHeight="1">
      <c r="A237" s="242"/>
      <c r="B237" s="225"/>
      <c r="C237" s="235"/>
      <c r="D237" s="236"/>
      <c r="E237" s="237"/>
      <c r="F237" s="238"/>
      <c r="G237" s="239"/>
      <c r="H237" s="240"/>
      <c r="I237" s="239"/>
      <c r="J237" s="148"/>
      <c r="K237" s="94"/>
      <c r="L237" s="94"/>
      <c r="M237" s="94"/>
      <c r="N237" s="112"/>
      <c r="O237" s="112"/>
    </row>
    <row r="238" ht="15.75" customHeight="1">
      <c r="A238" s="243"/>
      <c r="B238" s="211"/>
      <c r="C238" s="229"/>
      <c r="D238" s="230"/>
      <c r="E238" s="231"/>
      <c r="F238" s="232"/>
      <c r="G238" s="233"/>
      <c r="H238" s="234"/>
      <c r="I238" s="233"/>
      <c r="J238" s="173"/>
      <c r="K238" s="77"/>
      <c r="L238" s="77"/>
      <c r="M238" s="77"/>
      <c r="N238" s="80"/>
      <c r="O238" s="80"/>
    </row>
    <row r="239" ht="15.75" customHeight="1">
      <c r="A239" s="242"/>
      <c r="B239" s="225"/>
      <c r="C239" s="235"/>
      <c r="D239" s="236"/>
      <c r="E239" s="237"/>
      <c r="F239" s="238"/>
      <c r="G239" s="239"/>
      <c r="H239" s="240"/>
      <c r="I239" s="239"/>
      <c r="J239" s="148"/>
      <c r="K239" s="94"/>
      <c r="L239" s="94"/>
      <c r="M239" s="94"/>
      <c r="N239" s="112"/>
      <c r="O239" s="112"/>
    </row>
    <row r="240" ht="15.75" customHeight="1">
      <c r="A240" s="243"/>
      <c r="B240" s="211"/>
      <c r="C240" s="229"/>
      <c r="D240" s="230"/>
      <c r="E240" s="231"/>
      <c r="F240" s="232"/>
      <c r="G240" s="233"/>
      <c r="H240" s="234"/>
      <c r="I240" s="233"/>
      <c r="J240" s="173"/>
      <c r="K240" s="77"/>
      <c r="L240" s="77"/>
      <c r="M240" s="77"/>
      <c r="N240" s="80"/>
      <c r="O240" s="80"/>
    </row>
    <row r="241" ht="15.75" customHeight="1">
      <c r="A241" s="242"/>
      <c r="B241" s="225"/>
      <c r="C241" s="235"/>
      <c r="D241" s="236"/>
      <c r="E241" s="237"/>
      <c r="F241" s="238"/>
      <c r="G241" s="239"/>
      <c r="H241" s="240"/>
      <c r="I241" s="239"/>
      <c r="J241" s="148"/>
      <c r="K241" s="94"/>
      <c r="L241" s="94"/>
      <c r="M241" s="94"/>
      <c r="N241" s="112"/>
      <c r="O241" s="112"/>
    </row>
    <row r="242" ht="15.75" customHeight="1">
      <c r="A242" s="243"/>
      <c r="B242" s="211"/>
      <c r="C242" s="229"/>
      <c r="D242" s="230"/>
      <c r="E242" s="231"/>
      <c r="F242" s="232"/>
      <c r="G242" s="233"/>
      <c r="H242" s="234"/>
      <c r="I242" s="233"/>
      <c r="J242" s="173"/>
      <c r="K242" s="77"/>
      <c r="L242" s="77"/>
      <c r="M242" s="77"/>
      <c r="N242" s="80"/>
      <c r="O242" s="80"/>
    </row>
    <row r="243" ht="15.75" customHeight="1">
      <c r="A243" s="242"/>
      <c r="B243" s="225"/>
      <c r="C243" s="235"/>
      <c r="D243" s="236"/>
      <c r="E243" s="237"/>
      <c r="F243" s="238"/>
      <c r="G243" s="239"/>
      <c r="H243" s="240"/>
      <c r="I243" s="239"/>
      <c r="J243" s="148"/>
      <c r="K243" s="94"/>
      <c r="L243" s="94"/>
      <c r="M243" s="94"/>
      <c r="N243" s="112"/>
      <c r="O243" s="112"/>
    </row>
    <row r="244" ht="15.75" customHeight="1">
      <c r="A244" s="243"/>
      <c r="B244" s="211"/>
      <c r="C244" s="229"/>
      <c r="D244" s="230"/>
      <c r="E244" s="231"/>
      <c r="F244" s="232"/>
      <c r="G244" s="233"/>
      <c r="H244" s="234"/>
      <c r="I244" s="233"/>
      <c r="J244" s="173"/>
      <c r="K244" s="77"/>
      <c r="L244" s="77"/>
      <c r="M244" s="77"/>
      <c r="N244" s="80"/>
      <c r="O244" s="80"/>
    </row>
    <row r="245" ht="15.75" customHeight="1">
      <c r="A245" s="242"/>
      <c r="B245" s="225"/>
      <c r="C245" s="235"/>
      <c r="D245" s="236"/>
      <c r="E245" s="237"/>
      <c r="F245" s="238"/>
      <c r="G245" s="239"/>
      <c r="H245" s="240"/>
      <c r="I245" s="239"/>
      <c r="J245" s="148"/>
      <c r="K245" s="94"/>
      <c r="L245" s="94"/>
      <c r="M245" s="94"/>
      <c r="N245" s="112"/>
      <c r="O245" s="112"/>
    </row>
    <row r="246" ht="15.75" customHeight="1">
      <c r="A246" s="243"/>
      <c r="B246" s="211"/>
      <c r="C246" s="229"/>
      <c r="D246" s="230"/>
      <c r="E246" s="231"/>
      <c r="F246" s="232"/>
      <c r="G246" s="233"/>
      <c r="H246" s="234"/>
      <c r="I246" s="233"/>
      <c r="J246" s="173"/>
      <c r="K246" s="77"/>
      <c r="L246" s="77"/>
      <c r="M246" s="77"/>
      <c r="N246" s="80"/>
      <c r="O246" s="80"/>
    </row>
    <row r="247" ht="15.75" customHeight="1">
      <c r="A247" s="242"/>
      <c r="B247" s="225"/>
      <c r="C247" s="235"/>
      <c r="D247" s="236"/>
      <c r="E247" s="237"/>
      <c r="F247" s="238"/>
      <c r="G247" s="239"/>
      <c r="H247" s="240"/>
      <c r="I247" s="239"/>
      <c r="J247" s="148"/>
      <c r="K247" s="94"/>
      <c r="L247" s="94"/>
      <c r="M247" s="94"/>
      <c r="N247" s="112"/>
      <c r="O247" s="112"/>
    </row>
    <row r="248" ht="15.75" customHeight="1">
      <c r="A248" s="243"/>
      <c r="B248" s="211"/>
      <c r="C248" s="229"/>
      <c r="D248" s="230"/>
      <c r="E248" s="231"/>
      <c r="F248" s="232"/>
      <c r="G248" s="233"/>
      <c r="H248" s="234"/>
      <c r="I248" s="233"/>
      <c r="J248" s="173"/>
      <c r="K248" s="77"/>
      <c r="L248" s="77"/>
      <c r="M248" s="77"/>
      <c r="N248" s="80"/>
      <c r="O248" s="80"/>
    </row>
    <row r="249" ht="15.75" customHeight="1">
      <c r="A249" s="242"/>
      <c r="B249" s="225"/>
      <c r="C249" s="235"/>
      <c r="D249" s="236"/>
      <c r="E249" s="237"/>
      <c r="F249" s="238"/>
      <c r="G249" s="239"/>
      <c r="H249" s="240"/>
      <c r="I249" s="239"/>
      <c r="J249" s="148"/>
      <c r="K249" s="94"/>
      <c r="L249" s="94"/>
      <c r="M249" s="94"/>
      <c r="N249" s="112"/>
      <c r="O249" s="112"/>
    </row>
    <row r="250" ht="15.75" customHeight="1">
      <c r="A250" s="243"/>
      <c r="B250" s="211"/>
      <c r="C250" s="229"/>
      <c r="D250" s="230"/>
      <c r="E250" s="231"/>
      <c r="F250" s="232"/>
      <c r="G250" s="233"/>
      <c r="H250" s="234"/>
      <c r="I250" s="233"/>
      <c r="J250" s="173"/>
      <c r="K250" s="77"/>
      <c r="L250" s="77"/>
      <c r="M250" s="77"/>
      <c r="N250" s="80"/>
      <c r="O250" s="80"/>
    </row>
    <row r="251" ht="15.75" customHeight="1">
      <c r="A251" s="242"/>
      <c r="B251" s="225"/>
      <c r="C251" s="235"/>
      <c r="D251" s="236"/>
      <c r="E251" s="237"/>
      <c r="F251" s="238"/>
      <c r="G251" s="239"/>
      <c r="H251" s="240"/>
      <c r="I251" s="239"/>
      <c r="J251" s="148"/>
      <c r="K251" s="94"/>
      <c r="L251" s="94"/>
      <c r="M251" s="94"/>
      <c r="N251" s="112"/>
      <c r="O251" s="112"/>
    </row>
    <row r="252" ht="15.75" customHeight="1">
      <c r="A252" s="243"/>
      <c r="B252" s="211"/>
      <c r="C252" s="229"/>
      <c r="D252" s="230"/>
      <c r="E252" s="231"/>
      <c r="F252" s="232"/>
      <c r="G252" s="233"/>
      <c r="H252" s="234"/>
      <c r="I252" s="233"/>
      <c r="J252" s="173"/>
      <c r="K252" s="77"/>
      <c r="L252" s="77"/>
      <c r="M252" s="77"/>
      <c r="N252" s="80"/>
      <c r="O252" s="80"/>
    </row>
    <row r="253" ht="15.75" customHeight="1">
      <c r="A253" s="242"/>
      <c r="B253" s="225"/>
      <c r="C253" s="235"/>
      <c r="D253" s="236"/>
      <c r="E253" s="237"/>
      <c r="F253" s="238"/>
      <c r="G253" s="239"/>
      <c r="H253" s="240"/>
      <c r="I253" s="239"/>
      <c r="J253" s="148"/>
      <c r="K253" s="94"/>
      <c r="L253" s="94"/>
      <c r="M253" s="94"/>
      <c r="N253" s="112"/>
      <c r="O253" s="112"/>
    </row>
    <row r="254" ht="15.75" customHeight="1">
      <c r="A254" s="243"/>
      <c r="B254" s="211"/>
      <c r="C254" s="229"/>
      <c r="D254" s="230"/>
      <c r="E254" s="231"/>
      <c r="F254" s="232"/>
      <c r="G254" s="233"/>
      <c r="H254" s="234"/>
      <c r="I254" s="233"/>
      <c r="J254" s="173"/>
      <c r="K254" s="77"/>
      <c r="L254" s="77"/>
      <c r="M254" s="77"/>
      <c r="N254" s="80"/>
      <c r="O254" s="80"/>
    </row>
    <row r="255" ht="15.75" customHeight="1">
      <c r="A255" s="242"/>
      <c r="B255" s="225"/>
      <c r="C255" s="235"/>
      <c r="D255" s="236"/>
      <c r="E255" s="237"/>
      <c r="F255" s="238"/>
      <c r="G255" s="239"/>
      <c r="H255" s="240"/>
      <c r="I255" s="239"/>
      <c r="J255" s="148"/>
      <c r="K255" s="94"/>
      <c r="L255" s="94"/>
      <c r="M255" s="94"/>
      <c r="N255" s="112"/>
      <c r="O255" s="112"/>
    </row>
    <row r="256" ht="15.75" customHeight="1">
      <c r="A256" s="243"/>
      <c r="B256" s="211"/>
      <c r="C256" s="229"/>
      <c r="D256" s="230"/>
      <c r="E256" s="231"/>
      <c r="F256" s="232"/>
      <c r="G256" s="233"/>
      <c r="H256" s="234"/>
      <c r="I256" s="233"/>
      <c r="J256" s="173"/>
      <c r="K256" s="77"/>
      <c r="L256" s="77"/>
      <c r="M256" s="77"/>
      <c r="N256" s="80"/>
      <c r="O256" s="80"/>
    </row>
    <row r="257" ht="15.75" customHeight="1">
      <c r="A257" s="242"/>
      <c r="B257" s="225"/>
      <c r="C257" s="235"/>
      <c r="D257" s="236"/>
      <c r="E257" s="237"/>
      <c r="F257" s="238"/>
      <c r="G257" s="239"/>
      <c r="H257" s="240"/>
      <c r="I257" s="239"/>
      <c r="J257" s="148"/>
      <c r="K257" s="94"/>
      <c r="L257" s="94"/>
      <c r="M257" s="94"/>
      <c r="N257" s="112"/>
      <c r="O257" s="112"/>
    </row>
    <row r="258" ht="15.75" customHeight="1">
      <c r="A258" s="243"/>
      <c r="B258" s="211"/>
      <c r="C258" s="229"/>
      <c r="D258" s="230"/>
      <c r="E258" s="231"/>
      <c r="F258" s="232"/>
      <c r="G258" s="233"/>
      <c r="H258" s="234"/>
      <c r="I258" s="233"/>
      <c r="J258" s="173"/>
      <c r="K258" s="77"/>
      <c r="L258" s="77"/>
      <c r="M258" s="77"/>
      <c r="N258" s="80"/>
      <c r="O258" s="80"/>
    </row>
    <row r="259" ht="15.75" customHeight="1">
      <c r="A259" s="242"/>
      <c r="B259" s="225"/>
      <c r="C259" s="235"/>
      <c r="D259" s="236"/>
      <c r="E259" s="237"/>
      <c r="F259" s="238"/>
      <c r="G259" s="239"/>
      <c r="H259" s="240"/>
      <c r="I259" s="239"/>
      <c r="J259" s="148"/>
      <c r="K259" s="94"/>
      <c r="L259" s="94"/>
      <c r="M259" s="94"/>
      <c r="N259" s="112"/>
      <c r="O259" s="112"/>
    </row>
    <row r="260" ht="15.75" customHeight="1">
      <c r="A260" s="243"/>
      <c r="B260" s="211"/>
      <c r="C260" s="229"/>
      <c r="D260" s="230"/>
      <c r="E260" s="231"/>
      <c r="F260" s="232"/>
      <c r="G260" s="233"/>
      <c r="H260" s="234"/>
      <c r="I260" s="233"/>
      <c r="J260" s="173"/>
      <c r="K260" s="77"/>
      <c r="L260" s="77"/>
      <c r="M260" s="77"/>
      <c r="N260" s="80"/>
      <c r="O260" s="80"/>
    </row>
    <row r="261" ht="15.75" customHeight="1">
      <c r="A261" s="242"/>
      <c r="B261" s="225"/>
      <c r="C261" s="235"/>
      <c r="D261" s="236"/>
      <c r="E261" s="237"/>
      <c r="F261" s="238"/>
      <c r="G261" s="239"/>
      <c r="H261" s="240"/>
      <c r="I261" s="239"/>
      <c r="J261" s="148"/>
      <c r="K261" s="94"/>
      <c r="L261" s="94"/>
      <c r="M261" s="94"/>
      <c r="N261" s="112"/>
      <c r="O261" s="112"/>
    </row>
    <row r="262" ht="15.75" customHeight="1">
      <c r="A262" s="243"/>
      <c r="B262" s="211"/>
      <c r="C262" s="229"/>
      <c r="D262" s="230"/>
      <c r="E262" s="231"/>
      <c r="F262" s="232"/>
      <c r="G262" s="233"/>
      <c r="H262" s="234"/>
      <c r="I262" s="233"/>
      <c r="J262" s="173"/>
      <c r="K262" s="77"/>
      <c r="L262" s="77"/>
      <c r="M262" s="77"/>
      <c r="N262" s="80"/>
      <c r="O262" s="80"/>
    </row>
    <row r="263" ht="15.75" customHeight="1">
      <c r="A263" s="242"/>
      <c r="B263" s="225"/>
      <c r="C263" s="235"/>
      <c r="D263" s="236"/>
      <c r="E263" s="237"/>
      <c r="F263" s="238"/>
      <c r="G263" s="239"/>
      <c r="H263" s="240"/>
      <c r="I263" s="239"/>
      <c r="J263" s="148"/>
      <c r="K263" s="94"/>
      <c r="L263" s="94"/>
      <c r="M263" s="94"/>
      <c r="N263" s="112"/>
      <c r="O263" s="112"/>
    </row>
    <row r="264" ht="15.75" customHeight="1">
      <c r="A264" s="243"/>
      <c r="B264" s="211"/>
      <c r="C264" s="229"/>
      <c r="D264" s="230"/>
      <c r="E264" s="231"/>
      <c r="F264" s="232"/>
      <c r="G264" s="233"/>
      <c r="H264" s="234"/>
      <c r="I264" s="233"/>
      <c r="J264" s="173"/>
      <c r="K264" s="77"/>
      <c r="L264" s="77"/>
      <c r="M264" s="77"/>
      <c r="N264" s="80"/>
      <c r="O264" s="80"/>
    </row>
    <row r="265" ht="15.75" customHeight="1">
      <c r="A265" s="242"/>
      <c r="B265" s="225"/>
      <c r="C265" s="235"/>
      <c r="D265" s="236"/>
      <c r="E265" s="237"/>
      <c r="F265" s="238"/>
      <c r="G265" s="239"/>
      <c r="H265" s="240"/>
      <c r="I265" s="239"/>
      <c r="J265" s="148"/>
      <c r="K265" s="94"/>
      <c r="L265" s="94"/>
      <c r="M265" s="94"/>
      <c r="N265" s="112"/>
      <c r="O265" s="112"/>
    </row>
    <row r="266" ht="15.75" customHeight="1">
      <c r="A266" s="243"/>
      <c r="B266" s="211"/>
      <c r="C266" s="229"/>
      <c r="D266" s="230"/>
      <c r="E266" s="231"/>
      <c r="F266" s="232"/>
      <c r="G266" s="233"/>
      <c r="H266" s="234"/>
      <c r="I266" s="233"/>
      <c r="J266" s="173"/>
      <c r="K266" s="77"/>
      <c r="L266" s="77"/>
      <c r="M266" s="77"/>
      <c r="N266" s="80"/>
      <c r="O266" s="80"/>
    </row>
    <row r="267" ht="15.75" customHeight="1">
      <c r="A267" s="242"/>
      <c r="B267" s="225"/>
      <c r="C267" s="235"/>
      <c r="D267" s="236"/>
      <c r="E267" s="237"/>
      <c r="F267" s="238"/>
      <c r="G267" s="239"/>
      <c r="H267" s="240"/>
      <c r="I267" s="239"/>
      <c r="J267" s="148"/>
      <c r="K267" s="94"/>
      <c r="L267" s="94"/>
      <c r="M267" s="94"/>
      <c r="N267" s="112"/>
      <c r="O267" s="112"/>
    </row>
    <row r="268" ht="15.75" customHeight="1">
      <c r="A268" s="243"/>
      <c r="B268" s="211"/>
      <c r="C268" s="229"/>
      <c r="D268" s="230"/>
      <c r="E268" s="231"/>
      <c r="F268" s="232"/>
      <c r="G268" s="233"/>
      <c r="H268" s="234"/>
      <c r="I268" s="233"/>
      <c r="J268" s="173"/>
      <c r="K268" s="77"/>
      <c r="L268" s="77"/>
      <c r="M268" s="77"/>
      <c r="N268" s="80"/>
      <c r="O268" s="80"/>
    </row>
    <row r="269" ht="15.75" customHeight="1">
      <c r="A269" s="242"/>
      <c r="B269" s="225"/>
      <c r="C269" s="235"/>
      <c r="D269" s="236"/>
      <c r="E269" s="237"/>
      <c r="F269" s="238"/>
      <c r="G269" s="239"/>
      <c r="H269" s="240"/>
      <c r="I269" s="239"/>
      <c r="J269" s="148"/>
      <c r="K269" s="94"/>
      <c r="L269" s="94"/>
      <c r="M269" s="94"/>
      <c r="N269" s="112"/>
      <c r="O269" s="112"/>
    </row>
    <row r="270" ht="15.75" customHeight="1">
      <c r="A270" s="243"/>
      <c r="B270" s="211"/>
      <c r="C270" s="229"/>
      <c r="D270" s="230"/>
      <c r="E270" s="231"/>
      <c r="F270" s="232"/>
      <c r="G270" s="233"/>
      <c r="H270" s="234"/>
      <c r="I270" s="233"/>
      <c r="J270" s="173"/>
      <c r="K270" s="77"/>
      <c r="L270" s="77"/>
      <c r="M270" s="77"/>
      <c r="N270" s="80"/>
      <c r="O270" s="80"/>
    </row>
    <row r="271" ht="15.75" customHeight="1">
      <c r="A271" s="242"/>
      <c r="B271" s="225"/>
      <c r="C271" s="235"/>
      <c r="D271" s="236"/>
      <c r="E271" s="237"/>
      <c r="F271" s="238"/>
      <c r="G271" s="239"/>
      <c r="H271" s="240"/>
      <c r="I271" s="239"/>
      <c r="J271" s="148"/>
      <c r="K271" s="94"/>
      <c r="L271" s="94"/>
      <c r="M271" s="94"/>
      <c r="N271" s="112"/>
      <c r="O271" s="112"/>
    </row>
    <row r="272" ht="15.75" customHeight="1">
      <c r="A272" s="243"/>
      <c r="B272" s="211"/>
      <c r="C272" s="229"/>
      <c r="D272" s="230"/>
      <c r="E272" s="231"/>
      <c r="F272" s="232"/>
      <c r="G272" s="233"/>
      <c r="H272" s="234"/>
      <c r="I272" s="233"/>
      <c r="J272" s="173"/>
      <c r="K272" s="77"/>
      <c r="L272" s="77"/>
      <c r="M272" s="77"/>
      <c r="N272" s="80"/>
      <c r="O272" s="80"/>
    </row>
    <row r="273" ht="15.75" customHeight="1">
      <c r="A273" s="242"/>
      <c r="B273" s="225"/>
      <c r="C273" s="235"/>
      <c r="D273" s="236"/>
      <c r="E273" s="237"/>
      <c r="F273" s="238"/>
      <c r="G273" s="239"/>
      <c r="H273" s="240"/>
      <c r="I273" s="239"/>
      <c r="J273" s="148"/>
      <c r="K273" s="94"/>
      <c r="L273" s="94"/>
      <c r="M273" s="94"/>
      <c r="N273" s="112"/>
      <c r="O273" s="112"/>
    </row>
    <row r="274" ht="15.75" customHeight="1">
      <c r="A274" s="243"/>
      <c r="B274" s="211"/>
      <c r="C274" s="229"/>
      <c r="D274" s="230"/>
      <c r="E274" s="231"/>
      <c r="F274" s="232"/>
      <c r="G274" s="233"/>
      <c r="H274" s="234"/>
      <c r="I274" s="233"/>
      <c r="J274" s="173"/>
      <c r="K274" s="77"/>
      <c r="L274" s="77"/>
      <c r="M274" s="77"/>
      <c r="N274" s="80"/>
      <c r="O274" s="80"/>
    </row>
    <row r="275" ht="15.75" customHeight="1">
      <c r="A275" s="242"/>
      <c r="B275" s="225"/>
      <c r="C275" s="235"/>
      <c r="D275" s="236"/>
      <c r="E275" s="237"/>
      <c r="F275" s="238"/>
      <c r="G275" s="239"/>
      <c r="H275" s="240"/>
      <c r="I275" s="239"/>
      <c r="J275" s="148"/>
      <c r="K275" s="94"/>
      <c r="L275" s="94"/>
      <c r="M275" s="94"/>
      <c r="N275" s="112"/>
      <c r="O275" s="112"/>
    </row>
    <row r="276" ht="15.75" customHeight="1">
      <c r="A276" s="243"/>
      <c r="B276" s="211"/>
      <c r="C276" s="229"/>
      <c r="D276" s="230"/>
      <c r="E276" s="231"/>
      <c r="F276" s="232"/>
      <c r="G276" s="233"/>
      <c r="H276" s="234"/>
      <c r="I276" s="233"/>
      <c r="J276" s="173"/>
      <c r="K276" s="77"/>
      <c r="L276" s="77"/>
      <c r="M276" s="77"/>
      <c r="N276" s="80"/>
      <c r="O276" s="80"/>
    </row>
    <row r="277" ht="15.75" customHeight="1">
      <c r="A277" s="242"/>
      <c r="B277" s="225"/>
      <c r="C277" s="235"/>
      <c r="D277" s="236"/>
      <c r="E277" s="237"/>
      <c r="F277" s="238"/>
      <c r="G277" s="239"/>
      <c r="H277" s="240"/>
      <c r="I277" s="239"/>
      <c r="J277" s="148"/>
      <c r="K277" s="94"/>
      <c r="L277" s="94"/>
      <c r="M277" s="94"/>
      <c r="N277" s="112"/>
      <c r="O277" s="112"/>
    </row>
    <row r="278" ht="15.75" customHeight="1">
      <c r="A278" s="243"/>
      <c r="B278" s="211"/>
      <c r="C278" s="229"/>
      <c r="D278" s="230"/>
      <c r="E278" s="231"/>
      <c r="F278" s="232"/>
      <c r="G278" s="233"/>
      <c r="H278" s="234"/>
      <c r="I278" s="233"/>
      <c r="J278" s="173"/>
      <c r="K278" s="77"/>
      <c r="L278" s="77"/>
      <c r="M278" s="77"/>
      <c r="N278" s="80"/>
      <c r="O278" s="80"/>
    </row>
    <row r="279" ht="15.75" customHeight="1">
      <c r="A279" s="242"/>
      <c r="B279" s="225"/>
      <c r="C279" s="235"/>
      <c r="D279" s="236"/>
      <c r="E279" s="237"/>
      <c r="F279" s="238"/>
      <c r="G279" s="239"/>
      <c r="H279" s="240"/>
      <c r="I279" s="239"/>
      <c r="J279" s="148"/>
      <c r="K279" s="94"/>
      <c r="L279" s="94"/>
      <c r="M279" s="94"/>
      <c r="N279" s="112"/>
      <c r="O279" s="112"/>
    </row>
    <row r="280" ht="15.75" customHeight="1">
      <c r="A280" s="243"/>
      <c r="B280" s="211"/>
      <c r="C280" s="229"/>
      <c r="D280" s="230"/>
      <c r="E280" s="231"/>
      <c r="F280" s="232"/>
      <c r="G280" s="233"/>
      <c r="H280" s="234"/>
      <c r="I280" s="233"/>
      <c r="J280" s="173"/>
      <c r="K280" s="77"/>
      <c r="L280" s="77"/>
      <c r="M280" s="77"/>
      <c r="N280" s="80"/>
      <c r="O280" s="80"/>
    </row>
    <row r="281" ht="15.75" customHeight="1">
      <c r="A281" s="242"/>
      <c r="B281" s="225"/>
      <c r="C281" s="235"/>
      <c r="D281" s="236"/>
      <c r="E281" s="237"/>
      <c r="F281" s="238"/>
      <c r="G281" s="239"/>
      <c r="H281" s="240"/>
      <c r="I281" s="239"/>
      <c r="J281" s="148"/>
      <c r="K281" s="94"/>
      <c r="L281" s="94"/>
      <c r="M281" s="94"/>
      <c r="N281" s="112"/>
      <c r="O281" s="112"/>
    </row>
    <row r="282" ht="15.75" customHeight="1">
      <c r="A282" s="243"/>
      <c r="B282" s="211"/>
      <c r="C282" s="229"/>
      <c r="D282" s="230"/>
      <c r="E282" s="231"/>
      <c r="F282" s="232"/>
      <c r="G282" s="233"/>
      <c r="H282" s="234"/>
      <c r="I282" s="233"/>
      <c r="J282" s="173"/>
      <c r="K282" s="77"/>
      <c r="L282" s="77"/>
      <c r="M282" s="77"/>
      <c r="N282" s="80"/>
      <c r="O282" s="80"/>
    </row>
    <row r="283" ht="15.75" customHeight="1">
      <c r="A283" s="242"/>
      <c r="B283" s="225"/>
      <c r="C283" s="235"/>
      <c r="D283" s="236"/>
      <c r="E283" s="237"/>
      <c r="F283" s="238"/>
      <c r="G283" s="239"/>
      <c r="H283" s="240"/>
      <c r="I283" s="239"/>
      <c r="J283" s="148"/>
      <c r="K283" s="94"/>
      <c r="L283" s="94"/>
      <c r="M283" s="94"/>
      <c r="N283" s="112"/>
      <c r="O283" s="112"/>
    </row>
    <row r="284" ht="15.75" customHeight="1">
      <c r="A284" s="243"/>
      <c r="B284" s="211"/>
      <c r="C284" s="229"/>
      <c r="D284" s="230"/>
      <c r="E284" s="231"/>
      <c r="F284" s="232"/>
      <c r="G284" s="233"/>
      <c r="H284" s="234"/>
      <c r="I284" s="233"/>
      <c r="J284" s="173"/>
      <c r="K284" s="77"/>
      <c r="L284" s="77"/>
      <c r="M284" s="77"/>
      <c r="N284" s="80"/>
      <c r="O284" s="80"/>
    </row>
    <row r="285" ht="15.75" customHeight="1">
      <c r="A285" s="242"/>
      <c r="B285" s="225"/>
      <c r="C285" s="235"/>
      <c r="D285" s="236"/>
      <c r="E285" s="237"/>
      <c r="F285" s="238"/>
      <c r="G285" s="239"/>
      <c r="H285" s="240"/>
      <c r="I285" s="239"/>
      <c r="J285" s="148"/>
      <c r="K285" s="94"/>
      <c r="L285" s="94"/>
      <c r="M285" s="94"/>
      <c r="N285" s="112"/>
      <c r="O285" s="112"/>
    </row>
    <row r="286" ht="15.75" customHeight="1">
      <c r="A286" s="243"/>
      <c r="B286" s="211"/>
      <c r="C286" s="229"/>
      <c r="D286" s="230"/>
      <c r="E286" s="231"/>
      <c r="F286" s="232"/>
      <c r="G286" s="233"/>
      <c r="H286" s="234"/>
      <c r="I286" s="233"/>
      <c r="J286" s="173"/>
      <c r="K286" s="77"/>
      <c r="L286" s="77"/>
      <c r="M286" s="77"/>
      <c r="N286" s="80"/>
      <c r="O286" s="80"/>
    </row>
    <row r="287" ht="15.75" customHeight="1">
      <c r="A287" s="242"/>
      <c r="B287" s="225"/>
      <c r="C287" s="235"/>
      <c r="D287" s="236"/>
      <c r="E287" s="237"/>
      <c r="F287" s="238"/>
      <c r="G287" s="239"/>
      <c r="H287" s="240"/>
      <c r="I287" s="239"/>
      <c r="J287" s="148"/>
      <c r="K287" s="94"/>
      <c r="L287" s="94"/>
      <c r="M287" s="94"/>
      <c r="N287" s="112"/>
      <c r="O287" s="112"/>
    </row>
    <row r="288" ht="15.75" customHeight="1">
      <c r="A288" s="243"/>
      <c r="B288" s="211"/>
      <c r="C288" s="229"/>
      <c r="D288" s="230"/>
      <c r="E288" s="231"/>
      <c r="F288" s="232"/>
      <c r="G288" s="233"/>
      <c r="H288" s="234"/>
      <c r="I288" s="233"/>
      <c r="J288" s="173"/>
      <c r="K288" s="77"/>
      <c r="L288" s="77"/>
      <c r="M288" s="77"/>
      <c r="N288" s="80"/>
      <c r="O288" s="80"/>
    </row>
    <row r="289" ht="15.75" customHeight="1">
      <c r="A289" s="242"/>
      <c r="B289" s="225"/>
      <c r="C289" s="235"/>
      <c r="D289" s="236"/>
      <c r="E289" s="237"/>
      <c r="F289" s="238"/>
      <c r="G289" s="239"/>
      <c r="H289" s="240"/>
      <c r="I289" s="239"/>
      <c r="J289" s="148"/>
      <c r="K289" s="94"/>
      <c r="L289" s="94"/>
      <c r="M289" s="94"/>
      <c r="N289" s="112"/>
      <c r="O289" s="112"/>
    </row>
    <row r="290" ht="15.75" customHeight="1">
      <c r="A290" s="243"/>
      <c r="B290" s="211"/>
      <c r="C290" s="229"/>
      <c r="D290" s="230"/>
      <c r="E290" s="231"/>
      <c r="F290" s="232"/>
      <c r="G290" s="233"/>
      <c r="H290" s="234"/>
      <c r="I290" s="233"/>
      <c r="J290" s="173"/>
      <c r="K290" s="77"/>
      <c r="L290" s="77"/>
      <c r="M290" s="77"/>
      <c r="N290" s="80"/>
      <c r="O290" s="80"/>
    </row>
    <row r="291" ht="15.75" customHeight="1">
      <c r="A291" s="242"/>
      <c r="B291" s="225"/>
      <c r="C291" s="235"/>
      <c r="D291" s="236"/>
      <c r="E291" s="237"/>
      <c r="F291" s="238"/>
      <c r="G291" s="239"/>
      <c r="H291" s="240"/>
      <c r="I291" s="239"/>
      <c r="J291" s="148"/>
      <c r="K291" s="94"/>
      <c r="L291" s="94"/>
      <c r="M291" s="94"/>
      <c r="N291" s="112"/>
      <c r="O291" s="112"/>
    </row>
    <row r="292" ht="15.75" customHeight="1">
      <c r="A292" s="243"/>
      <c r="B292" s="211"/>
      <c r="C292" s="229"/>
      <c r="D292" s="230"/>
      <c r="E292" s="231"/>
      <c r="F292" s="232"/>
      <c r="G292" s="233"/>
      <c r="H292" s="234"/>
      <c r="I292" s="233"/>
      <c r="J292" s="173"/>
      <c r="K292" s="77"/>
      <c r="L292" s="77"/>
      <c r="M292" s="77"/>
      <c r="N292" s="80"/>
      <c r="O292" s="80"/>
    </row>
    <row r="293" ht="15.75" customHeight="1">
      <c r="A293" s="242"/>
      <c r="B293" s="225"/>
      <c r="C293" s="235"/>
      <c r="D293" s="236"/>
      <c r="E293" s="237"/>
      <c r="F293" s="238"/>
      <c r="G293" s="239"/>
      <c r="H293" s="240"/>
      <c r="I293" s="239"/>
      <c r="J293" s="148"/>
      <c r="K293" s="94"/>
      <c r="L293" s="94"/>
      <c r="M293" s="94"/>
      <c r="N293" s="112"/>
      <c r="O293" s="112"/>
    </row>
    <row r="294" ht="15.75" customHeight="1">
      <c r="A294" s="243"/>
      <c r="B294" s="211"/>
      <c r="C294" s="229"/>
      <c r="D294" s="230"/>
      <c r="E294" s="231"/>
      <c r="F294" s="232"/>
      <c r="G294" s="233"/>
      <c r="H294" s="234"/>
      <c r="I294" s="233"/>
      <c r="J294" s="173"/>
      <c r="K294" s="77"/>
      <c r="L294" s="77"/>
      <c r="M294" s="77"/>
      <c r="N294" s="80"/>
      <c r="O294" s="80"/>
    </row>
    <row r="295" ht="15.75" customHeight="1">
      <c r="A295" s="242"/>
      <c r="B295" s="225"/>
      <c r="C295" s="235"/>
      <c r="D295" s="236"/>
      <c r="E295" s="237"/>
      <c r="F295" s="238"/>
      <c r="G295" s="239"/>
      <c r="H295" s="240"/>
      <c r="I295" s="239"/>
      <c r="J295" s="148"/>
      <c r="K295" s="94"/>
      <c r="L295" s="94"/>
      <c r="M295" s="94"/>
      <c r="N295" s="112"/>
      <c r="O295" s="112"/>
    </row>
    <row r="296" ht="15.75" customHeight="1">
      <c r="A296" s="243"/>
      <c r="B296" s="211"/>
      <c r="C296" s="229"/>
      <c r="D296" s="230"/>
      <c r="E296" s="231"/>
      <c r="F296" s="232"/>
      <c r="G296" s="233"/>
      <c r="H296" s="234"/>
      <c r="I296" s="233"/>
      <c r="J296" s="173"/>
      <c r="K296" s="77"/>
      <c r="L296" s="77"/>
      <c r="M296" s="77"/>
      <c r="N296" s="80"/>
      <c r="O296" s="80"/>
    </row>
    <row r="297" ht="15.75" customHeight="1">
      <c r="A297" s="242"/>
      <c r="B297" s="225"/>
      <c r="C297" s="235"/>
      <c r="D297" s="236"/>
      <c r="E297" s="237"/>
      <c r="F297" s="238"/>
      <c r="G297" s="239"/>
      <c r="H297" s="240"/>
      <c r="I297" s="239"/>
      <c r="J297" s="148"/>
      <c r="K297" s="94"/>
      <c r="L297" s="94"/>
      <c r="M297" s="94"/>
      <c r="N297" s="112"/>
      <c r="O297" s="112"/>
    </row>
    <row r="298" ht="15.75" customHeight="1">
      <c r="A298" s="243"/>
      <c r="B298" s="211"/>
      <c r="C298" s="229"/>
      <c r="D298" s="230"/>
      <c r="E298" s="231"/>
      <c r="F298" s="232"/>
      <c r="G298" s="233"/>
      <c r="H298" s="234"/>
      <c r="I298" s="233"/>
      <c r="J298" s="173"/>
      <c r="K298" s="77"/>
      <c r="L298" s="77"/>
      <c r="M298" s="77"/>
      <c r="N298" s="80"/>
      <c r="O298" s="80"/>
    </row>
    <row r="299" ht="15.75" customHeight="1">
      <c r="A299" s="242"/>
      <c r="B299" s="225"/>
      <c r="C299" s="235"/>
      <c r="D299" s="236"/>
      <c r="E299" s="237"/>
      <c r="F299" s="238"/>
      <c r="G299" s="239"/>
      <c r="H299" s="240"/>
      <c r="I299" s="239"/>
      <c r="J299" s="148"/>
      <c r="K299" s="94"/>
      <c r="L299" s="94"/>
      <c r="M299" s="94"/>
      <c r="N299" s="112"/>
      <c r="O299" s="112"/>
    </row>
    <row r="300" ht="15.75" customHeight="1">
      <c r="A300" s="243"/>
      <c r="B300" s="211"/>
      <c r="C300" s="229"/>
      <c r="D300" s="230"/>
      <c r="E300" s="231"/>
      <c r="F300" s="232"/>
      <c r="G300" s="233"/>
      <c r="H300" s="234"/>
      <c r="I300" s="233"/>
      <c r="J300" s="173"/>
      <c r="K300" s="77"/>
      <c r="L300" s="77"/>
      <c r="M300" s="77"/>
      <c r="N300" s="80"/>
      <c r="O300" s="80"/>
    </row>
    <row r="301" ht="15.75" customHeight="1">
      <c r="A301" s="242"/>
      <c r="B301" s="225"/>
      <c r="C301" s="235"/>
      <c r="D301" s="236"/>
      <c r="E301" s="237"/>
      <c r="F301" s="238"/>
      <c r="G301" s="239"/>
      <c r="H301" s="240"/>
      <c r="I301" s="239"/>
      <c r="J301" s="148"/>
      <c r="K301" s="94"/>
      <c r="L301" s="94"/>
      <c r="M301" s="94"/>
      <c r="N301" s="112"/>
      <c r="O301" s="112"/>
    </row>
    <row r="302" ht="15.75" customHeight="1">
      <c r="A302" s="243"/>
      <c r="B302" s="211"/>
      <c r="C302" s="229"/>
      <c r="D302" s="230"/>
      <c r="E302" s="231"/>
      <c r="F302" s="232"/>
      <c r="G302" s="233"/>
      <c r="H302" s="234"/>
      <c r="I302" s="233"/>
      <c r="J302" s="173"/>
      <c r="K302" s="77"/>
      <c r="L302" s="77"/>
      <c r="M302" s="77"/>
      <c r="N302" s="80"/>
      <c r="O302" s="80"/>
    </row>
    <row r="303" ht="15.75" customHeight="1">
      <c r="A303" s="242"/>
      <c r="B303" s="225"/>
      <c r="C303" s="235"/>
      <c r="D303" s="236"/>
      <c r="E303" s="237"/>
      <c r="F303" s="238"/>
      <c r="G303" s="239"/>
      <c r="H303" s="240"/>
      <c r="I303" s="239"/>
      <c r="J303" s="148"/>
      <c r="K303" s="94"/>
      <c r="L303" s="94"/>
      <c r="M303" s="94"/>
      <c r="N303" s="112"/>
      <c r="O303" s="112"/>
    </row>
    <row r="304" ht="15.75" customHeight="1">
      <c r="A304" s="243"/>
      <c r="B304" s="211"/>
      <c r="C304" s="229"/>
      <c r="D304" s="230"/>
      <c r="E304" s="231"/>
      <c r="F304" s="232"/>
      <c r="G304" s="233"/>
      <c r="H304" s="234"/>
      <c r="I304" s="233"/>
      <c r="J304" s="173"/>
      <c r="K304" s="77"/>
      <c r="L304" s="77"/>
      <c r="M304" s="77"/>
      <c r="N304" s="80"/>
      <c r="O304" s="80"/>
    </row>
    <row r="305" ht="15.75" customHeight="1">
      <c r="A305" s="242"/>
      <c r="B305" s="225"/>
      <c r="C305" s="235"/>
      <c r="D305" s="236"/>
      <c r="E305" s="237"/>
      <c r="F305" s="238"/>
      <c r="G305" s="239"/>
      <c r="H305" s="240"/>
      <c r="I305" s="239"/>
      <c r="J305" s="148"/>
      <c r="K305" s="94"/>
      <c r="L305" s="94"/>
      <c r="M305" s="94"/>
      <c r="N305" s="112"/>
      <c r="O305" s="112"/>
    </row>
    <row r="306" ht="15.75" customHeight="1">
      <c r="A306" s="243"/>
      <c r="B306" s="211"/>
      <c r="C306" s="229"/>
      <c r="D306" s="230"/>
      <c r="E306" s="231"/>
      <c r="F306" s="232"/>
      <c r="G306" s="233"/>
      <c r="H306" s="234"/>
      <c r="I306" s="233"/>
      <c r="J306" s="173"/>
      <c r="K306" s="77"/>
      <c r="L306" s="77"/>
      <c r="M306" s="77"/>
      <c r="N306" s="80"/>
      <c r="O306" s="80"/>
    </row>
    <row r="307" ht="15.75" customHeight="1">
      <c r="A307" s="242"/>
      <c r="B307" s="225"/>
      <c r="C307" s="235"/>
      <c r="D307" s="236"/>
      <c r="E307" s="237"/>
      <c r="F307" s="238"/>
      <c r="G307" s="239"/>
      <c r="H307" s="240"/>
      <c r="I307" s="239"/>
      <c r="J307" s="148"/>
      <c r="K307" s="94"/>
      <c r="L307" s="94"/>
      <c r="M307" s="94"/>
      <c r="N307" s="112"/>
      <c r="O307" s="112"/>
    </row>
    <row r="308" ht="15.75" customHeight="1">
      <c r="A308" s="243"/>
      <c r="B308" s="211"/>
      <c r="C308" s="229"/>
      <c r="D308" s="230"/>
      <c r="E308" s="231"/>
      <c r="F308" s="232"/>
      <c r="G308" s="233"/>
      <c r="H308" s="234"/>
      <c r="I308" s="233"/>
      <c r="J308" s="173"/>
      <c r="K308" s="77"/>
      <c r="L308" s="77"/>
      <c r="M308" s="77"/>
      <c r="N308" s="80"/>
      <c r="O308" s="80"/>
    </row>
    <row r="309" ht="15.75" customHeight="1">
      <c r="A309" s="242"/>
      <c r="B309" s="225"/>
      <c r="C309" s="235"/>
      <c r="D309" s="236"/>
      <c r="E309" s="237"/>
      <c r="F309" s="238"/>
      <c r="G309" s="239"/>
      <c r="H309" s="240"/>
      <c r="I309" s="239"/>
      <c r="J309" s="148"/>
      <c r="K309" s="94"/>
      <c r="L309" s="94"/>
      <c r="M309" s="94"/>
      <c r="N309" s="112"/>
      <c r="O309" s="112"/>
    </row>
    <row r="310" ht="15.75" customHeight="1">
      <c r="A310" s="243"/>
      <c r="B310" s="211"/>
      <c r="C310" s="229"/>
      <c r="D310" s="230"/>
      <c r="E310" s="231"/>
      <c r="F310" s="232"/>
      <c r="G310" s="233"/>
      <c r="H310" s="234"/>
      <c r="I310" s="233"/>
      <c r="J310" s="173"/>
      <c r="K310" s="77"/>
      <c r="L310" s="77"/>
      <c r="M310" s="77"/>
      <c r="N310" s="80"/>
      <c r="O310" s="80"/>
    </row>
    <row r="311" ht="15.75" customHeight="1">
      <c r="A311" s="242"/>
      <c r="B311" s="225"/>
      <c r="C311" s="235"/>
      <c r="D311" s="236"/>
      <c r="E311" s="237"/>
      <c r="F311" s="238"/>
      <c r="G311" s="239"/>
      <c r="H311" s="240"/>
      <c r="I311" s="239"/>
      <c r="J311" s="148"/>
      <c r="K311" s="94"/>
      <c r="L311" s="94"/>
      <c r="M311" s="94"/>
      <c r="N311" s="112"/>
      <c r="O311" s="112"/>
    </row>
    <row r="312" ht="15.75" customHeight="1">
      <c r="A312" s="243"/>
      <c r="B312" s="211"/>
      <c r="C312" s="229"/>
      <c r="D312" s="230"/>
      <c r="E312" s="231"/>
      <c r="F312" s="232"/>
      <c r="G312" s="233"/>
      <c r="H312" s="234"/>
      <c r="I312" s="233"/>
      <c r="J312" s="173"/>
      <c r="K312" s="77"/>
      <c r="L312" s="77"/>
      <c r="M312" s="77"/>
      <c r="N312" s="80"/>
      <c r="O312" s="80"/>
    </row>
    <row r="313" ht="15.75" customHeight="1">
      <c r="A313" s="242"/>
      <c r="B313" s="225"/>
      <c r="C313" s="235"/>
      <c r="D313" s="236"/>
      <c r="E313" s="237"/>
      <c r="F313" s="238"/>
      <c r="G313" s="239"/>
      <c r="H313" s="240"/>
      <c r="I313" s="239"/>
      <c r="J313" s="148"/>
      <c r="K313" s="94"/>
      <c r="L313" s="94"/>
      <c r="M313" s="94"/>
      <c r="N313" s="112"/>
      <c r="O313" s="112"/>
    </row>
    <row r="314" ht="15.75" customHeight="1">
      <c r="A314" s="243"/>
      <c r="B314" s="211"/>
      <c r="C314" s="229"/>
      <c r="D314" s="230"/>
      <c r="E314" s="231"/>
      <c r="F314" s="232"/>
      <c r="G314" s="233"/>
      <c r="H314" s="234"/>
      <c r="I314" s="233"/>
      <c r="J314" s="173"/>
      <c r="K314" s="77"/>
      <c r="L314" s="77"/>
      <c r="M314" s="77"/>
      <c r="N314" s="80"/>
      <c r="O314" s="80"/>
    </row>
    <row r="315" ht="15.75" customHeight="1">
      <c r="A315" s="242"/>
      <c r="B315" s="225"/>
      <c r="C315" s="235"/>
      <c r="D315" s="236"/>
      <c r="E315" s="237"/>
      <c r="F315" s="238"/>
      <c r="G315" s="239"/>
      <c r="H315" s="240"/>
      <c r="I315" s="239"/>
      <c r="J315" s="148"/>
      <c r="K315" s="94"/>
      <c r="L315" s="94"/>
      <c r="M315" s="94"/>
      <c r="N315" s="112"/>
      <c r="O315" s="112"/>
    </row>
    <row r="316" ht="15.75" customHeight="1">
      <c r="A316" s="243"/>
      <c r="B316" s="211"/>
      <c r="C316" s="229"/>
      <c r="D316" s="230"/>
      <c r="E316" s="231"/>
      <c r="F316" s="232"/>
      <c r="G316" s="233"/>
      <c r="H316" s="234"/>
      <c r="I316" s="233"/>
      <c r="J316" s="173"/>
      <c r="K316" s="77"/>
      <c r="L316" s="77"/>
      <c r="M316" s="77"/>
      <c r="N316" s="80"/>
      <c r="O316" s="80"/>
    </row>
    <row r="317" ht="15.75" customHeight="1">
      <c r="A317" s="242"/>
      <c r="B317" s="225"/>
      <c r="C317" s="235"/>
      <c r="D317" s="236"/>
      <c r="E317" s="237"/>
      <c r="F317" s="238"/>
      <c r="G317" s="239"/>
      <c r="H317" s="240"/>
      <c r="I317" s="239"/>
      <c r="J317" s="148"/>
      <c r="K317" s="94"/>
      <c r="L317" s="94"/>
      <c r="M317" s="94"/>
      <c r="N317" s="112"/>
      <c r="O317" s="112"/>
    </row>
    <row r="318" ht="15.75" customHeight="1">
      <c r="A318" s="243"/>
      <c r="B318" s="211"/>
      <c r="C318" s="229"/>
      <c r="D318" s="230"/>
      <c r="E318" s="231"/>
      <c r="F318" s="232"/>
      <c r="G318" s="233"/>
      <c r="H318" s="234"/>
      <c r="I318" s="233"/>
      <c r="J318" s="173"/>
      <c r="K318" s="77"/>
      <c r="L318" s="77"/>
      <c r="M318" s="77"/>
      <c r="N318" s="80"/>
      <c r="O318" s="80"/>
    </row>
    <row r="319" ht="15.75" customHeight="1">
      <c r="A319" s="242"/>
      <c r="B319" s="225"/>
      <c r="C319" s="235"/>
      <c r="D319" s="236"/>
      <c r="E319" s="237"/>
      <c r="F319" s="238"/>
      <c r="G319" s="239"/>
      <c r="H319" s="240"/>
      <c r="I319" s="239"/>
      <c r="J319" s="148"/>
      <c r="K319" s="94"/>
      <c r="L319" s="94"/>
      <c r="M319" s="94"/>
      <c r="N319" s="112"/>
      <c r="O319" s="112"/>
    </row>
    <row r="320" ht="15.75" customHeight="1">
      <c r="A320" s="243"/>
      <c r="B320" s="211"/>
      <c r="C320" s="229"/>
      <c r="D320" s="230"/>
      <c r="E320" s="231"/>
      <c r="F320" s="232"/>
      <c r="G320" s="233"/>
      <c r="H320" s="234"/>
      <c r="I320" s="233"/>
      <c r="J320" s="173"/>
      <c r="K320" s="77"/>
      <c r="L320" s="77"/>
      <c r="M320" s="77"/>
      <c r="N320" s="80"/>
      <c r="O320" s="80"/>
    </row>
    <row r="321" ht="15.75" customHeight="1">
      <c r="A321" s="242"/>
      <c r="B321" s="225"/>
      <c r="C321" s="235"/>
      <c r="D321" s="236"/>
      <c r="E321" s="237"/>
      <c r="F321" s="238"/>
      <c r="G321" s="239"/>
      <c r="H321" s="240"/>
      <c r="I321" s="239"/>
      <c r="J321" s="148"/>
      <c r="K321" s="94"/>
      <c r="L321" s="94"/>
      <c r="M321" s="94"/>
      <c r="N321" s="112"/>
      <c r="O321" s="112"/>
    </row>
    <row r="322" ht="15.75" customHeight="1">
      <c r="A322" s="243"/>
      <c r="B322" s="211"/>
      <c r="C322" s="229"/>
      <c r="D322" s="230"/>
      <c r="E322" s="231"/>
      <c r="F322" s="232"/>
      <c r="G322" s="233"/>
      <c r="H322" s="234"/>
      <c r="I322" s="233"/>
      <c r="J322" s="173"/>
      <c r="K322" s="77"/>
      <c r="L322" s="77"/>
      <c r="M322" s="77"/>
      <c r="N322" s="80"/>
      <c r="O322" s="80"/>
    </row>
    <row r="323" ht="15.75" customHeight="1">
      <c r="A323" s="242"/>
      <c r="B323" s="225"/>
      <c r="C323" s="235"/>
      <c r="D323" s="236"/>
      <c r="E323" s="237"/>
      <c r="F323" s="238"/>
      <c r="G323" s="239"/>
      <c r="H323" s="240"/>
      <c r="I323" s="239"/>
      <c r="J323" s="148"/>
      <c r="K323" s="94"/>
      <c r="L323" s="94"/>
      <c r="M323" s="94"/>
      <c r="N323" s="112"/>
      <c r="O323" s="112"/>
    </row>
    <row r="324" ht="15.75" customHeight="1">
      <c r="A324" s="243"/>
      <c r="B324" s="211"/>
      <c r="C324" s="229"/>
      <c r="D324" s="230"/>
      <c r="E324" s="231"/>
      <c r="F324" s="232"/>
      <c r="G324" s="233"/>
      <c r="H324" s="234"/>
      <c r="I324" s="233"/>
      <c r="J324" s="173"/>
      <c r="K324" s="77"/>
      <c r="L324" s="77"/>
      <c r="M324" s="77"/>
      <c r="N324" s="80"/>
      <c r="O324" s="80"/>
    </row>
    <row r="325" ht="15.75" customHeight="1">
      <c r="A325" s="242"/>
      <c r="B325" s="225"/>
      <c r="C325" s="235"/>
      <c r="D325" s="236"/>
      <c r="E325" s="237"/>
      <c r="F325" s="238"/>
      <c r="G325" s="239"/>
      <c r="H325" s="240"/>
      <c r="I325" s="239"/>
      <c r="J325" s="148"/>
      <c r="K325" s="94"/>
      <c r="L325" s="94"/>
      <c r="M325" s="94"/>
      <c r="N325" s="112"/>
      <c r="O325" s="112"/>
    </row>
    <row r="326" ht="15.75" customHeight="1">
      <c r="A326" s="243"/>
      <c r="B326" s="211"/>
      <c r="C326" s="229"/>
      <c r="D326" s="230"/>
      <c r="E326" s="231"/>
      <c r="F326" s="232"/>
      <c r="G326" s="233"/>
      <c r="H326" s="234"/>
      <c r="I326" s="233"/>
      <c r="J326" s="173"/>
      <c r="K326" s="77"/>
      <c r="L326" s="77"/>
      <c r="M326" s="77"/>
      <c r="N326" s="80"/>
      <c r="O326" s="80"/>
    </row>
    <row r="327" ht="15.75" customHeight="1">
      <c r="A327" s="242"/>
      <c r="B327" s="225"/>
      <c r="C327" s="235"/>
      <c r="D327" s="236"/>
      <c r="E327" s="237"/>
      <c r="F327" s="238"/>
      <c r="G327" s="239"/>
      <c r="H327" s="240"/>
      <c r="I327" s="239"/>
      <c r="J327" s="148"/>
      <c r="K327" s="94"/>
      <c r="L327" s="94"/>
      <c r="M327" s="94"/>
      <c r="N327" s="112"/>
      <c r="O327" s="112"/>
    </row>
    <row r="328" ht="15.75" customHeight="1">
      <c r="A328" s="243"/>
      <c r="B328" s="211"/>
      <c r="C328" s="229"/>
      <c r="D328" s="230"/>
      <c r="E328" s="231"/>
      <c r="F328" s="232"/>
      <c r="G328" s="233"/>
      <c r="H328" s="234"/>
      <c r="I328" s="233"/>
      <c r="J328" s="173"/>
      <c r="K328" s="77"/>
      <c r="L328" s="77"/>
      <c r="M328" s="77"/>
      <c r="N328" s="80"/>
      <c r="O328" s="80"/>
    </row>
    <row r="329" ht="15.75" customHeight="1">
      <c r="A329" s="242"/>
      <c r="B329" s="225"/>
      <c r="C329" s="235"/>
      <c r="D329" s="236"/>
      <c r="E329" s="237"/>
      <c r="F329" s="238"/>
      <c r="G329" s="239"/>
      <c r="H329" s="240"/>
      <c r="I329" s="239"/>
      <c r="J329" s="148"/>
      <c r="K329" s="94"/>
      <c r="L329" s="94"/>
      <c r="M329" s="94"/>
      <c r="N329" s="112"/>
      <c r="O329" s="112"/>
    </row>
    <row r="330" ht="15.75" customHeight="1">
      <c r="A330" s="243"/>
      <c r="B330" s="211"/>
      <c r="C330" s="229"/>
      <c r="D330" s="230"/>
      <c r="E330" s="231"/>
      <c r="F330" s="232"/>
      <c r="G330" s="233"/>
      <c r="H330" s="234"/>
      <c r="I330" s="233"/>
      <c r="J330" s="173"/>
      <c r="K330" s="77"/>
      <c r="L330" s="77"/>
      <c r="M330" s="77"/>
      <c r="N330" s="80"/>
      <c r="O330" s="80"/>
    </row>
    <row r="331" ht="15.75" customHeight="1">
      <c r="A331" s="242"/>
      <c r="B331" s="225"/>
      <c r="C331" s="235"/>
      <c r="D331" s="236"/>
      <c r="E331" s="237"/>
      <c r="F331" s="238"/>
      <c r="G331" s="239"/>
      <c r="H331" s="240"/>
      <c r="I331" s="239"/>
      <c r="J331" s="148"/>
      <c r="K331" s="94"/>
      <c r="L331" s="94"/>
      <c r="M331" s="94"/>
      <c r="N331" s="112"/>
      <c r="O331" s="112"/>
    </row>
    <row r="332" ht="15.75" customHeight="1">
      <c r="A332" s="243"/>
      <c r="B332" s="211"/>
      <c r="C332" s="229"/>
      <c r="D332" s="230"/>
      <c r="E332" s="231"/>
      <c r="F332" s="232"/>
      <c r="G332" s="233"/>
      <c r="H332" s="234"/>
      <c r="I332" s="233"/>
      <c r="J332" s="173"/>
      <c r="K332" s="77"/>
      <c r="L332" s="77"/>
      <c r="M332" s="77"/>
      <c r="N332" s="80"/>
      <c r="O332" s="80"/>
    </row>
    <row r="333" ht="15.75" customHeight="1">
      <c r="A333" s="242"/>
      <c r="B333" s="225"/>
      <c r="C333" s="235"/>
      <c r="D333" s="236"/>
      <c r="E333" s="237"/>
      <c r="F333" s="238"/>
      <c r="G333" s="239"/>
      <c r="H333" s="240"/>
      <c r="I333" s="239"/>
      <c r="J333" s="148"/>
      <c r="K333" s="94"/>
      <c r="L333" s="94"/>
      <c r="M333" s="94"/>
      <c r="N333" s="112"/>
      <c r="O333" s="112"/>
    </row>
    <row r="334" ht="15.75" customHeight="1">
      <c r="A334" s="243"/>
      <c r="B334" s="211"/>
      <c r="C334" s="229"/>
      <c r="D334" s="230"/>
      <c r="E334" s="231"/>
      <c r="F334" s="232"/>
      <c r="G334" s="233"/>
      <c r="H334" s="234"/>
      <c r="I334" s="233"/>
      <c r="J334" s="173"/>
      <c r="K334" s="77"/>
      <c r="L334" s="77"/>
      <c r="M334" s="77"/>
      <c r="N334" s="80"/>
      <c r="O334" s="80"/>
    </row>
    <row r="335" ht="15.75" customHeight="1">
      <c r="A335" s="242"/>
      <c r="B335" s="225"/>
      <c r="C335" s="235"/>
      <c r="D335" s="236"/>
      <c r="E335" s="237"/>
      <c r="F335" s="238"/>
      <c r="G335" s="239"/>
      <c r="H335" s="240"/>
      <c r="I335" s="239"/>
      <c r="J335" s="148"/>
      <c r="K335" s="94"/>
      <c r="L335" s="94"/>
      <c r="M335" s="94"/>
      <c r="N335" s="112"/>
      <c r="O335" s="112"/>
    </row>
    <row r="336" ht="15.75" customHeight="1">
      <c r="A336" s="243"/>
      <c r="B336" s="211"/>
      <c r="C336" s="229"/>
      <c r="D336" s="230"/>
      <c r="E336" s="231"/>
      <c r="F336" s="232"/>
      <c r="G336" s="233"/>
      <c r="H336" s="234"/>
      <c r="I336" s="233"/>
      <c r="J336" s="173"/>
      <c r="K336" s="77"/>
      <c r="L336" s="77"/>
      <c r="M336" s="77"/>
      <c r="N336" s="80"/>
      <c r="O336" s="80"/>
    </row>
    <row r="337" ht="15.75" customHeight="1">
      <c r="A337" s="242"/>
      <c r="B337" s="225"/>
      <c r="C337" s="235"/>
      <c r="D337" s="236"/>
      <c r="E337" s="237"/>
      <c r="F337" s="238"/>
      <c r="G337" s="239"/>
      <c r="H337" s="240"/>
      <c r="I337" s="239"/>
      <c r="J337" s="148"/>
      <c r="K337" s="94"/>
      <c r="L337" s="94"/>
      <c r="M337" s="94"/>
      <c r="N337" s="112"/>
      <c r="O337" s="112"/>
    </row>
    <row r="338" ht="15.75" customHeight="1">
      <c r="A338" s="243"/>
      <c r="B338" s="211"/>
      <c r="C338" s="229"/>
      <c r="D338" s="230"/>
      <c r="E338" s="231"/>
      <c r="F338" s="232"/>
      <c r="G338" s="233"/>
      <c r="H338" s="234"/>
      <c r="I338" s="233"/>
      <c r="J338" s="173"/>
      <c r="K338" s="77"/>
      <c r="L338" s="77"/>
      <c r="M338" s="77"/>
      <c r="N338" s="80"/>
      <c r="O338" s="80"/>
    </row>
    <row r="339" ht="15.75" customHeight="1">
      <c r="A339" s="242"/>
      <c r="B339" s="225"/>
      <c r="C339" s="235"/>
      <c r="D339" s="236"/>
      <c r="E339" s="237"/>
      <c r="F339" s="238"/>
      <c r="G339" s="239"/>
      <c r="H339" s="240"/>
      <c r="I339" s="239"/>
      <c r="J339" s="148"/>
      <c r="K339" s="94"/>
      <c r="L339" s="94"/>
      <c r="M339" s="94"/>
      <c r="N339" s="112"/>
      <c r="O339" s="112"/>
    </row>
    <row r="340" ht="15.75" customHeight="1">
      <c r="A340" s="243"/>
      <c r="B340" s="211"/>
      <c r="C340" s="229"/>
      <c r="D340" s="230"/>
      <c r="E340" s="231"/>
      <c r="F340" s="232"/>
      <c r="G340" s="233"/>
      <c r="H340" s="234"/>
      <c r="I340" s="233"/>
      <c r="J340" s="173"/>
      <c r="K340" s="77"/>
      <c r="L340" s="77"/>
      <c r="M340" s="77"/>
      <c r="N340" s="80"/>
      <c r="O340" s="80"/>
    </row>
    <row r="341" ht="15.75" customHeight="1">
      <c r="A341" s="242"/>
      <c r="B341" s="225"/>
      <c r="C341" s="235"/>
      <c r="D341" s="236"/>
      <c r="E341" s="237"/>
      <c r="F341" s="238"/>
      <c r="G341" s="239"/>
      <c r="H341" s="240"/>
      <c r="I341" s="239"/>
      <c r="J341" s="148"/>
      <c r="K341" s="94"/>
      <c r="L341" s="94"/>
      <c r="M341" s="94"/>
      <c r="N341" s="112"/>
      <c r="O341" s="112"/>
    </row>
    <row r="342" ht="15.75" customHeight="1">
      <c r="A342" s="243"/>
      <c r="B342" s="211"/>
      <c r="C342" s="229"/>
      <c r="D342" s="230"/>
      <c r="E342" s="231"/>
      <c r="F342" s="232"/>
      <c r="G342" s="233"/>
      <c r="H342" s="234"/>
      <c r="I342" s="233"/>
      <c r="J342" s="173"/>
      <c r="K342" s="77"/>
      <c r="L342" s="77"/>
      <c r="M342" s="77"/>
      <c r="N342" s="80"/>
      <c r="O342" s="80"/>
    </row>
    <row r="343" ht="15.75" customHeight="1">
      <c r="A343" s="242"/>
      <c r="B343" s="225"/>
      <c r="C343" s="235"/>
      <c r="D343" s="236"/>
      <c r="E343" s="237"/>
      <c r="F343" s="238"/>
      <c r="G343" s="239"/>
      <c r="H343" s="240"/>
      <c r="I343" s="239"/>
      <c r="J343" s="148"/>
      <c r="K343" s="94"/>
      <c r="L343" s="94"/>
      <c r="M343" s="94"/>
      <c r="N343" s="112"/>
      <c r="O343" s="112"/>
    </row>
    <row r="344" ht="15.75" customHeight="1">
      <c r="A344" s="243"/>
      <c r="B344" s="211"/>
      <c r="C344" s="229"/>
      <c r="D344" s="230"/>
      <c r="E344" s="231"/>
      <c r="F344" s="232"/>
      <c r="G344" s="233"/>
      <c r="H344" s="234"/>
      <c r="I344" s="233"/>
      <c r="J344" s="173"/>
      <c r="K344" s="77"/>
      <c r="L344" s="77"/>
      <c r="M344" s="77"/>
      <c r="N344" s="80"/>
      <c r="O344" s="80"/>
    </row>
    <row r="345" ht="15.75" customHeight="1">
      <c r="A345" s="242"/>
      <c r="B345" s="225"/>
      <c r="C345" s="235"/>
      <c r="D345" s="236"/>
      <c r="E345" s="237"/>
      <c r="F345" s="238"/>
      <c r="G345" s="239"/>
      <c r="H345" s="240"/>
      <c r="I345" s="239"/>
      <c r="J345" s="148"/>
      <c r="K345" s="94"/>
      <c r="L345" s="94"/>
      <c r="M345" s="94"/>
      <c r="N345" s="112"/>
      <c r="O345" s="112"/>
    </row>
    <row r="346" ht="15.75" customHeight="1">
      <c r="A346" s="243"/>
      <c r="B346" s="211"/>
      <c r="C346" s="229"/>
      <c r="D346" s="230"/>
      <c r="E346" s="231"/>
      <c r="F346" s="232"/>
      <c r="G346" s="233"/>
      <c r="H346" s="234"/>
      <c r="I346" s="233"/>
      <c r="J346" s="173"/>
      <c r="K346" s="77"/>
      <c r="L346" s="77"/>
      <c r="M346" s="77"/>
      <c r="N346" s="80"/>
      <c r="O346" s="80"/>
    </row>
    <row r="347" ht="15.75" customHeight="1">
      <c r="A347" s="242"/>
      <c r="B347" s="225"/>
      <c r="C347" s="235"/>
      <c r="D347" s="236"/>
      <c r="E347" s="237"/>
      <c r="F347" s="238"/>
      <c r="G347" s="239"/>
      <c r="H347" s="240"/>
      <c r="I347" s="239"/>
      <c r="J347" s="148"/>
      <c r="K347" s="94"/>
      <c r="L347" s="94"/>
      <c r="M347" s="94"/>
      <c r="N347" s="112"/>
      <c r="O347" s="112"/>
    </row>
    <row r="348" ht="15.75" customHeight="1">
      <c r="A348" s="243"/>
      <c r="B348" s="211"/>
      <c r="C348" s="229"/>
      <c r="D348" s="230"/>
      <c r="E348" s="231"/>
      <c r="F348" s="232"/>
      <c r="G348" s="233"/>
      <c r="H348" s="234"/>
      <c r="I348" s="233"/>
      <c r="J348" s="173"/>
      <c r="K348" s="77"/>
      <c r="L348" s="77"/>
      <c r="M348" s="77"/>
      <c r="N348" s="80"/>
      <c r="O348" s="80"/>
    </row>
    <row r="349" ht="15.75" customHeight="1">
      <c r="A349" s="242"/>
      <c r="B349" s="225"/>
      <c r="C349" s="235"/>
      <c r="D349" s="236"/>
      <c r="E349" s="237"/>
      <c r="F349" s="238"/>
      <c r="G349" s="239"/>
      <c r="H349" s="240"/>
      <c r="I349" s="239"/>
      <c r="J349" s="148"/>
      <c r="K349" s="94"/>
      <c r="L349" s="94"/>
      <c r="M349" s="94"/>
      <c r="N349" s="112"/>
      <c r="O349" s="112"/>
    </row>
    <row r="350" ht="15.75" customHeight="1">
      <c r="A350" s="243"/>
      <c r="B350" s="211"/>
      <c r="C350" s="229"/>
      <c r="D350" s="230"/>
      <c r="E350" s="231"/>
      <c r="F350" s="232"/>
      <c r="G350" s="233"/>
      <c r="H350" s="234"/>
      <c r="I350" s="233"/>
      <c r="J350" s="173"/>
      <c r="K350" s="77"/>
      <c r="L350" s="77"/>
      <c r="M350" s="77"/>
      <c r="N350" s="80"/>
      <c r="O350" s="80"/>
    </row>
    <row r="351" ht="15.75" customHeight="1">
      <c r="A351" s="242"/>
      <c r="B351" s="225"/>
      <c r="C351" s="235"/>
      <c r="D351" s="236"/>
      <c r="E351" s="237"/>
      <c r="F351" s="238"/>
      <c r="G351" s="239"/>
      <c r="H351" s="240"/>
      <c r="I351" s="239"/>
      <c r="J351" s="148"/>
      <c r="K351" s="94"/>
      <c r="L351" s="94"/>
      <c r="M351" s="94"/>
      <c r="N351" s="112"/>
      <c r="O351" s="112"/>
    </row>
    <row r="352" ht="15.75" customHeight="1">
      <c r="A352" s="243"/>
      <c r="B352" s="211"/>
      <c r="C352" s="229"/>
      <c r="D352" s="230"/>
      <c r="E352" s="231"/>
      <c r="F352" s="232"/>
      <c r="G352" s="233"/>
      <c r="H352" s="234"/>
      <c r="I352" s="233"/>
      <c r="J352" s="173"/>
      <c r="K352" s="77"/>
      <c r="L352" s="77"/>
      <c r="M352" s="77"/>
      <c r="N352" s="80"/>
      <c r="O352" s="80"/>
    </row>
    <row r="353" ht="15.75" customHeight="1">
      <c r="A353" s="242"/>
      <c r="B353" s="225"/>
      <c r="C353" s="235"/>
      <c r="D353" s="236"/>
      <c r="E353" s="237"/>
      <c r="F353" s="238"/>
      <c r="G353" s="239"/>
      <c r="H353" s="240"/>
      <c r="I353" s="239"/>
      <c r="J353" s="148"/>
      <c r="K353" s="94"/>
      <c r="L353" s="94"/>
      <c r="M353" s="94"/>
      <c r="N353" s="112"/>
      <c r="O353" s="112"/>
    </row>
    <row r="354" ht="15.75" customHeight="1">
      <c r="A354" s="243"/>
      <c r="B354" s="211"/>
      <c r="C354" s="229"/>
      <c r="D354" s="230"/>
      <c r="E354" s="231"/>
      <c r="F354" s="232"/>
      <c r="G354" s="233"/>
      <c r="H354" s="234"/>
      <c r="I354" s="233"/>
      <c r="J354" s="173"/>
      <c r="K354" s="77"/>
      <c r="L354" s="77"/>
      <c r="M354" s="77"/>
      <c r="N354" s="80"/>
      <c r="O354" s="80"/>
    </row>
    <row r="355" ht="15.75" customHeight="1">
      <c r="A355" s="242"/>
      <c r="B355" s="225"/>
      <c r="C355" s="235"/>
      <c r="D355" s="236"/>
      <c r="E355" s="237"/>
      <c r="F355" s="238"/>
      <c r="G355" s="239"/>
      <c r="H355" s="240"/>
      <c r="I355" s="239"/>
      <c r="J355" s="148"/>
      <c r="K355" s="94"/>
      <c r="L355" s="94"/>
      <c r="M355" s="94"/>
      <c r="N355" s="112"/>
      <c r="O355" s="112"/>
    </row>
    <row r="356" ht="15.75" customHeight="1">
      <c r="A356" s="243"/>
      <c r="B356" s="211"/>
      <c r="C356" s="229"/>
      <c r="D356" s="230"/>
      <c r="E356" s="231"/>
      <c r="F356" s="232"/>
      <c r="G356" s="233"/>
      <c r="H356" s="234"/>
      <c r="I356" s="233"/>
      <c r="J356" s="173"/>
      <c r="K356" s="77"/>
      <c r="L356" s="77"/>
      <c r="M356" s="77"/>
      <c r="N356" s="80"/>
      <c r="O356" s="80"/>
    </row>
    <row r="357" ht="15.75" customHeight="1">
      <c r="A357" s="242"/>
      <c r="B357" s="225"/>
      <c r="C357" s="235"/>
      <c r="D357" s="236"/>
      <c r="E357" s="237"/>
      <c r="F357" s="238"/>
      <c r="G357" s="239"/>
      <c r="H357" s="240"/>
      <c r="I357" s="239"/>
      <c r="J357" s="148"/>
      <c r="K357" s="94"/>
      <c r="L357" s="94"/>
      <c r="M357" s="94"/>
      <c r="N357" s="112"/>
      <c r="O357" s="112"/>
    </row>
    <row r="358" ht="15.75" customHeight="1">
      <c r="A358" s="243"/>
      <c r="B358" s="211"/>
      <c r="C358" s="229"/>
      <c r="D358" s="230"/>
      <c r="E358" s="231"/>
      <c r="F358" s="232"/>
      <c r="G358" s="233"/>
      <c r="H358" s="234"/>
      <c r="I358" s="233"/>
      <c r="J358" s="173"/>
      <c r="K358" s="77"/>
      <c r="L358" s="77"/>
      <c r="M358" s="77"/>
      <c r="N358" s="80"/>
      <c r="O358" s="80"/>
    </row>
    <row r="359" ht="15.75" customHeight="1">
      <c r="A359" s="242"/>
      <c r="B359" s="225"/>
      <c r="C359" s="235"/>
      <c r="D359" s="236"/>
      <c r="E359" s="237"/>
      <c r="F359" s="238"/>
      <c r="G359" s="239"/>
      <c r="H359" s="240"/>
      <c r="I359" s="239"/>
      <c r="J359" s="148"/>
      <c r="K359" s="94"/>
      <c r="L359" s="94"/>
      <c r="M359" s="94"/>
      <c r="N359" s="112"/>
      <c r="O359" s="112"/>
    </row>
    <row r="360" ht="15.75" customHeight="1">
      <c r="A360" s="243"/>
      <c r="B360" s="211"/>
      <c r="C360" s="229"/>
      <c r="D360" s="230"/>
      <c r="E360" s="231"/>
      <c r="F360" s="232"/>
      <c r="G360" s="233"/>
      <c r="H360" s="234"/>
      <c r="I360" s="233"/>
      <c r="J360" s="173"/>
      <c r="K360" s="77"/>
      <c r="L360" s="77"/>
      <c r="M360" s="77"/>
      <c r="N360" s="80"/>
      <c r="O360" s="80"/>
    </row>
    <row r="361" ht="15.75" customHeight="1">
      <c r="A361" s="242"/>
      <c r="B361" s="225"/>
      <c r="C361" s="235"/>
      <c r="D361" s="236"/>
      <c r="E361" s="237"/>
      <c r="F361" s="238"/>
      <c r="G361" s="239"/>
      <c r="H361" s="240"/>
      <c r="I361" s="239"/>
      <c r="J361" s="148"/>
      <c r="K361" s="94"/>
      <c r="L361" s="94"/>
      <c r="M361" s="94"/>
      <c r="N361" s="112"/>
      <c r="O361" s="112"/>
    </row>
    <row r="362" ht="15.75" customHeight="1">
      <c r="A362" s="243"/>
      <c r="B362" s="211"/>
      <c r="C362" s="229"/>
      <c r="D362" s="230"/>
      <c r="E362" s="231"/>
      <c r="F362" s="232"/>
      <c r="G362" s="233"/>
      <c r="H362" s="234"/>
      <c r="I362" s="233"/>
      <c r="J362" s="173"/>
      <c r="K362" s="77"/>
      <c r="L362" s="77"/>
      <c r="M362" s="77"/>
      <c r="N362" s="80"/>
      <c r="O362" s="80"/>
    </row>
    <row r="363" ht="15.75" customHeight="1">
      <c r="A363" s="242"/>
      <c r="B363" s="225"/>
      <c r="C363" s="235"/>
      <c r="D363" s="236"/>
      <c r="E363" s="237"/>
      <c r="F363" s="238"/>
      <c r="G363" s="239"/>
      <c r="H363" s="240"/>
      <c r="I363" s="239"/>
      <c r="J363" s="148"/>
      <c r="K363" s="94"/>
      <c r="L363" s="94"/>
      <c r="M363" s="94"/>
      <c r="N363" s="112"/>
      <c r="O363" s="112"/>
    </row>
    <row r="364" ht="15.75" customHeight="1">
      <c r="A364" s="243"/>
      <c r="B364" s="211"/>
      <c r="C364" s="229"/>
      <c r="D364" s="230"/>
      <c r="E364" s="231"/>
      <c r="F364" s="232"/>
      <c r="G364" s="233"/>
      <c r="H364" s="234"/>
      <c r="I364" s="233"/>
      <c r="J364" s="173"/>
      <c r="K364" s="77"/>
      <c r="L364" s="77"/>
      <c r="M364" s="77"/>
      <c r="N364" s="80"/>
      <c r="O364" s="80"/>
    </row>
    <row r="365" ht="15.75" customHeight="1">
      <c r="A365" s="242"/>
      <c r="B365" s="225"/>
      <c r="C365" s="235"/>
      <c r="D365" s="236"/>
      <c r="E365" s="237"/>
      <c r="F365" s="238"/>
      <c r="G365" s="239"/>
      <c r="H365" s="240"/>
      <c r="I365" s="239"/>
      <c r="J365" s="148"/>
      <c r="K365" s="94"/>
      <c r="L365" s="94"/>
      <c r="M365" s="94"/>
      <c r="N365" s="112"/>
      <c r="O365" s="112"/>
    </row>
    <row r="366" ht="15.75" customHeight="1">
      <c r="A366" s="243"/>
      <c r="B366" s="211"/>
      <c r="C366" s="229"/>
      <c r="D366" s="230"/>
      <c r="E366" s="231"/>
      <c r="F366" s="232"/>
      <c r="G366" s="233"/>
      <c r="H366" s="234"/>
      <c r="I366" s="233"/>
      <c r="J366" s="173"/>
      <c r="K366" s="77"/>
      <c r="L366" s="77"/>
      <c r="M366" s="77"/>
      <c r="N366" s="80"/>
      <c r="O366" s="80"/>
    </row>
    <row r="367" ht="15.75" customHeight="1">
      <c r="A367" s="242"/>
      <c r="B367" s="225"/>
      <c r="C367" s="235"/>
      <c r="D367" s="236"/>
      <c r="E367" s="237"/>
      <c r="F367" s="238"/>
      <c r="G367" s="239"/>
      <c r="H367" s="240"/>
      <c r="I367" s="239"/>
      <c r="J367" s="148"/>
      <c r="K367" s="94"/>
      <c r="L367" s="94"/>
      <c r="M367" s="94"/>
      <c r="N367" s="112"/>
      <c r="O367" s="112"/>
    </row>
    <row r="368" ht="15.75" customHeight="1">
      <c r="A368" s="243"/>
      <c r="B368" s="211"/>
      <c r="C368" s="229"/>
      <c r="D368" s="230"/>
      <c r="E368" s="231"/>
      <c r="F368" s="232"/>
      <c r="G368" s="233"/>
      <c r="H368" s="234"/>
      <c r="I368" s="233"/>
      <c r="J368" s="173"/>
      <c r="K368" s="77"/>
      <c r="L368" s="77"/>
      <c r="M368" s="77"/>
      <c r="N368" s="80"/>
      <c r="O368" s="80"/>
    </row>
    <row r="369" ht="15.75" customHeight="1">
      <c r="A369" s="242"/>
      <c r="B369" s="225"/>
      <c r="C369" s="235"/>
      <c r="D369" s="236"/>
      <c r="E369" s="237"/>
      <c r="F369" s="238"/>
      <c r="G369" s="239"/>
      <c r="H369" s="240"/>
      <c r="I369" s="239"/>
      <c r="J369" s="148"/>
      <c r="K369" s="94"/>
      <c r="L369" s="94"/>
      <c r="M369" s="94"/>
      <c r="N369" s="112"/>
      <c r="O369" s="112"/>
    </row>
    <row r="370" ht="15.75" customHeight="1">
      <c r="A370" s="243"/>
      <c r="B370" s="211"/>
      <c r="C370" s="229"/>
      <c r="D370" s="230"/>
      <c r="E370" s="231"/>
      <c r="F370" s="232"/>
      <c r="G370" s="233"/>
      <c r="H370" s="234"/>
      <c r="I370" s="233"/>
      <c r="J370" s="173"/>
      <c r="K370" s="77"/>
      <c r="L370" s="77"/>
      <c r="M370" s="77"/>
      <c r="N370" s="80"/>
      <c r="O370" s="80"/>
    </row>
    <row r="371" ht="15.75" customHeight="1">
      <c r="A371" s="242"/>
      <c r="B371" s="225"/>
      <c r="C371" s="235"/>
      <c r="D371" s="236"/>
      <c r="E371" s="237"/>
      <c r="F371" s="238"/>
      <c r="G371" s="239"/>
      <c r="H371" s="240"/>
      <c r="I371" s="239"/>
      <c r="J371" s="148"/>
      <c r="K371" s="94"/>
      <c r="L371" s="94"/>
      <c r="M371" s="94"/>
      <c r="N371" s="112"/>
      <c r="O371" s="112"/>
    </row>
    <row r="372" ht="15.75" customHeight="1">
      <c r="A372" s="243"/>
      <c r="B372" s="211"/>
      <c r="C372" s="229"/>
      <c r="D372" s="230"/>
      <c r="E372" s="231"/>
      <c r="F372" s="232"/>
      <c r="G372" s="233"/>
      <c r="H372" s="234"/>
      <c r="I372" s="233"/>
      <c r="J372" s="173"/>
      <c r="K372" s="77"/>
      <c r="L372" s="77"/>
      <c r="M372" s="77"/>
      <c r="N372" s="80"/>
      <c r="O372" s="80"/>
    </row>
    <row r="373" ht="15.75" customHeight="1">
      <c r="A373" s="242"/>
      <c r="B373" s="225"/>
      <c r="C373" s="235"/>
      <c r="D373" s="236"/>
      <c r="E373" s="237"/>
      <c r="F373" s="238"/>
      <c r="G373" s="239"/>
      <c r="H373" s="240"/>
      <c r="I373" s="239"/>
      <c r="J373" s="148"/>
      <c r="K373" s="94"/>
      <c r="L373" s="94"/>
      <c r="M373" s="94"/>
      <c r="N373" s="112"/>
      <c r="O373" s="112"/>
    </row>
    <row r="374" ht="15.75" customHeight="1">
      <c r="A374" s="243"/>
      <c r="B374" s="211"/>
      <c r="C374" s="229"/>
      <c r="D374" s="230"/>
      <c r="E374" s="231"/>
      <c r="F374" s="232"/>
      <c r="G374" s="233"/>
      <c r="H374" s="234"/>
      <c r="I374" s="233"/>
      <c r="J374" s="173"/>
      <c r="K374" s="77"/>
      <c r="L374" s="77"/>
      <c r="M374" s="77"/>
      <c r="N374" s="80"/>
      <c r="O374" s="80"/>
    </row>
    <row r="375" ht="15.75" customHeight="1">
      <c r="A375" s="242"/>
      <c r="B375" s="225"/>
      <c r="C375" s="235"/>
      <c r="D375" s="236"/>
      <c r="E375" s="237"/>
      <c r="F375" s="238"/>
      <c r="G375" s="239"/>
      <c r="H375" s="240"/>
      <c r="I375" s="239"/>
      <c r="J375" s="148"/>
      <c r="K375" s="94"/>
      <c r="L375" s="94"/>
      <c r="M375" s="94"/>
      <c r="N375" s="112"/>
      <c r="O375" s="112"/>
    </row>
    <row r="376" ht="15.75" customHeight="1">
      <c r="A376" s="243"/>
      <c r="B376" s="211"/>
      <c r="C376" s="229"/>
      <c r="D376" s="230"/>
      <c r="E376" s="231"/>
      <c r="F376" s="232"/>
      <c r="G376" s="233"/>
      <c r="H376" s="234"/>
      <c r="I376" s="233"/>
      <c r="J376" s="173"/>
      <c r="K376" s="77"/>
      <c r="L376" s="77"/>
      <c r="M376" s="77"/>
      <c r="N376" s="80"/>
      <c r="O376" s="80"/>
    </row>
    <row r="377" ht="15.75" customHeight="1">
      <c r="A377" s="242"/>
      <c r="B377" s="225"/>
      <c r="C377" s="235"/>
      <c r="D377" s="236"/>
      <c r="E377" s="237"/>
      <c r="F377" s="238"/>
      <c r="G377" s="239"/>
      <c r="H377" s="240"/>
      <c r="I377" s="239"/>
      <c r="J377" s="148"/>
      <c r="K377" s="94"/>
      <c r="L377" s="94"/>
      <c r="M377" s="94"/>
      <c r="N377" s="112"/>
      <c r="O377" s="112"/>
    </row>
    <row r="378" ht="15.75" customHeight="1">
      <c r="A378" s="243"/>
      <c r="B378" s="211"/>
      <c r="C378" s="229"/>
      <c r="D378" s="230"/>
      <c r="E378" s="231"/>
      <c r="F378" s="232"/>
      <c r="G378" s="233"/>
      <c r="H378" s="234"/>
      <c r="I378" s="233"/>
      <c r="J378" s="173"/>
      <c r="K378" s="77"/>
      <c r="L378" s="77"/>
      <c r="M378" s="77"/>
      <c r="N378" s="80"/>
      <c r="O378" s="80"/>
    </row>
    <row r="379" ht="15.75" customHeight="1">
      <c r="A379" s="242"/>
      <c r="B379" s="225"/>
      <c r="C379" s="235"/>
      <c r="D379" s="236"/>
      <c r="E379" s="237"/>
      <c r="F379" s="238"/>
      <c r="G379" s="239"/>
      <c r="H379" s="240"/>
      <c r="I379" s="239"/>
      <c r="J379" s="148"/>
      <c r="K379" s="94"/>
      <c r="L379" s="94"/>
      <c r="M379" s="94"/>
      <c r="N379" s="112"/>
      <c r="O379" s="112"/>
    </row>
    <row r="380" ht="15.75" customHeight="1">
      <c r="A380" s="243"/>
      <c r="B380" s="211"/>
      <c r="C380" s="229"/>
      <c r="D380" s="230"/>
      <c r="E380" s="231"/>
      <c r="F380" s="232"/>
      <c r="G380" s="233"/>
      <c r="H380" s="234"/>
      <c r="I380" s="233"/>
      <c r="J380" s="173"/>
      <c r="K380" s="77"/>
      <c r="L380" s="77"/>
      <c r="M380" s="77"/>
      <c r="N380" s="80"/>
      <c r="O380" s="80"/>
    </row>
    <row r="381" ht="15.75" customHeight="1">
      <c r="A381" s="242"/>
      <c r="B381" s="225"/>
      <c r="C381" s="235"/>
      <c r="D381" s="236"/>
      <c r="E381" s="237"/>
      <c r="F381" s="238"/>
      <c r="G381" s="239"/>
      <c r="H381" s="240"/>
      <c r="I381" s="239"/>
      <c r="J381" s="148"/>
      <c r="K381" s="94"/>
      <c r="L381" s="94"/>
      <c r="M381" s="94"/>
      <c r="N381" s="112"/>
      <c r="O381" s="112"/>
    </row>
    <row r="382" ht="15.75" customHeight="1">
      <c r="A382" s="243"/>
      <c r="B382" s="211"/>
      <c r="C382" s="229"/>
      <c r="D382" s="230"/>
      <c r="E382" s="231"/>
      <c r="F382" s="232"/>
      <c r="G382" s="233"/>
      <c r="H382" s="234"/>
      <c r="I382" s="233"/>
      <c r="J382" s="173"/>
      <c r="K382" s="77"/>
      <c r="L382" s="77"/>
      <c r="M382" s="77"/>
      <c r="N382" s="80"/>
      <c r="O382" s="80"/>
    </row>
    <row r="383" ht="15.75" customHeight="1">
      <c r="A383" s="242"/>
      <c r="B383" s="225"/>
      <c r="C383" s="235"/>
      <c r="D383" s="236"/>
      <c r="E383" s="237"/>
      <c r="F383" s="238"/>
      <c r="G383" s="239"/>
      <c r="H383" s="240"/>
      <c r="I383" s="239"/>
      <c r="J383" s="148"/>
      <c r="K383" s="94"/>
      <c r="L383" s="94"/>
      <c r="M383" s="94"/>
      <c r="N383" s="112"/>
      <c r="O383" s="112"/>
    </row>
    <row r="384" ht="15.75" customHeight="1">
      <c r="A384" s="243"/>
      <c r="B384" s="211"/>
      <c r="C384" s="229"/>
      <c r="D384" s="230"/>
      <c r="E384" s="231"/>
      <c r="F384" s="232"/>
      <c r="G384" s="233"/>
      <c r="H384" s="234"/>
      <c r="I384" s="233"/>
      <c r="J384" s="173"/>
      <c r="K384" s="77"/>
      <c r="L384" s="77"/>
      <c r="M384" s="77"/>
      <c r="N384" s="80"/>
      <c r="O384" s="80"/>
    </row>
    <row r="385" ht="15.75" customHeight="1">
      <c r="A385" s="242"/>
      <c r="B385" s="225"/>
      <c r="C385" s="235"/>
      <c r="D385" s="236"/>
      <c r="E385" s="237"/>
      <c r="F385" s="238"/>
      <c r="G385" s="239"/>
      <c r="H385" s="240"/>
      <c r="I385" s="239"/>
      <c r="J385" s="148"/>
      <c r="K385" s="94"/>
      <c r="L385" s="94"/>
      <c r="M385" s="94"/>
      <c r="N385" s="112"/>
      <c r="O385" s="112"/>
    </row>
    <row r="386" ht="15.75" customHeight="1">
      <c r="A386" s="243"/>
      <c r="B386" s="211"/>
      <c r="C386" s="229"/>
      <c r="D386" s="230"/>
      <c r="E386" s="231"/>
      <c r="F386" s="232"/>
      <c r="G386" s="233"/>
      <c r="H386" s="234"/>
      <c r="I386" s="233"/>
      <c r="J386" s="173"/>
      <c r="K386" s="77"/>
      <c r="L386" s="77"/>
      <c r="M386" s="77"/>
      <c r="N386" s="80"/>
      <c r="O386" s="80"/>
    </row>
    <row r="387" ht="15.75" customHeight="1">
      <c r="A387" s="242"/>
      <c r="B387" s="225"/>
      <c r="C387" s="235"/>
      <c r="D387" s="236"/>
      <c r="E387" s="237"/>
      <c r="F387" s="238"/>
      <c r="G387" s="239"/>
      <c r="H387" s="240"/>
      <c r="I387" s="239"/>
      <c r="J387" s="148"/>
      <c r="K387" s="94"/>
      <c r="L387" s="94"/>
      <c r="M387" s="94"/>
      <c r="N387" s="112"/>
      <c r="O387" s="112"/>
    </row>
    <row r="388" ht="15.75" customHeight="1">
      <c r="A388" s="243"/>
      <c r="B388" s="211"/>
      <c r="C388" s="229"/>
      <c r="D388" s="230"/>
      <c r="E388" s="231"/>
      <c r="F388" s="232"/>
      <c r="G388" s="233"/>
      <c r="H388" s="234"/>
      <c r="I388" s="233"/>
      <c r="J388" s="173"/>
      <c r="K388" s="77"/>
      <c r="L388" s="77"/>
      <c r="M388" s="77"/>
      <c r="N388" s="80"/>
      <c r="O388" s="80"/>
    </row>
    <row r="389" ht="15.75" customHeight="1">
      <c r="A389" s="242"/>
      <c r="B389" s="225"/>
      <c r="C389" s="235"/>
      <c r="D389" s="236"/>
      <c r="E389" s="237"/>
      <c r="F389" s="238"/>
      <c r="G389" s="239"/>
      <c r="H389" s="240"/>
      <c r="I389" s="239"/>
      <c r="J389" s="148"/>
      <c r="K389" s="94"/>
      <c r="L389" s="94"/>
      <c r="M389" s="94"/>
      <c r="N389" s="112"/>
      <c r="O389" s="112"/>
    </row>
    <row r="390" ht="15.75" customHeight="1">
      <c r="A390" s="243"/>
      <c r="B390" s="211"/>
      <c r="C390" s="229"/>
      <c r="D390" s="230"/>
      <c r="E390" s="231"/>
      <c r="F390" s="232"/>
      <c r="G390" s="233"/>
      <c r="H390" s="234"/>
      <c r="I390" s="233"/>
      <c r="J390" s="173"/>
      <c r="K390" s="77"/>
      <c r="L390" s="77"/>
      <c r="M390" s="77"/>
      <c r="N390" s="80"/>
      <c r="O390" s="80"/>
    </row>
    <row r="391" ht="15.75" customHeight="1">
      <c r="A391" s="242"/>
      <c r="B391" s="225"/>
      <c r="C391" s="235"/>
      <c r="D391" s="236"/>
      <c r="E391" s="237"/>
      <c r="F391" s="238"/>
      <c r="G391" s="239"/>
      <c r="H391" s="240"/>
      <c r="I391" s="239"/>
      <c r="J391" s="148"/>
      <c r="K391" s="94"/>
      <c r="L391" s="94"/>
      <c r="M391" s="94"/>
      <c r="N391" s="112"/>
      <c r="O391" s="112"/>
    </row>
    <row r="392" ht="15.75" customHeight="1">
      <c r="A392" s="243"/>
      <c r="B392" s="211"/>
      <c r="C392" s="229"/>
      <c r="D392" s="230"/>
      <c r="E392" s="231"/>
      <c r="F392" s="232"/>
      <c r="G392" s="233"/>
      <c r="H392" s="234"/>
      <c r="I392" s="233"/>
      <c r="J392" s="173"/>
      <c r="K392" s="77"/>
      <c r="L392" s="77"/>
      <c r="M392" s="77"/>
      <c r="N392" s="80"/>
      <c r="O392" s="80"/>
    </row>
    <row r="393" ht="15.75" customHeight="1">
      <c r="A393" s="242"/>
      <c r="B393" s="225"/>
      <c r="C393" s="235"/>
      <c r="D393" s="236"/>
      <c r="E393" s="237"/>
      <c r="F393" s="238"/>
      <c r="G393" s="239"/>
      <c r="H393" s="240"/>
      <c r="I393" s="239"/>
      <c r="J393" s="148"/>
      <c r="K393" s="94"/>
      <c r="L393" s="94"/>
      <c r="M393" s="94"/>
      <c r="N393" s="112"/>
      <c r="O393" s="112"/>
    </row>
    <row r="394" ht="15.75" customHeight="1">
      <c r="A394" s="243"/>
      <c r="B394" s="211"/>
      <c r="C394" s="229"/>
      <c r="D394" s="230"/>
      <c r="E394" s="231"/>
      <c r="F394" s="232"/>
      <c r="G394" s="233"/>
      <c r="H394" s="234"/>
      <c r="I394" s="233"/>
      <c r="J394" s="173"/>
      <c r="K394" s="77"/>
      <c r="L394" s="77"/>
      <c r="M394" s="77"/>
      <c r="N394" s="80"/>
      <c r="O394" s="80"/>
    </row>
    <row r="395" ht="15.75" customHeight="1">
      <c r="A395" s="242"/>
      <c r="B395" s="225"/>
      <c r="C395" s="235"/>
      <c r="D395" s="236"/>
      <c r="E395" s="237"/>
      <c r="F395" s="238"/>
      <c r="G395" s="239"/>
      <c r="H395" s="240"/>
      <c r="I395" s="239"/>
      <c r="J395" s="148"/>
      <c r="K395" s="94"/>
      <c r="L395" s="94"/>
      <c r="M395" s="94"/>
      <c r="N395" s="112"/>
      <c r="O395" s="112"/>
    </row>
    <row r="396" ht="15.75" customHeight="1">
      <c r="A396" s="243"/>
      <c r="B396" s="211"/>
      <c r="C396" s="229"/>
      <c r="D396" s="230"/>
      <c r="E396" s="231"/>
      <c r="F396" s="232"/>
      <c r="G396" s="233"/>
      <c r="H396" s="234"/>
      <c r="I396" s="233"/>
      <c r="J396" s="173"/>
      <c r="K396" s="77"/>
      <c r="L396" s="77"/>
      <c r="M396" s="77"/>
      <c r="N396" s="80"/>
      <c r="O396" s="80"/>
    </row>
    <row r="397" ht="15.75" customHeight="1">
      <c r="A397" s="242"/>
      <c r="B397" s="225"/>
      <c r="C397" s="235"/>
      <c r="D397" s="236"/>
      <c r="E397" s="237"/>
      <c r="F397" s="238"/>
      <c r="G397" s="239"/>
      <c r="H397" s="240"/>
      <c r="I397" s="239"/>
      <c r="J397" s="148"/>
      <c r="K397" s="94"/>
      <c r="L397" s="94"/>
      <c r="M397" s="94"/>
      <c r="N397" s="112"/>
      <c r="O397" s="112"/>
    </row>
    <row r="398" ht="15.75" customHeight="1">
      <c r="A398" s="243"/>
      <c r="B398" s="211"/>
      <c r="C398" s="229"/>
      <c r="D398" s="230"/>
      <c r="E398" s="231"/>
      <c r="F398" s="232"/>
      <c r="G398" s="233"/>
      <c r="H398" s="234"/>
      <c r="I398" s="233"/>
      <c r="J398" s="173"/>
      <c r="K398" s="77"/>
      <c r="L398" s="77"/>
      <c r="M398" s="77"/>
      <c r="N398" s="80"/>
      <c r="O398" s="80"/>
    </row>
    <row r="399" ht="15.75" customHeight="1">
      <c r="A399" s="242"/>
      <c r="B399" s="225"/>
      <c r="C399" s="235"/>
      <c r="D399" s="236"/>
      <c r="E399" s="237"/>
      <c r="F399" s="238"/>
      <c r="G399" s="239"/>
      <c r="H399" s="240"/>
      <c r="I399" s="239"/>
      <c r="J399" s="148"/>
      <c r="K399" s="94"/>
      <c r="L399" s="94"/>
      <c r="M399" s="94"/>
      <c r="N399" s="112"/>
      <c r="O399" s="112"/>
    </row>
    <row r="400" ht="15.75" customHeight="1">
      <c r="A400" s="243"/>
      <c r="B400" s="211"/>
      <c r="C400" s="229"/>
      <c r="D400" s="230"/>
      <c r="E400" s="231"/>
      <c r="F400" s="232"/>
      <c r="G400" s="233"/>
      <c r="H400" s="234"/>
      <c r="I400" s="233"/>
      <c r="J400" s="173"/>
      <c r="K400" s="77"/>
      <c r="L400" s="77"/>
      <c r="M400" s="77"/>
      <c r="N400" s="80"/>
      <c r="O400" s="80"/>
    </row>
    <row r="401" ht="15.75" customHeight="1">
      <c r="A401" s="242"/>
      <c r="B401" s="225"/>
      <c r="C401" s="235"/>
      <c r="D401" s="236"/>
      <c r="E401" s="237"/>
      <c r="F401" s="238"/>
      <c r="G401" s="239"/>
      <c r="H401" s="240"/>
      <c r="I401" s="239"/>
      <c r="J401" s="148"/>
      <c r="K401" s="94"/>
      <c r="L401" s="94"/>
      <c r="M401" s="94"/>
      <c r="N401" s="112"/>
      <c r="O401" s="112"/>
    </row>
    <row r="402" ht="15.75" customHeight="1">
      <c r="A402" s="243"/>
      <c r="B402" s="211"/>
      <c r="C402" s="229"/>
      <c r="D402" s="230"/>
      <c r="E402" s="231"/>
      <c r="F402" s="232"/>
      <c r="G402" s="233"/>
      <c r="H402" s="234"/>
      <c r="I402" s="233"/>
      <c r="J402" s="173"/>
      <c r="K402" s="77"/>
      <c r="L402" s="77"/>
      <c r="M402" s="77"/>
      <c r="N402" s="80"/>
      <c r="O402" s="80"/>
    </row>
    <row r="403" ht="15.75" customHeight="1">
      <c r="A403" s="242"/>
      <c r="B403" s="225"/>
      <c r="C403" s="235"/>
      <c r="D403" s="236"/>
      <c r="E403" s="237"/>
      <c r="F403" s="238"/>
      <c r="G403" s="239"/>
      <c r="H403" s="240"/>
      <c r="I403" s="239"/>
      <c r="J403" s="148"/>
      <c r="K403" s="94"/>
      <c r="L403" s="94"/>
      <c r="M403" s="94"/>
      <c r="N403" s="112"/>
      <c r="O403" s="112"/>
    </row>
    <row r="404" ht="15.75" customHeight="1">
      <c r="A404" s="243"/>
      <c r="B404" s="211"/>
      <c r="C404" s="229"/>
      <c r="D404" s="230"/>
      <c r="E404" s="231"/>
      <c r="F404" s="232"/>
      <c r="G404" s="233"/>
      <c r="H404" s="234"/>
      <c r="I404" s="233"/>
      <c r="J404" s="173"/>
      <c r="K404" s="77"/>
      <c r="L404" s="77"/>
      <c r="M404" s="77"/>
      <c r="N404" s="80"/>
      <c r="O404" s="80"/>
    </row>
    <row r="405" ht="15.75" customHeight="1">
      <c r="A405" s="242"/>
      <c r="B405" s="225"/>
      <c r="C405" s="235"/>
      <c r="D405" s="236"/>
      <c r="E405" s="237"/>
      <c r="F405" s="238"/>
      <c r="G405" s="239"/>
      <c r="H405" s="240"/>
      <c r="I405" s="239"/>
      <c r="J405" s="148"/>
      <c r="K405" s="94"/>
      <c r="L405" s="94"/>
      <c r="M405" s="94"/>
      <c r="N405" s="112"/>
      <c r="O405" s="112"/>
    </row>
    <row r="406" ht="15.75" customHeight="1">
      <c r="A406" s="243"/>
      <c r="B406" s="211"/>
      <c r="C406" s="229"/>
      <c r="D406" s="230"/>
      <c r="E406" s="231"/>
      <c r="F406" s="232"/>
      <c r="G406" s="233"/>
      <c r="H406" s="234"/>
      <c r="I406" s="233"/>
      <c r="J406" s="173"/>
      <c r="K406" s="77"/>
      <c r="L406" s="77"/>
      <c r="M406" s="77"/>
      <c r="N406" s="80"/>
      <c r="O406" s="80"/>
    </row>
    <row r="407" ht="15.75" customHeight="1">
      <c r="A407" s="242"/>
      <c r="B407" s="225"/>
      <c r="C407" s="235"/>
      <c r="D407" s="236"/>
      <c r="E407" s="237"/>
      <c r="F407" s="238"/>
      <c r="G407" s="239"/>
      <c r="H407" s="240"/>
      <c r="I407" s="239"/>
      <c r="J407" s="148"/>
      <c r="K407" s="94"/>
      <c r="L407" s="94"/>
      <c r="M407" s="94"/>
      <c r="N407" s="112"/>
      <c r="O407" s="112"/>
    </row>
    <row r="408" ht="15.75" customHeight="1">
      <c r="A408" s="243"/>
      <c r="B408" s="211"/>
      <c r="C408" s="229"/>
      <c r="D408" s="230"/>
      <c r="E408" s="231"/>
      <c r="F408" s="232"/>
      <c r="G408" s="233"/>
      <c r="H408" s="234"/>
      <c r="I408" s="233"/>
      <c r="J408" s="173"/>
      <c r="K408" s="77"/>
      <c r="L408" s="77"/>
      <c r="M408" s="77"/>
      <c r="N408" s="80"/>
      <c r="O408" s="80"/>
    </row>
    <row r="409" ht="15.75" customHeight="1">
      <c r="A409" s="242"/>
      <c r="B409" s="225"/>
      <c r="C409" s="235"/>
      <c r="D409" s="236"/>
      <c r="E409" s="237"/>
      <c r="F409" s="238"/>
      <c r="G409" s="239"/>
      <c r="H409" s="240"/>
      <c r="I409" s="239"/>
      <c r="J409" s="148"/>
      <c r="K409" s="94"/>
      <c r="L409" s="94"/>
      <c r="M409" s="94"/>
      <c r="N409" s="112"/>
      <c r="O409" s="112"/>
    </row>
    <row r="410" ht="15.75" customHeight="1">
      <c r="A410" s="243"/>
      <c r="B410" s="211"/>
      <c r="C410" s="229"/>
      <c r="D410" s="230"/>
      <c r="E410" s="231"/>
      <c r="F410" s="232"/>
      <c r="G410" s="233"/>
      <c r="H410" s="234"/>
      <c r="I410" s="233"/>
      <c r="J410" s="173"/>
      <c r="K410" s="77"/>
      <c r="L410" s="77"/>
      <c r="M410" s="77"/>
      <c r="N410" s="80"/>
      <c r="O410" s="80"/>
    </row>
    <row r="411" ht="15.75" customHeight="1">
      <c r="A411" s="242"/>
      <c r="B411" s="225"/>
      <c r="C411" s="235"/>
      <c r="D411" s="236"/>
      <c r="E411" s="237"/>
      <c r="F411" s="238"/>
      <c r="G411" s="239"/>
      <c r="H411" s="240"/>
      <c r="I411" s="239"/>
      <c r="J411" s="148"/>
      <c r="K411" s="94"/>
      <c r="L411" s="94"/>
      <c r="M411" s="94"/>
      <c r="N411" s="112"/>
      <c r="O411" s="112"/>
    </row>
    <row r="412" ht="15.75" customHeight="1">
      <c r="A412" s="243"/>
      <c r="B412" s="211"/>
      <c r="C412" s="229"/>
      <c r="D412" s="230"/>
      <c r="E412" s="231"/>
      <c r="F412" s="232"/>
      <c r="G412" s="233"/>
      <c r="H412" s="234"/>
      <c r="I412" s="233"/>
      <c r="J412" s="173"/>
      <c r="K412" s="77"/>
      <c r="L412" s="77"/>
      <c r="M412" s="77"/>
      <c r="N412" s="80"/>
      <c r="O412" s="80"/>
    </row>
    <row r="413" ht="15.75" customHeight="1">
      <c r="A413" s="242"/>
      <c r="B413" s="225"/>
      <c r="C413" s="235"/>
      <c r="D413" s="236"/>
      <c r="E413" s="237"/>
      <c r="F413" s="238"/>
      <c r="G413" s="239"/>
      <c r="H413" s="240"/>
      <c r="I413" s="239"/>
      <c r="J413" s="148"/>
      <c r="K413" s="94"/>
      <c r="L413" s="94"/>
      <c r="M413" s="94"/>
      <c r="N413" s="112"/>
      <c r="O413" s="112"/>
    </row>
    <row r="414" ht="15.75" customHeight="1">
      <c r="A414" s="243"/>
      <c r="B414" s="211"/>
      <c r="C414" s="229"/>
      <c r="D414" s="230"/>
      <c r="E414" s="231"/>
      <c r="F414" s="232"/>
      <c r="G414" s="233"/>
      <c r="H414" s="234"/>
      <c r="I414" s="233"/>
      <c r="J414" s="173"/>
      <c r="K414" s="77"/>
      <c r="L414" s="77"/>
      <c r="M414" s="77"/>
      <c r="N414" s="80"/>
      <c r="O414" s="80"/>
    </row>
    <row r="415" ht="15.75" customHeight="1">
      <c r="A415" s="242"/>
      <c r="B415" s="225"/>
      <c r="C415" s="235"/>
      <c r="D415" s="236"/>
      <c r="E415" s="237"/>
      <c r="F415" s="238"/>
      <c r="G415" s="239"/>
      <c r="H415" s="240"/>
      <c r="I415" s="239"/>
      <c r="J415" s="148"/>
      <c r="K415" s="94"/>
      <c r="L415" s="94"/>
      <c r="M415" s="94"/>
      <c r="N415" s="112"/>
      <c r="O415" s="112"/>
    </row>
    <row r="416" ht="15.75" customHeight="1">
      <c r="A416" s="243"/>
      <c r="B416" s="211"/>
      <c r="C416" s="229"/>
      <c r="D416" s="230"/>
      <c r="E416" s="231"/>
      <c r="F416" s="232"/>
      <c r="G416" s="233"/>
      <c r="H416" s="234"/>
      <c r="I416" s="233"/>
      <c r="J416" s="173"/>
      <c r="K416" s="77"/>
      <c r="L416" s="77"/>
      <c r="M416" s="77"/>
      <c r="N416" s="80"/>
      <c r="O416" s="80"/>
    </row>
    <row r="417" ht="15.75" customHeight="1">
      <c r="A417" s="242"/>
      <c r="B417" s="225"/>
      <c r="C417" s="235"/>
      <c r="D417" s="236"/>
      <c r="E417" s="237"/>
      <c r="F417" s="238"/>
      <c r="G417" s="239"/>
      <c r="H417" s="240"/>
      <c r="I417" s="239"/>
      <c r="J417" s="148"/>
      <c r="K417" s="94"/>
      <c r="L417" s="94"/>
      <c r="M417" s="94"/>
      <c r="N417" s="112"/>
      <c r="O417" s="112"/>
    </row>
    <row r="418" ht="15.75" customHeight="1">
      <c r="A418" s="243"/>
      <c r="B418" s="211"/>
      <c r="C418" s="229"/>
      <c r="D418" s="230"/>
      <c r="E418" s="231"/>
      <c r="F418" s="232"/>
      <c r="G418" s="233"/>
      <c r="H418" s="234"/>
      <c r="I418" s="233"/>
      <c r="J418" s="173"/>
      <c r="K418" s="77"/>
      <c r="L418" s="77"/>
      <c r="M418" s="77"/>
      <c r="N418" s="80"/>
      <c r="O418" s="80"/>
    </row>
    <row r="419" ht="15.75" customHeight="1">
      <c r="A419" s="242"/>
      <c r="B419" s="225"/>
      <c r="C419" s="235"/>
      <c r="D419" s="236"/>
      <c r="E419" s="237"/>
      <c r="F419" s="238"/>
      <c r="G419" s="239"/>
      <c r="H419" s="240"/>
      <c r="I419" s="239"/>
      <c r="J419" s="148"/>
      <c r="K419" s="94"/>
      <c r="L419" s="94"/>
      <c r="M419" s="94"/>
      <c r="N419" s="112"/>
      <c r="O419" s="112"/>
    </row>
    <row r="420" ht="15.75" customHeight="1">
      <c r="A420" s="243"/>
      <c r="B420" s="211"/>
      <c r="C420" s="229"/>
      <c r="D420" s="230"/>
      <c r="E420" s="231"/>
      <c r="F420" s="232"/>
      <c r="G420" s="233"/>
      <c r="H420" s="234"/>
      <c r="I420" s="233"/>
      <c r="J420" s="173"/>
      <c r="K420" s="77"/>
      <c r="L420" s="77"/>
      <c r="M420" s="77"/>
      <c r="N420" s="80"/>
      <c r="O420" s="80"/>
    </row>
    <row r="421" ht="15.75" customHeight="1">
      <c r="A421" s="242"/>
      <c r="B421" s="225"/>
      <c r="C421" s="235"/>
      <c r="D421" s="236"/>
      <c r="E421" s="237"/>
      <c r="F421" s="238"/>
      <c r="G421" s="239"/>
      <c r="H421" s="240"/>
      <c r="I421" s="239"/>
      <c r="J421" s="148"/>
      <c r="K421" s="94"/>
      <c r="L421" s="94"/>
      <c r="M421" s="94"/>
      <c r="N421" s="112"/>
      <c r="O421" s="112"/>
    </row>
    <row r="422" ht="15.75" customHeight="1">
      <c r="A422" s="243"/>
      <c r="B422" s="211"/>
      <c r="C422" s="229"/>
      <c r="D422" s="230"/>
      <c r="E422" s="231"/>
      <c r="F422" s="232"/>
      <c r="G422" s="233"/>
      <c r="H422" s="234"/>
      <c r="I422" s="233"/>
      <c r="J422" s="173"/>
      <c r="K422" s="77"/>
      <c r="L422" s="77"/>
      <c r="M422" s="77"/>
      <c r="N422" s="80"/>
      <c r="O422" s="80"/>
    </row>
    <row r="423" ht="15.75" customHeight="1">
      <c r="A423" s="242"/>
      <c r="B423" s="225"/>
      <c r="C423" s="235"/>
      <c r="D423" s="236"/>
      <c r="E423" s="237"/>
      <c r="F423" s="238"/>
      <c r="G423" s="239"/>
      <c r="H423" s="240"/>
      <c r="I423" s="239"/>
      <c r="J423" s="148"/>
      <c r="K423" s="94"/>
      <c r="L423" s="94"/>
      <c r="M423" s="94"/>
      <c r="N423" s="112"/>
      <c r="O423" s="112"/>
    </row>
    <row r="424" ht="15.75" customHeight="1">
      <c r="A424" s="243"/>
      <c r="B424" s="211"/>
      <c r="C424" s="229"/>
      <c r="D424" s="230"/>
      <c r="E424" s="231"/>
      <c r="F424" s="232"/>
      <c r="G424" s="233"/>
      <c r="H424" s="234"/>
      <c r="I424" s="233"/>
      <c r="J424" s="173"/>
      <c r="K424" s="77"/>
      <c r="L424" s="77"/>
      <c r="M424" s="77"/>
      <c r="N424" s="80"/>
      <c r="O424" s="80"/>
    </row>
    <row r="425" ht="15.75" customHeight="1">
      <c r="A425" s="242"/>
      <c r="B425" s="225"/>
      <c r="C425" s="235"/>
      <c r="D425" s="236"/>
      <c r="E425" s="237"/>
      <c r="F425" s="238"/>
      <c r="G425" s="239"/>
      <c r="H425" s="240"/>
      <c r="I425" s="239"/>
      <c r="J425" s="148"/>
      <c r="K425" s="94"/>
      <c r="L425" s="94"/>
      <c r="M425" s="94"/>
      <c r="N425" s="112"/>
      <c r="O425" s="112"/>
    </row>
    <row r="426" ht="15.75" customHeight="1">
      <c r="A426" s="243"/>
      <c r="B426" s="211"/>
      <c r="C426" s="229"/>
      <c r="D426" s="230"/>
      <c r="E426" s="231"/>
      <c r="F426" s="232"/>
      <c r="G426" s="233"/>
      <c r="H426" s="234"/>
      <c r="I426" s="233"/>
      <c r="J426" s="173"/>
      <c r="K426" s="77"/>
      <c r="L426" s="77"/>
      <c r="M426" s="77"/>
      <c r="N426" s="80"/>
      <c r="O426" s="80"/>
    </row>
    <row r="427" ht="15.75" customHeight="1">
      <c r="A427" s="242"/>
      <c r="B427" s="225"/>
      <c r="C427" s="235"/>
      <c r="D427" s="236"/>
      <c r="E427" s="237"/>
      <c r="F427" s="238"/>
      <c r="G427" s="239"/>
      <c r="H427" s="240"/>
      <c r="I427" s="239"/>
      <c r="J427" s="148"/>
      <c r="K427" s="94"/>
      <c r="L427" s="94"/>
      <c r="M427" s="94"/>
      <c r="N427" s="112"/>
      <c r="O427" s="112"/>
    </row>
    <row r="428" ht="15.75" customHeight="1">
      <c r="A428" s="243"/>
      <c r="B428" s="211"/>
      <c r="C428" s="229"/>
      <c r="D428" s="230"/>
      <c r="E428" s="231"/>
      <c r="F428" s="232"/>
      <c r="G428" s="233"/>
      <c r="H428" s="234"/>
      <c r="I428" s="233"/>
      <c r="J428" s="173"/>
      <c r="K428" s="77"/>
      <c r="L428" s="77"/>
      <c r="M428" s="77"/>
      <c r="N428" s="80"/>
      <c r="O428" s="80"/>
    </row>
    <row r="429" ht="15.75" customHeight="1">
      <c r="A429" s="242"/>
      <c r="B429" s="225"/>
      <c r="C429" s="235"/>
      <c r="D429" s="236"/>
      <c r="E429" s="237"/>
      <c r="F429" s="238"/>
      <c r="G429" s="239"/>
      <c r="H429" s="240"/>
      <c r="I429" s="239"/>
      <c r="J429" s="148"/>
      <c r="K429" s="94"/>
      <c r="L429" s="94"/>
      <c r="M429" s="94"/>
      <c r="N429" s="112"/>
      <c r="O429" s="112"/>
    </row>
    <row r="430" ht="15.75" customHeight="1">
      <c r="A430" s="243"/>
      <c r="B430" s="211"/>
      <c r="C430" s="229"/>
      <c r="D430" s="230"/>
      <c r="E430" s="231"/>
      <c r="F430" s="232"/>
      <c r="G430" s="233"/>
      <c r="H430" s="234"/>
      <c r="I430" s="233"/>
      <c r="J430" s="173"/>
      <c r="K430" s="77"/>
      <c r="L430" s="77"/>
      <c r="M430" s="77"/>
      <c r="N430" s="80"/>
      <c r="O430" s="80"/>
    </row>
    <row r="431" ht="15.75" customHeight="1">
      <c r="A431" s="242"/>
      <c r="B431" s="225"/>
      <c r="C431" s="235"/>
      <c r="D431" s="236"/>
      <c r="E431" s="237"/>
      <c r="F431" s="238"/>
      <c r="G431" s="239"/>
      <c r="H431" s="240"/>
      <c r="I431" s="239"/>
      <c r="J431" s="148"/>
      <c r="K431" s="94"/>
      <c r="L431" s="94"/>
      <c r="M431" s="94"/>
      <c r="N431" s="112"/>
      <c r="O431" s="112"/>
    </row>
    <row r="432" ht="15.75" customHeight="1">
      <c r="A432" s="243"/>
      <c r="B432" s="211"/>
      <c r="C432" s="229"/>
      <c r="D432" s="230"/>
      <c r="E432" s="231"/>
      <c r="F432" s="232"/>
      <c r="G432" s="233"/>
      <c r="H432" s="234"/>
      <c r="I432" s="233"/>
      <c r="J432" s="173"/>
      <c r="K432" s="77"/>
      <c r="L432" s="77"/>
      <c r="M432" s="77"/>
      <c r="N432" s="80"/>
      <c r="O432" s="80"/>
    </row>
    <row r="433" ht="15.75" customHeight="1">
      <c r="A433" s="242"/>
      <c r="B433" s="225"/>
      <c r="C433" s="235"/>
      <c r="D433" s="236"/>
      <c r="E433" s="237"/>
      <c r="F433" s="238"/>
      <c r="G433" s="239"/>
      <c r="H433" s="240"/>
      <c r="I433" s="239"/>
      <c r="J433" s="148"/>
      <c r="K433" s="94"/>
      <c r="L433" s="94"/>
      <c r="M433" s="94"/>
      <c r="N433" s="112"/>
      <c r="O433" s="112"/>
    </row>
    <row r="434" ht="15.75" customHeight="1">
      <c r="A434" s="243"/>
      <c r="B434" s="211"/>
      <c r="C434" s="229"/>
      <c r="D434" s="230"/>
      <c r="E434" s="231"/>
      <c r="F434" s="232"/>
      <c r="G434" s="233"/>
      <c r="H434" s="234"/>
      <c r="I434" s="233"/>
      <c r="J434" s="173"/>
      <c r="K434" s="77"/>
      <c r="L434" s="77"/>
      <c r="M434" s="77"/>
      <c r="N434" s="80"/>
      <c r="O434" s="80"/>
    </row>
    <row r="435" ht="15.75" customHeight="1">
      <c r="A435" s="242"/>
      <c r="B435" s="225"/>
      <c r="C435" s="235"/>
      <c r="D435" s="236"/>
      <c r="E435" s="237"/>
      <c r="F435" s="238"/>
      <c r="G435" s="239"/>
      <c r="H435" s="240"/>
      <c r="I435" s="239"/>
      <c r="J435" s="148"/>
      <c r="K435" s="94"/>
      <c r="L435" s="94"/>
      <c r="M435" s="94"/>
      <c r="N435" s="112"/>
      <c r="O435" s="112"/>
    </row>
    <row r="436" ht="15.75" customHeight="1">
      <c r="A436" s="243"/>
      <c r="B436" s="211"/>
      <c r="C436" s="229"/>
      <c r="D436" s="230"/>
      <c r="E436" s="231"/>
      <c r="F436" s="232"/>
      <c r="G436" s="233"/>
      <c r="H436" s="234"/>
      <c r="I436" s="233"/>
      <c r="J436" s="173"/>
      <c r="K436" s="77"/>
      <c r="L436" s="77"/>
      <c r="M436" s="77"/>
      <c r="N436" s="80"/>
      <c r="O436" s="80"/>
    </row>
    <row r="437" ht="15.75" customHeight="1">
      <c r="A437" s="242"/>
      <c r="B437" s="225"/>
      <c r="C437" s="235"/>
      <c r="D437" s="236"/>
      <c r="E437" s="237"/>
      <c r="F437" s="238"/>
      <c r="G437" s="239"/>
      <c r="H437" s="240"/>
      <c r="I437" s="239"/>
      <c r="J437" s="148"/>
      <c r="K437" s="94"/>
      <c r="L437" s="94"/>
      <c r="M437" s="94"/>
      <c r="N437" s="112"/>
      <c r="O437" s="112"/>
    </row>
    <row r="438" ht="15.75" customHeight="1">
      <c r="A438" s="243"/>
      <c r="B438" s="211"/>
      <c r="C438" s="229"/>
      <c r="D438" s="230"/>
      <c r="E438" s="231"/>
      <c r="F438" s="232"/>
      <c r="G438" s="233"/>
      <c r="H438" s="234"/>
      <c r="I438" s="233"/>
      <c r="J438" s="173"/>
      <c r="K438" s="77"/>
      <c r="L438" s="77"/>
      <c r="M438" s="77"/>
      <c r="N438" s="80"/>
      <c r="O438" s="80"/>
    </row>
    <row r="439" ht="15.75" customHeight="1">
      <c r="A439" s="242"/>
      <c r="B439" s="225"/>
      <c r="C439" s="235"/>
      <c r="D439" s="236"/>
      <c r="E439" s="237"/>
      <c r="F439" s="238"/>
      <c r="G439" s="239"/>
      <c r="H439" s="240"/>
      <c r="I439" s="239"/>
      <c r="J439" s="148"/>
      <c r="K439" s="94"/>
      <c r="L439" s="94"/>
      <c r="M439" s="94"/>
      <c r="N439" s="112"/>
      <c r="O439" s="112"/>
    </row>
    <row r="440" ht="15.75" customHeight="1">
      <c r="A440" s="243"/>
      <c r="B440" s="211"/>
      <c r="C440" s="229"/>
      <c r="D440" s="230"/>
      <c r="E440" s="231"/>
      <c r="F440" s="232"/>
      <c r="G440" s="233"/>
      <c r="H440" s="234"/>
      <c r="I440" s="233"/>
      <c r="J440" s="173"/>
      <c r="K440" s="77"/>
      <c r="L440" s="77"/>
      <c r="M440" s="77"/>
      <c r="N440" s="80"/>
      <c r="O440" s="80"/>
    </row>
    <row r="441" ht="15.75" customHeight="1">
      <c r="A441" s="242"/>
      <c r="B441" s="225"/>
      <c r="C441" s="235"/>
      <c r="D441" s="236"/>
      <c r="E441" s="237"/>
      <c r="F441" s="238"/>
      <c r="G441" s="239"/>
      <c r="H441" s="240"/>
      <c r="I441" s="239"/>
      <c r="J441" s="148"/>
      <c r="K441" s="94"/>
      <c r="L441" s="94"/>
      <c r="M441" s="94"/>
      <c r="N441" s="112"/>
      <c r="O441" s="112"/>
    </row>
    <row r="442" ht="15.75" customHeight="1">
      <c r="A442" s="243"/>
      <c r="B442" s="211"/>
      <c r="C442" s="229"/>
      <c r="D442" s="230"/>
      <c r="E442" s="231"/>
      <c r="F442" s="232"/>
      <c r="G442" s="233"/>
      <c r="H442" s="234"/>
      <c r="I442" s="233"/>
      <c r="J442" s="173"/>
      <c r="K442" s="77"/>
      <c r="L442" s="77"/>
      <c r="M442" s="77"/>
      <c r="N442" s="80"/>
      <c r="O442" s="80"/>
    </row>
    <row r="443" ht="15.75" customHeight="1">
      <c r="A443" s="242"/>
      <c r="B443" s="225"/>
      <c r="C443" s="235"/>
      <c r="D443" s="236"/>
      <c r="E443" s="237"/>
      <c r="F443" s="238"/>
      <c r="G443" s="239"/>
      <c r="H443" s="240"/>
      <c r="I443" s="239"/>
      <c r="J443" s="148"/>
      <c r="K443" s="94"/>
      <c r="L443" s="94"/>
      <c r="M443" s="94"/>
      <c r="N443" s="112"/>
      <c r="O443" s="112"/>
    </row>
    <row r="444" ht="15.75" customHeight="1">
      <c r="A444" s="243"/>
      <c r="B444" s="211"/>
      <c r="C444" s="229"/>
      <c r="D444" s="230"/>
      <c r="E444" s="231"/>
      <c r="F444" s="232"/>
      <c r="G444" s="233"/>
      <c r="H444" s="234"/>
      <c r="I444" s="233"/>
      <c r="J444" s="173"/>
      <c r="K444" s="77"/>
      <c r="L444" s="77"/>
      <c r="M444" s="77"/>
      <c r="N444" s="80"/>
      <c r="O444" s="80"/>
    </row>
    <row r="445" ht="15.75" customHeight="1">
      <c r="A445" s="242"/>
      <c r="B445" s="225"/>
      <c r="C445" s="235"/>
      <c r="D445" s="236"/>
      <c r="E445" s="237"/>
      <c r="F445" s="238"/>
      <c r="G445" s="239"/>
      <c r="H445" s="240"/>
      <c r="I445" s="239"/>
      <c r="J445" s="148"/>
      <c r="K445" s="94"/>
      <c r="L445" s="94"/>
      <c r="M445" s="94"/>
      <c r="N445" s="112"/>
      <c r="O445" s="112"/>
    </row>
    <row r="446" ht="15.75" customHeight="1">
      <c r="A446" s="243"/>
      <c r="B446" s="211"/>
      <c r="C446" s="229"/>
      <c r="D446" s="230"/>
      <c r="E446" s="231"/>
      <c r="F446" s="232"/>
      <c r="G446" s="233"/>
      <c r="H446" s="234"/>
      <c r="I446" s="233"/>
      <c r="J446" s="173"/>
      <c r="K446" s="77"/>
      <c r="L446" s="77"/>
      <c r="M446" s="77"/>
      <c r="N446" s="80"/>
      <c r="O446" s="80"/>
    </row>
    <row r="447" ht="15.75" customHeight="1">
      <c r="A447" s="242"/>
      <c r="B447" s="225"/>
      <c r="C447" s="235"/>
      <c r="D447" s="236"/>
      <c r="E447" s="237"/>
      <c r="F447" s="238"/>
      <c r="G447" s="239"/>
      <c r="H447" s="240"/>
      <c r="I447" s="239"/>
      <c r="J447" s="148"/>
      <c r="K447" s="94"/>
      <c r="L447" s="94"/>
      <c r="M447" s="94"/>
      <c r="N447" s="112"/>
      <c r="O447" s="112"/>
    </row>
    <row r="448" ht="15.75" customHeight="1">
      <c r="A448" s="243"/>
      <c r="B448" s="211"/>
      <c r="C448" s="229"/>
      <c r="D448" s="230"/>
      <c r="E448" s="231"/>
      <c r="F448" s="232"/>
      <c r="G448" s="233"/>
      <c r="H448" s="234"/>
      <c r="I448" s="233"/>
      <c r="J448" s="173"/>
      <c r="K448" s="77"/>
      <c r="L448" s="77"/>
      <c r="M448" s="77"/>
      <c r="N448" s="80"/>
      <c r="O448" s="80"/>
    </row>
    <row r="449" ht="15.75" customHeight="1">
      <c r="A449" s="242"/>
      <c r="B449" s="225"/>
      <c r="C449" s="235"/>
      <c r="D449" s="236"/>
      <c r="E449" s="237"/>
      <c r="F449" s="238"/>
      <c r="G449" s="239"/>
      <c r="H449" s="240"/>
      <c r="I449" s="239"/>
      <c r="J449" s="148"/>
      <c r="K449" s="94"/>
      <c r="L449" s="94"/>
      <c r="M449" s="94"/>
      <c r="N449" s="112"/>
      <c r="O449" s="112"/>
    </row>
    <row r="450" ht="15.75" customHeight="1">
      <c r="A450" s="243"/>
      <c r="B450" s="211"/>
      <c r="C450" s="229"/>
      <c r="D450" s="230"/>
      <c r="E450" s="231"/>
      <c r="F450" s="232"/>
      <c r="G450" s="233"/>
      <c r="H450" s="234"/>
      <c r="I450" s="233"/>
      <c r="J450" s="173"/>
      <c r="K450" s="77"/>
      <c r="L450" s="77"/>
      <c r="M450" s="77"/>
      <c r="N450" s="80"/>
      <c r="O450" s="80"/>
    </row>
    <row r="451" ht="15.75" customHeight="1">
      <c r="A451" s="242"/>
      <c r="B451" s="225"/>
      <c r="C451" s="235"/>
      <c r="D451" s="236"/>
      <c r="E451" s="237"/>
      <c r="F451" s="238"/>
      <c r="G451" s="239"/>
      <c r="H451" s="240"/>
      <c r="I451" s="239"/>
      <c r="J451" s="148"/>
      <c r="K451" s="94"/>
      <c r="L451" s="94"/>
      <c r="M451" s="94"/>
      <c r="N451" s="112"/>
      <c r="O451" s="112"/>
    </row>
    <row r="452" ht="15.75" customHeight="1">
      <c r="A452" s="243"/>
      <c r="B452" s="211"/>
      <c r="C452" s="229"/>
      <c r="D452" s="230"/>
      <c r="E452" s="231"/>
      <c r="F452" s="232"/>
      <c r="G452" s="233"/>
      <c r="H452" s="234"/>
      <c r="I452" s="233"/>
      <c r="J452" s="173"/>
      <c r="K452" s="77"/>
      <c r="L452" s="77"/>
      <c r="M452" s="77"/>
      <c r="N452" s="80"/>
      <c r="O452" s="80"/>
    </row>
    <row r="453" ht="15.75" customHeight="1">
      <c r="A453" s="242"/>
      <c r="B453" s="225"/>
      <c r="C453" s="235"/>
      <c r="D453" s="236"/>
      <c r="E453" s="237"/>
      <c r="F453" s="238"/>
      <c r="G453" s="239"/>
      <c r="H453" s="240"/>
      <c r="I453" s="239"/>
      <c r="J453" s="148"/>
      <c r="K453" s="94"/>
      <c r="L453" s="94"/>
      <c r="M453" s="94"/>
      <c r="N453" s="112"/>
      <c r="O453" s="112"/>
    </row>
    <row r="454" ht="15.75" customHeight="1">
      <c r="A454" s="243"/>
      <c r="B454" s="211"/>
      <c r="C454" s="229"/>
      <c r="D454" s="230"/>
      <c r="E454" s="231"/>
      <c r="F454" s="232"/>
      <c r="G454" s="233"/>
      <c r="H454" s="234"/>
      <c r="I454" s="233"/>
      <c r="J454" s="173"/>
      <c r="K454" s="77"/>
      <c r="L454" s="77"/>
      <c r="M454" s="77"/>
      <c r="N454" s="80"/>
      <c r="O454" s="80"/>
    </row>
    <row r="455" ht="15.75" customHeight="1">
      <c r="A455" s="242"/>
      <c r="B455" s="225"/>
      <c r="C455" s="235"/>
      <c r="D455" s="236"/>
      <c r="E455" s="237"/>
      <c r="F455" s="238"/>
      <c r="G455" s="239"/>
      <c r="H455" s="240"/>
      <c r="I455" s="239"/>
      <c r="J455" s="148"/>
      <c r="K455" s="94"/>
      <c r="L455" s="94"/>
      <c r="M455" s="94"/>
      <c r="N455" s="112"/>
      <c r="O455" s="112"/>
    </row>
    <row r="456" ht="15.75" customHeight="1">
      <c r="A456" s="243"/>
      <c r="B456" s="211"/>
      <c r="C456" s="229"/>
      <c r="D456" s="230"/>
      <c r="E456" s="231"/>
      <c r="F456" s="232"/>
      <c r="G456" s="233"/>
      <c r="H456" s="234"/>
      <c r="I456" s="233"/>
      <c r="J456" s="173"/>
      <c r="K456" s="77"/>
      <c r="L456" s="77"/>
      <c r="M456" s="77"/>
      <c r="N456" s="80"/>
      <c r="O456" s="80"/>
    </row>
    <row r="457" ht="15.75" customHeight="1">
      <c r="A457" s="242"/>
      <c r="B457" s="225"/>
      <c r="C457" s="235"/>
      <c r="D457" s="236"/>
      <c r="E457" s="237"/>
      <c r="F457" s="238"/>
      <c r="G457" s="239"/>
      <c r="H457" s="240"/>
      <c r="I457" s="239"/>
      <c r="J457" s="148"/>
      <c r="K457" s="94"/>
      <c r="L457" s="94"/>
      <c r="M457" s="94"/>
      <c r="N457" s="112"/>
      <c r="O457" s="112"/>
    </row>
    <row r="458" ht="15.75" customHeight="1">
      <c r="A458" s="243"/>
      <c r="B458" s="211"/>
      <c r="C458" s="229"/>
      <c r="D458" s="230"/>
      <c r="E458" s="231"/>
      <c r="F458" s="232"/>
      <c r="G458" s="233"/>
      <c r="H458" s="234"/>
      <c r="I458" s="233"/>
      <c r="J458" s="173"/>
      <c r="K458" s="77"/>
      <c r="L458" s="77"/>
      <c r="M458" s="77"/>
      <c r="N458" s="80"/>
      <c r="O458" s="80"/>
    </row>
    <row r="459" ht="15.75" customHeight="1">
      <c r="A459" s="242"/>
      <c r="B459" s="225"/>
      <c r="C459" s="235"/>
      <c r="D459" s="236"/>
      <c r="E459" s="237"/>
      <c r="F459" s="238"/>
      <c r="G459" s="239"/>
      <c r="H459" s="240"/>
      <c r="I459" s="239"/>
      <c r="J459" s="148"/>
      <c r="K459" s="94"/>
      <c r="L459" s="94"/>
      <c r="M459" s="94"/>
      <c r="N459" s="112"/>
      <c r="O459" s="112"/>
    </row>
    <row r="460" ht="15.75" customHeight="1">
      <c r="A460" s="243"/>
      <c r="B460" s="211"/>
      <c r="C460" s="229"/>
      <c r="D460" s="230"/>
      <c r="E460" s="231"/>
      <c r="F460" s="232"/>
      <c r="G460" s="233"/>
      <c r="H460" s="234"/>
      <c r="I460" s="233"/>
      <c r="J460" s="173"/>
      <c r="K460" s="77"/>
      <c r="L460" s="77"/>
      <c r="M460" s="77"/>
      <c r="N460" s="80"/>
      <c r="O460" s="80"/>
    </row>
    <row r="461" ht="15.75" customHeight="1">
      <c r="A461" s="242"/>
      <c r="B461" s="225"/>
      <c r="C461" s="235"/>
      <c r="D461" s="236"/>
      <c r="E461" s="237"/>
      <c r="F461" s="238"/>
      <c r="G461" s="239"/>
      <c r="H461" s="240"/>
      <c r="I461" s="239"/>
      <c r="J461" s="148"/>
      <c r="K461" s="94"/>
      <c r="L461" s="94"/>
      <c r="M461" s="94"/>
      <c r="N461" s="112"/>
      <c r="O461" s="112"/>
    </row>
    <row r="462" ht="15.75" customHeight="1">
      <c r="A462" s="243"/>
      <c r="B462" s="211"/>
      <c r="C462" s="229"/>
      <c r="D462" s="230"/>
      <c r="E462" s="231"/>
      <c r="F462" s="232"/>
      <c r="G462" s="233"/>
      <c r="H462" s="234"/>
      <c r="I462" s="233"/>
      <c r="J462" s="173"/>
      <c r="K462" s="77"/>
      <c r="L462" s="77"/>
      <c r="M462" s="77"/>
      <c r="N462" s="80"/>
      <c r="O462" s="80"/>
    </row>
    <row r="463" ht="15.75" customHeight="1">
      <c r="A463" s="242"/>
      <c r="B463" s="225"/>
      <c r="C463" s="235"/>
      <c r="D463" s="236"/>
      <c r="E463" s="237"/>
      <c r="F463" s="238"/>
      <c r="G463" s="239"/>
      <c r="H463" s="240"/>
      <c r="I463" s="239"/>
      <c r="J463" s="148"/>
      <c r="K463" s="94"/>
      <c r="L463" s="94"/>
      <c r="M463" s="94"/>
      <c r="N463" s="112"/>
      <c r="O463" s="112"/>
    </row>
    <row r="464" ht="15.75" customHeight="1">
      <c r="A464" s="243"/>
      <c r="B464" s="211"/>
      <c r="C464" s="229"/>
      <c r="D464" s="230"/>
      <c r="E464" s="231"/>
      <c r="F464" s="232"/>
      <c r="G464" s="233"/>
      <c r="H464" s="234"/>
      <c r="I464" s="233"/>
      <c r="J464" s="173"/>
      <c r="K464" s="77"/>
      <c r="L464" s="77"/>
      <c r="M464" s="77"/>
      <c r="N464" s="80"/>
      <c r="O464" s="80"/>
    </row>
    <row r="465" ht="15.75" customHeight="1">
      <c r="A465" s="242"/>
      <c r="B465" s="225"/>
      <c r="C465" s="235"/>
      <c r="D465" s="236"/>
      <c r="E465" s="237"/>
      <c r="F465" s="238"/>
      <c r="G465" s="239"/>
      <c r="H465" s="240"/>
      <c r="I465" s="239"/>
      <c r="J465" s="148"/>
      <c r="K465" s="94"/>
      <c r="L465" s="94"/>
      <c r="M465" s="94"/>
      <c r="N465" s="112"/>
      <c r="O465" s="112"/>
    </row>
    <row r="466" ht="15.75" customHeight="1">
      <c r="A466" s="243"/>
      <c r="B466" s="211"/>
      <c r="C466" s="229"/>
      <c r="D466" s="230"/>
      <c r="E466" s="231"/>
      <c r="F466" s="232"/>
      <c r="G466" s="233"/>
      <c r="H466" s="234"/>
      <c r="I466" s="233"/>
      <c r="J466" s="173"/>
      <c r="K466" s="77"/>
      <c r="L466" s="77"/>
      <c r="M466" s="77"/>
      <c r="N466" s="80"/>
      <c r="O466" s="80"/>
    </row>
    <row r="467" ht="15.75" customHeight="1">
      <c r="A467" s="242"/>
      <c r="B467" s="225"/>
      <c r="C467" s="235"/>
      <c r="D467" s="236"/>
      <c r="E467" s="237"/>
      <c r="F467" s="238"/>
      <c r="G467" s="239"/>
      <c r="H467" s="240"/>
      <c r="I467" s="239"/>
      <c r="J467" s="148"/>
      <c r="K467" s="94"/>
      <c r="L467" s="94"/>
      <c r="M467" s="94"/>
      <c r="N467" s="112"/>
      <c r="O467" s="112"/>
    </row>
    <row r="468" ht="15.75" customHeight="1">
      <c r="A468" s="243"/>
      <c r="B468" s="211"/>
      <c r="C468" s="229"/>
      <c r="D468" s="230"/>
      <c r="E468" s="231"/>
      <c r="F468" s="232"/>
      <c r="G468" s="233"/>
      <c r="H468" s="234"/>
      <c r="I468" s="233"/>
      <c r="J468" s="173"/>
      <c r="K468" s="77"/>
      <c r="L468" s="77"/>
      <c r="M468" s="77"/>
      <c r="N468" s="80"/>
      <c r="O468" s="80"/>
    </row>
    <row r="469" ht="15.75" customHeight="1">
      <c r="A469" s="242"/>
      <c r="B469" s="225"/>
      <c r="C469" s="235"/>
      <c r="D469" s="236"/>
      <c r="E469" s="237"/>
      <c r="F469" s="238"/>
      <c r="G469" s="239"/>
      <c r="H469" s="240"/>
      <c r="I469" s="239"/>
      <c r="J469" s="148"/>
      <c r="K469" s="94"/>
      <c r="L469" s="94"/>
      <c r="M469" s="94"/>
      <c r="N469" s="112"/>
      <c r="O469" s="112"/>
    </row>
    <row r="470" ht="15.75" customHeight="1">
      <c r="A470" s="243"/>
      <c r="B470" s="211"/>
      <c r="C470" s="229"/>
      <c r="D470" s="230"/>
      <c r="E470" s="231"/>
      <c r="F470" s="232"/>
      <c r="G470" s="233"/>
      <c r="H470" s="234"/>
      <c r="I470" s="233"/>
      <c r="J470" s="173"/>
      <c r="K470" s="77"/>
      <c r="L470" s="77"/>
      <c r="M470" s="77"/>
      <c r="N470" s="80"/>
      <c r="O470" s="80"/>
    </row>
    <row r="471" ht="15.75" customHeight="1">
      <c r="A471" s="242"/>
      <c r="B471" s="225"/>
      <c r="C471" s="235"/>
      <c r="D471" s="236"/>
      <c r="E471" s="237"/>
      <c r="F471" s="238"/>
      <c r="G471" s="239"/>
      <c r="H471" s="240"/>
      <c r="I471" s="239"/>
      <c r="J471" s="148"/>
      <c r="K471" s="94"/>
      <c r="L471" s="94"/>
      <c r="M471" s="94"/>
      <c r="N471" s="112"/>
      <c r="O471" s="112"/>
    </row>
    <row r="472" ht="15.75" customHeight="1">
      <c r="A472" s="243"/>
      <c r="B472" s="211"/>
      <c r="C472" s="229"/>
      <c r="D472" s="230"/>
      <c r="E472" s="231"/>
      <c r="F472" s="232"/>
      <c r="G472" s="233"/>
      <c r="H472" s="234"/>
      <c r="I472" s="233"/>
      <c r="J472" s="173"/>
      <c r="K472" s="77"/>
      <c r="L472" s="77"/>
      <c r="M472" s="77"/>
      <c r="N472" s="80"/>
      <c r="O472" s="80"/>
    </row>
    <row r="473" ht="15.75" customHeight="1">
      <c r="A473" s="242"/>
      <c r="B473" s="225"/>
      <c r="C473" s="235"/>
      <c r="D473" s="236"/>
      <c r="E473" s="237"/>
      <c r="F473" s="238"/>
      <c r="G473" s="239"/>
      <c r="H473" s="240"/>
      <c r="I473" s="239"/>
      <c r="J473" s="148"/>
      <c r="K473" s="94"/>
      <c r="L473" s="94"/>
      <c r="M473" s="94"/>
      <c r="N473" s="112"/>
      <c r="O473" s="112"/>
    </row>
    <row r="474" ht="15.75" customHeight="1">
      <c r="A474" s="243"/>
      <c r="B474" s="211"/>
      <c r="C474" s="229"/>
      <c r="D474" s="230"/>
      <c r="E474" s="231"/>
      <c r="F474" s="232"/>
      <c r="G474" s="233"/>
      <c r="H474" s="234"/>
      <c r="I474" s="233"/>
      <c r="J474" s="173"/>
      <c r="K474" s="77"/>
      <c r="L474" s="77"/>
      <c r="M474" s="77"/>
      <c r="N474" s="80"/>
      <c r="O474" s="80"/>
    </row>
    <row r="475" ht="15.75" customHeight="1">
      <c r="A475" s="242"/>
      <c r="B475" s="225"/>
      <c r="C475" s="235"/>
      <c r="D475" s="236"/>
      <c r="E475" s="237"/>
      <c r="F475" s="238"/>
      <c r="G475" s="239"/>
      <c r="H475" s="240"/>
      <c r="I475" s="239"/>
      <c r="J475" s="148"/>
      <c r="K475" s="94"/>
      <c r="L475" s="94"/>
      <c r="M475" s="94"/>
      <c r="N475" s="112"/>
      <c r="O475" s="112"/>
    </row>
    <row r="476" ht="15.75" customHeight="1">
      <c r="A476" s="243"/>
      <c r="B476" s="211"/>
      <c r="C476" s="229"/>
      <c r="D476" s="230"/>
      <c r="E476" s="231"/>
      <c r="F476" s="232"/>
      <c r="G476" s="233"/>
      <c r="H476" s="234"/>
      <c r="I476" s="233"/>
      <c r="J476" s="173"/>
      <c r="K476" s="77"/>
      <c r="L476" s="77"/>
      <c r="M476" s="77"/>
      <c r="N476" s="80"/>
      <c r="O476" s="80"/>
    </row>
    <row r="477" ht="15.75" customHeight="1">
      <c r="A477" s="242"/>
      <c r="B477" s="225"/>
      <c r="C477" s="235"/>
      <c r="D477" s="236"/>
      <c r="E477" s="237"/>
      <c r="F477" s="238"/>
      <c r="G477" s="239"/>
      <c r="H477" s="240"/>
      <c r="I477" s="239"/>
      <c r="J477" s="148"/>
      <c r="K477" s="94"/>
      <c r="L477" s="94"/>
      <c r="M477" s="94"/>
      <c r="N477" s="112"/>
      <c r="O477" s="112"/>
    </row>
    <row r="478" ht="15.75" customHeight="1">
      <c r="A478" s="243"/>
      <c r="B478" s="211"/>
      <c r="C478" s="229"/>
      <c r="D478" s="230"/>
      <c r="E478" s="231"/>
      <c r="F478" s="232"/>
      <c r="G478" s="233"/>
      <c r="H478" s="234"/>
      <c r="I478" s="233"/>
      <c r="J478" s="173"/>
      <c r="K478" s="77"/>
      <c r="L478" s="77"/>
      <c r="M478" s="77"/>
      <c r="N478" s="80"/>
      <c r="O478" s="80"/>
    </row>
    <row r="479" ht="15.75" customHeight="1">
      <c r="A479" s="242"/>
      <c r="B479" s="225"/>
      <c r="C479" s="235"/>
      <c r="D479" s="236"/>
      <c r="E479" s="237"/>
      <c r="F479" s="238"/>
      <c r="G479" s="239"/>
      <c r="H479" s="240"/>
      <c r="I479" s="239"/>
      <c r="J479" s="148"/>
      <c r="K479" s="94"/>
      <c r="L479" s="94"/>
      <c r="M479" s="94"/>
      <c r="N479" s="112"/>
      <c r="O479" s="112"/>
    </row>
    <row r="480" ht="15.75" customHeight="1">
      <c r="A480" s="243"/>
      <c r="B480" s="211"/>
      <c r="C480" s="229"/>
      <c r="D480" s="230"/>
      <c r="E480" s="231"/>
      <c r="F480" s="232"/>
      <c r="G480" s="233"/>
      <c r="H480" s="234"/>
      <c r="I480" s="233"/>
      <c r="J480" s="173"/>
      <c r="K480" s="77"/>
      <c r="L480" s="77"/>
      <c r="M480" s="77"/>
      <c r="N480" s="80"/>
      <c r="O480" s="80"/>
    </row>
    <row r="481" ht="15.75" customHeight="1">
      <c r="A481" s="242"/>
      <c r="B481" s="225"/>
      <c r="C481" s="235"/>
      <c r="D481" s="236"/>
      <c r="E481" s="237"/>
      <c r="F481" s="238"/>
      <c r="G481" s="239"/>
      <c r="H481" s="240"/>
      <c r="I481" s="239"/>
      <c r="J481" s="148"/>
      <c r="K481" s="94"/>
      <c r="L481" s="94"/>
      <c r="M481" s="94"/>
      <c r="N481" s="112"/>
      <c r="O481" s="112"/>
    </row>
    <row r="482" ht="15.75" customHeight="1">
      <c r="A482" s="243"/>
      <c r="B482" s="211"/>
      <c r="C482" s="229"/>
      <c r="D482" s="230"/>
      <c r="E482" s="231"/>
      <c r="F482" s="232"/>
      <c r="G482" s="233"/>
      <c r="H482" s="234"/>
      <c r="I482" s="233"/>
      <c r="J482" s="173"/>
      <c r="K482" s="77"/>
      <c r="L482" s="77"/>
      <c r="M482" s="77"/>
      <c r="N482" s="80"/>
      <c r="O482" s="80"/>
    </row>
    <row r="483" ht="15.75" customHeight="1">
      <c r="A483" s="242"/>
      <c r="B483" s="225"/>
      <c r="C483" s="235"/>
      <c r="D483" s="236"/>
      <c r="E483" s="237"/>
      <c r="F483" s="238"/>
      <c r="G483" s="239"/>
      <c r="H483" s="240"/>
      <c r="I483" s="239"/>
      <c r="J483" s="148"/>
      <c r="K483" s="94"/>
      <c r="L483" s="94"/>
      <c r="M483" s="94"/>
      <c r="N483" s="112"/>
      <c r="O483" s="112"/>
    </row>
    <row r="484" ht="15.75" customHeight="1">
      <c r="A484" s="243"/>
      <c r="B484" s="211"/>
      <c r="C484" s="229"/>
      <c r="D484" s="230"/>
      <c r="E484" s="231"/>
      <c r="F484" s="232"/>
      <c r="G484" s="233"/>
      <c r="H484" s="234"/>
      <c r="I484" s="233"/>
      <c r="J484" s="173"/>
      <c r="K484" s="77"/>
      <c r="L484" s="77"/>
      <c r="M484" s="77"/>
      <c r="N484" s="80"/>
      <c r="O484" s="80"/>
    </row>
    <row r="485" ht="15.75" customHeight="1">
      <c r="A485" s="242"/>
      <c r="B485" s="225"/>
      <c r="C485" s="235"/>
      <c r="D485" s="236"/>
      <c r="E485" s="237"/>
      <c r="F485" s="238"/>
      <c r="G485" s="239"/>
      <c r="H485" s="240"/>
      <c r="I485" s="239"/>
      <c r="J485" s="148"/>
      <c r="K485" s="94"/>
      <c r="L485" s="94"/>
      <c r="M485" s="94"/>
      <c r="N485" s="112"/>
      <c r="O485" s="112"/>
    </row>
    <row r="486" ht="15.75" customHeight="1">
      <c r="A486" s="243"/>
      <c r="B486" s="211"/>
      <c r="C486" s="229"/>
      <c r="D486" s="230"/>
      <c r="E486" s="231"/>
      <c r="F486" s="232"/>
      <c r="G486" s="233"/>
      <c r="H486" s="234"/>
      <c r="I486" s="233"/>
      <c r="J486" s="173"/>
      <c r="K486" s="77"/>
      <c r="L486" s="77"/>
      <c r="M486" s="77"/>
      <c r="N486" s="80"/>
      <c r="O486" s="80"/>
    </row>
    <row r="487" ht="15.75" customHeight="1">
      <c r="A487" s="242"/>
      <c r="B487" s="225"/>
      <c r="C487" s="235"/>
      <c r="D487" s="236"/>
      <c r="E487" s="237"/>
      <c r="F487" s="238"/>
      <c r="G487" s="239"/>
      <c r="H487" s="240"/>
      <c r="I487" s="239"/>
      <c r="J487" s="148"/>
      <c r="K487" s="94"/>
      <c r="L487" s="94"/>
      <c r="M487" s="94"/>
      <c r="N487" s="112"/>
      <c r="O487" s="112"/>
    </row>
    <row r="488" ht="15.75" customHeight="1">
      <c r="A488" s="243"/>
      <c r="B488" s="211"/>
      <c r="C488" s="229"/>
      <c r="D488" s="230"/>
      <c r="E488" s="231"/>
      <c r="F488" s="232"/>
      <c r="G488" s="233"/>
      <c r="H488" s="234"/>
      <c r="I488" s="233"/>
      <c r="J488" s="173"/>
      <c r="K488" s="77"/>
      <c r="L488" s="77"/>
      <c r="M488" s="77"/>
      <c r="N488" s="80"/>
      <c r="O488" s="80"/>
    </row>
    <row r="489" ht="15.75" customHeight="1">
      <c r="A489" s="242"/>
      <c r="B489" s="225"/>
      <c r="C489" s="235"/>
      <c r="D489" s="236"/>
      <c r="E489" s="237"/>
      <c r="F489" s="238"/>
      <c r="G489" s="239"/>
      <c r="H489" s="240"/>
      <c r="I489" s="239"/>
      <c r="J489" s="148"/>
      <c r="K489" s="94"/>
      <c r="L489" s="94"/>
      <c r="M489" s="94"/>
      <c r="N489" s="112"/>
      <c r="O489" s="112"/>
    </row>
    <row r="490" ht="15.75" customHeight="1">
      <c r="A490" s="243"/>
      <c r="B490" s="211"/>
      <c r="C490" s="229"/>
      <c r="D490" s="230"/>
      <c r="E490" s="231"/>
      <c r="F490" s="232"/>
      <c r="G490" s="233"/>
      <c r="H490" s="234"/>
      <c r="I490" s="233"/>
      <c r="J490" s="173"/>
      <c r="K490" s="77"/>
      <c r="L490" s="77"/>
      <c r="M490" s="77"/>
      <c r="N490" s="80"/>
      <c r="O490" s="80"/>
    </row>
    <row r="491" ht="15.75" customHeight="1">
      <c r="A491" s="242"/>
      <c r="B491" s="225"/>
      <c r="C491" s="235"/>
      <c r="D491" s="236"/>
      <c r="E491" s="237"/>
      <c r="F491" s="238"/>
      <c r="G491" s="239"/>
      <c r="H491" s="240"/>
      <c r="I491" s="239"/>
      <c r="J491" s="148"/>
      <c r="K491" s="94"/>
      <c r="L491" s="94"/>
      <c r="M491" s="94"/>
      <c r="N491" s="112"/>
      <c r="O491" s="112"/>
    </row>
    <row r="492" ht="15.75" customHeight="1">
      <c r="A492" s="243"/>
      <c r="B492" s="211"/>
      <c r="C492" s="229"/>
      <c r="D492" s="230"/>
      <c r="E492" s="231"/>
      <c r="F492" s="232"/>
      <c r="G492" s="233"/>
      <c r="H492" s="234"/>
      <c r="I492" s="233"/>
      <c r="J492" s="173"/>
      <c r="K492" s="77"/>
      <c r="L492" s="77"/>
      <c r="M492" s="77"/>
      <c r="N492" s="80"/>
      <c r="O492" s="80"/>
    </row>
    <row r="493" ht="15.75" customHeight="1">
      <c r="A493" s="242"/>
      <c r="B493" s="225"/>
      <c r="C493" s="235"/>
      <c r="D493" s="236"/>
      <c r="E493" s="237"/>
      <c r="F493" s="238"/>
      <c r="G493" s="239"/>
      <c r="H493" s="240"/>
      <c r="I493" s="239"/>
      <c r="J493" s="148"/>
      <c r="K493" s="94"/>
      <c r="L493" s="94"/>
      <c r="M493" s="94"/>
      <c r="N493" s="112"/>
      <c r="O493" s="112"/>
    </row>
    <row r="494" ht="15.75" customHeight="1">
      <c r="A494" s="243"/>
      <c r="B494" s="211"/>
      <c r="C494" s="229"/>
      <c r="D494" s="230"/>
      <c r="E494" s="231"/>
      <c r="F494" s="232"/>
      <c r="G494" s="233"/>
      <c r="H494" s="234"/>
      <c r="I494" s="233"/>
      <c r="J494" s="173"/>
      <c r="K494" s="77"/>
      <c r="L494" s="77"/>
      <c r="M494" s="77"/>
      <c r="N494" s="80"/>
      <c r="O494" s="80"/>
    </row>
    <row r="495" ht="15.75" customHeight="1">
      <c r="A495" s="242"/>
      <c r="B495" s="225"/>
      <c r="C495" s="235"/>
      <c r="D495" s="236"/>
      <c r="E495" s="237"/>
      <c r="F495" s="238"/>
      <c r="G495" s="239"/>
      <c r="H495" s="240"/>
      <c r="I495" s="239"/>
      <c r="J495" s="148"/>
      <c r="K495" s="94"/>
      <c r="L495" s="94"/>
      <c r="M495" s="94"/>
      <c r="N495" s="112"/>
      <c r="O495" s="112"/>
    </row>
    <row r="496" ht="15.75" customHeight="1">
      <c r="A496" s="243"/>
      <c r="B496" s="211"/>
      <c r="C496" s="229"/>
      <c r="D496" s="230"/>
      <c r="E496" s="231"/>
      <c r="F496" s="232"/>
      <c r="G496" s="233"/>
      <c r="H496" s="234"/>
      <c r="I496" s="233"/>
      <c r="J496" s="173"/>
      <c r="K496" s="77"/>
      <c r="L496" s="77"/>
      <c r="M496" s="77"/>
      <c r="N496" s="80"/>
      <c r="O496" s="80"/>
    </row>
    <row r="497" ht="15.75" customHeight="1">
      <c r="A497" s="242"/>
      <c r="B497" s="225"/>
      <c r="C497" s="235"/>
      <c r="D497" s="236"/>
      <c r="E497" s="237"/>
      <c r="F497" s="238"/>
      <c r="G497" s="239"/>
      <c r="H497" s="240"/>
      <c r="I497" s="239"/>
      <c r="J497" s="148"/>
      <c r="K497" s="94"/>
      <c r="L497" s="94"/>
      <c r="M497" s="94"/>
      <c r="N497" s="112"/>
      <c r="O497" s="112"/>
    </row>
    <row r="498" ht="15.75" customHeight="1">
      <c r="A498" s="243"/>
      <c r="B498" s="211"/>
      <c r="C498" s="229"/>
      <c r="D498" s="230"/>
      <c r="E498" s="231"/>
      <c r="F498" s="232"/>
      <c r="G498" s="233"/>
      <c r="H498" s="234"/>
      <c r="I498" s="233"/>
      <c r="J498" s="173"/>
      <c r="K498" s="77"/>
      <c r="L498" s="77"/>
      <c r="M498" s="77"/>
      <c r="N498" s="80"/>
      <c r="O498" s="80"/>
    </row>
    <row r="499" ht="15.75" customHeight="1">
      <c r="A499" s="242"/>
      <c r="B499" s="225"/>
      <c r="C499" s="235"/>
      <c r="D499" s="236"/>
      <c r="E499" s="237"/>
      <c r="F499" s="238"/>
      <c r="G499" s="239"/>
      <c r="H499" s="240"/>
      <c r="I499" s="239"/>
      <c r="J499" s="148"/>
      <c r="K499" s="94"/>
      <c r="L499" s="94"/>
      <c r="M499" s="94"/>
      <c r="N499" s="112"/>
      <c r="O499" s="112"/>
    </row>
    <row r="500" ht="15.75" customHeight="1">
      <c r="A500" s="243"/>
      <c r="B500" s="211"/>
      <c r="C500" s="229"/>
      <c r="D500" s="230"/>
      <c r="E500" s="231"/>
      <c r="F500" s="232"/>
      <c r="G500" s="233"/>
      <c r="H500" s="234"/>
      <c r="I500" s="233"/>
      <c r="J500" s="173"/>
      <c r="K500" s="77"/>
      <c r="L500" s="77"/>
      <c r="M500" s="77"/>
      <c r="N500" s="80"/>
      <c r="O500" s="80"/>
    </row>
    <row r="501" ht="15.75" customHeight="1">
      <c r="A501" s="242"/>
      <c r="B501" s="225"/>
      <c r="C501" s="235"/>
      <c r="D501" s="236"/>
      <c r="E501" s="237"/>
      <c r="F501" s="238"/>
      <c r="G501" s="239"/>
      <c r="H501" s="240"/>
      <c r="I501" s="239"/>
      <c r="J501" s="148"/>
      <c r="K501" s="94"/>
      <c r="L501" s="94"/>
      <c r="M501" s="94"/>
      <c r="N501" s="112"/>
      <c r="O501" s="112"/>
    </row>
    <row r="502" ht="15.75" customHeight="1">
      <c r="A502" s="243"/>
      <c r="B502" s="211"/>
      <c r="C502" s="229"/>
      <c r="D502" s="230"/>
      <c r="E502" s="231"/>
      <c r="F502" s="232"/>
      <c r="G502" s="233"/>
      <c r="H502" s="234"/>
      <c r="I502" s="233"/>
      <c r="J502" s="173"/>
      <c r="K502" s="77"/>
      <c r="L502" s="77"/>
      <c r="M502" s="77"/>
      <c r="N502" s="80"/>
      <c r="O502" s="80"/>
    </row>
    <row r="503" ht="15.75" customHeight="1">
      <c r="A503" s="242"/>
      <c r="B503" s="225"/>
      <c r="C503" s="235"/>
      <c r="D503" s="236"/>
      <c r="E503" s="237"/>
      <c r="F503" s="238"/>
      <c r="G503" s="239"/>
      <c r="H503" s="240"/>
      <c r="I503" s="239"/>
      <c r="J503" s="148"/>
      <c r="K503" s="94"/>
      <c r="L503" s="94"/>
      <c r="M503" s="94"/>
      <c r="N503" s="112"/>
      <c r="O503" s="112"/>
    </row>
    <row r="504" ht="15.75" customHeight="1">
      <c r="A504" s="243"/>
      <c r="B504" s="211"/>
      <c r="C504" s="229"/>
      <c r="D504" s="230"/>
      <c r="E504" s="231"/>
      <c r="F504" s="232"/>
      <c r="G504" s="233"/>
      <c r="H504" s="234"/>
      <c r="I504" s="233"/>
      <c r="J504" s="173"/>
      <c r="K504" s="77"/>
      <c r="L504" s="77"/>
      <c r="M504" s="77"/>
      <c r="N504" s="80"/>
      <c r="O504" s="80"/>
    </row>
    <row r="505" ht="15.75" customHeight="1">
      <c r="A505" s="242"/>
      <c r="B505" s="225"/>
      <c r="C505" s="235"/>
      <c r="D505" s="236"/>
      <c r="E505" s="237"/>
      <c r="F505" s="238"/>
      <c r="G505" s="239"/>
      <c r="H505" s="240"/>
      <c r="I505" s="239"/>
      <c r="J505" s="148"/>
      <c r="K505" s="94"/>
      <c r="L505" s="94"/>
      <c r="M505" s="94"/>
      <c r="N505" s="112"/>
      <c r="O505" s="112"/>
    </row>
    <row r="506" ht="15.75" customHeight="1">
      <c r="A506" s="243"/>
      <c r="B506" s="211"/>
      <c r="C506" s="229"/>
      <c r="D506" s="230"/>
      <c r="E506" s="231"/>
      <c r="F506" s="232"/>
      <c r="G506" s="233"/>
      <c r="H506" s="234"/>
      <c r="I506" s="233"/>
      <c r="J506" s="173"/>
      <c r="K506" s="77"/>
      <c r="L506" s="77"/>
      <c r="M506" s="77"/>
      <c r="N506" s="80"/>
      <c r="O506" s="80"/>
    </row>
    <row r="507" ht="15.75" customHeight="1">
      <c r="A507" s="242"/>
      <c r="B507" s="225"/>
      <c r="C507" s="235"/>
      <c r="D507" s="236"/>
      <c r="E507" s="237"/>
      <c r="F507" s="238"/>
      <c r="G507" s="239"/>
      <c r="H507" s="240"/>
      <c r="I507" s="239"/>
      <c r="J507" s="148"/>
      <c r="K507" s="94"/>
      <c r="L507" s="94"/>
      <c r="M507" s="94"/>
      <c r="N507" s="112"/>
      <c r="O507" s="112"/>
    </row>
    <row r="508" ht="15.75" customHeight="1">
      <c r="A508" s="243"/>
      <c r="B508" s="211"/>
      <c r="C508" s="229"/>
      <c r="D508" s="230"/>
      <c r="E508" s="231"/>
      <c r="F508" s="232"/>
      <c r="G508" s="233"/>
      <c r="H508" s="234"/>
      <c r="I508" s="233"/>
      <c r="J508" s="173"/>
      <c r="K508" s="77"/>
      <c r="L508" s="77"/>
      <c r="M508" s="77"/>
      <c r="N508" s="80"/>
      <c r="O508" s="80"/>
    </row>
    <row r="509" ht="15.75" customHeight="1">
      <c r="A509" s="242"/>
      <c r="B509" s="225"/>
      <c r="C509" s="235"/>
      <c r="D509" s="236"/>
      <c r="E509" s="237"/>
      <c r="F509" s="238"/>
      <c r="G509" s="239"/>
      <c r="H509" s="240"/>
      <c r="I509" s="239"/>
      <c r="J509" s="148"/>
      <c r="K509" s="94"/>
      <c r="L509" s="94"/>
      <c r="M509" s="94"/>
      <c r="N509" s="112"/>
      <c r="O509" s="112"/>
    </row>
    <row r="510" ht="15.75" customHeight="1">
      <c r="A510" s="243"/>
      <c r="B510" s="211"/>
      <c r="C510" s="229"/>
      <c r="D510" s="230"/>
      <c r="E510" s="231"/>
      <c r="F510" s="232"/>
      <c r="G510" s="233"/>
      <c r="H510" s="234"/>
      <c r="I510" s="233"/>
      <c r="J510" s="173"/>
      <c r="K510" s="77"/>
      <c r="L510" s="77"/>
      <c r="M510" s="77"/>
      <c r="N510" s="80"/>
      <c r="O510" s="80"/>
    </row>
    <row r="511" ht="15.75" customHeight="1">
      <c r="A511" s="242"/>
      <c r="B511" s="225"/>
      <c r="C511" s="235"/>
      <c r="D511" s="236"/>
      <c r="E511" s="237"/>
      <c r="F511" s="238"/>
      <c r="G511" s="239"/>
      <c r="H511" s="240"/>
      <c r="I511" s="239"/>
      <c r="J511" s="148"/>
      <c r="K511" s="94"/>
      <c r="L511" s="94"/>
      <c r="M511" s="94"/>
      <c r="N511" s="112"/>
      <c r="O511" s="112"/>
    </row>
    <row r="512" ht="15.75" customHeight="1">
      <c r="A512" s="243"/>
      <c r="B512" s="211"/>
      <c r="C512" s="229"/>
      <c r="D512" s="230"/>
      <c r="E512" s="231"/>
      <c r="F512" s="232"/>
      <c r="G512" s="233"/>
      <c r="H512" s="234"/>
      <c r="I512" s="233"/>
      <c r="J512" s="173"/>
      <c r="K512" s="77"/>
      <c r="L512" s="77"/>
      <c r="M512" s="77"/>
      <c r="N512" s="80"/>
      <c r="O512" s="80"/>
    </row>
    <row r="513" ht="15.75" customHeight="1">
      <c r="A513" s="242"/>
      <c r="B513" s="225"/>
      <c r="C513" s="235"/>
      <c r="D513" s="236"/>
      <c r="E513" s="237"/>
      <c r="F513" s="238"/>
      <c r="G513" s="239"/>
      <c r="H513" s="240"/>
      <c r="I513" s="239"/>
      <c r="J513" s="148"/>
      <c r="K513" s="94"/>
      <c r="L513" s="94"/>
      <c r="M513" s="94"/>
      <c r="N513" s="112"/>
      <c r="O513" s="112"/>
    </row>
    <row r="514" ht="15.75" customHeight="1">
      <c r="A514" s="243"/>
      <c r="B514" s="211"/>
      <c r="C514" s="229"/>
      <c r="D514" s="230"/>
      <c r="E514" s="231"/>
      <c r="F514" s="232"/>
      <c r="G514" s="233"/>
      <c r="H514" s="234"/>
      <c r="I514" s="233"/>
      <c r="J514" s="173"/>
      <c r="K514" s="77"/>
      <c r="L514" s="77"/>
      <c r="M514" s="77"/>
      <c r="N514" s="80"/>
      <c r="O514" s="80"/>
    </row>
    <row r="515" ht="15.75" customHeight="1">
      <c r="A515" s="242"/>
      <c r="B515" s="225"/>
      <c r="C515" s="235"/>
      <c r="D515" s="236"/>
      <c r="E515" s="237"/>
      <c r="F515" s="238"/>
      <c r="G515" s="239"/>
      <c r="H515" s="240"/>
      <c r="I515" s="239"/>
      <c r="J515" s="148"/>
      <c r="K515" s="94"/>
      <c r="L515" s="94"/>
      <c r="M515" s="94"/>
      <c r="N515" s="112"/>
      <c r="O515" s="112"/>
    </row>
    <row r="516" ht="15.75" customHeight="1">
      <c r="A516" s="243"/>
      <c r="B516" s="211"/>
      <c r="C516" s="229"/>
      <c r="D516" s="230"/>
      <c r="E516" s="231"/>
      <c r="F516" s="232"/>
      <c r="G516" s="233"/>
      <c r="H516" s="234"/>
      <c r="I516" s="233"/>
      <c r="J516" s="173"/>
      <c r="K516" s="77"/>
      <c r="L516" s="77"/>
      <c r="M516" s="77"/>
      <c r="N516" s="80"/>
      <c r="O516" s="80"/>
    </row>
    <row r="517" ht="15.75" customHeight="1">
      <c r="A517" s="242"/>
      <c r="B517" s="225"/>
      <c r="C517" s="235"/>
      <c r="D517" s="236"/>
      <c r="E517" s="237"/>
      <c r="F517" s="238"/>
      <c r="G517" s="239"/>
      <c r="H517" s="240"/>
      <c r="I517" s="239"/>
      <c r="J517" s="148"/>
      <c r="K517" s="94"/>
      <c r="L517" s="94"/>
      <c r="M517" s="94"/>
      <c r="N517" s="112"/>
      <c r="O517" s="112"/>
    </row>
    <row r="518" ht="15.75" customHeight="1">
      <c r="A518" s="243"/>
      <c r="B518" s="211"/>
      <c r="C518" s="229"/>
      <c r="D518" s="230"/>
      <c r="E518" s="231"/>
      <c r="F518" s="232"/>
      <c r="G518" s="233"/>
      <c r="H518" s="234"/>
      <c r="I518" s="233"/>
      <c r="J518" s="173"/>
      <c r="K518" s="77"/>
      <c r="L518" s="77"/>
      <c r="M518" s="77"/>
      <c r="N518" s="80"/>
      <c r="O518" s="80"/>
    </row>
    <row r="519" ht="15.75" customHeight="1">
      <c r="A519" s="242"/>
      <c r="B519" s="225"/>
      <c r="C519" s="235"/>
      <c r="D519" s="236"/>
      <c r="E519" s="237"/>
      <c r="F519" s="238"/>
      <c r="G519" s="239"/>
      <c r="H519" s="240"/>
      <c r="I519" s="239"/>
      <c r="J519" s="148"/>
      <c r="K519" s="94"/>
      <c r="L519" s="94"/>
      <c r="M519" s="94"/>
      <c r="N519" s="112"/>
      <c r="O519" s="112"/>
    </row>
    <row r="520" ht="15.75" customHeight="1">
      <c r="A520" s="243"/>
      <c r="B520" s="211"/>
      <c r="C520" s="229"/>
      <c r="D520" s="230"/>
      <c r="E520" s="231"/>
      <c r="F520" s="232"/>
      <c r="G520" s="233"/>
      <c r="H520" s="234"/>
      <c r="I520" s="233"/>
      <c r="J520" s="173"/>
      <c r="K520" s="77"/>
      <c r="L520" s="77"/>
      <c r="M520" s="77"/>
      <c r="N520" s="80"/>
      <c r="O520" s="80"/>
    </row>
    <row r="521" ht="15.75" customHeight="1">
      <c r="A521" s="242"/>
      <c r="B521" s="225"/>
      <c r="C521" s="235"/>
      <c r="D521" s="236"/>
      <c r="E521" s="237"/>
      <c r="F521" s="238"/>
      <c r="G521" s="239"/>
      <c r="H521" s="240"/>
      <c r="I521" s="239"/>
      <c r="J521" s="148"/>
      <c r="K521" s="94"/>
      <c r="L521" s="94"/>
      <c r="M521" s="94"/>
      <c r="N521" s="112"/>
      <c r="O521" s="112"/>
    </row>
    <row r="522" ht="15.75" customHeight="1">
      <c r="A522" s="243"/>
      <c r="B522" s="211"/>
      <c r="C522" s="229"/>
      <c r="D522" s="230"/>
      <c r="E522" s="231"/>
      <c r="F522" s="232"/>
      <c r="G522" s="233"/>
      <c r="H522" s="234"/>
      <c r="I522" s="233"/>
      <c r="J522" s="173"/>
      <c r="K522" s="77"/>
      <c r="L522" s="77"/>
      <c r="M522" s="77"/>
      <c r="N522" s="80"/>
      <c r="O522" s="80"/>
    </row>
    <row r="523" ht="15.75" customHeight="1">
      <c r="A523" s="242"/>
      <c r="B523" s="225"/>
      <c r="C523" s="235"/>
      <c r="D523" s="236"/>
      <c r="E523" s="237"/>
      <c r="F523" s="238"/>
      <c r="G523" s="239"/>
      <c r="H523" s="240"/>
      <c r="I523" s="239"/>
      <c r="J523" s="148"/>
      <c r="K523" s="94"/>
      <c r="L523" s="94"/>
      <c r="M523" s="94"/>
      <c r="N523" s="112"/>
      <c r="O523" s="112"/>
    </row>
    <row r="524" ht="15.75" customHeight="1">
      <c r="A524" s="243"/>
      <c r="B524" s="211"/>
      <c r="C524" s="229"/>
      <c r="D524" s="230"/>
      <c r="E524" s="231"/>
      <c r="F524" s="232"/>
      <c r="G524" s="233"/>
      <c r="H524" s="234"/>
      <c r="I524" s="233"/>
      <c r="J524" s="173"/>
      <c r="K524" s="77"/>
      <c r="L524" s="77"/>
      <c r="M524" s="77"/>
      <c r="N524" s="80"/>
      <c r="O524" s="80"/>
    </row>
    <row r="525" ht="15.75" customHeight="1">
      <c r="A525" s="242"/>
      <c r="B525" s="225"/>
      <c r="C525" s="235"/>
      <c r="D525" s="236"/>
      <c r="E525" s="237"/>
      <c r="F525" s="238"/>
      <c r="G525" s="239"/>
      <c r="H525" s="240"/>
      <c r="I525" s="239"/>
      <c r="J525" s="148"/>
      <c r="K525" s="94"/>
      <c r="L525" s="94"/>
      <c r="M525" s="94"/>
      <c r="N525" s="112"/>
      <c r="O525" s="112"/>
    </row>
    <row r="526" ht="15.75" customHeight="1">
      <c r="A526" s="243"/>
      <c r="B526" s="211"/>
      <c r="C526" s="229"/>
      <c r="D526" s="230"/>
      <c r="E526" s="231"/>
      <c r="F526" s="232"/>
      <c r="G526" s="233"/>
      <c r="H526" s="234"/>
      <c r="I526" s="233"/>
      <c r="J526" s="173"/>
      <c r="K526" s="77"/>
      <c r="L526" s="77"/>
      <c r="M526" s="77"/>
      <c r="N526" s="80"/>
      <c r="O526" s="80"/>
    </row>
    <row r="527" ht="15.75" customHeight="1">
      <c r="A527" s="242"/>
      <c r="B527" s="225"/>
      <c r="C527" s="235"/>
      <c r="D527" s="236"/>
      <c r="E527" s="237"/>
      <c r="F527" s="238"/>
      <c r="G527" s="239"/>
      <c r="H527" s="240"/>
      <c r="I527" s="239"/>
      <c r="J527" s="148"/>
      <c r="K527" s="94"/>
      <c r="L527" s="94"/>
      <c r="M527" s="94"/>
      <c r="N527" s="112"/>
      <c r="O527" s="112"/>
    </row>
    <row r="528" ht="15.75" customHeight="1">
      <c r="A528" s="243"/>
      <c r="B528" s="211"/>
      <c r="C528" s="229"/>
      <c r="D528" s="230"/>
      <c r="E528" s="231"/>
      <c r="F528" s="232"/>
      <c r="G528" s="233"/>
      <c r="H528" s="234"/>
      <c r="I528" s="233"/>
      <c r="J528" s="173"/>
      <c r="K528" s="77"/>
      <c r="L528" s="77"/>
      <c r="M528" s="77"/>
      <c r="N528" s="80"/>
      <c r="O528" s="80"/>
    </row>
    <row r="529" ht="15.75" customHeight="1">
      <c r="A529" s="242"/>
      <c r="B529" s="225"/>
      <c r="C529" s="235"/>
      <c r="D529" s="236"/>
      <c r="E529" s="237"/>
      <c r="F529" s="238"/>
      <c r="G529" s="239"/>
      <c r="H529" s="240"/>
      <c r="I529" s="239"/>
      <c r="J529" s="148"/>
      <c r="K529" s="94"/>
      <c r="L529" s="94"/>
      <c r="M529" s="94"/>
      <c r="N529" s="112"/>
      <c r="O529" s="112"/>
    </row>
    <row r="530" ht="15.75" customHeight="1">
      <c r="A530" s="243"/>
      <c r="B530" s="211"/>
      <c r="C530" s="229"/>
      <c r="D530" s="230"/>
      <c r="E530" s="231"/>
      <c r="F530" s="232"/>
      <c r="G530" s="233"/>
      <c r="H530" s="234"/>
      <c r="I530" s="233"/>
      <c r="J530" s="173"/>
      <c r="K530" s="77"/>
      <c r="L530" s="77"/>
      <c r="M530" s="77"/>
      <c r="N530" s="80"/>
      <c r="O530" s="80"/>
    </row>
    <row r="531" ht="15.75" customHeight="1">
      <c r="A531" s="242"/>
      <c r="B531" s="225"/>
      <c r="C531" s="235"/>
      <c r="D531" s="236"/>
      <c r="E531" s="237"/>
      <c r="F531" s="238"/>
      <c r="G531" s="239"/>
      <c r="H531" s="240"/>
      <c r="I531" s="239"/>
      <c r="J531" s="148"/>
      <c r="K531" s="94"/>
      <c r="L531" s="94"/>
      <c r="M531" s="94"/>
      <c r="N531" s="112"/>
      <c r="O531" s="112"/>
    </row>
    <row r="532" ht="15.75" customHeight="1">
      <c r="A532" s="243"/>
      <c r="B532" s="211"/>
      <c r="C532" s="229"/>
      <c r="D532" s="230"/>
      <c r="E532" s="231"/>
      <c r="F532" s="232"/>
      <c r="G532" s="233"/>
      <c r="H532" s="234"/>
      <c r="I532" s="233"/>
      <c r="J532" s="173"/>
      <c r="K532" s="77"/>
      <c r="L532" s="77"/>
      <c r="M532" s="77"/>
      <c r="N532" s="80"/>
      <c r="O532" s="80"/>
    </row>
    <row r="533" ht="15.75" customHeight="1">
      <c r="A533" s="242"/>
      <c r="B533" s="225"/>
      <c r="C533" s="235"/>
      <c r="D533" s="236"/>
      <c r="E533" s="237"/>
      <c r="F533" s="238"/>
      <c r="G533" s="239"/>
      <c r="H533" s="240"/>
      <c r="I533" s="239"/>
      <c r="J533" s="148"/>
      <c r="K533" s="94"/>
      <c r="L533" s="94"/>
      <c r="M533" s="94"/>
      <c r="N533" s="112"/>
      <c r="O533" s="112"/>
    </row>
    <row r="534" ht="15.75" customHeight="1">
      <c r="A534" s="243"/>
      <c r="B534" s="211"/>
      <c r="C534" s="229"/>
      <c r="D534" s="230"/>
      <c r="E534" s="231"/>
      <c r="F534" s="232"/>
      <c r="G534" s="233"/>
      <c r="H534" s="234"/>
      <c r="I534" s="233"/>
      <c r="J534" s="173"/>
      <c r="K534" s="77"/>
      <c r="L534" s="77"/>
      <c r="M534" s="77"/>
      <c r="N534" s="80"/>
      <c r="O534" s="80"/>
    </row>
    <row r="535" ht="15.75" customHeight="1">
      <c r="A535" s="242"/>
      <c r="B535" s="225"/>
      <c r="C535" s="235"/>
      <c r="D535" s="236"/>
      <c r="E535" s="237"/>
      <c r="F535" s="238"/>
      <c r="G535" s="239"/>
      <c r="H535" s="240"/>
      <c r="I535" s="239"/>
      <c r="J535" s="148"/>
      <c r="K535" s="94"/>
      <c r="L535" s="94"/>
      <c r="M535" s="94"/>
      <c r="N535" s="112"/>
      <c r="O535" s="112"/>
    </row>
    <row r="536" ht="15.75" customHeight="1">
      <c r="A536" s="243"/>
      <c r="B536" s="211"/>
      <c r="C536" s="229"/>
      <c r="D536" s="230"/>
      <c r="E536" s="231"/>
      <c r="F536" s="232"/>
      <c r="G536" s="233"/>
      <c r="H536" s="234"/>
      <c r="I536" s="233"/>
      <c r="J536" s="173"/>
      <c r="K536" s="77"/>
      <c r="L536" s="77"/>
      <c r="M536" s="77"/>
      <c r="N536" s="80"/>
      <c r="O536" s="80"/>
    </row>
    <row r="537" ht="15.75" customHeight="1">
      <c r="A537" s="242"/>
      <c r="B537" s="225"/>
      <c r="C537" s="235"/>
      <c r="D537" s="236"/>
      <c r="E537" s="237"/>
      <c r="F537" s="238"/>
      <c r="G537" s="239"/>
      <c r="H537" s="240"/>
      <c r="I537" s="239"/>
      <c r="J537" s="148"/>
      <c r="K537" s="94"/>
      <c r="L537" s="94"/>
      <c r="M537" s="94"/>
      <c r="N537" s="112"/>
      <c r="O537" s="112"/>
    </row>
    <row r="538" ht="15.75" customHeight="1">
      <c r="A538" s="243"/>
      <c r="B538" s="211"/>
      <c r="C538" s="229"/>
      <c r="D538" s="230"/>
      <c r="E538" s="231"/>
      <c r="F538" s="232"/>
      <c r="G538" s="233"/>
      <c r="H538" s="234"/>
      <c r="I538" s="233"/>
      <c r="J538" s="173"/>
      <c r="K538" s="77"/>
      <c r="L538" s="77"/>
      <c r="M538" s="77"/>
      <c r="N538" s="80"/>
      <c r="O538" s="80"/>
    </row>
    <row r="539" ht="15.75" customHeight="1">
      <c r="A539" s="242"/>
      <c r="B539" s="225"/>
      <c r="C539" s="235"/>
      <c r="D539" s="236"/>
      <c r="E539" s="237"/>
      <c r="F539" s="238"/>
      <c r="G539" s="239"/>
      <c r="H539" s="240"/>
      <c r="I539" s="239"/>
      <c r="J539" s="148"/>
      <c r="K539" s="94"/>
      <c r="L539" s="94"/>
      <c r="M539" s="94"/>
      <c r="N539" s="112"/>
      <c r="O539" s="112"/>
    </row>
    <row r="540" ht="15.75" customHeight="1">
      <c r="A540" s="243"/>
      <c r="B540" s="211"/>
      <c r="C540" s="229"/>
      <c r="D540" s="230"/>
      <c r="E540" s="231"/>
      <c r="F540" s="232"/>
      <c r="G540" s="233"/>
      <c r="H540" s="234"/>
      <c r="I540" s="233"/>
      <c r="J540" s="173"/>
      <c r="K540" s="77"/>
      <c r="L540" s="77"/>
      <c r="M540" s="77"/>
      <c r="N540" s="80"/>
      <c r="O540" s="80"/>
    </row>
    <row r="541" ht="15.75" customHeight="1">
      <c r="A541" s="242"/>
      <c r="B541" s="225"/>
      <c r="C541" s="235"/>
      <c r="D541" s="236"/>
      <c r="E541" s="237"/>
      <c r="F541" s="238"/>
      <c r="G541" s="239"/>
      <c r="H541" s="240"/>
      <c r="I541" s="239"/>
      <c r="J541" s="148"/>
      <c r="K541" s="94"/>
      <c r="L541" s="94"/>
      <c r="M541" s="94"/>
      <c r="N541" s="112"/>
      <c r="O541" s="112"/>
    </row>
    <row r="542" ht="15.75" customHeight="1">
      <c r="A542" s="243"/>
      <c r="B542" s="211"/>
      <c r="C542" s="229"/>
      <c r="D542" s="230"/>
      <c r="E542" s="231"/>
      <c r="F542" s="232"/>
      <c r="G542" s="233"/>
      <c r="H542" s="234"/>
      <c r="I542" s="233"/>
      <c r="J542" s="173"/>
      <c r="K542" s="77"/>
      <c r="L542" s="77"/>
      <c r="M542" s="77"/>
      <c r="N542" s="80"/>
      <c r="O542" s="80"/>
    </row>
    <row r="543" ht="15.75" customHeight="1">
      <c r="A543" s="242"/>
      <c r="B543" s="225"/>
      <c r="C543" s="235"/>
      <c r="D543" s="236"/>
      <c r="E543" s="237"/>
      <c r="F543" s="238"/>
      <c r="G543" s="239"/>
      <c r="H543" s="240"/>
      <c r="I543" s="239"/>
      <c r="J543" s="148"/>
      <c r="K543" s="94"/>
      <c r="L543" s="94"/>
      <c r="M543" s="94"/>
      <c r="N543" s="112"/>
      <c r="O543" s="112"/>
    </row>
    <row r="544" ht="15.75" customHeight="1">
      <c r="A544" s="243"/>
      <c r="B544" s="211"/>
      <c r="C544" s="229"/>
      <c r="D544" s="230"/>
      <c r="E544" s="231"/>
      <c r="F544" s="232"/>
      <c r="G544" s="233"/>
      <c r="H544" s="234"/>
      <c r="I544" s="233"/>
      <c r="J544" s="173"/>
      <c r="K544" s="77"/>
      <c r="L544" s="77"/>
      <c r="M544" s="77"/>
      <c r="N544" s="80"/>
      <c r="O544" s="80"/>
    </row>
    <row r="545" ht="15.75" customHeight="1">
      <c r="A545" s="242"/>
      <c r="B545" s="225"/>
      <c r="C545" s="235"/>
      <c r="D545" s="236"/>
      <c r="E545" s="237"/>
      <c r="F545" s="238"/>
      <c r="G545" s="239"/>
      <c r="H545" s="240"/>
      <c r="I545" s="239"/>
      <c r="J545" s="148"/>
      <c r="K545" s="94"/>
      <c r="L545" s="94"/>
      <c r="M545" s="94"/>
      <c r="N545" s="112"/>
      <c r="O545" s="112"/>
    </row>
    <row r="546" ht="15.75" customHeight="1">
      <c r="A546" s="243"/>
      <c r="B546" s="211"/>
      <c r="C546" s="229"/>
      <c r="D546" s="230"/>
      <c r="E546" s="231"/>
      <c r="F546" s="232"/>
      <c r="G546" s="233"/>
      <c r="H546" s="234"/>
      <c r="I546" s="233"/>
      <c r="J546" s="173"/>
      <c r="K546" s="77"/>
      <c r="L546" s="77"/>
      <c r="M546" s="77"/>
      <c r="N546" s="80"/>
      <c r="O546" s="80"/>
    </row>
    <row r="547" ht="15.75" customHeight="1">
      <c r="A547" s="242"/>
      <c r="B547" s="225"/>
      <c r="C547" s="235"/>
      <c r="D547" s="236"/>
      <c r="E547" s="237"/>
      <c r="F547" s="238"/>
      <c r="G547" s="239"/>
      <c r="H547" s="240"/>
      <c r="I547" s="239"/>
      <c r="J547" s="148"/>
      <c r="K547" s="94"/>
      <c r="L547" s="94"/>
      <c r="M547" s="94"/>
      <c r="N547" s="112"/>
      <c r="O547" s="112"/>
    </row>
    <row r="548" ht="15.75" customHeight="1">
      <c r="A548" s="243"/>
      <c r="B548" s="211"/>
      <c r="C548" s="229"/>
      <c r="D548" s="230"/>
      <c r="E548" s="231"/>
      <c r="F548" s="232"/>
      <c r="G548" s="233"/>
      <c r="H548" s="234"/>
      <c r="I548" s="233"/>
      <c r="J548" s="173"/>
      <c r="K548" s="77"/>
      <c r="L548" s="77"/>
      <c r="M548" s="77"/>
      <c r="N548" s="80"/>
      <c r="O548" s="80"/>
    </row>
    <row r="549" ht="15.75" customHeight="1">
      <c r="A549" s="242"/>
      <c r="B549" s="225"/>
      <c r="C549" s="235"/>
      <c r="D549" s="236"/>
      <c r="E549" s="237"/>
      <c r="F549" s="238"/>
      <c r="G549" s="239"/>
      <c r="H549" s="240"/>
      <c r="I549" s="239"/>
      <c r="J549" s="148"/>
      <c r="K549" s="94"/>
      <c r="L549" s="94"/>
      <c r="M549" s="94"/>
      <c r="N549" s="112"/>
      <c r="O549" s="112"/>
    </row>
    <row r="550" ht="15.75" customHeight="1">
      <c r="A550" s="243"/>
      <c r="B550" s="211"/>
      <c r="C550" s="229"/>
      <c r="D550" s="230"/>
      <c r="E550" s="231"/>
      <c r="F550" s="232"/>
      <c r="G550" s="233"/>
      <c r="H550" s="234"/>
      <c r="I550" s="233"/>
      <c r="J550" s="173"/>
      <c r="K550" s="77"/>
      <c r="L550" s="77"/>
      <c r="M550" s="77"/>
      <c r="N550" s="80"/>
      <c r="O550" s="80"/>
    </row>
    <row r="551" ht="15.75" customHeight="1">
      <c r="A551" s="242"/>
      <c r="B551" s="225"/>
      <c r="C551" s="235"/>
      <c r="D551" s="236"/>
      <c r="E551" s="237"/>
      <c r="F551" s="238"/>
      <c r="G551" s="239"/>
      <c r="H551" s="240"/>
      <c r="I551" s="239"/>
      <c r="J551" s="148"/>
      <c r="K551" s="94"/>
      <c r="L551" s="94"/>
      <c r="M551" s="94"/>
      <c r="N551" s="112"/>
      <c r="O551" s="112"/>
    </row>
    <row r="552" ht="15.75" customHeight="1">
      <c r="A552" s="243"/>
      <c r="B552" s="211"/>
      <c r="C552" s="229"/>
      <c r="D552" s="230"/>
      <c r="E552" s="231"/>
      <c r="F552" s="232"/>
      <c r="G552" s="233"/>
      <c r="H552" s="234"/>
      <c r="I552" s="233"/>
      <c r="J552" s="173"/>
      <c r="K552" s="77"/>
      <c r="L552" s="77"/>
      <c r="M552" s="77"/>
      <c r="N552" s="80"/>
      <c r="O552" s="80"/>
    </row>
    <row r="553" ht="15.75" customHeight="1">
      <c r="A553" s="242"/>
      <c r="B553" s="225"/>
      <c r="C553" s="235"/>
      <c r="D553" s="236"/>
      <c r="E553" s="237"/>
      <c r="F553" s="238"/>
      <c r="G553" s="239"/>
      <c r="H553" s="240"/>
      <c r="I553" s="239"/>
      <c r="J553" s="148"/>
      <c r="K553" s="94"/>
      <c r="L553" s="94"/>
      <c r="M553" s="94"/>
      <c r="N553" s="112"/>
      <c r="O553" s="112"/>
    </row>
    <row r="554" ht="15.75" customHeight="1">
      <c r="A554" s="243"/>
      <c r="B554" s="211"/>
      <c r="C554" s="229"/>
      <c r="D554" s="230"/>
      <c r="E554" s="231"/>
      <c r="F554" s="232"/>
      <c r="G554" s="233"/>
      <c r="H554" s="234"/>
      <c r="I554" s="233"/>
      <c r="J554" s="173"/>
      <c r="K554" s="77"/>
      <c r="L554" s="77"/>
      <c r="M554" s="77"/>
      <c r="N554" s="80"/>
      <c r="O554" s="80"/>
    </row>
    <row r="555" ht="15.75" customHeight="1">
      <c r="A555" s="242"/>
      <c r="B555" s="225"/>
      <c r="C555" s="235"/>
      <c r="D555" s="236"/>
      <c r="E555" s="237"/>
      <c r="F555" s="238"/>
      <c r="G555" s="239"/>
      <c r="H555" s="240"/>
      <c r="I555" s="239"/>
      <c r="J555" s="148"/>
      <c r="K555" s="94"/>
      <c r="L555" s="94"/>
      <c r="M555" s="94"/>
      <c r="N555" s="112"/>
      <c r="O555" s="112"/>
    </row>
    <row r="556" ht="15.75" customHeight="1">
      <c r="A556" s="243"/>
      <c r="B556" s="211"/>
      <c r="C556" s="229"/>
      <c r="D556" s="230"/>
      <c r="E556" s="231"/>
      <c r="F556" s="232"/>
      <c r="G556" s="233"/>
      <c r="H556" s="234"/>
      <c r="I556" s="233"/>
      <c r="J556" s="173"/>
      <c r="K556" s="77"/>
      <c r="L556" s="77"/>
      <c r="M556" s="77"/>
      <c r="N556" s="80"/>
      <c r="O556" s="80"/>
    </row>
    <row r="557" ht="15.75" customHeight="1">
      <c r="A557" s="242"/>
      <c r="B557" s="225"/>
      <c r="C557" s="235"/>
      <c r="D557" s="236"/>
      <c r="E557" s="237"/>
      <c r="F557" s="238"/>
      <c r="G557" s="239"/>
      <c r="H557" s="240"/>
      <c r="I557" s="239"/>
      <c r="J557" s="148"/>
      <c r="K557" s="94"/>
      <c r="L557" s="94"/>
      <c r="M557" s="94"/>
      <c r="N557" s="112"/>
      <c r="O557" s="112"/>
    </row>
    <row r="558" ht="15.75" customHeight="1">
      <c r="A558" s="243"/>
      <c r="B558" s="211"/>
      <c r="C558" s="229"/>
      <c r="D558" s="230"/>
      <c r="E558" s="231"/>
      <c r="F558" s="232"/>
      <c r="G558" s="233"/>
      <c r="H558" s="234"/>
      <c r="I558" s="233"/>
      <c r="J558" s="173"/>
      <c r="K558" s="77"/>
      <c r="L558" s="77"/>
      <c r="M558" s="77"/>
      <c r="N558" s="80"/>
      <c r="O558" s="80"/>
    </row>
    <row r="559" ht="15.75" customHeight="1">
      <c r="A559" s="242"/>
      <c r="B559" s="225"/>
      <c r="C559" s="235"/>
      <c r="D559" s="236"/>
      <c r="E559" s="237"/>
      <c r="F559" s="238"/>
      <c r="G559" s="239"/>
      <c r="H559" s="240"/>
      <c r="I559" s="239"/>
      <c r="J559" s="148"/>
      <c r="K559" s="94"/>
      <c r="L559" s="94"/>
      <c r="M559" s="94"/>
      <c r="N559" s="112"/>
      <c r="O559" s="112"/>
    </row>
    <row r="560" ht="15.75" customHeight="1">
      <c r="A560" s="243"/>
      <c r="B560" s="211"/>
      <c r="C560" s="229"/>
      <c r="D560" s="230"/>
      <c r="E560" s="231"/>
      <c r="F560" s="232"/>
      <c r="G560" s="233"/>
      <c r="H560" s="234"/>
      <c r="I560" s="233"/>
      <c r="J560" s="173"/>
      <c r="K560" s="77"/>
      <c r="L560" s="77"/>
      <c r="M560" s="77"/>
      <c r="N560" s="80"/>
      <c r="O560" s="80"/>
    </row>
    <row r="561" ht="15.75" customHeight="1">
      <c r="A561" s="242"/>
      <c r="B561" s="225"/>
      <c r="C561" s="235"/>
      <c r="D561" s="236"/>
      <c r="E561" s="237"/>
      <c r="F561" s="238"/>
      <c r="G561" s="239"/>
      <c r="H561" s="240"/>
      <c r="I561" s="239"/>
      <c r="J561" s="148"/>
      <c r="K561" s="94"/>
      <c r="L561" s="94"/>
      <c r="M561" s="94"/>
      <c r="N561" s="112"/>
      <c r="O561" s="112"/>
    </row>
    <row r="562" ht="15.75" customHeight="1">
      <c r="A562" s="243"/>
      <c r="B562" s="211"/>
      <c r="C562" s="229"/>
      <c r="D562" s="230"/>
      <c r="E562" s="231"/>
      <c r="F562" s="232"/>
      <c r="G562" s="233"/>
      <c r="H562" s="234"/>
      <c r="I562" s="233"/>
      <c r="J562" s="173"/>
      <c r="K562" s="77"/>
      <c r="L562" s="77"/>
      <c r="M562" s="77"/>
      <c r="N562" s="80"/>
      <c r="O562" s="80"/>
    </row>
    <row r="563" ht="15.75" customHeight="1">
      <c r="A563" s="242"/>
      <c r="B563" s="225"/>
      <c r="C563" s="235"/>
      <c r="D563" s="236"/>
      <c r="E563" s="237"/>
      <c r="F563" s="238"/>
      <c r="G563" s="239"/>
      <c r="H563" s="240"/>
      <c r="I563" s="239"/>
      <c r="J563" s="148"/>
      <c r="K563" s="94"/>
      <c r="L563" s="94"/>
      <c r="M563" s="94"/>
      <c r="N563" s="112"/>
      <c r="O563" s="112"/>
    </row>
    <row r="564" ht="15.75" customHeight="1">
      <c r="A564" s="243"/>
      <c r="B564" s="211"/>
      <c r="C564" s="229"/>
      <c r="D564" s="230"/>
      <c r="E564" s="231"/>
      <c r="F564" s="232"/>
      <c r="G564" s="233"/>
      <c r="H564" s="234"/>
      <c r="I564" s="233"/>
      <c r="J564" s="173"/>
      <c r="K564" s="77"/>
      <c r="L564" s="77"/>
      <c r="M564" s="77"/>
      <c r="N564" s="80"/>
      <c r="O564" s="80"/>
    </row>
    <row r="565" ht="15.75" customHeight="1">
      <c r="A565" s="242"/>
      <c r="B565" s="225"/>
      <c r="C565" s="235"/>
      <c r="D565" s="236"/>
      <c r="E565" s="237"/>
      <c r="F565" s="238"/>
      <c r="G565" s="239"/>
      <c r="H565" s="240"/>
      <c r="I565" s="239"/>
      <c r="J565" s="148"/>
      <c r="K565" s="94"/>
      <c r="L565" s="94"/>
      <c r="M565" s="94"/>
      <c r="N565" s="112"/>
      <c r="O565" s="112"/>
    </row>
    <row r="566" ht="15.75" customHeight="1">
      <c r="A566" s="243"/>
      <c r="B566" s="211"/>
      <c r="C566" s="229"/>
      <c r="D566" s="230"/>
      <c r="E566" s="231"/>
      <c r="F566" s="232"/>
      <c r="G566" s="233"/>
      <c r="H566" s="234"/>
      <c r="I566" s="233"/>
      <c r="J566" s="173"/>
      <c r="K566" s="77"/>
      <c r="L566" s="77"/>
      <c r="M566" s="77"/>
      <c r="N566" s="80"/>
      <c r="O566" s="80"/>
    </row>
    <row r="567" ht="15.75" customHeight="1">
      <c r="A567" s="242"/>
      <c r="B567" s="225"/>
      <c r="C567" s="235"/>
      <c r="D567" s="236"/>
      <c r="E567" s="237"/>
      <c r="F567" s="238"/>
      <c r="G567" s="239"/>
      <c r="H567" s="240"/>
      <c r="I567" s="239"/>
      <c r="J567" s="148"/>
      <c r="K567" s="94"/>
      <c r="L567" s="94"/>
      <c r="M567" s="94"/>
      <c r="N567" s="112"/>
      <c r="O567" s="112"/>
    </row>
    <row r="568" ht="15.75" customHeight="1">
      <c r="A568" s="243"/>
      <c r="B568" s="211"/>
      <c r="C568" s="229"/>
      <c r="D568" s="230"/>
      <c r="E568" s="231"/>
      <c r="F568" s="232"/>
      <c r="G568" s="233"/>
      <c r="H568" s="234"/>
      <c r="I568" s="233"/>
      <c r="J568" s="173"/>
      <c r="K568" s="77"/>
      <c r="L568" s="77"/>
      <c r="M568" s="77"/>
      <c r="N568" s="80"/>
      <c r="O568" s="80"/>
    </row>
    <row r="569" ht="15.75" customHeight="1">
      <c r="A569" s="242"/>
      <c r="B569" s="225"/>
      <c r="C569" s="235"/>
      <c r="D569" s="236"/>
      <c r="E569" s="237"/>
      <c r="F569" s="238"/>
      <c r="G569" s="239"/>
      <c r="H569" s="240"/>
      <c r="I569" s="239"/>
      <c r="J569" s="148"/>
      <c r="K569" s="94"/>
      <c r="L569" s="94"/>
      <c r="M569" s="94"/>
      <c r="N569" s="112"/>
      <c r="O569" s="112"/>
    </row>
    <row r="570" ht="15.75" customHeight="1">
      <c r="A570" s="243"/>
      <c r="B570" s="211"/>
      <c r="C570" s="229"/>
      <c r="D570" s="230"/>
      <c r="E570" s="231"/>
      <c r="F570" s="232"/>
      <c r="G570" s="233"/>
      <c r="H570" s="234"/>
      <c r="I570" s="233"/>
      <c r="J570" s="173"/>
      <c r="K570" s="77"/>
      <c r="L570" s="77"/>
      <c r="M570" s="77"/>
      <c r="N570" s="80"/>
      <c r="O570" s="80"/>
    </row>
    <row r="571" ht="15.75" customHeight="1">
      <c r="A571" s="242"/>
      <c r="B571" s="225"/>
      <c r="C571" s="235"/>
      <c r="D571" s="236"/>
      <c r="E571" s="237"/>
      <c r="F571" s="238"/>
      <c r="G571" s="239"/>
      <c r="H571" s="240"/>
      <c r="I571" s="239"/>
      <c r="J571" s="148"/>
      <c r="K571" s="94"/>
      <c r="L571" s="94"/>
      <c r="M571" s="94"/>
      <c r="N571" s="112"/>
      <c r="O571" s="112"/>
    </row>
    <row r="572" ht="15.75" customHeight="1">
      <c r="A572" s="243"/>
      <c r="B572" s="211"/>
      <c r="C572" s="229"/>
      <c r="D572" s="230"/>
      <c r="E572" s="231"/>
      <c r="F572" s="232"/>
      <c r="G572" s="233"/>
      <c r="H572" s="234"/>
      <c r="I572" s="233"/>
      <c r="J572" s="173"/>
      <c r="K572" s="77"/>
      <c r="L572" s="77"/>
      <c r="M572" s="77"/>
      <c r="N572" s="80"/>
      <c r="O572" s="80"/>
    </row>
    <row r="573" ht="15.75" customHeight="1">
      <c r="A573" s="242"/>
      <c r="B573" s="225"/>
      <c r="C573" s="235"/>
      <c r="D573" s="236"/>
      <c r="E573" s="237"/>
      <c r="F573" s="238"/>
      <c r="G573" s="239"/>
      <c r="H573" s="240"/>
      <c r="I573" s="239"/>
      <c r="J573" s="148"/>
      <c r="K573" s="94"/>
      <c r="L573" s="94"/>
      <c r="M573" s="94"/>
      <c r="N573" s="112"/>
      <c r="O573" s="112"/>
    </row>
    <row r="574" ht="15.75" customHeight="1">
      <c r="A574" s="243"/>
      <c r="B574" s="211"/>
      <c r="C574" s="229"/>
      <c r="D574" s="230"/>
      <c r="E574" s="231"/>
      <c r="F574" s="232"/>
      <c r="G574" s="233"/>
      <c r="H574" s="234"/>
      <c r="I574" s="233"/>
      <c r="J574" s="173"/>
      <c r="K574" s="77"/>
      <c r="L574" s="77"/>
      <c r="M574" s="77"/>
      <c r="N574" s="80"/>
      <c r="O574" s="80"/>
    </row>
    <row r="575" ht="15.75" customHeight="1">
      <c r="A575" s="242"/>
      <c r="B575" s="225"/>
      <c r="C575" s="235"/>
      <c r="D575" s="236"/>
      <c r="E575" s="237"/>
      <c r="F575" s="238"/>
      <c r="G575" s="239"/>
      <c r="H575" s="240"/>
      <c r="I575" s="239"/>
      <c r="J575" s="148"/>
      <c r="K575" s="94"/>
      <c r="L575" s="94"/>
      <c r="M575" s="94"/>
      <c r="N575" s="112"/>
      <c r="O575" s="112"/>
    </row>
    <row r="576" ht="15.75" customHeight="1">
      <c r="A576" s="243"/>
      <c r="B576" s="211"/>
      <c r="C576" s="229"/>
      <c r="D576" s="230"/>
      <c r="E576" s="231"/>
      <c r="F576" s="232"/>
      <c r="G576" s="233"/>
      <c r="H576" s="234"/>
      <c r="I576" s="233"/>
      <c r="J576" s="173"/>
      <c r="K576" s="77"/>
      <c r="L576" s="77"/>
      <c r="M576" s="77"/>
      <c r="N576" s="80"/>
      <c r="O576" s="80"/>
    </row>
    <row r="577" ht="15.75" customHeight="1">
      <c r="A577" s="242"/>
      <c r="B577" s="225"/>
      <c r="C577" s="235"/>
      <c r="D577" s="236"/>
      <c r="E577" s="237"/>
      <c r="F577" s="238"/>
      <c r="G577" s="239"/>
      <c r="H577" s="240"/>
      <c r="I577" s="239"/>
      <c r="J577" s="148"/>
      <c r="K577" s="94"/>
      <c r="L577" s="94"/>
      <c r="M577" s="94"/>
      <c r="N577" s="112"/>
      <c r="O577" s="112"/>
    </row>
    <row r="578" ht="15.75" customHeight="1">
      <c r="A578" s="243"/>
      <c r="B578" s="211"/>
      <c r="C578" s="229"/>
      <c r="D578" s="230"/>
      <c r="E578" s="231"/>
      <c r="F578" s="232"/>
      <c r="G578" s="233"/>
      <c r="H578" s="234"/>
      <c r="I578" s="233"/>
      <c r="J578" s="173"/>
      <c r="K578" s="77"/>
      <c r="L578" s="77"/>
      <c r="M578" s="77"/>
      <c r="N578" s="80"/>
      <c r="O578" s="80"/>
    </row>
    <row r="579" ht="15.75" customHeight="1">
      <c r="A579" s="242"/>
      <c r="B579" s="225"/>
      <c r="C579" s="235"/>
      <c r="D579" s="236"/>
      <c r="E579" s="237"/>
      <c r="F579" s="238"/>
      <c r="G579" s="239"/>
      <c r="H579" s="240"/>
      <c r="I579" s="239"/>
      <c r="J579" s="148"/>
      <c r="K579" s="94"/>
      <c r="L579" s="94"/>
      <c r="M579" s="94"/>
      <c r="N579" s="112"/>
      <c r="O579" s="112"/>
    </row>
    <row r="580" ht="15.75" customHeight="1">
      <c r="A580" s="243"/>
      <c r="B580" s="211"/>
      <c r="C580" s="229"/>
      <c r="D580" s="230"/>
      <c r="E580" s="231"/>
      <c r="F580" s="232"/>
      <c r="G580" s="233"/>
      <c r="H580" s="234"/>
      <c r="I580" s="233"/>
      <c r="J580" s="173"/>
      <c r="K580" s="77"/>
      <c r="L580" s="77"/>
      <c r="M580" s="77"/>
      <c r="N580" s="80"/>
      <c r="O580" s="80"/>
    </row>
    <row r="581" ht="15.75" customHeight="1">
      <c r="A581" s="242"/>
      <c r="B581" s="225"/>
      <c r="C581" s="235"/>
      <c r="D581" s="236"/>
      <c r="E581" s="237"/>
      <c r="F581" s="238"/>
      <c r="G581" s="239"/>
      <c r="H581" s="240"/>
      <c r="I581" s="239"/>
      <c r="J581" s="148"/>
      <c r="K581" s="94"/>
      <c r="L581" s="94"/>
      <c r="M581" s="94"/>
      <c r="N581" s="112"/>
      <c r="O581" s="112"/>
    </row>
    <row r="582" ht="15.75" customHeight="1">
      <c r="A582" s="243"/>
      <c r="B582" s="211"/>
      <c r="C582" s="229"/>
      <c r="D582" s="230"/>
      <c r="E582" s="231"/>
      <c r="F582" s="232"/>
      <c r="G582" s="233"/>
      <c r="H582" s="234"/>
      <c r="I582" s="233"/>
      <c r="J582" s="173"/>
      <c r="K582" s="77"/>
      <c r="L582" s="77"/>
      <c r="M582" s="77"/>
      <c r="N582" s="80"/>
      <c r="O582" s="80"/>
    </row>
    <row r="583" ht="15.75" customHeight="1">
      <c r="A583" s="242"/>
      <c r="B583" s="225"/>
      <c r="C583" s="235"/>
      <c r="D583" s="236"/>
      <c r="E583" s="237"/>
      <c r="F583" s="238"/>
      <c r="G583" s="239"/>
      <c r="H583" s="240"/>
      <c r="I583" s="239"/>
      <c r="J583" s="148"/>
      <c r="K583" s="94"/>
      <c r="L583" s="94"/>
      <c r="M583" s="94"/>
      <c r="N583" s="112"/>
      <c r="O583" s="112"/>
    </row>
    <row r="584" ht="15.75" customHeight="1">
      <c r="A584" s="243"/>
      <c r="B584" s="211"/>
      <c r="C584" s="229"/>
      <c r="D584" s="230"/>
      <c r="E584" s="231"/>
      <c r="F584" s="232"/>
      <c r="G584" s="233"/>
      <c r="H584" s="234"/>
      <c r="I584" s="233"/>
      <c r="J584" s="173"/>
      <c r="K584" s="77"/>
      <c r="L584" s="77"/>
      <c r="M584" s="77"/>
      <c r="N584" s="80"/>
      <c r="O584" s="80"/>
    </row>
    <row r="585" ht="15.75" customHeight="1">
      <c r="A585" s="242"/>
      <c r="B585" s="225"/>
      <c r="C585" s="235"/>
      <c r="D585" s="236"/>
      <c r="E585" s="237"/>
      <c r="F585" s="238"/>
      <c r="G585" s="239"/>
      <c r="H585" s="240"/>
      <c r="I585" s="239"/>
      <c r="J585" s="148"/>
      <c r="K585" s="94"/>
      <c r="L585" s="94"/>
      <c r="M585" s="94"/>
      <c r="N585" s="112"/>
      <c r="O585" s="112"/>
    </row>
    <row r="586" ht="15.75" customHeight="1">
      <c r="A586" s="243"/>
      <c r="B586" s="211"/>
      <c r="C586" s="229"/>
      <c r="D586" s="230"/>
      <c r="E586" s="231"/>
      <c r="F586" s="232"/>
      <c r="G586" s="233"/>
      <c r="H586" s="234"/>
      <c r="I586" s="233"/>
      <c r="J586" s="173"/>
      <c r="K586" s="77"/>
      <c r="L586" s="77"/>
      <c r="M586" s="77"/>
      <c r="N586" s="80"/>
      <c r="O586" s="80"/>
    </row>
    <row r="587" ht="15.75" customHeight="1">
      <c r="A587" s="242"/>
      <c r="B587" s="225"/>
      <c r="C587" s="235"/>
      <c r="D587" s="236"/>
      <c r="E587" s="237"/>
      <c r="F587" s="238"/>
      <c r="G587" s="239"/>
      <c r="H587" s="240"/>
      <c r="I587" s="239"/>
      <c r="J587" s="148"/>
      <c r="K587" s="94"/>
      <c r="L587" s="94"/>
      <c r="M587" s="94"/>
      <c r="N587" s="112"/>
      <c r="O587" s="112"/>
    </row>
    <row r="588" ht="15.75" customHeight="1">
      <c r="A588" s="243"/>
      <c r="B588" s="211"/>
      <c r="C588" s="229"/>
      <c r="D588" s="230"/>
      <c r="E588" s="231"/>
      <c r="F588" s="232"/>
      <c r="G588" s="233"/>
      <c r="H588" s="234"/>
      <c r="I588" s="233"/>
      <c r="J588" s="173"/>
      <c r="K588" s="77"/>
      <c r="L588" s="77"/>
      <c r="M588" s="77"/>
      <c r="N588" s="80"/>
      <c r="O588" s="80"/>
    </row>
    <row r="589" ht="15.75" customHeight="1">
      <c r="A589" s="242"/>
      <c r="B589" s="225"/>
      <c r="C589" s="235"/>
      <c r="D589" s="236"/>
      <c r="E589" s="237"/>
      <c r="F589" s="238"/>
      <c r="G589" s="239"/>
      <c r="H589" s="240"/>
      <c r="I589" s="239"/>
      <c r="J589" s="148"/>
      <c r="K589" s="94"/>
      <c r="L589" s="94"/>
      <c r="M589" s="94"/>
      <c r="N589" s="112"/>
      <c r="O589" s="112"/>
    </row>
    <row r="590" ht="15.75" customHeight="1">
      <c r="A590" s="243"/>
      <c r="B590" s="211"/>
      <c r="C590" s="229"/>
      <c r="D590" s="230"/>
      <c r="E590" s="231"/>
      <c r="F590" s="232"/>
      <c r="G590" s="233"/>
      <c r="H590" s="234"/>
      <c r="I590" s="233"/>
      <c r="J590" s="173"/>
      <c r="K590" s="77"/>
      <c r="L590" s="77"/>
      <c r="M590" s="77"/>
      <c r="N590" s="80"/>
      <c r="O590" s="80"/>
    </row>
    <row r="591" ht="15.75" customHeight="1">
      <c r="A591" s="242"/>
      <c r="B591" s="225"/>
      <c r="C591" s="235"/>
      <c r="D591" s="236"/>
      <c r="E591" s="237"/>
      <c r="F591" s="238"/>
      <c r="G591" s="239"/>
      <c r="H591" s="240"/>
      <c r="I591" s="239"/>
      <c r="J591" s="148"/>
      <c r="K591" s="94"/>
      <c r="L591" s="94"/>
      <c r="M591" s="94"/>
      <c r="N591" s="112"/>
      <c r="O591" s="112"/>
    </row>
    <row r="592" ht="15.75" customHeight="1">
      <c r="A592" s="243"/>
      <c r="B592" s="211"/>
      <c r="C592" s="229"/>
      <c r="D592" s="230"/>
      <c r="E592" s="231"/>
      <c r="F592" s="232"/>
      <c r="G592" s="233"/>
      <c r="H592" s="234"/>
      <c r="I592" s="233"/>
      <c r="J592" s="173"/>
      <c r="K592" s="77"/>
      <c r="L592" s="77"/>
      <c r="M592" s="77"/>
      <c r="N592" s="80"/>
      <c r="O592" s="80"/>
    </row>
    <row r="593" ht="15.75" customHeight="1">
      <c r="A593" s="242"/>
      <c r="B593" s="225"/>
      <c r="C593" s="235"/>
      <c r="D593" s="236"/>
      <c r="E593" s="237"/>
      <c r="F593" s="238"/>
      <c r="G593" s="239"/>
      <c r="H593" s="240"/>
      <c r="I593" s="239"/>
      <c r="J593" s="148"/>
      <c r="K593" s="94"/>
      <c r="L593" s="94"/>
      <c r="M593" s="94"/>
      <c r="N593" s="112"/>
      <c r="O593" s="112"/>
    </row>
    <row r="594" ht="15.75" customHeight="1">
      <c r="A594" s="243"/>
      <c r="B594" s="211"/>
      <c r="C594" s="229"/>
      <c r="D594" s="230"/>
      <c r="E594" s="231"/>
      <c r="F594" s="232"/>
      <c r="G594" s="233"/>
      <c r="H594" s="234"/>
      <c r="I594" s="233"/>
      <c r="J594" s="173"/>
      <c r="K594" s="77"/>
      <c r="L594" s="77"/>
      <c r="M594" s="77"/>
      <c r="N594" s="80"/>
      <c r="O594" s="80"/>
    </row>
    <row r="595" ht="15.75" customHeight="1">
      <c r="A595" s="242"/>
      <c r="B595" s="225"/>
      <c r="C595" s="235"/>
      <c r="D595" s="236"/>
      <c r="E595" s="237"/>
      <c r="F595" s="238"/>
      <c r="G595" s="239"/>
      <c r="H595" s="240"/>
      <c r="I595" s="239"/>
      <c r="J595" s="148"/>
      <c r="K595" s="94"/>
      <c r="L595" s="94"/>
      <c r="M595" s="94"/>
      <c r="N595" s="112"/>
      <c r="O595" s="112"/>
    </row>
    <row r="596" ht="15.75" customHeight="1">
      <c r="A596" s="243"/>
      <c r="B596" s="211"/>
      <c r="C596" s="229"/>
      <c r="D596" s="230"/>
      <c r="E596" s="231"/>
      <c r="F596" s="232"/>
      <c r="G596" s="233"/>
      <c r="H596" s="234"/>
      <c r="I596" s="233"/>
      <c r="J596" s="173"/>
      <c r="K596" s="77"/>
      <c r="L596" s="77"/>
      <c r="M596" s="77"/>
      <c r="N596" s="80"/>
      <c r="O596" s="80"/>
    </row>
    <row r="597" ht="15.75" customHeight="1">
      <c r="A597" s="242"/>
      <c r="B597" s="225"/>
      <c r="C597" s="235"/>
      <c r="D597" s="236"/>
      <c r="E597" s="237"/>
      <c r="F597" s="238"/>
      <c r="G597" s="239"/>
      <c r="H597" s="240"/>
      <c r="I597" s="239"/>
      <c r="J597" s="148"/>
      <c r="K597" s="94"/>
      <c r="L597" s="94"/>
      <c r="M597" s="94"/>
      <c r="N597" s="112"/>
      <c r="O597" s="112"/>
    </row>
    <row r="598" ht="15.75" customHeight="1">
      <c r="A598" s="243"/>
      <c r="B598" s="211"/>
      <c r="C598" s="229"/>
      <c r="D598" s="230"/>
      <c r="E598" s="231"/>
      <c r="F598" s="232"/>
      <c r="G598" s="233"/>
      <c r="H598" s="234"/>
      <c r="I598" s="233"/>
      <c r="J598" s="173"/>
      <c r="K598" s="77"/>
      <c r="L598" s="77"/>
      <c r="M598" s="77"/>
      <c r="N598" s="80"/>
      <c r="O598" s="80"/>
    </row>
    <row r="599" ht="15.75" customHeight="1">
      <c r="A599" s="242"/>
      <c r="B599" s="225"/>
      <c r="C599" s="235"/>
      <c r="D599" s="236"/>
      <c r="E599" s="237"/>
      <c r="F599" s="238"/>
      <c r="G599" s="239"/>
      <c r="H599" s="240"/>
      <c r="I599" s="239"/>
      <c r="J599" s="148"/>
      <c r="K599" s="94"/>
      <c r="L599" s="94"/>
      <c r="M599" s="94"/>
      <c r="N599" s="112"/>
      <c r="O599" s="112"/>
    </row>
    <row r="600" ht="15.75" customHeight="1">
      <c r="A600" s="243"/>
      <c r="B600" s="211"/>
      <c r="C600" s="229"/>
      <c r="D600" s="230"/>
      <c r="E600" s="231"/>
      <c r="F600" s="232"/>
      <c r="G600" s="233"/>
      <c r="H600" s="234"/>
      <c r="I600" s="233"/>
      <c r="J600" s="173"/>
      <c r="K600" s="77"/>
      <c r="L600" s="77"/>
      <c r="M600" s="77"/>
      <c r="N600" s="80"/>
      <c r="O600" s="80"/>
    </row>
    <row r="601" ht="15.75" customHeight="1">
      <c r="A601" s="242"/>
      <c r="B601" s="225"/>
      <c r="C601" s="235"/>
      <c r="D601" s="236"/>
      <c r="E601" s="237"/>
      <c r="F601" s="238"/>
      <c r="G601" s="239"/>
      <c r="H601" s="240"/>
      <c r="I601" s="239"/>
      <c r="J601" s="148"/>
      <c r="K601" s="94"/>
      <c r="L601" s="94"/>
      <c r="M601" s="94"/>
      <c r="N601" s="112"/>
      <c r="O601" s="112"/>
    </row>
    <row r="602" ht="15.75" customHeight="1">
      <c r="A602" s="243"/>
      <c r="B602" s="211"/>
      <c r="C602" s="229"/>
      <c r="D602" s="230"/>
      <c r="E602" s="231"/>
      <c r="F602" s="232"/>
      <c r="G602" s="233"/>
      <c r="H602" s="234"/>
      <c r="I602" s="233"/>
      <c r="J602" s="173"/>
      <c r="K602" s="77"/>
      <c r="L602" s="77"/>
      <c r="M602" s="77"/>
      <c r="N602" s="80"/>
      <c r="O602" s="80"/>
    </row>
    <row r="603" ht="15.75" customHeight="1">
      <c r="A603" s="242"/>
      <c r="B603" s="225"/>
      <c r="C603" s="235"/>
      <c r="D603" s="236"/>
      <c r="E603" s="237"/>
      <c r="F603" s="238"/>
      <c r="G603" s="239"/>
      <c r="H603" s="240"/>
      <c r="I603" s="239"/>
      <c r="J603" s="148"/>
      <c r="K603" s="94"/>
      <c r="L603" s="94"/>
      <c r="M603" s="94"/>
      <c r="N603" s="112"/>
      <c r="O603" s="112"/>
    </row>
    <row r="604" ht="15.75" customHeight="1">
      <c r="A604" s="243"/>
      <c r="B604" s="211"/>
      <c r="C604" s="229"/>
      <c r="D604" s="230"/>
      <c r="E604" s="231"/>
      <c r="F604" s="232"/>
      <c r="G604" s="233"/>
      <c r="H604" s="234"/>
      <c r="I604" s="233"/>
      <c r="J604" s="173"/>
      <c r="K604" s="77"/>
      <c r="L604" s="77"/>
      <c r="M604" s="77"/>
      <c r="N604" s="80"/>
      <c r="O604" s="80"/>
    </row>
    <row r="605" ht="15.75" customHeight="1">
      <c r="A605" s="242"/>
      <c r="B605" s="225"/>
      <c r="C605" s="235"/>
      <c r="D605" s="236"/>
      <c r="E605" s="237"/>
      <c r="F605" s="238"/>
      <c r="G605" s="239"/>
      <c r="H605" s="240"/>
      <c r="I605" s="239"/>
      <c r="J605" s="148"/>
      <c r="K605" s="94"/>
      <c r="L605" s="94"/>
      <c r="M605" s="94"/>
      <c r="N605" s="112"/>
      <c r="O605" s="112"/>
    </row>
    <row r="606" ht="15.75" customHeight="1">
      <c r="A606" s="243"/>
      <c r="B606" s="211"/>
      <c r="C606" s="229"/>
      <c r="D606" s="230"/>
      <c r="E606" s="231"/>
      <c r="F606" s="232"/>
      <c r="G606" s="233"/>
      <c r="H606" s="234"/>
      <c r="I606" s="233"/>
      <c r="J606" s="173"/>
      <c r="K606" s="77"/>
      <c r="L606" s="77"/>
      <c r="M606" s="77"/>
      <c r="N606" s="80"/>
      <c r="O606" s="80"/>
    </row>
    <row r="607" ht="15.75" customHeight="1">
      <c r="A607" s="242"/>
      <c r="B607" s="225"/>
      <c r="C607" s="235"/>
      <c r="D607" s="236"/>
      <c r="E607" s="237"/>
      <c r="F607" s="238"/>
      <c r="G607" s="239"/>
      <c r="H607" s="240"/>
      <c r="I607" s="239"/>
      <c r="J607" s="148"/>
      <c r="K607" s="94"/>
      <c r="L607" s="94"/>
      <c r="M607" s="94"/>
      <c r="N607" s="112"/>
      <c r="O607" s="112"/>
    </row>
    <row r="608" ht="15.75" customHeight="1">
      <c r="A608" s="243"/>
      <c r="B608" s="211"/>
      <c r="C608" s="229"/>
      <c r="D608" s="230"/>
      <c r="E608" s="231"/>
      <c r="F608" s="232"/>
      <c r="G608" s="233"/>
      <c r="H608" s="234"/>
      <c r="I608" s="233"/>
      <c r="J608" s="173"/>
      <c r="K608" s="77"/>
      <c r="L608" s="77"/>
      <c r="M608" s="77"/>
      <c r="N608" s="80"/>
      <c r="O608" s="80"/>
    </row>
    <row r="609" ht="15.75" customHeight="1">
      <c r="A609" s="242"/>
      <c r="B609" s="225"/>
      <c r="C609" s="235"/>
      <c r="D609" s="236"/>
      <c r="E609" s="237"/>
      <c r="F609" s="238"/>
      <c r="G609" s="239"/>
      <c r="H609" s="240"/>
      <c r="I609" s="239"/>
      <c r="J609" s="148"/>
      <c r="K609" s="94"/>
      <c r="L609" s="94"/>
      <c r="M609" s="94"/>
      <c r="N609" s="112"/>
      <c r="O609" s="112"/>
    </row>
    <row r="610" ht="15.75" customHeight="1">
      <c r="A610" s="243"/>
      <c r="B610" s="211"/>
      <c r="C610" s="229"/>
      <c r="D610" s="230"/>
      <c r="E610" s="231"/>
      <c r="F610" s="232"/>
      <c r="G610" s="233"/>
      <c r="H610" s="234"/>
      <c r="I610" s="233"/>
      <c r="J610" s="173"/>
      <c r="K610" s="77"/>
      <c r="L610" s="77"/>
      <c r="M610" s="77"/>
      <c r="N610" s="80"/>
      <c r="O610" s="80"/>
    </row>
    <row r="611" ht="15.75" customHeight="1">
      <c r="A611" s="242"/>
      <c r="B611" s="225"/>
      <c r="C611" s="235"/>
      <c r="D611" s="236"/>
      <c r="E611" s="237"/>
      <c r="F611" s="238"/>
      <c r="G611" s="239"/>
      <c r="H611" s="240"/>
      <c r="I611" s="239"/>
      <c r="J611" s="148"/>
      <c r="K611" s="94"/>
      <c r="L611" s="94"/>
      <c r="M611" s="94"/>
      <c r="N611" s="112"/>
      <c r="O611" s="112"/>
    </row>
    <row r="612" ht="15.75" customHeight="1">
      <c r="A612" s="243"/>
      <c r="B612" s="211"/>
      <c r="C612" s="229"/>
      <c r="D612" s="230"/>
      <c r="E612" s="231"/>
      <c r="F612" s="232"/>
      <c r="G612" s="233"/>
      <c r="H612" s="234"/>
      <c r="I612" s="233"/>
      <c r="J612" s="173"/>
      <c r="K612" s="77"/>
      <c r="L612" s="77"/>
      <c r="M612" s="77"/>
      <c r="N612" s="80"/>
      <c r="O612" s="80"/>
    </row>
    <row r="613" ht="15.75" customHeight="1">
      <c r="A613" s="242"/>
      <c r="B613" s="225"/>
      <c r="C613" s="235"/>
      <c r="D613" s="236"/>
      <c r="E613" s="237"/>
      <c r="F613" s="238"/>
      <c r="G613" s="239"/>
      <c r="H613" s="240"/>
      <c r="I613" s="239"/>
      <c r="J613" s="148"/>
      <c r="K613" s="94"/>
      <c r="L613" s="94"/>
      <c r="M613" s="94"/>
      <c r="N613" s="112"/>
      <c r="O613" s="112"/>
    </row>
    <row r="614" ht="15.75" customHeight="1">
      <c r="A614" s="243"/>
      <c r="B614" s="211"/>
      <c r="C614" s="229"/>
      <c r="D614" s="230"/>
      <c r="E614" s="231"/>
      <c r="F614" s="232"/>
      <c r="G614" s="233"/>
      <c r="H614" s="234"/>
      <c r="I614" s="233"/>
      <c r="J614" s="173"/>
      <c r="K614" s="77"/>
      <c r="L614" s="77"/>
      <c r="M614" s="77"/>
      <c r="N614" s="80"/>
      <c r="O614" s="80"/>
    </row>
    <row r="615" ht="15.75" customHeight="1">
      <c r="A615" s="242"/>
      <c r="B615" s="225"/>
      <c r="C615" s="235"/>
      <c r="D615" s="236"/>
      <c r="E615" s="237"/>
      <c r="F615" s="238"/>
      <c r="G615" s="239"/>
      <c r="H615" s="240"/>
      <c r="I615" s="239"/>
      <c r="J615" s="148"/>
      <c r="K615" s="94"/>
      <c r="L615" s="94"/>
      <c r="M615" s="94"/>
      <c r="N615" s="112"/>
      <c r="O615" s="112"/>
    </row>
    <row r="616" ht="15.75" customHeight="1">
      <c r="A616" s="243"/>
      <c r="B616" s="211"/>
      <c r="C616" s="229"/>
      <c r="D616" s="230"/>
      <c r="E616" s="231"/>
      <c r="F616" s="232"/>
      <c r="G616" s="233"/>
      <c r="H616" s="234"/>
      <c r="I616" s="233"/>
      <c r="J616" s="173"/>
      <c r="K616" s="77"/>
      <c r="L616" s="77"/>
      <c r="M616" s="77"/>
      <c r="N616" s="80"/>
      <c r="O616" s="80"/>
    </row>
    <row r="617" ht="15.75" customHeight="1">
      <c r="A617" s="242"/>
      <c r="B617" s="225"/>
      <c r="C617" s="235"/>
      <c r="D617" s="236"/>
      <c r="E617" s="237"/>
      <c r="F617" s="238"/>
      <c r="G617" s="239"/>
      <c r="H617" s="240"/>
      <c r="I617" s="239"/>
      <c r="J617" s="148"/>
      <c r="K617" s="94"/>
      <c r="L617" s="94"/>
      <c r="M617" s="94"/>
      <c r="N617" s="112"/>
      <c r="O617" s="112"/>
    </row>
    <row r="618" ht="15.75" customHeight="1">
      <c r="A618" s="243"/>
      <c r="B618" s="211"/>
      <c r="C618" s="229"/>
      <c r="D618" s="230"/>
      <c r="E618" s="231"/>
      <c r="F618" s="232"/>
      <c r="G618" s="233"/>
      <c r="H618" s="234"/>
      <c r="I618" s="233"/>
      <c r="J618" s="173"/>
      <c r="K618" s="77"/>
      <c r="L618" s="77"/>
      <c r="M618" s="77"/>
      <c r="N618" s="80"/>
      <c r="O618" s="80"/>
    </row>
    <row r="619" ht="15.75" customHeight="1">
      <c r="A619" s="242"/>
      <c r="B619" s="225"/>
      <c r="C619" s="235"/>
      <c r="D619" s="236"/>
      <c r="E619" s="237"/>
      <c r="F619" s="238"/>
      <c r="G619" s="239"/>
      <c r="H619" s="240"/>
      <c r="I619" s="239"/>
      <c r="J619" s="148"/>
      <c r="K619" s="94"/>
      <c r="L619" s="94"/>
      <c r="M619" s="94"/>
      <c r="N619" s="112"/>
      <c r="O619" s="112"/>
    </row>
    <row r="620" ht="15.75" customHeight="1">
      <c r="A620" s="243"/>
      <c r="B620" s="211"/>
      <c r="C620" s="229"/>
      <c r="D620" s="230"/>
      <c r="E620" s="231"/>
      <c r="F620" s="232"/>
      <c r="G620" s="233"/>
      <c r="H620" s="234"/>
      <c r="I620" s="233"/>
      <c r="J620" s="173"/>
      <c r="K620" s="77"/>
      <c r="L620" s="77"/>
      <c r="M620" s="77"/>
      <c r="N620" s="80"/>
      <c r="O620" s="80"/>
    </row>
    <row r="621" ht="15.75" customHeight="1">
      <c r="A621" s="242"/>
      <c r="B621" s="225"/>
      <c r="C621" s="235"/>
      <c r="D621" s="236"/>
      <c r="E621" s="237"/>
      <c r="F621" s="238"/>
      <c r="G621" s="239"/>
      <c r="H621" s="240"/>
      <c r="I621" s="239"/>
      <c r="J621" s="148"/>
      <c r="K621" s="94"/>
      <c r="L621" s="94"/>
      <c r="M621" s="94"/>
      <c r="N621" s="112"/>
      <c r="O621" s="112"/>
    </row>
    <row r="622" ht="15.75" customHeight="1">
      <c r="A622" s="243"/>
      <c r="B622" s="211"/>
      <c r="C622" s="229"/>
      <c r="D622" s="230"/>
      <c r="E622" s="231"/>
      <c r="F622" s="232"/>
      <c r="G622" s="233"/>
      <c r="H622" s="234"/>
      <c r="I622" s="233"/>
      <c r="J622" s="173"/>
      <c r="K622" s="77"/>
      <c r="L622" s="77"/>
      <c r="M622" s="77"/>
      <c r="N622" s="80"/>
      <c r="O622" s="80"/>
    </row>
    <row r="623" ht="15.75" customHeight="1">
      <c r="A623" s="242"/>
      <c r="B623" s="225"/>
      <c r="C623" s="235"/>
      <c r="D623" s="236"/>
      <c r="E623" s="237"/>
      <c r="F623" s="238"/>
      <c r="G623" s="239"/>
      <c r="H623" s="240"/>
      <c r="I623" s="239"/>
      <c r="J623" s="148"/>
      <c r="K623" s="94"/>
      <c r="L623" s="94"/>
      <c r="M623" s="94"/>
      <c r="N623" s="112"/>
      <c r="O623" s="112"/>
    </row>
    <row r="624" ht="15.75" customHeight="1">
      <c r="A624" s="243"/>
      <c r="B624" s="211"/>
      <c r="C624" s="229"/>
      <c r="D624" s="230"/>
      <c r="E624" s="231"/>
      <c r="F624" s="232"/>
      <c r="G624" s="233"/>
      <c r="H624" s="234"/>
      <c r="I624" s="233"/>
      <c r="J624" s="173"/>
      <c r="K624" s="77"/>
      <c r="L624" s="77"/>
      <c r="M624" s="77"/>
      <c r="N624" s="80"/>
      <c r="O624" s="80"/>
    </row>
    <row r="625" ht="15.75" customHeight="1">
      <c r="A625" s="242"/>
      <c r="B625" s="225"/>
      <c r="C625" s="235"/>
      <c r="D625" s="236"/>
      <c r="E625" s="237"/>
      <c r="F625" s="238"/>
      <c r="G625" s="239"/>
      <c r="H625" s="240"/>
      <c r="I625" s="239"/>
      <c r="J625" s="148"/>
      <c r="K625" s="94"/>
      <c r="L625" s="94"/>
      <c r="M625" s="94"/>
      <c r="N625" s="112"/>
      <c r="O625" s="112"/>
    </row>
    <row r="626" ht="15.75" customHeight="1">
      <c r="A626" s="243"/>
      <c r="B626" s="211"/>
      <c r="C626" s="229"/>
      <c r="D626" s="230"/>
      <c r="E626" s="231"/>
      <c r="F626" s="232"/>
      <c r="G626" s="233"/>
      <c r="H626" s="234"/>
      <c r="I626" s="233"/>
      <c r="J626" s="173"/>
      <c r="K626" s="77"/>
      <c r="L626" s="77"/>
      <c r="M626" s="77"/>
      <c r="N626" s="80"/>
      <c r="O626" s="80"/>
    </row>
    <row r="627" ht="15.75" customHeight="1">
      <c r="A627" s="242"/>
      <c r="B627" s="225"/>
      <c r="C627" s="235"/>
      <c r="D627" s="236"/>
      <c r="E627" s="237"/>
      <c r="F627" s="238"/>
      <c r="G627" s="239"/>
      <c r="H627" s="240"/>
      <c r="I627" s="239"/>
      <c r="J627" s="148"/>
      <c r="K627" s="94"/>
      <c r="L627" s="94"/>
      <c r="M627" s="94"/>
      <c r="N627" s="112"/>
      <c r="O627" s="112"/>
    </row>
    <row r="628" ht="15.75" customHeight="1">
      <c r="A628" s="243"/>
      <c r="B628" s="211"/>
      <c r="C628" s="229"/>
      <c r="D628" s="230"/>
      <c r="E628" s="231"/>
      <c r="F628" s="232"/>
      <c r="G628" s="233"/>
      <c r="H628" s="234"/>
      <c r="I628" s="233"/>
      <c r="J628" s="173"/>
      <c r="K628" s="77"/>
      <c r="L628" s="77"/>
      <c r="M628" s="77"/>
      <c r="N628" s="80"/>
      <c r="O628" s="80"/>
    </row>
    <row r="629" ht="15.75" customHeight="1">
      <c r="A629" s="242"/>
      <c r="B629" s="225"/>
      <c r="C629" s="235"/>
      <c r="D629" s="236"/>
      <c r="E629" s="237"/>
      <c r="F629" s="238"/>
      <c r="G629" s="239"/>
      <c r="H629" s="240"/>
      <c r="I629" s="239"/>
      <c r="J629" s="148"/>
      <c r="K629" s="94"/>
      <c r="L629" s="94"/>
      <c r="M629" s="94"/>
      <c r="N629" s="112"/>
      <c r="O629" s="112"/>
    </row>
    <row r="630" ht="15.75" customHeight="1">
      <c r="A630" s="243"/>
      <c r="B630" s="211"/>
      <c r="C630" s="229"/>
      <c r="D630" s="230"/>
      <c r="E630" s="231"/>
      <c r="F630" s="232"/>
      <c r="G630" s="233"/>
      <c r="H630" s="234"/>
      <c r="I630" s="233"/>
      <c r="J630" s="173"/>
      <c r="K630" s="77"/>
      <c r="L630" s="77"/>
      <c r="M630" s="77"/>
      <c r="N630" s="80"/>
      <c r="O630" s="80"/>
    </row>
    <row r="631" ht="15.75" customHeight="1">
      <c r="A631" s="242"/>
      <c r="B631" s="225"/>
      <c r="C631" s="235"/>
      <c r="D631" s="236"/>
      <c r="E631" s="237"/>
      <c r="F631" s="238"/>
      <c r="G631" s="239"/>
      <c r="H631" s="240"/>
      <c r="I631" s="239"/>
      <c r="J631" s="148"/>
      <c r="K631" s="94"/>
      <c r="L631" s="94"/>
      <c r="M631" s="94"/>
      <c r="N631" s="112"/>
      <c r="O631" s="112"/>
    </row>
    <row r="632" ht="15.75" customHeight="1">
      <c r="A632" s="243"/>
      <c r="B632" s="211"/>
      <c r="C632" s="229"/>
      <c r="D632" s="230"/>
      <c r="E632" s="231"/>
      <c r="F632" s="232"/>
      <c r="G632" s="233"/>
      <c r="H632" s="234"/>
      <c r="I632" s="233"/>
      <c r="J632" s="173"/>
      <c r="K632" s="77"/>
      <c r="L632" s="77"/>
      <c r="M632" s="77"/>
      <c r="N632" s="80"/>
      <c r="O632" s="80"/>
    </row>
    <row r="633" ht="15.75" customHeight="1">
      <c r="A633" s="242"/>
      <c r="B633" s="225"/>
      <c r="C633" s="235"/>
      <c r="D633" s="236"/>
      <c r="E633" s="237"/>
      <c r="F633" s="238"/>
      <c r="G633" s="239"/>
      <c r="H633" s="240"/>
      <c r="I633" s="239"/>
      <c r="J633" s="148"/>
      <c r="K633" s="94"/>
      <c r="L633" s="94"/>
      <c r="M633" s="94"/>
      <c r="N633" s="112"/>
      <c r="O633" s="112"/>
    </row>
    <row r="634" ht="15.75" customHeight="1">
      <c r="A634" s="243"/>
      <c r="B634" s="211"/>
      <c r="C634" s="229"/>
      <c r="D634" s="230"/>
      <c r="E634" s="231"/>
      <c r="F634" s="232"/>
      <c r="G634" s="233"/>
      <c r="H634" s="234"/>
      <c r="I634" s="233"/>
      <c r="J634" s="173"/>
      <c r="K634" s="77"/>
      <c r="L634" s="77"/>
      <c r="M634" s="77"/>
      <c r="N634" s="80"/>
      <c r="O634" s="80"/>
    </row>
    <row r="635" ht="15.75" customHeight="1">
      <c r="A635" s="242"/>
      <c r="B635" s="225"/>
      <c r="C635" s="235"/>
      <c r="D635" s="236"/>
      <c r="E635" s="237"/>
      <c r="F635" s="238"/>
      <c r="G635" s="239"/>
      <c r="H635" s="240"/>
      <c r="I635" s="239"/>
      <c r="J635" s="148"/>
      <c r="K635" s="94"/>
      <c r="L635" s="94"/>
      <c r="M635" s="94"/>
      <c r="N635" s="112"/>
      <c r="O635" s="112"/>
    </row>
    <row r="636" ht="15.75" customHeight="1">
      <c r="A636" s="243"/>
      <c r="B636" s="211"/>
      <c r="C636" s="229"/>
      <c r="D636" s="230"/>
      <c r="E636" s="231"/>
      <c r="F636" s="232"/>
      <c r="G636" s="233"/>
      <c r="H636" s="234"/>
      <c r="I636" s="233"/>
      <c r="J636" s="173"/>
      <c r="K636" s="77"/>
      <c r="L636" s="77"/>
      <c r="M636" s="77"/>
      <c r="N636" s="80"/>
      <c r="O636" s="80"/>
    </row>
    <row r="637" ht="15.75" customHeight="1">
      <c r="A637" s="242"/>
      <c r="B637" s="225"/>
      <c r="C637" s="235"/>
      <c r="D637" s="236"/>
      <c r="E637" s="237"/>
      <c r="F637" s="238"/>
      <c r="G637" s="239"/>
      <c r="H637" s="240"/>
      <c r="I637" s="239"/>
      <c r="J637" s="148"/>
      <c r="K637" s="94"/>
      <c r="L637" s="94"/>
      <c r="M637" s="94"/>
      <c r="N637" s="112"/>
      <c r="O637" s="112"/>
    </row>
    <row r="638" ht="15.75" customHeight="1">
      <c r="A638" s="243"/>
      <c r="B638" s="211"/>
      <c r="C638" s="229"/>
      <c r="D638" s="230"/>
      <c r="E638" s="231"/>
      <c r="F638" s="232"/>
      <c r="G638" s="233"/>
      <c r="H638" s="234"/>
      <c r="I638" s="233"/>
      <c r="J638" s="173"/>
      <c r="K638" s="77"/>
      <c r="L638" s="77"/>
      <c r="M638" s="77"/>
      <c r="N638" s="80"/>
      <c r="O638" s="80"/>
    </row>
    <row r="639" ht="15.75" customHeight="1">
      <c r="A639" s="242"/>
      <c r="B639" s="225"/>
      <c r="C639" s="235"/>
      <c r="D639" s="236"/>
      <c r="E639" s="237"/>
      <c r="F639" s="238"/>
      <c r="G639" s="239"/>
      <c r="H639" s="240"/>
      <c r="I639" s="239"/>
      <c r="J639" s="148"/>
      <c r="K639" s="94"/>
      <c r="L639" s="94"/>
      <c r="M639" s="94"/>
      <c r="N639" s="112"/>
      <c r="O639" s="112"/>
    </row>
    <row r="640" ht="15.75" customHeight="1">
      <c r="A640" s="243"/>
      <c r="B640" s="211"/>
      <c r="C640" s="229"/>
      <c r="D640" s="230"/>
      <c r="E640" s="231"/>
      <c r="F640" s="232"/>
      <c r="G640" s="233"/>
      <c r="H640" s="234"/>
      <c r="I640" s="233"/>
      <c r="J640" s="173"/>
      <c r="K640" s="77"/>
      <c r="L640" s="77"/>
      <c r="M640" s="77"/>
      <c r="N640" s="80"/>
      <c r="O640" s="80"/>
    </row>
    <row r="641" ht="15.75" customHeight="1">
      <c r="A641" s="242"/>
      <c r="B641" s="225"/>
      <c r="C641" s="235"/>
      <c r="D641" s="236"/>
      <c r="E641" s="237"/>
      <c r="F641" s="238"/>
      <c r="G641" s="239"/>
      <c r="H641" s="240"/>
      <c r="I641" s="239"/>
      <c r="J641" s="148"/>
      <c r="K641" s="94"/>
      <c r="L641" s="94"/>
      <c r="M641" s="94"/>
      <c r="N641" s="112"/>
      <c r="O641" s="112"/>
    </row>
    <row r="642" ht="15.75" customHeight="1">
      <c r="A642" s="243"/>
      <c r="B642" s="211"/>
      <c r="C642" s="229"/>
      <c r="D642" s="230"/>
      <c r="E642" s="231"/>
      <c r="F642" s="232"/>
      <c r="G642" s="233"/>
      <c r="H642" s="234"/>
      <c r="I642" s="233"/>
      <c r="J642" s="173"/>
      <c r="K642" s="77"/>
      <c r="L642" s="77"/>
      <c r="M642" s="77"/>
      <c r="N642" s="80"/>
      <c r="O642" s="80"/>
    </row>
    <row r="643" ht="15.75" customHeight="1">
      <c r="A643" s="242"/>
      <c r="B643" s="225"/>
      <c r="C643" s="235"/>
      <c r="D643" s="236"/>
      <c r="E643" s="237"/>
      <c r="F643" s="238"/>
      <c r="G643" s="239"/>
      <c r="H643" s="240"/>
      <c r="I643" s="239"/>
      <c r="J643" s="148"/>
      <c r="K643" s="94"/>
      <c r="L643" s="94"/>
      <c r="M643" s="94"/>
      <c r="N643" s="112"/>
      <c r="O643" s="112"/>
    </row>
    <row r="644" ht="15.75" customHeight="1">
      <c r="A644" s="243"/>
      <c r="B644" s="211"/>
      <c r="C644" s="229"/>
      <c r="D644" s="230"/>
      <c r="E644" s="231"/>
      <c r="F644" s="232"/>
      <c r="G644" s="233"/>
      <c r="H644" s="234"/>
      <c r="I644" s="233"/>
      <c r="J644" s="173"/>
      <c r="K644" s="77"/>
      <c r="L644" s="77"/>
      <c r="M644" s="77"/>
      <c r="N644" s="80"/>
      <c r="O644" s="80"/>
    </row>
    <row r="645" ht="15.75" customHeight="1">
      <c r="A645" s="242"/>
      <c r="B645" s="225"/>
      <c r="C645" s="235"/>
      <c r="D645" s="236"/>
      <c r="E645" s="237"/>
      <c r="F645" s="238"/>
      <c r="G645" s="239"/>
      <c r="H645" s="240"/>
      <c r="I645" s="239"/>
      <c r="J645" s="148"/>
      <c r="K645" s="94"/>
      <c r="L645" s="94"/>
      <c r="M645" s="94"/>
      <c r="N645" s="112"/>
      <c r="O645" s="112"/>
    </row>
    <row r="646" ht="15.75" customHeight="1">
      <c r="A646" s="243"/>
      <c r="B646" s="211"/>
      <c r="C646" s="229"/>
      <c r="D646" s="230"/>
      <c r="E646" s="231"/>
      <c r="F646" s="232"/>
      <c r="G646" s="233"/>
      <c r="H646" s="234"/>
      <c r="I646" s="233"/>
      <c r="J646" s="173"/>
      <c r="K646" s="77"/>
      <c r="L646" s="77"/>
      <c r="M646" s="77"/>
      <c r="N646" s="80"/>
      <c r="O646" s="80"/>
    </row>
    <row r="647" ht="15.75" customHeight="1">
      <c r="A647" s="242"/>
      <c r="B647" s="225"/>
      <c r="C647" s="235"/>
      <c r="D647" s="236"/>
      <c r="E647" s="237"/>
      <c r="F647" s="238"/>
      <c r="G647" s="239"/>
      <c r="H647" s="240"/>
      <c r="I647" s="239"/>
      <c r="J647" s="148"/>
      <c r="K647" s="94"/>
      <c r="L647" s="94"/>
      <c r="M647" s="94"/>
      <c r="N647" s="112"/>
      <c r="O647" s="112"/>
    </row>
    <row r="648" ht="15.75" customHeight="1">
      <c r="A648" s="243"/>
      <c r="B648" s="211"/>
      <c r="C648" s="229"/>
      <c r="D648" s="230"/>
      <c r="E648" s="231"/>
      <c r="F648" s="232"/>
      <c r="G648" s="233"/>
      <c r="H648" s="234"/>
      <c r="I648" s="233"/>
      <c r="J648" s="173"/>
      <c r="K648" s="77"/>
      <c r="L648" s="77"/>
      <c r="M648" s="77"/>
      <c r="N648" s="80"/>
      <c r="O648" s="80"/>
    </row>
    <row r="649" ht="15.75" customHeight="1">
      <c r="A649" s="242"/>
      <c r="B649" s="225"/>
      <c r="C649" s="235"/>
      <c r="D649" s="236"/>
      <c r="E649" s="237"/>
      <c r="F649" s="238"/>
      <c r="G649" s="239"/>
      <c r="H649" s="240"/>
      <c r="I649" s="239"/>
      <c r="J649" s="148"/>
      <c r="K649" s="94"/>
      <c r="L649" s="94"/>
      <c r="M649" s="94"/>
      <c r="N649" s="112"/>
      <c r="O649" s="112"/>
    </row>
    <row r="650" ht="15.75" customHeight="1">
      <c r="A650" s="243"/>
      <c r="B650" s="211"/>
      <c r="C650" s="229"/>
      <c r="D650" s="230"/>
      <c r="E650" s="231"/>
      <c r="F650" s="232"/>
      <c r="G650" s="233"/>
      <c r="H650" s="234"/>
      <c r="I650" s="233"/>
      <c r="J650" s="173"/>
      <c r="K650" s="77"/>
      <c r="L650" s="77"/>
      <c r="M650" s="77"/>
      <c r="N650" s="80"/>
      <c r="O650" s="80"/>
    </row>
    <row r="651" ht="15.75" customHeight="1">
      <c r="A651" s="242"/>
      <c r="B651" s="225"/>
      <c r="C651" s="235"/>
      <c r="D651" s="236"/>
      <c r="E651" s="237"/>
      <c r="F651" s="238"/>
      <c r="G651" s="239"/>
      <c r="H651" s="240"/>
      <c r="I651" s="239"/>
      <c r="J651" s="148"/>
      <c r="K651" s="94"/>
      <c r="L651" s="94"/>
      <c r="M651" s="94"/>
      <c r="N651" s="112"/>
      <c r="O651" s="112"/>
    </row>
    <row r="652" ht="15.75" customHeight="1">
      <c r="A652" s="243"/>
      <c r="B652" s="211"/>
      <c r="C652" s="229"/>
      <c r="D652" s="230"/>
      <c r="E652" s="231"/>
      <c r="F652" s="232"/>
      <c r="G652" s="233"/>
      <c r="H652" s="234"/>
      <c r="I652" s="233"/>
      <c r="J652" s="173"/>
      <c r="K652" s="77"/>
      <c r="L652" s="77"/>
      <c r="M652" s="77"/>
      <c r="N652" s="80"/>
      <c r="O652" s="80"/>
    </row>
    <row r="653" ht="15.75" customHeight="1">
      <c r="A653" s="242"/>
      <c r="B653" s="225"/>
      <c r="C653" s="235"/>
      <c r="D653" s="236"/>
      <c r="E653" s="237"/>
      <c r="F653" s="238"/>
      <c r="G653" s="239"/>
      <c r="H653" s="240"/>
      <c r="I653" s="239"/>
      <c r="J653" s="148"/>
      <c r="K653" s="94"/>
      <c r="L653" s="94"/>
      <c r="M653" s="94"/>
      <c r="N653" s="112"/>
      <c r="O653" s="112"/>
    </row>
    <row r="654" ht="15.75" customHeight="1">
      <c r="A654" s="243"/>
      <c r="B654" s="211"/>
      <c r="C654" s="229"/>
      <c r="D654" s="230"/>
      <c r="E654" s="231"/>
      <c r="F654" s="232"/>
      <c r="G654" s="233"/>
      <c r="H654" s="234"/>
      <c r="I654" s="233"/>
      <c r="J654" s="173"/>
      <c r="K654" s="77"/>
      <c r="L654" s="77"/>
      <c r="M654" s="77"/>
      <c r="N654" s="80"/>
      <c r="O654" s="80"/>
    </row>
    <row r="655" ht="15.75" customHeight="1">
      <c r="A655" s="242"/>
      <c r="B655" s="225"/>
      <c r="C655" s="235"/>
      <c r="D655" s="236"/>
      <c r="E655" s="237"/>
      <c r="F655" s="238"/>
      <c r="G655" s="239"/>
      <c r="H655" s="240"/>
      <c r="I655" s="239"/>
      <c r="J655" s="148"/>
      <c r="K655" s="94"/>
      <c r="L655" s="94"/>
      <c r="M655" s="94"/>
      <c r="N655" s="112"/>
      <c r="O655" s="112"/>
    </row>
    <row r="656" ht="15.75" customHeight="1">
      <c r="A656" s="243"/>
      <c r="B656" s="211"/>
      <c r="C656" s="229"/>
      <c r="D656" s="230"/>
      <c r="E656" s="231"/>
      <c r="F656" s="232"/>
      <c r="G656" s="233"/>
      <c r="H656" s="234"/>
      <c r="I656" s="233"/>
      <c r="J656" s="173"/>
      <c r="K656" s="77"/>
      <c r="L656" s="77"/>
      <c r="M656" s="77"/>
      <c r="N656" s="80"/>
      <c r="O656" s="80"/>
    </row>
    <row r="657" ht="15.75" customHeight="1">
      <c r="A657" s="242"/>
      <c r="B657" s="225"/>
      <c r="C657" s="235"/>
      <c r="D657" s="236"/>
      <c r="E657" s="237"/>
      <c r="F657" s="238"/>
      <c r="G657" s="239"/>
      <c r="H657" s="240"/>
      <c r="I657" s="239"/>
      <c r="J657" s="148"/>
      <c r="K657" s="94"/>
      <c r="L657" s="94"/>
      <c r="M657" s="94"/>
      <c r="N657" s="112"/>
      <c r="O657" s="112"/>
    </row>
    <row r="658" ht="15.75" customHeight="1">
      <c r="A658" s="243"/>
      <c r="B658" s="211"/>
      <c r="C658" s="229"/>
      <c r="D658" s="230"/>
      <c r="E658" s="231"/>
      <c r="F658" s="232"/>
      <c r="G658" s="233"/>
      <c r="H658" s="234"/>
      <c r="I658" s="233"/>
      <c r="J658" s="173"/>
      <c r="K658" s="77"/>
      <c r="L658" s="77"/>
      <c r="M658" s="77"/>
      <c r="N658" s="80"/>
      <c r="O658" s="80"/>
    </row>
    <row r="659" ht="15.75" customHeight="1">
      <c r="A659" s="242"/>
      <c r="B659" s="225"/>
      <c r="C659" s="235"/>
      <c r="D659" s="236"/>
      <c r="E659" s="237"/>
      <c r="F659" s="238"/>
      <c r="G659" s="239"/>
      <c r="H659" s="240"/>
      <c r="I659" s="239"/>
      <c r="J659" s="148"/>
      <c r="K659" s="94"/>
      <c r="L659" s="94"/>
      <c r="M659" s="94"/>
      <c r="N659" s="112"/>
      <c r="O659" s="112"/>
    </row>
    <row r="660" ht="15.75" customHeight="1">
      <c r="A660" s="243"/>
      <c r="B660" s="211"/>
      <c r="C660" s="229"/>
      <c r="D660" s="230"/>
      <c r="E660" s="231"/>
      <c r="F660" s="232"/>
      <c r="G660" s="233"/>
      <c r="H660" s="234"/>
      <c r="I660" s="233"/>
      <c r="J660" s="173"/>
      <c r="K660" s="77"/>
      <c r="L660" s="77"/>
      <c r="M660" s="77"/>
      <c r="N660" s="80"/>
      <c r="O660" s="80"/>
    </row>
    <row r="661" ht="15.75" customHeight="1">
      <c r="A661" s="242"/>
      <c r="B661" s="225"/>
      <c r="C661" s="235"/>
      <c r="D661" s="236"/>
      <c r="E661" s="237"/>
      <c r="F661" s="238"/>
      <c r="G661" s="239"/>
      <c r="H661" s="240"/>
      <c r="I661" s="239"/>
      <c r="J661" s="148"/>
      <c r="K661" s="94"/>
      <c r="L661" s="94"/>
      <c r="M661" s="94"/>
      <c r="N661" s="112"/>
      <c r="O661" s="112"/>
    </row>
    <row r="662" ht="15.75" customHeight="1">
      <c r="A662" s="243"/>
      <c r="B662" s="211"/>
      <c r="C662" s="229"/>
      <c r="D662" s="230"/>
      <c r="E662" s="231"/>
      <c r="F662" s="232"/>
      <c r="G662" s="233"/>
      <c r="H662" s="234"/>
      <c r="I662" s="233"/>
      <c r="J662" s="173"/>
      <c r="K662" s="77"/>
      <c r="L662" s="77"/>
      <c r="M662" s="77"/>
      <c r="N662" s="80"/>
      <c r="O662" s="80"/>
    </row>
    <row r="663" ht="15.75" customHeight="1">
      <c r="A663" s="242"/>
      <c r="B663" s="225"/>
      <c r="C663" s="235"/>
      <c r="D663" s="236"/>
      <c r="E663" s="237"/>
      <c r="F663" s="238"/>
      <c r="G663" s="239"/>
      <c r="H663" s="240"/>
      <c r="I663" s="239"/>
      <c r="J663" s="148"/>
      <c r="K663" s="94"/>
      <c r="L663" s="94"/>
      <c r="M663" s="94"/>
      <c r="N663" s="112"/>
      <c r="O663" s="112"/>
    </row>
    <row r="664" ht="15.75" customHeight="1">
      <c r="A664" s="243"/>
      <c r="B664" s="211"/>
      <c r="C664" s="229"/>
      <c r="D664" s="230"/>
      <c r="E664" s="231"/>
      <c r="F664" s="232"/>
      <c r="G664" s="233"/>
      <c r="H664" s="234"/>
      <c r="I664" s="233"/>
      <c r="J664" s="173"/>
      <c r="K664" s="77"/>
      <c r="L664" s="77"/>
      <c r="M664" s="77"/>
      <c r="N664" s="80"/>
      <c r="O664" s="80"/>
    </row>
    <row r="665" ht="15.75" customHeight="1">
      <c r="A665" s="242"/>
      <c r="B665" s="225"/>
      <c r="C665" s="235"/>
      <c r="D665" s="236"/>
      <c r="E665" s="237"/>
      <c r="F665" s="238"/>
      <c r="G665" s="239"/>
      <c r="H665" s="240"/>
      <c r="I665" s="239"/>
      <c r="J665" s="148"/>
      <c r="K665" s="94"/>
      <c r="L665" s="94"/>
      <c r="M665" s="94"/>
      <c r="N665" s="112"/>
      <c r="O665" s="112"/>
    </row>
    <row r="666" ht="15.75" customHeight="1">
      <c r="A666" s="243"/>
      <c r="B666" s="211"/>
      <c r="C666" s="229"/>
      <c r="D666" s="230"/>
      <c r="E666" s="231"/>
      <c r="F666" s="232"/>
      <c r="G666" s="233"/>
      <c r="H666" s="234"/>
      <c r="I666" s="233"/>
      <c r="J666" s="173"/>
      <c r="K666" s="77"/>
      <c r="L666" s="77"/>
      <c r="M666" s="77"/>
      <c r="N666" s="80"/>
      <c r="O666" s="80"/>
    </row>
    <row r="667" ht="15.75" customHeight="1">
      <c r="A667" s="242"/>
      <c r="B667" s="225"/>
      <c r="C667" s="235"/>
      <c r="D667" s="236"/>
      <c r="E667" s="237"/>
      <c r="F667" s="238"/>
      <c r="G667" s="239"/>
      <c r="H667" s="240"/>
      <c r="I667" s="239"/>
      <c r="J667" s="148"/>
      <c r="K667" s="94"/>
      <c r="L667" s="94"/>
      <c r="M667" s="94"/>
      <c r="N667" s="112"/>
      <c r="O667" s="112"/>
    </row>
    <row r="668" ht="15.75" customHeight="1">
      <c r="A668" s="243"/>
      <c r="B668" s="211"/>
      <c r="C668" s="229"/>
      <c r="D668" s="230"/>
      <c r="E668" s="231"/>
      <c r="F668" s="232"/>
      <c r="G668" s="233"/>
      <c r="H668" s="234"/>
      <c r="I668" s="233"/>
      <c r="J668" s="173"/>
      <c r="K668" s="77"/>
      <c r="L668" s="77"/>
      <c r="M668" s="77"/>
      <c r="N668" s="80"/>
      <c r="O668" s="80"/>
    </row>
    <row r="669" ht="15.75" customHeight="1">
      <c r="A669" s="242"/>
      <c r="B669" s="225"/>
      <c r="C669" s="235"/>
      <c r="D669" s="236"/>
      <c r="E669" s="237"/>
      <c r="F669" s="238"/>
      <c r="G669" s="239"/>
      <c r="H669" s="240"/>
      <c r="I669" s="239"/>
      <c r="J669" s="148"/>
      <c r="K669" s="94"/>
      <c r="L669" s="94"/>
      <c r="M669" s="94"/>
      <c r="N669" s="112"/>
      <c r="O669" s="112"/>
    </row>
    <row r="670" ht="15.75" customHeight="1">
      <c r="A670" s="243"/>
      <c r="B670" s="211"/>
      <c r="C670" s="229"/>
      <c r="D670" s="230"/>
      <c r="E670" s="231"/>
      <c r="F670" s="232"/>
      <c r="G670" s="233"/>
      <c r="H670" s="234"/>
      <c r="I670" s="233"/>
      <c r="J670" s="173"/>
      <c r="K670" s="77"/>
      <c r="L670" s="77"/>
      <c r="M670" s="77"/>
      <c r="N670" s="80"/>
      <c r="O670" s="80"/>
    </row>
    <row r="671" ht="15.75" customHeight="1">
      <c r="A671" s="242"/>
      <c r="B671" s="225"/>
      <c r="C671" s="235"/>
      <c r="D671" s="236"/>
      <c r="E671" s="237"/>
      <c r="F671" s="238"/>
      <c r="G671" s="239"/>
      <c r="H671" s="240"/>
      <c r="I671" s="239"/>
      <c r="J671" s="148"/>
      <c r="K671" s="94"/>
      <c r="L671" s="94"/>
      <c r="M671" s="94"/>
      <c r="N671" s="112"/>
      <c r="O671" s="112"/>
    </row>
    <row r="672" ht="15.75" customHeight="1">
      <c r="A672" s="243"/>
      <c r="B672" s="211"/>
      <c r="C672" s="229"/>
      <c r="D672" s="230"/>
      <c r="E672" s="231"/>
      <c r="F672" s="232"/>
      <c r="G672" s="233"/>
      <c r="H672" s="234"/>
      <c r="I672" s="233"/>
      <c r="J672" s="173"/>
      <c r="K672" s="77"/>
      <c r="L672" s="77"/>
      <c r="M672" s="77"/>
      <c r="N672" s="80"/>
      <c r="O672" s="80"/>
    </row>
    <row r="673" ht="15.75" customHeight="1">
      <c r="A673" s="242"/>
      <c r="B673" s="225"/>
      <c r="C673" s="235"/>
      <c r="D673" s="236"/>
      <c r="E673" s="237"/>
      <c r="F673" s="238"/>
      <c r="G673" s="239"/>
      <c r="H673" s="240"/>
      <c r="I673" s="239"/>
      <c r="J673" s="148"/>
      <c r="K673" s="94"/>
      <c r="L673" s="94"/>
      <c r="M673" s="94"/>
      <c r="N673" s="112"/>
      <c r="O673" s="112"/>
    </row>
    <row r="674" ht="15.75" customHeight="1">
      <c r="A674" s="243"/>
      <c r="B674" s="211"/>
      <c r="C674" s="229"/>
      <c r="D674" s="230"/>
      <c r="E674" s="231"/>
      <c r="F674" s="232"/>
      <c r="G674" s="233"/>
      <c r="H674" s="234"/>
      <c r="I674" s="233"/>
      <c r="J674" s="173"/>
      <c r="K674" s="77"/>
      <c r="L674" s="77"/>
      <c r="M674" s="77"/>
      <c r="N674" s="80"/>
      <c r="O674" s="80"/>
    </row>
    <row r="675" ht="15.75" customHeight="1">
      <c r="A675" s="242"/>
      <c r="B675" s="225"/>
      <c r="C675" s="235"/>
      <c r="D675" s="236"/>
      <c r="E675" s="237"/>
      <c r="F675" s="238"/>
      <c r="G675" s="239"/>
      <c r="H675" s="240"/>
      <c r="I675" s="239"/>
      <c r="J675" s="148"/>
      <c r="K675" s="94"/>
      <c r="L675" s="94"/>
      <c r="M675" s="94"/>
      <c r="N675" s="112"/>
      <c r="O675" s="112"/>
    </row>
    <row r="676" ht="15.75" customHeight="1">
      <c r="A676" s="243"/>
      <c r="B676" s="211"/>
      <c r="C676" s="229"/>
      <c r="D676" s="230"/>
      <c r="E676" s="231"/>
      <c r="F676" s="232"/>
      <c r="G676" s="233"/>
      <c r="H676" s="234"/>
      <c r="I676" s="233"/>
      <c r="J676" s="173"/>
      <c r="K676" s="77"/>
      <c r="L676" s="77"/>
      <c r="M676" s="77"/>
      <c r="N676" s="80"/>
      <c r="O676" s="80"/>
    </row>
    <row r="677" ht="15.75" customHeight="1">
      <c r="A677" s="242"/>
      <c r="B677" s="225"/>
      <c r="C677" s="235"/>
      <c r="D677" s="236"/>
      <c r="E677" s="237"/>
      <c r="F677" s="238"/>
      <c r="G677" s="239"/>
      <c r="H677" s="240"/>
      <c r="I677" s="239"/>
      <c r="J677" s="148"/>
      <c r="K677" s="94"/>
      <c r="L677" s="94"/>
      <c r="M677" s="94"/>
      <c r="N677" s="112"/>
      <c r="O677" s="112"/>
    </row>
    <row r="678" ht="15.75" customHeight="1">
      <c r="A678" s="243"/>
      <c r="B678" s="211"/>
      <c r="C678" s="229"/>
      <c r="D678" s="230"/>
      <c r="E678" s="231"/>
      <c r="F678" s="232"/>
      <c r="G678" s="233"/>
      <c r="H678" s="234"/>
      <c r="I678" s="233"/>
      <c r="J678" s="173"/>
      <c r="K678" s="77"/>
      <c r="L678" s="77"/>
      <c r="M678" s="77"/>
      <c r="N678" s="80"/>
      <c r="O678" s="80"/>
    </row>
    <row r="679" ht="15.75" customHeight="1">
      <c r="A679" s="242"/>
      <c r="B679" s="225"/>
      <c r="C679" s="235"/>
      <c r="D679" s="236"/>
      <c r="E679" s="237"/>
      <c r="F679" s="238"/>
      <c r="G679" s="239"/>
      <c r="H679" s="240"/>
      <c r="I679" s="239"/>
      <c r="J679" s="148"/>
      <c r="K679" s="94"/>
      <c r="L679" s="94"/>
      <c r="M679" s="94"/>
      <c r="N679" s="112"/>
      <c r="O679" s="112"/>
    </row>
    <row r="680" ht="15.75" customHeight="1">
      <c r="A680" s="243"/>
      <c r="B680" s="211"/>
      <c r="C680" s="229"/>
      <c r="D680" s="230"/>
      <c r="E680" s="231"/>
      <c r="F680" s="232"/>
      <c r="G680" s="233"/>
      <c r="H680" s="234"/>
      <c r="I680" s="233"/>
      <c r="J680" s="173"/>
      <c r="K680" s="77"/>
      <c r="L680" s="77"/>
      <c r="M680" s="77"/>
      <c r="N680" s="80"/>
      <c r="O680" s="80"/>
    </row>
    <row r="681" ht="15.75" customHeight="1">
      <c r="A681" s="242"/>
      <c r="B681" s="225"/>
      <c r="C681" s="235"/>
      <c r="D681" s="236"/>
      <c r="E681" s="237"/>
      <c r="F681" s="238"/>
      <c r="G681" s="239"/>
      <c r="H681" s="240"/>
      <c r="I681" s="239"/>
      <c r="J681" s="148"/>
      <c r="K681" s="94"/>
      <c r="L681" s="94"/>
      <c r="M681" s="94"/>
      <c r="N681" s="112"/>
      <c r="O681" s="112"/>
    </row>
    <row r="682" ht="15.75" customHeight="1">
      <c r="A682" s="243"/>
      <c r="B682" s="211"/>
      <c r="C682" s="229"/>
      <c r="D682" s="230"/>
      <c r="E682" s="231"/>
      <c r="F682" s="232"/>
      <c r="G682" s="233"/>
      <c r="H682" s="234"/>
      <c r="I682" s="233"/>
      <c r="J682" s="173"/>
      <c r="K682" s="77"/>
      <c r="L682" s="77"/>
      <c r="M682" s="77"/>
      <c r="N682" s="80"/>
      <c r="O682" s="80"/>
    </row>
    <row r="683" ht="15.75" customHeight="1">
      <c r="A683" s="242"/>
      <c r="B683" s="225"/>
      <c r="C683" s="235"/>
      <c r="D683" s="236"/>
      <c r="E683" s="237"/>
      <c r="F683" s="238"/>
      <c r="G683" s="239"/>
      <c r="H683" s="240"/>
      <c r="I683" s="239"/>
      <c r="J683" s="148"/>
      <c r="K683" s="94"/>
      <c r="L683" s="94"/>
      <c r="M683" s="94"/>
      <c r="N683" s="112"/>
      <c r="O683" s="112"/>
    </row>
    <row r="684" ht="15.75" customHeight="1">
      <c r="A684" s="243"/>
      <c r="B684" s="211"/>
      <c r="C684" s="229"/>
      <c r="D684" s="230"/>
      <c r="E684" s="231"/>
      <c r="F684" s="232"/>
      <c r="G684" s="233"/>
      <c r="H684" s="234"/>
      <c r="I684" s="233"/>
      <c r="J684" s="173"/>
      <c r="K684" s="77"/>
      <c r="L684" s="77"/>
      <c r="M684" s="77"/>
      <c r="N684" s="80"/>
      <c r="O684" s="80"/>
    </row>
    <row r="685" ht="15.75" customHeight="1">
      <c r="A685" s="242"/>
      <c r="B685" s="225"/>
      <c r="C685" s="235"/>
      <c r="D685" s="236"/>
      <c r="E685" s="237"/>
      <c r="F685" s="238"/>
      <c r="G685" s="239"/>
      <c r="H685" s="240"/>
      <c r="I685" s="239"/>
      <c r="J685" s="148"/>
      <c r="K685" s="94"/>
      <c r="L685" s="94"/>
      <c r="M685" s="94"/>
      <c r="N685" s="112"/>
      <c r="O685" s="112"/>
    </row>
    <row r="686" ht="15.75" customHeight="1">
      <c r="A686" s="243"/>
      <c r="B686" s="211"/>
      <c r="C686" s="229"/>
      <c r="D686" s="230"/>
      <c r="E686" s="231"/>
      <c r="F686" s="232"/>
      <c r="G686" s="233"/>
      <c r="H686" s="234"/>
      <c r="I686" s="233"/>
      <c r="J686" s="173"/>
      <c r="K686" s="77"/>
      <c r="L686" s="77"/>
      <c r="M686" s="77"/>
      <c r="N686" s="80"/>
      <c r="O686" s="80"/>
    </row>
    <row r="687" ht="15.75" customHeight="1">
      <c r="A687" s="242"/>
      <c r="B687" s="225"/>
      <c r="C687" s="235"/>
      <c r="D687" s="236"/>
      <c r="E687" s="237"/>
      <c r="F687" s="238"/>
      <c r="G687" s="239"/>
      <c r="H687" s="240"/>
      <c r="I687" s="239"/>
      <c r="J687" s="148"/>
      <c r="K687" s="94"/>
      <c r="L687" s="94"/>
      <c r="M687" s="94"/>
      <c r="N687" s="112"/>
      <c r="O687" s="112"/>
    </row>
    <row r="688" ht="15.75" customHeight="1">
      <c r="A688" s="243"/>
      <c r="B688" s="211"/>
      <c r="C688" s="229"/>
      <c r="D688" s="230"/>
      <c r="E688" s="231"/>
      <c r="F688" s="232"/>
      <c r="G688" s="233"/>
      <c r="H688" s="234"/>
      <c r="I688" s="233"/>
      <c r="J688" s="173"/>
      <c r="K688" s="77"/>
      <c r="L688" s="77"/>
      <c r="M688" s="77"/>
      <c r="N688" s="80"/>
      <c r="O688" s="80"/>
    </row>
    <row r="689" ht="15.75" customHeight="1">
      <c r="A689" s="242"/>
      <c r="B689" s="225"/>
      <c r="C689" s="235"/>
      <c r="D689" s="236"/>
      <c r="E689" s="237"/>
      <c r="F689" s="238"/>
      <c r="G689" s="239"/>
      <c r="H689" s="240"/>
      <c r="I689" s="239"/>
      <c r="J689" s="148"/>
      <c r="K689" s="94"/>
      <c r="L689" s="94"/>
      <c r="M689" s="94"/>
      <c r="N689" s="112"/>
      <c r="O689" s="112"/>
    </row>
    <row r="690" ht="15.75" customHeight="1">
      <c r="A690" s="243"/>
      <c r="B690" s="211"/>
      <c r="C690" s="229"/>
      <c r="D690" s="230"/>
      <c r="E690" s="231"/>
      <c r="F690" s="232"/>
      <c r="G690" s="233"/>
      <c r="H690" s="234"/>
      <c r="I690" s="233"/>
      <c r="J690" s="173"/>
      <c r="K690" s="77"/>
      <c r="L690" s="77"/>
      <c r="M690" s="77"/>
      <c r="N690" s="80"/>
      <c r="O690" s="80"/>
    </row>
    <row r="691" ht="15.75" customHeight="1">
      <c r="A691" s="242"/>
      <c r="B691" s="225"/>
      <c r="C691" s="235"/>
      <c r="D691" s="236"/>
      <c r="E691" s="237"/>
      <c r="F691" s="238"/>
      <c r="G691" s="239"/>
      <c r="H691" s="240"/>
      <c r="I691" s="239"/>
      <c r="J691" s="148"/>
      <c r="K691" s="94"/>
      <c r="L691" s="94"/>
      <c r="M691" s="94"/>
      <c r="N691" s="112"/>
      <c r="O691" s="112"/>
    </row>
    <row r="692" ht="15.75" customHeight="1">
      <c r="A692" s="243"/>
      <c r="B692" s="211"/>
      <c r="C692" s="229"/>
      <c r="D692" s="230"/>
      <c r="E692" s="231"/>
      <c r="F692" s="232"/>
      <c r="G692" s="233"/>
      <c r="H692" s="234"/>
      <c r="I692" s="233"/>
      <c r="J692" s="173"/>
      <c r="K692" s="77"/>
      <c r="L692" s="77"/>
      <c r="M692" s="77"/>
      <c r="N692" s="80"/>
      <c r="O692" s="80"/>
    </row>
    <row r="693" ht="15.75" customHeight="1">
      <c r="A693" s="242"/>
      <c r="B693" s="225"/>
      <c r="C693" s="235"/>
      <c r="D693" s="236"/>
      <c r="E693" s="237"/>
      <c r="F693" s="238"/>
      <c r="G693" s="239"/>
      <c r="H693" s="240"/>
      <c r="I693" s="239"/>
      <c r="J693" s="148"/>
      <c r="K693" s="94"/>
      <c r="L693" s="94"/>
      <c r="M693" s="94"/>
      <c r="N693" s="112"/>
      <c r="O693" s="112"/>
    </row>
    <row r="694" ht="15.75" customHeight="1">
      <c r="A694" s="243"/>
      <c r="B694" s="211"/>
      <c r="C694" s="229"/>
      <c r="D694" s="230"/>
      <c r="E694" s="231"/>
      <c r="F694" s="232"/>
      <c r="G694" s="233"/>
      <c r="H694" s="234"/>
      <c r="I694" s="233"/>
      <c r="J694" s="173"/>
      <c r="K694" s="77"/>
      <c r="L694" s="77"/>
      <c r="M694" s="77"/>
      <c r="N694" s="80"/>
      <c r="O694" s="80"/>
    </row>
    <row r="695" ht="15.75" customHeight="1">
      <c r="A695" s="242"/>
      <c r="B695" s="225"/>
      <c r="C695" s="235"/>
      <c r="D695" s="236"/>
      <c r="E695" s="237"/>
      <c r="F695" s="238"/>
      <c r="G695" s="239"/>
      <c r="H695" s="240"/>
      <c r="I695" s="239"/>
      <c r="J695" s="148"/>
      <c r="K695" s="94"/>
      <c r="L695" s="94"/>
      <c r="M695" s="94"/>
      <c r="N695" s="112"/>
      <c r="O695" s="112"/>
    </row>
    <row r="696" ht="15.75" customHeight="1">
      <c r="A696" s="243"/>
      <c r="B696" s="211"/>
      <c r="C696" s="229"/>
      <c r="D696" s="230"/>
      <c r="E696" s="231"/>
      <c r="F696" s="232"/>
      <c r="G696" s="233"/>
      <c r="H696" s="234"/>
      <c r="I696" s="233"/>
      <c r="J696" s="173"/>
      <c r="K696" s="77"/>
      <c r="L696" s="77"/>
      <c r="M696" s="77"/>
      <c r="N696" s="80"/>
      <c r="O696" s="80"/>
    </row>
    <row r="697" ht="15.75" customHeight="1">
      <c r="A697" s="242"/>
      <c r="B697" s="225"/>
      <c r="C697" s="235"/>
      <c r="D697" s="236"/>
      <c r="E697" s="237"/>
      <c r="F697" s="238"/>
      <c r="G697" s="239"/>
      <c r="H697" s="240"/>
      <c r="I697" s="239"/>
      <c r="J697" s="148"/>
      <c r="K697" s="94"/>
      <c r="L697" s="94"/>
      <c r="M697" s="94"/>
      <c r="N697" s="112"/>
      <c r="O697" s="112"/>
    </row>
    <row r="698" ht="15.75" customHeight="1">
      <c r="A698" s="243"/>
      <c r="B698" s="211"/>
      <c r="C698" s="229"/>
      <c r="D698" s="230"/>
      <c r="E698" s="231"/>
      <c r="F698" s="232"/>
      <c r="G698" s="233"/>
      <c r="H698" s="234"/>
      <c r="I698" s="233"/>
      <c r="J698" s="173"/>
      <c r="K698" s="77"/>
      <c r="L698" s="77"/>
      <c r="M698" s="77"/>
      <c r="N698" s="80"/>
      <c r="O698" s="80"/>
    </row>
    <row r="699" ht="15.75" customHeight="1">
      <c r="A699" s="242"/>
      <c r="B699" s="225"/>
      <c r="C699" s="235"/>
      <c r="D699" s="236"/>
      <c r="E699" s="237"/>
      <c r="F699" s="238"/>
      <c r="G699" s="239"/>
      <c r="H699" s="240"/>
      <c r="I699" s="239"/>
      <c r="J699" s="148"/>
      <c r="K699" s="94"/>
      <c r="L699" s="94"/>
      <c r="M699" s="94"/>
      <c r="N699" s="112"/>
      <c r="O699" s="112"/>
    </row>
    <row r="700" ht="15.75" customHeight="1">
      <c r="A700" s="243"/>
      <c r="B700" s="211"/>
      <c r="C700" s="229"/>
      <c r="D700" s="230"/>
      <c r="E700" s="231"/>
      <c r="F700" s="232"/>
      <c r="G700" s="233"/>
      <c r="H700" s="234"/>
      <c r="I700" s="233"/>
      <c r="J700" s="173"/>
      <c r="K700" s="77"/>
      <c r="L700" s="77"/>
      <c r="M700" s="77"/>
      <c r="N700" s="80"/>
      <c r="O700" s="80"/>
    </row>
    <row r="701" ht="15.75" customHeight="1">
      <c r="A701" s="242"/>
      <c r="B701" s="225"/>
      <c r="C701" s="235"/>
      <c r="D701" s="236"/>
      <c r="E701" s="237"/>
      <c r="F701" s="238"/>
      <c r="G701" s="239"/>
      <c r="H701" s="240"/>
      <c r="I701" s="239"/>
      <c r="J701" s="148"/>
      <c r="K701" s="94"/>
      <c r="L701" s="94"/>
      <c r="M701" s="94"/>
      <c r="N701" s="112"/>
      <c r="O701" s="112"/>
    </row>
    <row r="702" ht="15.75" customHeight="1">
      <c r="A702" s="243"/>
      <c r="B702" s="211"/>
      <c r="C702" s="229"/>
      <c r="D702" s="230"/>
      <c r="E702" s="231"/>
      <c r="F702" s="232"/>
      <c r="G702" s="233"/>
      <c r="H702" s="234"/>
      <c r="I702" s="233"/>
      <c r="J702" s="173"/>
      <c r="K702" s="77"/>
      <c r="L702" s="77"/>
      <c r="M702" s="77"/>
      <c r="N702" s="80"/>
      <c r="O702" s="80"/>
    </row>
    <row r="703" ht="15.75" customHeight="1">
      <c r="A703" s="242"/>
      <c r="B703" s="225"/>
      <c r="C703" s="235"/>
      <c r="D703" s="236"/>
      <c r="E703" s="237"/>
      <c r="F703" s="238"/>
      <c r="G703" s="239"/>
      <c r="H703" s="240"/>
      <c r="I703" s="239"/>
      <c r="J703" s="148"/>
      <c r="K703" s="94"/>
      <c r="L703" s="94"/>
      <c r="M703" s="94"/>
      <c r="N703" s="112"/>
      <c r="O703" s="112"/>
    </row>
    <row r="704" ht="15.75" customHeight="1">
      <c r="A704" s="243"/>
      <c r="B704" s="211"/>
      <c r="C704" s="229"/>
      <c r="D704" s="230"/>
      <c r="E704" s="231"/>
      <c r="F704" s="232"/>
      <c r="G704" s="233"/>
      <c r="H704" s="234"/>
      <c r="I704" s="233"/>
      <c r="J704" s="173"/>
      <c r="K704" s="77"/>
      <c r="L704" s="77"/>
      <c r="M704" s="77"/>
      <c r="N704" s="80"/>
      <c r="O704" s="80"/>
    </row>
    <row r="705" ht="15.75" customHeight="1">
      <c r="A705" s="242"/>
      <c r="B705" s="225"/>
      <c r="C705" s="235"/>
      <c r="D705" s="236"/>
      <c r="E705" s="237"/>
      <c r="F705" s="238"/>
      <c r="G705" s="239"/>
      <c r="H705" s="240"/>
      <c r="I705" s="239"/>
      <c r="J705" s="148"/>
      <c r="K705" s="94"/>
      <c r="L705" s="94"/>
      <c r="M705" s="94"/>
      <c r="N705" s="112"/>
      <c r="O705" s="112"/>
    </row>
    <row r="706" ht="15.75" customHeight="1">
      <c r="A706" s="243"/>
      <c r="B706" s="211"/>
      <c r="C706" s="229"/>
      <c r="D706" s="230"/>
      <c r="E706" s="231"/>
      <c r="F706" s="232"/>
      <c r="G706" s="233"/>
      <c r="H706" s="234"/>
      <c r="I706" s="233"/>
      <c r="J706" s="173"/>
      <c r="K706" s="77"/>
      <c r="L706" s="77"/>
      <c r="M706" s="77"/>
      <c r="N706" s="80"/>
      <c r="O706" s="80"/>
    </row>
    <row r="707" ht="15.75" customHeight="1">
      <c r="A707" s="242"/>
      <c r="B707" s="225"/>
      <c r="C707" s="235"/>
      <c r="D707" s="236"/>
      <c r="E707" s="237"/>
      <c r="F707" s="238"/>
      <c r="G707" s="239"/>
      <c r="H707" s="240"/>
      <c r="I707" s="239"/>
      <c r="J707" s="148"/>
      <c r="K707" s="94"/>
      <c r="L707" s="94"/>
      <c r="M707" s="94"/>
      <c r="N707" s="112"/>
      <c r="O707" s="112"/>
    </row>
    <row r="708" ht="15.75" customHeight="1">
      <c r="A708" s="243"/>
      <c r="B708" s="211"/>
      <c r="C708" s="229"/>
      <c r="D708" s="230"/>
      <c r="E708" s="231"/>
      <c r="F708" s="232"/>
      <c r="G708" s="233"/>
      <c r="H708" s="234"/>
      <c r="I708" s="233"/>
      <c r="J708" s="173"/>
      <c r="K708" s="77"/>
      <c r="L708" s="77"/>
      <c r="M708" s="77"/>
      <c r="N708" s="80"/>
      <c r="O708" s="80"/>
    </row>
    <row r="709" ht="15.75" customHeight="1">
      <c r="A709" s="242"/>
      <c r="B709" s="225"/>
      <c r="C709" s="235"/>
      <c r="D709" s="236"/>
      <c r="E709" s="237"/>
      <c r="F709" s="238"/>
      <c r="G709" s="239"/>
      <c r="H709" s="240"/>
      <c r="I709" s="239"/>
      <c r="J709" s="148"/>
      <c r="K709" s="94"/>
      <c r="L709" s="94"/>
      <c r="M709" s="94"/>
      <c r="N709" s="112"/>
      <c r="O709" s="112"/>
    </row>
    <row r="710" ht="15.75" customHeight="1">
      <c r="A710" s="243"/>
      <c r="B710" s="211"/>
      <c r="C710" s="229"/>
      <c r="D710" s="230"/>
      <c r="E710" s="231"/>
      <c r="F710" s="232"/>
      <c r="G710" s="233"/>
      <c r="H710" s="234"/>
      <c r="I710" s="233"/>
      <c r="J710" s="173"/>
      <c r="K710" s="77"/>
      <c r="L710" s="77"/>
      <c r="M710" s="77"/>
      <c r="N710" s="80"/>
      <c r="O710" s="80"/>
    </row>
    <row r="711" ht="15.75" customHeight="1">
      <c r="A711" s="242"/>
      <c r="B711" s="225"/>
      <c r="C711" s="235"/>
      <c r="D711" s="236"/>
      <c r="E711" s="237"/>
      <c r="F711" s="238"/>
      <c r="G711" s="239"/>
      <c r="H711" s="240"/>
      <c r="I711" s="239"/>
      <c r="J711" s="148"/>
      <c r="K711" s="94"/>
      <c r="L711" s="94"/>
      <c r="M711" s="94"/>
      <c r="N711" s="112"/>
      <c r="O711" s="112"/>
    </row>
    <row r="712" ht="15.75" customHeight="1">
      <c r="A712" s="243"/>
      <c r="B712" s="211"/>
      <c r="C712" s="229"/>
      <c r="D712" s="230"/>
      <c r="E712" s="231"/>
      <c r="F712" s="232"/>
      <c r="G712" s="233"/>
      <c r="H712" s="234"/>
      <c r="I712" s="233"/>
      <c r="J712" s="173"/>
      <c r="K712" s="77"/>
      <c r="L712" s="77"/>
      <c r="M712" s="77"/>
      <c r="N712" s="80"/>
      <c r="O712" s="80"/>
    </row>
    <row r="713" ht="15.75" customHeight="1">
      <c r="A713" s="242"/>
      <c r="B713" s="225"/>
      <c r="C713" s="235"/>
      <c r="D713" s="236"/>
      <c r="E713" s="237"/>
      <c r="F713" s="238"/>
      <c r="G713" s="239"/>
      <c r="H713" s="240"/>
      <c r="I713" s="239"/>
      <c r="J713" s="148"/>
      <c r="K713" s="94"/>
      <c r="L713" s="94"/>
      <c r="M713" s="94"/>
      <c r="N713" s="112"/>
      <c r="O713" s="112"/>
    </row>
    <row r="714" ht="15.75" customHeight="1">
      <c r="A714" s="243"/>
      <c r="B714" s="211"/>
      <c r="C714" s="229"/>
      <c r="D714" s="230"/>
      <c r="E714" s="231"/>
      <c r="F714" s="232"/>
      <c r="G714" s="233"/>
      <c r="H714" s="234"/>
      <c r="I714" s="233"/>
      <c r="J714" s="173"/>
      <c r="K714" s="77"/>
      <c r="L714" s="77"/>
      <c r="M714" s="77"/>
      <c r="N714" s="80"/>
      <c r="O714" s="80"/>
    </row>
    <row r="715" ht="15.75" customHeight="1">
      <c r="A715" s="242"/>
      <c r="B715" s="225"/>
      <c r="C715" s="235"/>
      <c r="D715" s="236"/>
      <c r="E715" s="237"/>
      <c r="F715" s="238"/>
      <c r="G715" s="239"/>
      <c r="H715" s="240"/>
      <c r="I715" s="239"/>
      <c r="J715" s="148"/>
      <c r="K715" s="94"/>
      <c r="L715" s="94"/>
      <c r="M715" s="94"/>
      <c r="N715" s="112"/>
      <c r="O715" s="112"/>
    </row>
    <row r="716" ht="15.75" customHeight="1">
      <c r="A716" s="243"/>
      <c r="B716" s="211"/>
      <c r="C716" s="229"/>
      <c r="D716" s="230"/>
      <c r="E716" s="231"/>
      <c r="F716" s="232"/>
      <c r="G716" s="233"/>
      <c r="H716" s="234"/>
      <c r="I716" s="233"/>
      <c r="J716" s="173"/>
      <c r="K716" s="77"/>
      <c r="L716" s="77"/>
      <c r="M716" s="77"/>
      <c r="N716" s="80"/>
      <c r="O716" s="80"/>
    </row>
    <row r="717" ht="15.75" customHeight="1">
      <c r="A717" s="242"/>
      <c r="B717" s="225"/>
      <c r="C717" s="235"/>
      <c r="D717" s="236"/>
      <c r="E717" s="237"/>
      <c r="F717" s="238"/>
      <c r="G717" s="239"/>
      <c r="H717" s="240"/>
      <c r="I717" s="239"/>
      <c r="J717" s="148"/>
      <c r="K717" s="94"/>
      <c r="L717" s="94"/>
      <c r="M717" s="94"/>
      <c r="N717" s="112"/>
      <c r="O717" s="112"/>
    </row>
    <row r="718" ht="15.75" customHeight="1">
      <c r="A718" s="243"/>
      <c r="B718" s="211"/>
      <c r="C718" s="229"/>
      <c r="D718" s="230"/>
      <c r="E718" s="231"/>
      <c r="F718" s="232"/>
      <c r="G718" s="233"/>
      <c r="H718" s="234"/>
      <c r="I718" s="233"/>
      <c r="J718" s="173"/>
      <c r="K718" s="77"/>
      <c r="L718" s="77"/>
      <c r="M718" s="77"/>
      <c r="N718" s="80"/>
      <c r="O718" s="80"/>
    </row>
    <row r="719" ht="15.75" customHeight="1">
      <c r="A719" s="242"/>
      <c r="B719" s="225"/>
      <c r="C719" s="235"/>
      <c r="D719" s="236"/>
      <c r="E719" s="237"/>
      <c r="F719" s="238"/>
      <c r="G719" s="239"/>
      <c r="H719" s="240"/>
      <c r="I719" s="239"/>
      <c r="J719" s="148"/>
      <c r="K719" s="94"/>
      <c r="L719" s="94"/>
      <c r="M719" s="94"/>
      <c r="N719" s="112"/>
      <c r="O719" s="112"/>
    </row>
    <row r="720" ht="15.75" customHeight="1">
      <c r="A720" s="243"/>
      <c r="B720" s="211"/>
      <c r="C720" s="229"/>
      <c r="D720" s="230"/>
      <c r="E720" s="231"/>
      <c r="F720" s="232"/>
      <c r="G720" s="233"/>
      <c r="H720" s="234"/>
      <c r="I720" s="233"/>
      <c r="J720" s="173"/>
      <c r="K720" s="77"/>
      <c r="L720" s="77"/>
      <c r="M720" s="77"/>
      <c r="N720" s="80"/>
      <c r="O720" s="80"/>
    </row>
    <row r="721" ht="15.75" customHeight="1">
      <c r="A721" s="242"/>
      <c r="B721" s="225"/>
      <c r="C721" s="235"/>
      <c r="D721" s="236"/>
      <c r="E721" s="237"/>
      <c r="F721" s="238"/>
      <c r="G721" s="239"/>
      <c r="H721" s="240"/>
      <c r="I721" s="239"/>
      <c r="J721" s="148"/>
      <c r="K721" s="94"/>
      <c r="L721" s="94"/>
      <c r="M721" s="94"/>
      <c r="N721" s="112"/>
      <c r="O721" s="112"/>
    </row>
    <row r="722" ht="15.75" customHeight="1">
      <c r="A722" s="243"/>
      <c r="B722" s="211"/>
      <c r="C722" s="229"/>
      <c r="D722" s="230"/>
      <c r="E722" s="231"/>
      <c r="F722" s="232"/>
      <c r="G722" s="233"/>
      <c r="H722" s="234"/>
      <c r="I722" s="233"/>
      <c r="J722" s="173"/>
      <c r="K722" s="77"/>
      <c r="L722" s="77"/>
      <c r="M722" s="77"/>
      <c r="N722" s="80"/>
      <c r="O722" s="80"/>
    </row>
    <row r="723" ht="15.75" customHeight="1">
      <c r="A723" s="242"/>
      <c r="B723" s="225"/>
      <c r="C723" s="235"/>
      <c r="D723" s="236"/>
      <c r="E723" s="237"/>
      <c r="F723" s="238"/>
      <c r="G723" s="239"/>
      <c r="H723" s="240"/>
      <c r="I723" s="239"/>
      <c r="J723" s="148"/>
      <c r="K723" s="94"/>
      <c r="L723" s="94"/>
      <c r="M723" s="94"/>
      <c r="N723" s="112"/>
      <c r="O723" s="112"/>
    </row>
    <row r="724" ht="15.75" customHeight="1">
      <c r="A724" s="243"/>
      <c r="B724" s="211"/>
      <c r="C724" s="229"/>
      <c r="D724" s="230"/>
      <c r="E724" s="231"/>
      <c r="F724" s="232"/>
      <c r="G724" s="233"/>
      <c r="H724" s="234"/>
      <c r="I724" s="233"/>
      <c r="J724" s="173"/>
      <c r="K724" s="77"/>
      <c r="L724" s="77"/>
      <c r="M724" s="77"/>
      <c r="N724" s="80"/>
      <c r="O724" s="80"/>
    </row>
    <row r="725" ht="15.75" customHeight="1">
      <c r="A725" s="242"/>
      <c r="B725" s="225"/>
      <c r="C725" s="235"/>
      <c r="D725" s="236"/>
      <c r="E725" s="237"/>
      <c r="F725" s="238"/>
      <c r="G725" s="239"/>
      <c r="H725" s="240"/>
      <c r="I725" s="239"/>
      <c r="J725" s="148"/>
      <c r="K725" s="94"/>
      <c r="L725" s="94"/>
      <c r="M725" s="94"/>
      <c r="N725" s="112"/>
      <c r="O725" s="112"/>
    </row>
    <row r="726" ht="15.75" customHeight="1">
      <c r="A726" s="243"/>
      <c r="B726" s="211"/>
      <c r="C726" s="229"/>
      <c r="D726" s="230"/>
      <c r="E726" s="231"/>
      <c r="F726" s="232"/>
      <c r="G726" s="233"/>
      <c r="H726" s="234"/>
      <c r="I726" s="233"/>
      <c r="J726" s="173"/>
      <c r="K726" s="77"/>
      <c r="L726" s="77"/>
      <c r="M726" s="77"/>
      <c r="N726" s="80"/>
      <c r="O726" s="80"/>
    </row>
    <row r="727" ht="15.75" customHeight="1">
      <c r="A727" s="242"/>
      <c r="B727" s="225"/>
      <c r="C727" s="235"/>
      <c r="D727" s="236"/>
      <c r="E727" s="237"/>
      <c r="F727" s="238"/>
      <c r="G727" s="239"/>
      <c r="H727" s="240"/>
      <c r="I727" s="239"/>
      <c r="J727" s="148"/>
      <c r="K727" s="94"/>
      <c r="L727" s="94"/>
      <c r="M727" s="94"/>
      <c r="N727" s="112"/>
      <c r="O727" s="112"/>
    </row>
    <row r="728" ht="15.75" customHeight="1">
      <c r="A728" s="243"/>
      <c r="B728" s="211"/>
      <c r="C728" s="229"/>
      <c r="D728" s="230"/>
      <c r="E728" s="231"/>
      <c r="F728" s="232"/>
      <c r="G728" s="233"/>
      <c r="H728" s="234"/>
      <c r="I728" s="233"/>
      <c r="J728" s="173"/>
      <c r="K728" s="77"/>
      <c r="L728" s="77"/>
      <c r="M728" s="77"/>
      <c r="N728" s="80"/>
      <c r="O728" s="80"/>
    </row>
    <row r="729" ht="15.75" customHeight="1">
      <c r="A729" s="242"/>
      <c r="B729" s="225"/>
      <c r="C729" s="235"/>
      <c r="D729" s="236"/>
      <c r="E729" s="237"/>
      <c r="F729" s="238"/>
      <c r="G729" s="239"/>
      <c r="H729" s="240"/>
      <c r="I729" s="239"/>
      <c r="J729" s="148"/>
      <c r="K729" s="94"/>
      <c r="L729" s="94"/>
      <c r="M729" s="94"/>
      <c r="N729" s="112"/>
      <c r="O729" s="112"/>
    </row>
    <row r="730" ht="15.75" customHeight="1">
      <c r="A730" s="243"/>
      <c r="B730" s="211"/>
      <c r="C730" s="229"/>
      <c r="D730" s="230"/>
      <c r="E730" s="231"/>
      <c r="F730" s="232"/>
      <c r="G730" s="233"/>
      <c r="H730" s="234"/>
      <c r="I730" s="233"/>
      <c r="J730" s="173"/>
      <c r="K730" s="77"/>
      <c r="L730" s="77"/>
      <c r="M730" s="77"/>
      <c r="N730" s="80"/>
      <c r="O730" s="80"/>
    </row>
    <row r="731" ht="15.75" customHeight="1">
      <c r="A731" s="242"/>
      <c r="B731" s="225"/>
      <c r="C731" s="235"/>
      <c r="D731" s="236"/>
      <c r="E731" s="237"/>
      <c r="F731" s="238"/>
      <c r="G731" s="239"/>
      <c r="H731" s="240"/>
      <c r="I731" s="239"/>
      <c r="J731" s="148"/>
      <c r="K731" s="94"/>
      <c r="L731" s="94"/>
      <c r="M731" s="94"/>
      <c r="N731" s="112"/>
      <c r="O731" s="112"/>
    </row>
    <row r="732" ht="15.75" customHeight="1">
      <c r="A732" s="243"/>
      <c r="B732" s="211"/>
      <c r="C732" s="229"/>
      <c r="D732" s="230"/>
      <c r="E732" s="231"/>
      <c r="F732" s="232"/>
      <c r="G732" s="233"/>
      <c r="H732" s="234"/>
      <c r="I732" s="233"/>
      <c r="J732" s="173"/>
      <c r="K732" s="77"/>
      <c r="L732" s="77"/>
      <c r="M732" s="77"/>
      <c r="N732" s="80"/>
      <c r="O732" s="80"/>
    </row>
    <row r="733" ht="15.75" customHeight="1">
      <c r="A733" s="242"/>
      <c r="B733" s="225"/>
      <c r="C733" s="235"/>
      <c r="D733" s="236"/>
      <c r="E733" s="237"/>
      <c r="F733" s="238"/>
      <c r="G733" s="239"/>
      <c r="H733" s="240"/>
      <c r="I733" s="239"/>
      <c r="J733" s="148"/>
      <c r="K733" s="94"/>
      <c r="L733" s="94"/>
      <c r="M733" s="94"/>
      <c r="N733" s="112"/>
      <c r="O733" s="112"/>
    </row>
    <row r="734" ht="15.75" customHeight="1">
      <c r="A734" s="243"/>
      <c r="B734" s="211"/>
      <c r="C734" s="229"/>
      <c r="D734" s="230"/>
      <c r="E734" s="231"/>
      <c r="F734" s="232"/>
      <c r="G734" s="233"/>
      <c r="H734" s="234"/>
      <c r="I734" s="233"/>
      <c r="J734" s="173"/>
      <c r="K734" s="77"/>
      <c r="L734" s="77"/>
      <c r="M734" s="77"/>
      <c r="N734" s="80"/>
      <c r="O734" s="80"/>
    </row>
    <row r="735" ht="15.75" customHeight="1">
      <c r="A735" s="242"/>
      <c r="B735" s="225"/>
      <c r="C735" s="235"/>
      <c r="D735" s="236"/>
      <c r="E735" s="237"/>
      <c r="F735" s="238"/>
      <c r="G735" s="239"/>
      <c r="H735" s="240"/>
      <c r="I735" s="239"/>
      <c r="J735" s="148"/>
      <c r="K735" s="94"/>
      <c r="L735" s="94"/>
      <c r="M735" s="94"/>
      <c r="N735" s="112"/>
      <c r="O735" s="112"/>
    </row>
    <row r="736" ht="15.75" customHeight="1">
      <c r="A736" s="243"/>
      <c r="B736" s="211"/>
      <c r="C736" s="229"/>
      <c r="D736" s="230"/>
      <c r="E736" s="231"/>
      <c r="F736" s="232"/>
      <c r="G736" s="233"/>
      <c r="H736" s="234"/>
      <c r="I736" s="233"/>
      <c r="J736" s="173"/>
      <c r="K736" s="77"/>
      <c r="L736" s="77"/>
      <c r="M736" s="77"/>
      <c r="N736" s="80"/>
      <c r="O736" s="80"/>
    </row>
    <row r="737" ht="15.75" customHeight="1">
      <c r="A737" s="242"/>
      <c r="B737" s="225"/>
      <c r="C737" s="235"/>
      <c r="D737" s="236"/>
      <c r="E737" s="237"/>
      <c r="F737" s="238"/>
      <c r="G737" s="239"/>
      <c r="H737" s="240"/>
      <c r="I737" s="239"/>
      <c r="J737" s="148"/>
      <c r="K737" s="94"/>
      <c r="L737" s="94"/>
      <c r="M737" s="94"/>
      <c r="N737" s="112"/>
      <c r="O737" s="112"/>
    </row>
    <row r="738" ht="15.75" customHeight="1">
      <c r="A738" s="243"/>
      <c r="B738" s="211"/>
      <c r="C738" s="229"/>
      <c r="D738" s="230"/>
      <c r="E738" s="231"/>
      <c r="F738" s="232"/>
      <c r="G738" s="233"/>
      <c r="H738" s="234"/>
      <c r="I738" s="233"/>
      <c r="J738" s="173"/>
      <c r="K738" s="77"/>
      <c r="L738" s="77"/>
      <c r="M738" s="77"/>
      <c r="N738" s="80"/>
      <c r="O738" s="80"/>
    </row>
    <row r="739" ht="15.75" customHeight="1">
      <c r="A739" s="242"/>
      <c r="B739" s="225"/>
      <c r="C739" s="235"/>
      <c r="D739" s="236"/>
      <c r="E739" s="237"/>
      <c r="F739" s="238"/>
      <c r="G739" s="239"/>
      <c r="H739" s="240"/>
      <c r="I739" s="239"/>
      <c r="J739" s="148"/>
      <c r="K739" s="94"/>
      <c r="L739" s="94"/>
      <c r="M739" s="94"/>
      <c r="N739" s="112"/>
      <c r="O739" s="112"/>
    </row>
    <row r="740" ht="15.75" customHeight="1">
      <c r="A740" s="243"/>
      <c r="B740" s="211"/>
      <c r="C740" s="229"/>
      <c r="D740" s="230"/>
      <c r="E740" s="231"/>
      <c r="F740" s="232"/>
      <c r="G740" s="233"/>
      <c r="H740" s="234"/>
      <c r="I740" s="233"/>
      <c r="J740" s="173"/>
      <c r="K740" s="77"/>
      <c r="L740" s="77"/>
      <c r="M740" s="77"/>
      <c r="N740" s="80"/>
      <c r="O740" s="80"/>
    </row>
    <row r="741" ht="15.75" customHeight="1">
      <c r="A741" s="242"/>
      <c r="B741" s="225"/>
      <c r="C741" s="235"/>
      <c r="D741" s="236"/>
      <c r="E741" s="237"/>
      <c r="F741" s="238"/>
      <c r="G741" s="239"/>
      <c r="H741" s="240"/>
      <c r="I741" s="239"/>
      <c r="J741" s="148"/>
      <c r="K741" s="94"/>
      <c r="L741" s="94"/>
      <c r="M741" s="94"/>
      <c r="N741" s="112"/>
      <c r="O741" s="112"/>
    </row>
    <row r="742" ht="15.75" customHeight="1">
      <c r="A742" s="243"/>
      <c r="B742" s="211"/>
      <c r="C742" s="229"/>
      <c r="D742" s="230"/>
      <c r="E742" s="231"/>
      <c r="F742" s="232"/>
      <c r="G742" s="233"/>
      <c r="H742" s="234"/>
      <c r="I742" s="233"/>
      <c r="J742" s="173"/>
      <c r="K742" s="77"/>
      <c r="L742" s="77"/>
      <c r="M742" s="77"/>
      <c r="N742" s="80"/>
      <c r="O742" s="80"/>
    </row>
    <row r="743" ht="15.75" customHeight="1">
      <c r="A743" s="242"/>
      <c r="B743" s="225"/>
      <c r="C743" s="235"/>
      <c r="D743" s="236"/>
      <c r="E743" s="237"/>
      <c r="F743" s="238"/>
      <c r="G743" s="239"/>
      <c r="H743" s="240"/>
      <c r="I743" s="239"/>
      <c r="J743" s="148"/>
      <c r="K743" s="94"/>
      <c r="L743" s="94"/>
      <c r="M743" s="94"/>
      <c r="N743" s="112"/>
      <c r="O743" s="112"/>
    </row>
    <row r="744" ht="15.75" customHeight="1">
      <c r="A744" s="243"/>
      <c r="B744" s="211"/>
      <c r="C744" s="229"/>
      <c r="D744" s="230"/>
      <c r="E744" s="231"/>
      <c r="F744" s="232"/>
      <c r="G744" s="233"/>
      <c r="H744" s="234"/>
      <c r="I744" s="233"/>
      <c r="J744" s="173"/>
      <c r="K744" s="77"/>
      <c r="L744" s="77"/>
      <c r="M744" s="77"/>
      <c r="N744" s="80"/>
      <c r="O744" s="80"/>
    </row>
    <row r="745" ht="15.75" customHeight="1">
      <c r="A745" s="242"/>
      <c r="B745" s="225"/>
      <c r="C745" s="235"/>
      <c r="D745" s="236"/>
      <c r="E745" s="237"/>
      <c r="F745" s="238"/>
      <c r="G745" s="239"/>
      <c r="H745" s="240"/>
      <c r="I745" s="239"/>
      <c r="J745" s="148"/>
      <c r="K745" s="94"/>
      <c r="L745" s="94"/>
      <c r="M745" s="94"/>
      <c r="N745" s="112"/>
      <c r="O745" s="112"/>
    </row>
    <row r="746" ht="15.75" customHeight="1">
      <c r="A746" s="243"/>
      <c r="B746" s="211"/>
      <c r="C746" s="229"/>
      <c r="D746" s="230"/>
      <c r="E746" s="231"/>
      <c r="F746" s="232"/>
      <c r="G746" s="233"/>
      <c r="H746" s="234"/>
      <c r="I746" s="233"/>
      <c r="J746" s="173"/>
      <c r="K746" s="77"/>
      <c r="L746" s="77"/>
      <c r="M746" s="77"/>
      <c r="N746" s="80"/>
      <c r="O746" s="80"/>
    </row>
    <row r="747" ht="15.75" customHeight="1">
      <c r="A747" s="242"/>
      <c r="B747" s="225"/>
      <c r="C747" s="235"/>
      <c r="D747" s="236"/>
      <c r="E747" s="237"/>
      <c r="F747" s="238"/>
      <c r="G747" s="239"/>
      <c r="H747" s="240"/>
      <c r="I747" s="239"/>
      <c r="J747" s="148"/>
      <c r="K747" s="94"/>
      <c r="L747" s="94"/>
      <c r="M747" s="94"/>
      <c r="N747" s="112"/>
      <c r="O747" s="112"/>
    </row>
    <row r="748" ht="15.75" customHeight="1">
      <c r="A748" s="243"/>
      <c r="B748" s="211"/>
      <c r="C748" s="229"/>
      <c r="D748" s="230"/>
      <c r="E748" s="231"/>
      <c r="F748" s="232"/>
      <c r="G748" s="233"/>
      <c r="H748" s="234"/>
      <c r="I748" s="233"/>
      <c r="J748" s="173"/>
      <c r="K748" s="77"/>
      <c r="L748" s="77"/>
      <c r="M748" s="77"/>
      <c r="N748" s="80"/>
      <c r="O748" s="80"/>
    </row>
    <row r="749" ht="15.75" customHeight="1">
      <c r="A749" s="242"/>
      <c r="B749" s="225"/>
      <c r="C749" s="235"/>
      <c r="D749" s="236"/>
      <c r="E749" s="237"/>
      <c r="F749" s="238"/>
      <c r="G749" s="239"/>
      <c r="H749" s="240"/>
      <c r="I749" s="239"/>
      <c r="J749" s="148"/>
      <c r="K749" s="94"/>
      <c r="L749" s="94"/>
      <c r="M749" s="94"/>
      <c r="N749" s="112"/>
      <c r="O749" s="112"/>
    </row>
    <row r="750" ht="15.75" customHeight="1">
      <c r="A750" s="243"/>
      <c r="B750" s="211"/>
      <c r="C750" s="229"/>
      <c r="D750" s="230"/>
      <c r="E750" s="231"/>
      <c r="F750" s="232"/>
      <c r="G750" s="233"/>
      <c r="H750" s="234"/>
      <c r="I750" s="233"/>
      <c r="J750" s="173"/>
      <c r="K750" s="77"/>
      <c r="L750" s="77"/>
      <c r="M750" s="77"/>
      <c r="N750" s="80"/>
      <c r="O750" s="80"/>
    </row>
    <row r="751" ht="15.75" customHeight="1">
      <c r="A751" s="242"/>
      <c r="B751" s="225"/>
      <c r="C751" s="235"/>
      <c r="D751" s="236"/>
      <c r="E751" s="237"/>
      <c r="F751" s="238"/>
      <c r="G751" s="239"/>
      <c r="H751" s="240"/>
      <c r="I751" s="239"/>
      <c r="J751" s="148"/>
      <c r="K751" s="94"/>
      <c r="L751" s="94"/>
      <c r="M751" s="94"/>
      <c r="N751" s="112"/>
      <c r="O751" s="112"/>
    </row>
    <row r="752" ht="15.75" customHeight="1">
      <c r="A752" s="243"/>
      <c r="B752" s="211"/>
      <c r="C752" s="229"/>
      <c r="D752" s="230"/>
      <c r="E752" s="231"/>
      <c r="F752" s="232"/>
      <c r="G752" s="233"/>
      <c r="H752" s="234"/>
      <c r="I752" s="233"/>
      <c r="J752" s="173"/>
      <c r="K752" s="77"/>
      <c r="L752" s="77"/>
      <c r="M752" s="77"/>
      <c r="N752" s="80"/>
      <c r="O752" s="80"/>
    </row>
    <row r="753" ht="15.75" customHeight="1">
      <c r="A753" s="242"/>
      <c r="B753" s="225"/>
      <c r="C753" s="235"/>
      <c r="D753" s="236"/>
      <c r="E753" s="237"/>
      <c r="F753" s="238"/>
      <c r="G753" s="239"/>
      <c r="H753" s="240"/>
      <c r="I753" s="239"/>
      <c r="J753" s="148"/>
      <c r="K753" s="94"/>
      <c r="L753" s="94"/>
      <c r="M753" s="94"/>
      <c r="N753" s="112"/>
      <c r="O753" s="112"/>
    </row>
    <row r="754" ht="15.75" customHeight="1">
      <c r="A754" s="243"/>
      <c r="B754" s="211"/>
      <c r="C754" s="229"/>
      <c r="D754" s="230"/>
      <c r="E754" s="231"/>
      <c r="F754" s="232"/>
      <c r="G754" s="233"/>
      <c r="H754" s="234"/>
      <c r="I754" s="233"/>
      <c r="J754" s="173"/>
      <c r="K754" s="77"/>
      <c r="L754" s="77"/>
      <c r="M754" s="77"/>
      <c r="N754" s="80"/>
      <c r="O754" s="80"/>
    </row>
    <row r="755" ht="15.75" customHeight="1">
      <c r="A755" s="242"/>
      <c r="B755" s="225"/>
      <c r="C755" s="235"/>
      <c r="D755" s="236"/>
      <c r="E755" s="237"/>
      <c r="F755" s="238"/>
      <c r="G755" s="239"/>
      <c r="H755" s="240"/>
      <c r="I755" s="239"/>
      <c r="J755" s="148"/>
      <c r="K755" s="94"/>
      <c r="L755" s="94"/>
      <c r="M755" s="94"/>
      <c r="N755" s="112"/>
      <c r="O755" s="112"/>
    </row>
    <row r="756" ht="15.75" customHeight="1">
      <c r="A756" s="243"/>
      <c r="B756" s="211"/>
      <c r="C756" s="229"/>
      <c r="D756" s="230"/>
      <c r="E756" s="231"/>
      <c r="F756" s="232"/>
      <c r="G756" s="233"/>
      <c r="H756" s="234"/>
      <c r="I756" s="233"/>
      <c r="J756" s="173"/>
      <c r="K756" s="77"/>
      <c r="L756" s="77"/>
      <c r="M756" s="77"/>
      <c r="N756" s="80"/>
      <c r="O756" s="80"/>
    </row>
    <row r="757" ht="15.75" customHeight="1">
      <c r="A757" s="242"/>
      <c r="B757" s="225"/>
      <c r="C757" s="235"/>
      <c r="D757" s="236"/>
      <c r="E757" s="237"/>
      <c r="F757" s="238"/>
      <c r="G757" s="239"/>
      <c r="H757" s="240"/>
      <c r="I757" s="239"/>
      <c r="J757" s="148"/>
      <c r="K757" s="94"/>
      <c r="L757" s="94"/>
      <c r="M757" s="94"/>
      <c r="N757" s="112"/>
      <c r="O757" s="112"/>
    </row>
    <row r="758" ht="15.75" customHeight="1">
      <c r="A758" s="243"/>
      <c r="B758" s="211"/>
      <c r="C758" s="229"/>
      <c r="D758" s="230"/>
      <c r="E758" s="231"/>
      <c r="F758" s="232"/>
      <c r="G758" s="233"/>
      <c r="H758" s="234"/>
      <c r="I758" s="233"/>
      <c r="J758" s="173"/>
      <c r="K758" s="77"/>
      <c r="L758" s="77"/>
      <c r="M758" s="77"/>
      <c r="N758" s="80"/>
      <c r="O758" s="80"/>
    </row>
    <row r="759" ht="15.75" customHeight="1">
      <c r="A759" s="242"/>
      <c r="B759" s="225"/>
      <c r="C759" s="235"/>
      <c r="D759" s="236"/>
      <c r="E759" s="237"/>
      <c r="F759" s="238"/>
      <c r="G759" s="239"/>
      <c r="H759" s="240"/>
      <c r="I759" s="239"/>
      <c r="J759" s="148"/>
      <c r="K759" s="94"/>
      <c r="L759" s="94"/>
      <c r="M759" s="94"/>
      <c r="N759" s="112"/>
      <c r="O759" s="112"/>
    </row>
    <row r="760" ht="15.75" customHeight="1">
      <c r="A760" s="243"/>
      <c r="B760" s="211"/>
      <c r="C760" s="229"/>
      <c r="D760" s="230"/>
      <c r="E760" s="231"/>
      <c r="F760" s="232"/>
      <c r="G760" s="233"/>
      <c r="H760" s="234"/>
      <c r="I760" s="233"/>
      <c r="J760" s="173"/>
      <c r="K760" s="77"/>
      <c r="L760" s="77"/>
      <c r="M760" s="77"/>
      <c r="N760" s="80"/>
      <c r="O760" s="80"/>
    </row>
    <row r="761" ht="15.75" customHeight="1">
      <c r="A761" s="242"/>
      <c r="B761" s="225"/>
      <c r="C761" s="235"/>
      <c r="D761" s="236"/>
      <c r="E761" s="237"/>
      <c r="F761" s="238"/>
      <c r="G761" s="239"/>
      <c r="H761" s="240"/>
      <c r="I761" s="239"/>
      <c r="J761" s="148"/>
      <c r="K761" s="94"/>
      <c r="L761" s="94"/>
      <c r="M761" s="94"/>
      <c r="N761" s="112"/>
      <c r="O761" s="112"/>
    </row>
    <row r="762" ht="15.75" customHeight="1">
      <c r="A762" s="243"/>
      <c r="B762" s="211"/>
      <c r="C762" s="229"/>
      <c r="D762" s="230"/>
      <c r="E762" s="231"/>
      <c r="F762" s="232"/>
      <c r="G762" s="233"/>
      <c r="H762" s="234"/>
      <c r="I762" s="233"/>
      <c r="J762" s="173"/>
      <c r="K762" s="77"/>
      <c r="L762" s="77"/>
      <c r="M762" s="77"/>
      <c r="N762" s="80"/>
      <c r="O762" s="80"/>
    </row>
    <row r="763" ht="15.75" customHeight="1">
      <c r="A763" s="242"/>
      <c r="B763" s="225"/>
      <c r="C763" s="235"/>
      <c r="D763" s="236"/>
      <c r="E763" s="237"/>
      <c r="F763" s="238"/>
      <c r="G763" s="239"/>
      <c r="H763" s="240"/>
      <c r="I763" s="239"/>
      <c r="J763" s="148"/>
      <c r="K763" s="94"/>
      <c r="L763" s="94"/>
      <c r="M763" s="94"/>
      <c r="N763" s="112"/>
      <c r="O763" s="112"/>
    </row>
    <row r="764" ht="15.75" customHeight="1">
      <c r="A764" s="243"/>
      <c r="B764" s="211"/>
      <c r="C764" s="229"/>
      <c r="D764" s="230"/>
      <c r="E764" s="231"/>
      <c r="F764" s="232"/>
      <c r="G764" s="233"/>
      <c r="H764" s="234"/>
      <c r="I764" s="233"/>
      <c r="J764" s="173"/>
      <c r="K764" s="77"/>
      <c r="L764" s="77"/>
      <c r="M764" s="77"/>
      <c r="N764" s="80"/>
      <c r="O764" s="80"/>
    </row>
    <row r="765" ht="15.75" customHeight="1">
      <c r="A765" s="242"/>
      <c r="B765" s="225"/>
      <c r="C765" s="235"/>
      <c r="D765" s="236"/>
      <c r="E765" s="237"/>
      <c r="F765" s="238"/>
      <c r="G765" s="239"/>
      <c r="H765" s="240"/>
      <c r="I765" s="239"/>
      <c r="J765" s="148"/>
      <c r="K765" s="94"/>
      <c r="L765" s="94"/>
      <c r="M765" s="94"/>
      <c r="N765" s="112"/>
      <c r="O765" s="112"/>
    </row>
    <row r="766" ht="15.75" customHeight="1">
      <c r="A766" s="243"/>
      <c r="B766" s="211"/>
      <c r="C766" s="229"/>
      <c r="D766" s="230"/>
      <c r="E766" s="231"/>
      <c r="F766" s="232"/>
      <c r="G766" s="233"/>
      <c r="H766" s="234"/>
      <c r="I766" s="233"/>
      <c r="J766" s="173"/>
      <c r="K766" s="77"/>
      <c r="L766" s="77"/>
      <c r="M766" s="77"/>
      <c r="N766" s="80"/>
      <c r="O766" s="80"/>
    </row>
    <row r="767" ht="15.75" customHeight="1">
      <c r="A767" s="242"/>
      <c r="B767" s="225"/>
      <c r="C767" s="235"/>
      <c r="D767" s="236"/>
      <c r="E767" s="237"/>
      <c r="F767" s="238"/>
      <c r="G767" s="239"/>
      <c r="H767" s="240"/>
      <c r="I767" s="239"/>
      <c r="J767" s="148"/>
      <c r="K767" s="94"/>
      <c r="L767" s="94"/>
      <c r="M767" s="94"/>
      <c r="N767" s="112"/>
      <c r="O767" s="112"/>
    </row>
    <row r="768" ht="15.75" customHeight="1">
      <c r="A768" s="243"/>
      <c r="B768" s="211"/>
      <c r="C768" s="229"/>
      <c r="D768" s="230"/>
      <c r="E768" s="231"/>
      <c r="F768" s="232"/>
      <c r="G768" s="233"/>
      <c r="H768" s="234"/>
      <c r="I768" s="233"/>
      <c r="J768" s="173"/>
      <c r="K768" s="77"/>
      <c r="L768" s="77"/>
      <c r="M768" s="77"/>
      <c r="N768" s="80"/>
      <c r="O768" s="80"/>
    </row>
    <row r="769" ht="15.75" customHeight="1">
      <c r="A769" s="242"/>
      <c r="B769" s="225"/>
      <c r="C769" s="235"/>
      <c r="D769" s="236"/>
      <c r="E769" s="237"/>
      <c r="F769" s="238"/>
      <c r="G769" s="239"/>
      <c r="H769" s="240"/>
      <c r="I769" s="239"/>
      <c r="J769" s="148"/>
      <c r="K769" s="94"/>
      <c r="L769" s="94"/>
      <c r="M769" s="94"/>
      <c r="N769" s="112"/>
      <c r="O769" s="112"/>
    </row>
    <row r="770" ht="15.75" customHeight="1">
      <c r="A770" s="243"/>
      <c r="B770" s="211"/>
      <c r="C770" s="229"/>
      <c r="D770" s="230"/>
      <c r="E770" s="231"/>
      <c r="F770" s="232"/>
      <c r="G770" s="233"/>
      <c r="H770" s="234"/>
      <c r="I770" s="233"/>
      <c r="J770" s="173"/>
      <c r="K770" s="77"/>
      <c r="L770" s="77"/>
      <c r="M770" s="77"/>
      <c r="N770" s="80"/>
      <c r="O770" s="80"/>
    </row>
    <row r="771" ht="15.75" customHeight="1">
      <c r="A771" s="242"/>
      <c r="B771" s="225"/>
      <c r="C771" s="235"/>
      <c r="D771" s="236"/>
      <c r="E771" s="237"/>
      <c r="F771" s="238"/>
      <c r="G771" s="239"/>
      <c r="H771" s="240"/>
      <c r="I771" s="239"/>
      <c r="J771" s="148"/>
      <c r="K771" s="94"/>
      <c r="L771" s="94"/>
      <c r="M771" s="94"/>
      <c r="N771" s="112"/>
      <c r="O771" s="112"/>
    </row>
    <row r="772" ht="15.75" customHeight="1">
      <c r="A772" s="243"/>
      <c r="B772" s="211"/>
      <c r="C772" s="229"/>
      <c r="D772" s="230"/>
      <c r="E772" s="231"/>
      <c r="F772" s="232"/>
      <c r="G772" s="233"/>
      <c r="H772" s="234"/>
      <c r="I772" s="233"/>
      <c r="J772" s="173"/>
      <c r="K772" s="77"/>
      <c r="L772" s="77"/>
      <c r="M772" s="77"/>
      <c r="N772" s="80"/>
      <c r="O772" s="80"/>
    </row>
    <row r="773" ht="15.75" customHeight="1">
      <c r="A773" s="242"/>
      <c r="B773" s="225"/>
      <c r="C773" s="235"/>
      <c r="D773" s="236"/>
      <c r="E773" s="237"/>
      <c r="F773" s="238"/>
      <c r="G773" s="239"/>
      <c r="H773" s="240"/>
      <c r="I773" s="239"/>
      <c r="J773" s="148"/>
      <c r="K773" s="94"/>
      <c r="L773" s="94"/>
      <c r="M773" s="94"/>
      <c r="N773" s="112"/>
      <c r="O773" s="112"/>
    </row>
    <row r="774" ht="15.75" customHeight="1">
      <c r="A774" s="243"/>
      <c r="B774" s="211"/>
      <c r="C774" s="229"/>
      <c r="D774" s="230"/>
      <c r="E774" s="231"/>
      <c r="F774" s="232"/>
      <c r="G774" s="233"/>
      <c r="H774" s="234"/>
      <c r="I774" s="233"/>
      <c r="J774" s="173"/>
      <c r="K774" s="77"/>
      <c r="L774" s="77"/>
      <c r="M774" s="77"/>
      <c r="N774" s="80"/>
      <c r="O774" s="80"/>
    </row>
    <row r="775" ht="15.75" customHeight="1">
      <c r="A775" s="242"/>
      <c r="B775" s="225"/>
      <c r="C775" s="235"/>
      <c r="D775" s="236"/>
      <c r="E775" s="237"/>
      <c r="F775" s="238"/>
      <c r="G775" s="239"/>
      <c r="H775" s="240"/>
      <c r="I775" s="239"/>
      <c r="J775" s="148"/>
      <c r="K775" s="94"/>
      <c r="L775" s="94"/>
      <c r="M775" s="94"/>
      <c r="N775" s="112"/>
      <c r="O775" s="112"/>
    </row>
    <row r="776" ht="15.75" customHeight="1">
      <c r="A776" s="243"/>
      <c r="B776" s="211"/>
      <c r="C776" s="229"/>
      <c r="D776" s="230"/>
      <c r="E776" s="231"/>
      <c r="F776" s="232"/>
      <c r="G776" s="233"/>
      <c r="H776" s="234"/>
      <c r="I776" s="233"/>
      <c r="J776" s="173"/>
      <c r="K776" s="77"/>
      <c r="L776" s="77"/>
      <c r="M776" s="77"/>
      <c r="N776" s="80"/>
      <c r="O776" s="80"/>
    </row>
    <row r="777" ht="15.75" customHeight="1">
      <c r="A777" s="242"/>
      <c r="B777" s="225"/>
      <c r="C777" s="235"/>
      <c r="D777" s="236"/>
      <c r="E777" s="237"/>
      <c r="F777" s="238"/>
      <c r="G777" s="239"/>
      <c r="H777" s="240"/>
      <c r="I777" s="239"/>
      <c r="J777" s="148"/>
      <c r="K777" s="94"/>
      <c r="L777" s="94"/>
      <c r="M777" s="94"/>
      <c r="N777" s="112"/>
      <c r="O777" s="112"/>
    </row>
    <row r="778" ht="15.75" customHeight="1">
      <c r="A778" s="243"/>
      <c r="B778" s="211"/>
      <c r="C778" s="229"/>
      <c r="D778" s="230"/>
      <c r="E778" s="231"/>
      <c r="F778" s="232"/>
      <c r="G778" s="233"/>
      <c r="H778" s="234"/>
      <c r="I778" s="233"/>
      <c r="J778" s="173"/>
      <c r="K778" s="77"/>
      <c r="L778" s="77"/>
      <c r="M778" s="77"/>
      <c r="N778" s="80"/>
      <c r="O778" s="80"/>
    </row>
    <row r="779" ht="15.75" customHeight="1">
      <c r="A779" s="242"/>
      <c r="B779" s="225"/>
      <c r="C779" s="235"/>
      <c r="D779" s="236"/>
      <c r="E779" s="237"/>
      <c r="F779" s="238"/>
      <c r="G779" s="239"/>
      <c r="H779" s="240"/>
      <c r="I779" s="239"/>
      <c r="J779" s="148"/>
      <c r="K779" s="94"/>
      <c r="L779" s="94"/>
      <c r="M779" s="94"/>
      <c r="N779" s="112"/>
      <c r="O779" s="112"/>
    </row>
    <row r="780" ht="15.75" customHeight="1">
      <c r="A780" s="243"/>
      <c r="B780" s="211"/>
      <c r="C780" s="229"/>
      <c r="D780" s="230"/>
      <c r="E780" s="231"/>
      <c r="F780" s="232"/>
      <c r="G780" s="233"/>
      <c r="H780" s="234"/>
      <c r="I780" s="233"/>
      <c r="J780" s="173"/>
      <c r="K780" s="77"/>
      <c r="L780" s="77"/>
      <c r="M780" s="77"/>
      <c r="N780" s="80"/>
      <c r="O780" s="80"/>
    </row>
    <row r="781" ht="15.75" customHeight="1">
      <c r="A781" s="242"/>
      <c r="B781" s="225"/>
      <c r="C781" s="235"/>
      <c r="D781" s="236"/>
      <c r="E781" s="237"/>
      <c r="F781" s="238"/>
      <c r="G781" s="239"/>
      <c r="H781" s="240"/>
      <c r="I781" s="239"/>
      <c r="J781" s="148"/>
      <c r="K781" s="94"/>
      <c r="L781" s="94"/>
      <c r="M781" s="94"/>
      <c r="N781" s="112"/>
      <c r="O781" s="112"/>
    </row>
    <row r="782" ht="15.75" customHeight="1">
      <c r="A782" s="243"/>
      <c r="B782" s="211"/>
      <c r="C782" s="229"/>
      <c r="D782" s="230"/>
      <c r="E782" s="231"/>
      <c r="F782" s="232"/>
      <c r="G782" s="233"/>
      <c r="H782" s="234"/>
      <c r="I782" s="233"/>
      <c r="J782" s="173"/>
      <c r="K782" s="77"/>
      <c r="L782" s="77"/>
      <c r="M782" s="77"/>
      <c r="N782" s="80"/>
      <c r="O782" s="80"/>
    </row>
    <row r="783" ht="15.75" customHeight="1">
      <c r="A783" s="242"/>
      <c r="B783" s="225"/>
      <c r="C783" s="235"/>
      <c r="D783" s="236"/>
      <c r="E783" s="237"/>
      <c r="F783" s="238"/>
      <c r="G783" s="239"/>
      <c r="H783" s="240"/>
      <c r="I783" s="239"/>
      <c r="J783" s="148"/>
      <c r="K783" s="94"/>
      <c r="L783" s="94"/>
      <c r="M783" s="94"/>
      <c r="N783" s="112"/>
      <c r="O783" s="112"/>
    </row>
    <row r="784" ht="15.75" customHeight="1">
      <c r="A784" s="243"/>
      <c r="B784" s="211"/>
      <c r="C784" s="229"/>
      <c r="D784" s="230"/>
      <c r="E784" s="231"/>
      <c r="F784" s="232"/>
      <c r="G784" s="233"/>
      <c r="H784" s="234"/>
      <c r="I784" s="233"/>
      <c r="J784" s="173"/>
      <c r="K784" s="77"/>
      <c r="L784" s="77"/>
      <c r="M784" s="77"/>
      <c r="N784" s="80"/>
      <c r="O784" s="80"/>
    </row>
    <row r="785" ht="15.75" customHeight="1">
      <c r="A785" s="242"/>
      <c r="B785" s="225"/>
      <c r="C785" s="235"/>
      <c r="D785" s="236"/>
      <c r="E785" s="237"/>
      <c r="F785" s="238"/>
      <c r="G785" s="239"/>
      <c r="H785" s="240"/>
      <c r="I785" s="239"/>
      <c r="J785" s="148"/>
      <c r="K785" s="94"/>
      <c r="L785" s="94"/>
      <c r="M785" s="94"/>
      <c r="N785" s="112"/>
      <c r="O785" s="112"/>
    </row>
    <row r="786" ht="15.75" customHeight="1">
      <c r="A786" s="243"/>
      <c r="B786" s="211"/>
      <c r="C786" s="229"/>
      <c r="D786" s="230"/>
      <c r="E786" s="231"/>
      <c r="F786" s="232"/>
      <c r="G786" s="233"/>
      <c r="H786" s="234"/>
      <c r="I786" s="233"/>
      <c r="J786" s="173"/>
      <c r="K786" s="77"/>
      <c r="L786" s="77"/>
      <c r="M786" s="77"/>
      <c r="N786" s="80"/>
      <c r="O786" s="80"/>
    </row>
    <row r="787" ht="15.75" customHeight="1">
      <c r="A787" s="242"/>
      <c r="B787" s="225"/>
      <c r="C787" s="235"/>
      <c r="D787" s="236"/>
      <c r="E787" s="237"/>
      <c r="F787" s="238"/>
      <c r="G787" s="239"/>
      <c r="H787" s="240"/>
      <c r="I787" s="239"/>
      <c r="J787" s="148"/>
      <c r="K787" s="94"/>
      <c r="L787" s="94"/>
      <c r="M787" s="94"/>
      <c r="N787" s="112"/>
      <c r="O787" s="112"/>
    </row>
    <row r="788" ht="15.75" customHeight="1">
      <c r="A788" s="243"/>
      <c r="B788" s="211"/>
      <c r="C788" s="229"/>
      <c r="D788" s="230"/>
      <c r="E788" s="231"/>
      <c r="F788" s="232"/>
      <c r="G788" s="233"/>
      <c r="H788" s="234"/>
      <c r="I788" s="233"/>
      <c r="J788" s="173"/>
      <c r="K788" s="77"/>
      <c r="L788" s="77"/>
      <c r="M788" s="77"/>
      <c r="N788" s="80"/>
      <c r="O788" s="80"/>
    </row>
    <row r="789" ht="15.75" customHeight="1">
      <c r="A789" s="242"/>
      <c r="B789" s="225"/>
      <c r="C789" s="235"/>
      <c r="D789" s="236"/>
      <c r="E789" s="237"/>
      <c r="F789" s="238"/>
      <c r="G789" s="239"/>
      <c r="H789" s="240"/>
      <c r="I789" s="239"/>
      <c r="J789" s="148"/>
      <c r="K789" s="94"/>
      <c r="L789" s="94"/>
      <c r="M789" s="94"/>
      <c r="N789" s="112"/>
      <c r="O789" s="112"/>
    </row>
    <row r="790" ht="15.75" customHeight="1">
      <c r="A790" s="243"/>
      <c r="B790" s="211"/>
      <c r="C790" s="229"/>
      <c r="D790" s="230"/>
      <c r="E790" s="231"/>
      <c r="F790" s="232"/>
      <c r="G790" s="233"/>
      <c r="H790" s="234"/>
      <c r="I790" s="233"/>
      <c r="J790" s="173"/>
      <c r="K790" s="77"/>
      <c r="L790" s="77"/>
      <c r="M790" s="77"/>
      <c r="N790" s="80"/>
      <c r="O790" s="80"/>
    </row>
    <row r="791" ht="15.75" customHeight="1">
      <c r="A791" s="242"/>
      <c r="B791" s="225"/>
      <c r="C791" s="235"/>
      <c r="D791" s="236"/>
      <c r="E791" s="237"/>
      <c r="F791" s="238"/>
      <c r="G791" s="239"/>
      <c r="H791" s="240"/>
      <c r="I791" s="239"/>
      <c r="J791" s="148"/>
      <c r="K791" s="94"/>
      <c r="L791" s="94"/>
      <c r="M791" s="94"/>
      <c r="N791" s="112"/>
      <c r="O791" s="112"/>
    </row>
    <row r="792" ht="15.75" customHeight="1">
      <c r="A792" s="243"/>
      <c r="B792" s="211"/>
      <c r="C792" s="229"/>
      <c r="D792" s="230"/>
      <c r="E792" s="231"/>
      <c r="F792" s="232"/>
      <c r="G792" s="233"/>
      <c r="H792" s="234"/>
      <c r="I792" s="233"/>
      <c r="J792" s="173"/>
      <c r="K792" s="77"/>
      <c r="L792" s="77"/>
      <c r="M792" s="77"/>
      <c r="N792" s="80"/>
      <c r="O792" s="80"/>
    </row>
    <row r="793" ht="15.75" customHeight="1">
      <c r="A793" s="242"/>
      <c r="B793" s="225"/>
      <c r="C793" s="235"/>
      <c r="D793" s="236"/>
      <c r="E793" s="237"/>
      <c r="F793" s="238"/>
      <c r="G793" s="239"/>
      <c r="H793" s="240"/>
      <c r="I793" s="239"/>
      <c r="J793" s="148"/>
      <c r="K793" s="94"/>
      <c r="L793" s="94"/>
      <c r="M793" s="94"/>
      <c r="N793" s="112"/>
      <c r="O793" s="112"/>
    </row>
    <row r="794" ht="15.75" customHeight="1">
      <c r="A794" s="243"/>
      <c r="B794" s="211"/>
      <c r="C794" s="229"/>
      <c r="D794" s="230"/>
      <c r="E794" s="231"/>
      <c r="F794" s="232"/>
      <c r="G794" s="233"/>
      <c r="H794" s="234"/>
      <c r="I794" s="233"/>
      <c r="J794" s="173"/>
      <c r="K794" s="77"/>
      <c r="L794" s="77"/>
      <c r="M794" s="77"/>
      <c r="N794" s="80"/>
      <c r="O794" s="80"/>
    </row>
    <row r="795" ht="15.75" customHeight="1">
      <c r="A795" s="242"/>
      <c r="B795" s="225"/>
      <c r="C795" s="235"/>
      <c r="D795" s="236"/>
      <c r="E795" s="237"/>
      <c r="F795" s="238"/>
      <c r="G795" s="239"/>
      <c r="H795" s="240"/>
      <c r="I795" s="239"/>
      <c r="J795" s="148"/>
      <c r="K795" s="94"/>
      <c r="L795" s="94"/>
      <c r="M795" s="94"/>
      <c r="N795" s="112"/>
      <c r="O795" s="112"/>
    </row>
    <row r="796" ht="15.75" customHeight="1">
      <c r="A796" s="243"/>
      <c r="B796" s="211"/>
      <c r="C796" s="229"/>
      <c r="D796" s="230"/>
      <c r="E796" s="231"/>
      <c r="F796" s="232"/>
      <c r="G796" s="233"/>
      <c r="H796" s="234"/>
      <c r="I796" s="233"/>
      <c r="J796" s="173"/>
      <c r="K796" s="77"/>
      <c r="L796" s="77"/>
      <c r="M796" s="77"/>
      <c r="N796" s="80"/>
      <c r="O796" s="80"/>
    </row>
    <row r="797" ht="15.75" customHeight="1">
      <c r="A797" s="242"/>
      <c r="B797" s="225"/>
      <c r="C797" s="235"/>
      <c r="D797" s="236"/>
      <c r="E797" s="237"/>
      <c r="F797" s="238"/>
      <c r="G797" s="239"/>
      <c r="H797" s="240"/>
      <c r="I797" s="239"/>
      <c r="J797" s="148"/>
      <c r="K797" s="94"/>
      <c r="L797" s="94"/>
      <c r="M797" s="94"/>
      <c r="N797" s="112"/>
      <c r="O797" s="112"/>
    </row>
    <row r="798" ht="15.75" customHeight="1">
      <c r="A798" s="243"/>
      <c r="B798" s="211"/>
      <c r="C798" s="229"/>
      <c r="D798" s="230"/>
      <c r="E798" s="231"/>
      <c r="F798" s="232"/>
      <c r="G798" s="233"/>
      <c r="H798" s="234"/>
      <c r="I798" s="233"/>
      <c r="J798" s="173"/>
      <c r="K798" s="77"/>
      <c r="L798" s="77"/>
      <c r="M798" s="77"/>
      <c r="N798" s="80"/>
      <c r="O798" s="80"/>
    </row>
    <row r="799" ht="15.75" customHeight="1">
      <c r="A799" s="242"/>
      <c r="B799" s="225"/>
      <c r="C799" s="235"/>
      <c r="D799" s="236"/>
      <c r="E799" s="237"/>
      <c r="F799" s="238"/>
      <c r="G799" s="239"/>
      <c r="H799" s="240"/>
      <c r="I799" s="239"/>
      <c r="J799" s="148"/>
      <c r="K799" s="94"/>
      <c r="L799" s="94"/>
      <c r="M799" s="94"/>
      <c r="N799" s="112"/>
      <c r="O799" s="112"/>
    </row>
    <row r="800" ht="15.75" customHeight="1">
      <c r="A800" s="243"/>
      <c r="B800" s="211"/>
      <c r="C800" s="229"/>
      <c r="D800" s="230"/>
      <c r="E800" s="231"/>
      <c r="F800" s="232"/>
      <c r="G800" s="233"/>
      <c r="H800" s="234"/>
      <c r="I800" s="233"/>
      <c r="J800" s="173"/>
      <c r="K800" s="77"/>
      <c r="L800" s="77"/>
      <c r="M800" s="77"/>
      <c r="N800" s="80"/>
      <c r="O800" s="80"/>
    </row>
    <row r="801" ht="15.75" customHeight="1">
      <c r="A801" s="242"/>
      <c r="B801" s="225"/>
      <c r="C801" s="235"/>
      <c r="D801" s="236"/>
      <c r="E801" s="237"/>
      <c r="F801" s="238"/>
      <c r="G801" s="239"/>
      <c r="H801" s="240"/>
      <c r="I801" s="239"/>
      <c r="J801" s="148"/>
      <c r="K801" s="94"/>
      <c r="L801" s="94"/>
      <c r="M801" s="94"/>
      <c r="N801" s="112"/>
      <c r="O801" s="112"/>
    </row>
    <row r="802" ht="15.75" customHeight="1">
      <c r="A802" s="243"/>
      <c r="B802" s="211"/>
      <c r="C802" s="229"/>
      <c r="D802" s="230"/>
      <c r="E802" s="231"/>
      <c r="F802" s="232"/>
      <c r="G802" s="233"/>
      <c r="H802" s="234"/>
      <c r="I802" s="233"/>
      <c r="J802" s="173"/>
      <c r="K802" s="77"/>
      <c r="L802" s="77"/>
      <c r="M802" s="77"/>
      <c r="N802" s="80"/>
      <c r="O802" s="80"/>
    </row>
    <row r="803" ht="15.75" customHeight="1">
      <c r="A803" s="242"/>
      <c r="B803" s="225"/>
      <c r="C803" s="235"/>
      <c r="D803" s="236"/>
      <c r="E803" s="237"/>
      <c r="F803" s="238"/>
      <c r="G803" s="239"/>
      <c r="H803" s="240"/>
      <c r="I803" s="239"/>
      <c r="J803" s="148"/>
      <c r="K803" s="94"/>
      <c r="L803" s="94"/>
      <c r="M803" s="94"/>
      <c r="N803" s="112"/>
      <c r="O803" s="112"/>
    </row>
    <row r="804" ht="15.75" customHeight="1">
      <c r="A804" s="243"/>
      <c r="B804" s="211"/>
      <c r="C804" s="229"/>
      <c r="D804" s="230"/>
      <c r="E804" s="231"/>
      <c r="F804" s="232"/>
      <c r="G804" s="233"/>
      <c r="H804" s="234"/>
      <c r="I804" s="233"/>
      <c r="J804" s="173"/>
      <c r="K804" s="77"/>
      <c r="L804" s="77"/>
      <c r="M804" s="77"/>
      <c r="N804" s="80"/>
      <c r="O804" s="80"/>
    </row>
    <row r="805" ht="15.75" customHeight="1">
      <c r="A805" s="242"/>
      <c r="B805" s="225"/>
      <c r="C805" s="235"/>
      <c r="D805" s="236"/>
      <c r="E805" s="237"/>
      <c r="F805" s="238"/>
      <c r="G805" s="239"/>
      <c r="H805" s="240"/>
      <c r="I805" s="239"/>
      <c r="J805" s="148"/>
      <c r="K805" s="94"/>
      <c r="L805" s="94"/>
      <c r="M805" s="94"/>
      <c r="N805" s="112"/>
      <c r="O805" s="112"/>
    </row>
    <row r="806" ht="15.75" customHeight="1">
      <c r="A806" s="243"/>
      <c r="B806" s="211"/>
      <c r="C806" s="229"/>
      <c r="D806" s="230"/>
      <c r="E806" s="231"/>
      <c r="F806" s="232"/>
      <c r="G806" s="233"/>
      <c r="H806" s="234"/>
      <c r="I806" s="233"/>
      <c r="J806" s="173"/>
      <c r="K806" s="77"/>
      <c r="L806" s="77"/>
      <c r="M806" s="77"/>
      <c r="N806" s="80"/>
      <c r="O806" s="80"/>
    </row>
    <row r="807" ht="15.75" customHeight="1">
      <c r="A807" s="242"/>
      <c r="B807" s="225"/>
      <c r="C807" s="235"/>
      <c r="D807" s="236"/>
      <c r="E807" s="237"/>
      <c r="F807" s="238"/>
      <c r="G807" s="239"/>
      <c r="H807" s="240"/>
      <c r="I807" s="239"/>
      <c r="J807" s="148"/>
      <c r="K807" s="94"/>
      <c r="L807" s="94"/>
      <c r="M807" s="94"/>
      <c r="N807" s="112"/>
      <c r="O807" s="112"/>
    </row>
    <row r="808" ht="15.75" customHeight="1">
      <c r="A808" s="243"/>
      <c r="B808" s="211"/>
      <c r="C808" s="229"/>
      <c r="D808" s="230"/>
      <c r="E808" s="231"/>
      <c r="F808" s="232"/>
      <c r="G808" s="233"/>
      <c r="H808" s="234"/>
      <c r="I808" s="233"/>
      <c r="J808" s="173"/>
      <c r="K808" s="77"/>
      <c r="L808" s="77"/>
      <c r="M808" s="77"/>
      <c r="N808" s="80"/>
      <c r="O808" s="80"/>
    </row>
    <row r="809" ht="15.75" customHeight="1">
      <c r="A809" s="242"/>
      <c r="B809" s="225"/>
      <c r="C809" s="235"/>
      <c r="D809" s="236"/>
      <c r="E809" s="237"/>
      <c r="F809" s="238"/>
      <c r="G809" s="239"/>
      <c r="H809" s="240"/>
      <c r="I809" s="239"/>
      <c r="J809" s="148"/>
      <c r="K809" s="94"/>
      <c r="L809" s="94"/>
      <c r="M809" s="94"/>
      <c r="N809" s="112"/>
      <c r="O809" s="112"/>
    </row>
    <row r="810" ht="15.75" customHeight="1">
      <c r="A810" s="243"/>
      <c r="B810" s="211"/>
      <c r="C810" s="229"/>
      <c r="D810" s="230"/>
      <c r="E810" s="231"/>
      <c r="F810" s="232"/>
      <c r="G810" s="233"/>
      <c r="H810" s="234"/>
      <c r="I810" s="233"/>
      <c r="J810" s="173"/>
      <c r="K810" s="77"/>
      <c r="L810" s="77"/>
      <c r="M810" s="77"/>
      <c r="N810" s="80"/>
      <c r="O810" s="80"/>
    </row>
    <row r="811" ht="15.75" customHeight="1">
      <c r="A811" s="242"/>
      <c r="B811" s="225"/>
      <c r="C811" s="235"/>
      <c r="D811" s="236"/>
      <c r="E811" s="237"/>
      <c r="F811" s="238"/>
      <c r="G811" s="239"/>
      <c r="H811" s="240"/>
      <c r="I811" s="239"/>
      <c r="J811" s="148"/>
      <c r="K811" s="94"/>
      <c r="L811" s="94"/>
      <c r="M811" s="94"/>
      <c r="N811" s="112"/>
      <c r="O811" s="112"/>
    </row>
    <row r="812" ht="15.75" customHeight="1">
      <c r="A812" s="243"/>
      <c r="B812" s="211"/>
      <c r="C812" s="229"/>
      <c r="D812" s="230"/>
      <c r="E812" s="231"/>
      <c r="F812" s="232"/>
      <c r="G812" s="233"/>
      <c r="H812" s="234"/>
      <c r="I812" s="233"/>
      <c r="J812" s="173"/>
      <c r="K812" s="77"/>
      <c r="L812" s="77"/>
      <c r="M812" s="77"/>
      <c r="N812" s="80"/>
      <c r="O812" s="80"/>
    </row>
    <row r="813" ht="15.75" customHeight="1">
      <c r="A813" s="242"/>
      <c r="B813" s="225"/>
      <c r="C813" s="235"/>
      <c r="D813" s="236"/>
      <c r="E813" s="237"/>
      <c r="F813" s="238"/>
      <c r="G813" s="239"/>
      <c r="H813" s="240"/>
      <c r="I813" s="239"/>
      <c r="J813" s="148"/>
      <c r="K813" s="94"/>
      <c r="L813" s="94"/>
      <c r="M813" s="94"/>
      <c r="N813" s="112"/>
      <c r="O813" s="112"/>
    </row>
    <row r="814" ht="15.75" customHeight="1">
      <c r="A814" s="243"/>
      <c r="B814" s="211"/>
      <c r="C814" s="229"/>
      <c r="D814" s="230"/>
      <c r="E814" s="231"/>
      <c r="F814" s="232"/>
      <c r="G814" s="233"/>
      <c r="H814" s="234"/>
      <c r="I814" s="233"/>
      <c r="J814" s="173"/>
      <c r="K814" s="77"/>
      <c r="L814" s="77"/>
      <c r="M814" s="77"/>
      <c r="N814" s="80"/>
      <c r="O814" s="80"/>
    </row>
    <row r="815" ht="15.75" customHeight="1">
      <c r="A815" s="242"/>
      <c r="B815" s="225"/>
      <c r="C815" s="235"/>
      <c r="D815" s="236"/>
      <c r="E815" s="237"/>
      <c r="F815" s="238"/>
      <c r="G815" s="239"/>
      <c r="H815" s="240"/>
      <c r="I815" s="239"/>
      <c r="J815" s="148"/>
      <c r="K815" s="94"/>
      <c r="L815" s="94"/>
      <c r="M815" s="94"/>
      <c r="N815" s="112"/>
      <c r="O815" s="112"/>
    </row>
    <row r="816" ht="15.75" customHeight="1">
      <c r="A816" s="243"/>
      <c r="B816" s="211"/>
      <c r="C816" s="229"/>
      <c r="D816" s="230"/>
      <c r="E816" s="231"/>
      <c r="F816" s="232"/>
      <c r="G816" s="233"/>
      <c r="H816" s="234"/>
      <c r="I816" s="233"/>
      <c r="J816" s="173"/>
      <c r="K816" s="77"/>
      <c r="L816" s="77"/>
      <c r="M816" s="77"/>
      <c r="N816" s="80"/>
      <c r="O816" s="80"/>
    </row>
    <row r="817" ht="15.75" customHeight="1">
      <c r="A817" s="242"/>
      <c r="B817" s="225"/>
      <c r="C817" s="235"/>
      <c r="D817" s="236"/>
      <c r="E817" s="237"/>
      <c r="F817" s="238"/>
      <c r="G817" s="239"/>
      <c r="H817" s="240"/>
      <c r="I817" s="239"/>
      <c r="J817" s="148"/>
      <c r="K817" s="94"/>
      <c r="L817" s="94"/>
      <c r="M817" s="94"/>
      <c r="N817" s="112"/>
      <c r="O817" s="112"/>
    </row>
    <row r="818" ht="15.75" customHeight="1">
      <c r="A818" s="243"/>
      <c r="B818" s="211"/>
      <c r="C818" s="229"/>
      <c r="D818" s="230"/>
      <c r="E818" s="231"/>
      <c r="F818" s="232"/>
      <c r="G818" s="233"/>
      <c r="H818" s="234"/>
      <c r="I818" s="233"/>
      <c r="J818" s="173"/>
      <c r="K818" s="77"/>
      <c r="L818" s="77"/>
      <c r="M818" s="77"/>
      <c r="N818" s="80"/>
      <c r="O818" s="80"/>
    </row>
    <row r="819" ht="15.75" customHeight="1">
      <c r="A819" s="242"/>
      <c r="B819" s="225"/>
      <c r="C819" s="235"/>
      <c r="D819" s="236"/>
      <c r="E819" s="237"/>
      <c r="F819" s="238"/>
      <c r="G819" s="239"/>
      <c r="H819" s="240"/>
      <c r="I819" s="239"/>
      <c r="J819" s="148"/>
      <c r="K819" s="94"/>
      <c r="L819" s="94"/>
      <c r="M819" s="94"/>
      <c r="N819" s="112"/>
      <c r="O819" s="112"/>
    </row>
    <row r="820" ht="15.75" customHeight="1">
      <c r="A820" s="243"/>
      <c r="B820" s="211"/>
      <c r="C820" s="229"/>
      <c r="D820" s="230"/>
      <c r="E820" s="231"/>
      <c r="F820" s="232"/>
      <c r="G820" s="233"/>
      <c r="H820" s="234"/>
      <c r="I820" s="233"/>
      <c r="J820" s="173"/>
      <c r="K820" s="77"/>
      <c r="L820" s="77"/>
      <c r="M820" s="77"/>
      <c r="N820" s="80"/>
      <c r="O820" s="80"/>
    </row>
    <row r="821" ht="15.75" customHeight="1">
      <c r="A821" s="242"/>
      <c r="B821" s="225"/>
      <c r="C821" s="235"/>
      <c r="D821" s="236"/>
      <c r="E821" s="237"/>
      <c r="F821" s="238"/>
      <c r="G821" s="239"/>
      <c r="H821" s="240"/>
      <c r="I821" s="239"/>
      <c r="J821" s="148"/>
      <c r="K821" s="94"/>
      <c r="L821" s="94"/>
      <c r="M821" s="94"/>
      <c r="N821" s="112"/>
      <c r="O821" s="112"/>
    </row>
    <row r="822" ht="15.75" customHeight="1">
      <c r="A822" s="243"/>
      <c r="B822" s="211"/>
      <c r="C822" s="229"/>
      <c r="D822" s="230"/>
      <c r="E822" s="231"/>
      <c r="F822" s="232"/>
      <c r="G822" s="233"/>
      <c r="H822" s="234"/>
      <c r="I822" s="233"/>
      <c r="J822" s="173"/>
      <c r="K822" s="77"/>
      <c r="L822" s="77"/>
      <c r="M822" s="77"/>
      <c r="N822" s="80"/>
      <c r="O822" s="80"/>
    </row>
    <row r="823" ht="15.75" customHeight="1">
      <c r="A823" s="242"/>
      <c r="B823" s="225"/>
      <c r="C823" s="235"/>
      <c r="D823" s="236"/>
      <c r="E823" s="237"/>
      <c r="F823" s="238"/>
      <c r="G823" s="239"/>
      <c r="H823" s="240"/>
      <c r="I823" s="239"/>
      <c r="J823" s="148"/>
      <c r="K823" s="94"/>
      <c r="L823" s="94"/>
      <c r="M823" s="94"/>
      <c r="N823" s="112"/>
      <c r="O823" s="112"/>
    </row>
    <row r="824" ht="15.75" customHeight="1">
      <c r="A824" s="243"/>
      <c r="B824" s="211"/>
      <c r="C824" s="229"/>
      <c r="D824" s="230"/>
      <c r="E824" s="231"/>
      <c r="F824" s="232"/>
      <c r="G824" s="233"/>
      <c r="H824" s="234"/>
      <c r="I824" s="233"/>
      <c r="J824" s="173"/>
      <c r="K824" s="77"/>
      <c r="L824" s="77"/>
      <c r="M824" s="77"/>
      <c r="N824" s="80"/>
      <c r="O824" s="80"/>
    </row>
    <row r="825" ht="15.75" customHeight="1">
      <c r="A825" s="242"/>
      <c r="B825" s="225"/>
      <c r="C825" s="235"/>
      <c r="D825" s="236"/>
      <c r="E825" s="237"/>
      <c r="F825" s="238"/>
      <c r="G825" s="239"/>
      <c r="H825" s="240"/>
      <c r="I825" s="239"/>
      <c r="J825" s="148"/>
      <c r="K825" s="94"/>
      <c r="L825" s="94"/>
      <c r="M825" s="94"/>
      <c r="N825" s="112"/>
      <c r="O825" s="112"/>
    </row>
    <row r="826" ht="15.75" customHeight="1">
      <c r="A826" s="243"/>
      <c r="B826" s="211"/>
      <c r="C826" s="229"/>
      <c r="D826" s="230"/>
      <c r="E826" s="231"/>
      <c r="F826" s="232"/>
      <c r="G826" s="233"/>
      <c r="H826" s="234"/>
      <c r="I826" s="233"/>
      <c r="J826" s="173"/>
      <c r="K826" s="77"/>
      <c r="L826" s="77"/>
      <c r="M826" s="77"/>
      <c r="N826" s="80"/>
      <c r="O826" s="80"/>
    </row>
    <row r="827" ht="15.75" customHeight="1">
      <c r="A827" s="242"/>
      <c r="B827" s="225"/>
      <c r="C827" s="235"/>
      <c r="D827" s="236"/>
      <c r="E827" s="237"/>
      <c r="F827" s="238"/>
      <c r="G827" s="239"/>
      <c r="H827" s="240"/>
      <c r="I827" s="239"/>
      <c r="J827" s="148"/>
      <c r="K827" s="94"/>
      <c r="L827" s="94"/>
      <c r="M827" s="94"/>
      <c r="N827" s="112"/>
      <c r="O827" s="112"/>
    </row>
    <row r="828" ht="15.75" customHeight="1">
      <c r="A828" s="243"/>
      <c r="B828" s="211"/>
      <c r="C828" s="229"/>
      <c r="D828" s="230"/>
      <c r="E828" s="231"/>
      <c r="F828" s="232"/>
      <c r="G828" s="233"/>
      <c r="H828" s="234"/>
      <c r="I828" s="233"/>
      <c r="J828" s="173"/>
      <c r="K828" s="77"/>
      <c r="L828" s="77"/>
      <c r="M828" s="77"/>
      <c r="N828" s="80"/>
      <c r="O828" s="80"/>
    </row>
    <row r="829" ht="15.75" customHeight="1">
      <c r="A829" s="242"/>
      <c r="B829" s="225"/>
      <c r="C829" s="235"/>
      <c r="D829" s="236"/>
      <c r="E829" s="237"/>
      <c r="F829" s="238"/>
      <c r="G829" s="239"/>
      <c r="H829" s="240"/>
      <c r="I829" s="239"/>
      <c r="J829" s="148"/>
      <c r="K829" s="94"/>
      <c r="L829" s="94"/>
      <c r="M829" s="94"/>
      <c r="N829" s="112"/>
      <c r="O829" s="112"/>
    </row>
    <row r="830" ht="15.75" customHeight="1">
      <c r="A830" s="243"/>
      <c r="B830" s="211"/>
      <c r="C830" s="229"/>
      <c r="D830" s="230"/>
      <c r="E830" s="231"/>
      <c r="F830" s="232"/>
      <c r="G830" s="233"/>
      <c r="H830" s="234"/>
      <c r="I830" s="233"/>
      <c r="J830" s="173"/>
      <c r="K830" s="77"/>
      <c r="L830" s="77"/>
      <c r="M830" s="77"/>
      <c r="N830" s="80"/>
      <c r="O830" s="80"/>
    </row>
    <row r="831" ht="15.75" customHeight="1">
      <c r="A831" s="242"/>
      <c r="B831" s="225"/>
      <c r="C831" s="235"/>
      <c r="D831" s="236"/>
      <c r="E831" s="237"/>
      <c r="F831" s="238"/>
      <c r="G831" s="239"/>
      <c r="H831" s="240"/>
      <c r="I831" s="239"/>
      <c r="J831" s="148"/>
      <c r="K831" s="94"/>
      <c r="L831" s="94"/>
      <c r="M831" s="94"/>
      <c r="N831" s="112"/>
      <c r="O831" s="112"/>
    </row>
    <row r="832" ht="15.75" customHeight="1">
      <c r="A832" s="243"/>
      <c r="B832" s="211"/>
      <c r="C832" s="229"/>
      <c r="D832" s="230"/>
      <c r="E832" s="231"/>
      <c r="F832" s="232"/>
      <c r="G832" s="233"/>
      <c r="H832" s="234"/>
      <c r="I832" s="233"/>
      <c r="J832" s="173"/>
      <c r="K832" s="77"/>
      <c r="L832" s="77"/>
      <c r="M832" s="77"/>
      <c r="N832" s="80"/>
      <c r="O832" s="80"/>
    </row>
    <row r="833" ht="15.75" customHeight="1">
      <c r="A833" s="242"/>
      <c r="B833" s="225"/>
      <c r="C833" s="235"/>
      <c r="D833" s="236"/>
      <c r="E833" s="237"/>
      <c r="F833" s="238"/>
      <c r="G833" s="239"/>
      <c r="H833" s="240"/>
      <c r="I833" s="239"/>
      <c r="J833" s="148"/>
      <c r="K833" s="94"/>
      <c r="L833" s="94"/>
      <c r="M833" s="94"/>
      <c r="N833" s="112"/>
      <c r="O833" s="112"/>
    </row>
    <row r="834" ht="15.75" customHeight="1">
      <c r="A834" s="243"/>
      <c r="B834" s="211"/>
      <c r="C834" s="229"/>
      <c r="D834" s="230"/>
      <c r="E834" s="231"/>
      <c r="F834" s="232"/>
      <c r="G834" s="233"/>
      <c r="H834" s="234"/>
      <c r="I834" s="233"/>
      <c r="J834" s="173"/>
      <c r="K834" s="77"/>
      <c r="L834" s="77"/>
      <c r="M834" s="77"/>
      <c r="N834" s="80"/>
      <c r="O834" s="80"/>
    </row>
    <row r="835" ht="15.75" customHeight="1">
      <c r="A835" s="242"/>
      <c r="B835" s="225"/>
      <c r="C835" s="235"/>
      <c r="D835" s="236"/>
      <c r="E835" s="237"/>
      <c r="F835" s="238"/>
      <c r="G835" s="239"/>
      <c r="H835" s="240"/>
      <c r="I835" s="239"/>
      <c r="J835" s="148"/>
      <c r="K835" s="94"/>
      <c r="L835" s="94"/>
      <c r="M835" s="94"/>
      <c r="N835" s="112"/>
      <c r="O835" s="112"/>
    </row>
    <row r="836" ht="15.75" customHeight="1">
      <c r="A836" s="243"/>
      <c r="B836" s="211"/>
      <c r="C836" s="229"/>
      <c r="D836" s="230"/>
      <c r="E836" s="231"/>
      <c r="F836" s="232"/>
      <c r="G836" s="233"/>
      <c r="H836" s="234"/>
      <c r="I836" s="233"/>
      <c r="J836" s="173"/>
      <c r="K836" s="77"/>
      <c r="L836" s="77"/>
      <c r="M836" s="77"/>
      <c r="N836" s="80"/>
      <c r="O836" s="80"/>
    </row>
    <row r="837" ht="15.75" customHeight="1">
      <c r="A837" s="242"/>
      <c r="B837" s="225"/>
      <c r="C837" s="235"/>
      <c r="D837" s="236"/>
      <c r="E837" s="237"/>
      <c r="F837" s="238"/>
      <c r="G837" s="239"/>
      <c r="H837" s="240"/>
      <c r="I837" s="239"/>
      <c r="J837" s="148"/>
      <c r="K837" s="94"/>
      <c r="L837" s="94"/>
      <c r="M837" s="94"/>
      <c r="N837" s="112"/>
      <c r="O837" s="112"/>
    </row>
    <row r="838" ht="15.75" customHeight="1">
      <c r="A838" s="243"/>
      <c r="B838" s="211"/>
      <c r="C838" s="229"/>
      <c r="D838" s="230"/>
      <c r="E838" s="231"/>
      <c r="F838" s="232"/>
      <c r="G838" s="233"/>
      <c r="H838" s="234"/>
      <c r="I838" s="233"/>
      <c r="J838" s="173"/>
      <c r="K838" s="77"/>
      <c r="L838" s="77"/>
      <c r="M838" s="77"/>
      <c r="N838" s="80"/>
      <c r="O838" s="80"/>
    </row>
    <row r="839" ht="15.75" customHeight="1">
      <c r="A839" s="242"/>
      <c r="B839" s="225"/>
      <c r="C839" s="235"/>
      <c r="D839" s="236"/>
      <c r="E839" s="237"/>
      <c r="F839" s="238"/>
      <c r="G839" s="239"/>
      <c r="H839" s="240"/>
      <c r="I839" s="239"/>
      <c r="J839" s="148"/>
      <c r="K839" s="94"/>
      <c r="L839" s="94"/>
      <c r="M839" s="94"/>
      <c r="N839" s="112"/>
      <c r="O839" s="112"/>
    </row>
    <row r="840" ht="15.75" customHeight="1">
      <c r="A840" s="243"/>
      <c r="B840" s="211"/>
      <c r="C840" s="229"/>
      <c r="D840" s="230"/>
      <c r="E840" s="231"/>
      <c r="F840" s="232"/>
      <c r="G840" s="233"/>
      <c r="H840" s="234"/>
      <c r="I840" s="233"/>
      <c r="J840" s="173"/>
      <c r="K840" s="77"/>
      <c r="L840" s="77"/>
      <c r="M840" s="77"/>
      <c r="N840" s="80"/>
      <c r="O840" s="80"/>
    </row>
    <row r="841" ht="15.75" customHeight="1">
      <c r="A841" s="242"/>
      <c r="B841" s="225"/>
      <c r="C841" s="235"/>
      <c r="D841" s="236"/>
      <c r="E841" s="237"/>
      <c r="F841" s="238"/>
      <c r="G841" s="239"/>
      <c r="H841" s="240"/>
      <c r="I841" s="239"/>
      <c r="J841" s="148"/>
      <c r="K841" s="94"/>
      <c r="L841" s="94"/>
      <c r="M841" s="94"/>
      <c r="N841" s="112"/>
      <c r="O841" s="112"/>
    </row>
    <row r="842" ht="15.75" customHeight="1">
      <c r="A842" s="243"/>
      <c r="B842" s="211"/>
      <c r="C842" s="229"/>
      <c r="D842" s="230"/>
      <c r="E842" s="231"/>
      <c r="F842" s="232"/>
      <c r="G842" s="233"/>
      <c r="H842" s="234"/>
      <c r="I842" s="233"/>
      <c r="J842" s="173"/>
      <c r="K842" s="77"/>
      <c r="L842" s="77"/>
      <c r="M842" s="77"/>
      <c r="N842" s="80"/>
      <c r="O842" s="80"/>
    </row>
    <row r="843" ht="15.75" customHeight="1">
      <c r="A843" s="242"/>
      <c r="B843" s="225"/>
      <c r="C843" s="235"/>
      <c r="D843" s="236"/>
      <c r="E843" s="237"/>
      <c r="F843" s="238"/>
      <c r="G843" s="239"/>
      <c r="H843" s="240"/>
      <c r="I843" s="239"/>
      <c r="J843" s="148"/>
      <c r="K843" s="94"/>
      <c r="L843" s="94"/>
      <c r="M843" s="94"/>
      <c r="N843" s="112"/>
      <c r="O843" s="112"/>
    </row>
    <row r="844" ht="15.75" customHeight="1">
      <c r="A844" s="243"/>
      <c r="B844" s="211"/>
      <c r="C844" s="229"/>
      <c r="D844" s="230"/>
      <c r="E844" s="231"/>
      <c r="F844" s="232"/>
      <c r="G844" s="233"/>
      <c r="H844" s="234"/>
      <c r="I844" s="233"/>
      <c r="J844" s="173"/>
      <c r="K844" s="77"/>
      <c r="L844" s="77"/>
      <c r="M844" s="77"/>
      <c r="N844" s="80"/>
      <c r="O844" s="80"/>
    </row>
    <row r="845" ht="15.75" customHeight="1">
      <c r="A845" s="242"/>
      <c r="B845" s="225"/>
      <c r="C845" s="235"/>
      <c r="D845" s="236"/>
      <c r="E845" s="237"/>
      <c r="F845" s="238"/>
      <c r="G845" s="239"/>
      <c r="H845" s="240"/>
      <c r="I845" s="239"/>
      <c r="J845" s="148"/>
      <c r="K845" s="94"/>
      <c r="L845" s="94"/>
      <c r="M845" s="94"/>
      <c r="N845" s="112"/>
      <c r="O845" s="112"/>
    </row>
    <row r="846" ht="15.75" customHeight="1">
      <c r="A846" s="243"/>
      <c r="B846" s="211"/>
      <c r="C846" s="229"/>
      <c r="D846" s="230"/>
      <c r="E846" s="231"/>
      <c r="F846" s="232"/>
      <c r="G846" s="233"/>
      <c r="H846" s="234"/>
      <c r="I846" s="233"/>
      <c r="J846" s="173"/>
      <c r="K846" s="77"/>
      <c r="L846" s="77"/>
      <c r="M846" s="77"/>
      <c r="N846" s="80"/>
      <c r="O846" s="80"/>
    </row>
    <row r="847" ht="15.75" customHeight="1">
      <c r="A847" s="242"/>
      <c r="B847" s="225"/>
      <c r="C847" s="235"/>
      <c r="D847" s="236"/>
      <c r="E847" s="237"/>
      <c r="F847" s="238"/>
      <c r="G847" s="239"/>
      <c r="H847" s="240"/>
      <c r="I847" s="239"/>
      <c r="J847" s="148"/>
      <c r="K847" s="94"/>
      <c r="L847" s="94"/>
      <c r="M847" s="94"/>
      <c r="N847" s="112"/>
      <c r="O847" s="112"/>
    </row>
    <row r="848" ht="15.75" customHeight="1">
      <c r="A848" s="243"/>
      <c r="B848" s="211"/>
      <c r="C848" s="229"/>
      <c r="D848" s="230"/>
      <c r="E848" s="231"/>
      <c r="F848" s="232"/>
      <c r="G848" s="233"/>
      <c r="H848" s="234"/>
      <c r="I848" s="233"/>
      <c r="J848" s="173"/>
      <c r="K848" s="77"/>
      <c r="L848" s="77"/>
      <c r="M848" s="77"/>
      <c r="N848" s="80"/>
      <c r="O848" s="80"/>
    </row>
    <row r="849" ht="15.75" customHeight="1">
      <c r="A849" s="242"/>
      <c r="B849" s="225"/>
      <c r="C849" s="235"/>
      <c r="D849" s="236"/>
      <c r="E849" s="237"/>
      <c r="F849" s="238"/>
      <c r="G849" s="239"/>
      <c r="H849" s="240"/>
      <c r="I849" s="239"/>
      <c r="J849" s="148"/>
      <c r="K849" s="94"/>
      <c r="L849" s="94"/>
      <c r="M849" s="94"/>
      <c r="N849" s="112"/>
      <c r="O849" s="112"/>
    </row>
    <row r="850" ht="15.75" customHeight="1">
      <c r="A850" s="243"/>
      <c r="B850" s="211"/>
      <c r="C850" s="229"/>
      <c r="D850" s="230"/>
      <c r="E850" s="231"/>
      <c r="F850" s="232"/>
      <c r="G850" s="233"/>
      <c r="H850" s="234"/>
      <c r="I850" s="233"/>
      <c r="J850" s="173"/>
      <c r="K850" s="77"/>
      <c r="L850" s="77"/>
      <c r="M850" s="77"/>
      <c r="N850" s="80"/>
      <c r="O850" s="80"/>
    </row>
    <row r="851" ht="15.75" customHeight="1">
      <c r="A851" s="242"/>
      <c r="B851" s="225"/>
      <c r="C851" s="235"/>
      <c r="D851" s="236"/>
      <c r="E851" s="237"/>
      <c r="F851" s="238"/>
      <c r="G851" s="239"/>
      <c r="H851" s="240"/>
      <c r="I851" s="239"/>
      <c r="J851" s="148"/>
      <c r="K851" s="94"/>
      <c r="L851" s="94"/>
      <c r="M851" s="94"/>
      <c r="N851" s="112"/>
      <c r="O851" s="112"/>
    </row>
    <row r="852" ht="15.75" customHeight="1">
      <c r="A852" s="243"/>
      <c r="B852" s="211"/>
      <c r="C852" s="229"/>
      <c r="D852" s="230"/>
      <c r="E852" s="231"/>
      <c r="F852" s="232"/>
      <c r="G852" s="233"/>
      <c r="H852" s="234"/>
      <c r="I852" s="233"/>
      <c r="J852" s="173"/>
      <c r="K852" s="77"/>
      <c r="L852" s="77"/>
      <c r="M852" s="77"/>
      <c r="N852" s="80"/>
      <c r="O852" s="80"/>
    </row>
    <row r="853" ht="15.75" customHeight="1">
      <c r="A853" s="242"/>
      <c r="B853" s="225"/>
      <c r="C853" s="235"/>
      <c r="D853" s="236"/>
      <c r="E853" s="237"/>
      <c r="F853" s="238"/>
      <c r="G853" s="239"/>
      <c r="H853" s="240"/>
      <c r="I853" s="239"/>
      <c r="J853" s="148"/>
      <c r="K853" s="94"/>
      <c r="L853" s="94"/>
      <c r="M853" s="94"/>
      <c r="N853" s="112"/>
      <c r="O853" s="112"/>
    </row>
    <row r="854" ht="15.75" customHeight="1">
      <c r="A854" s="243"/>
      <c r="B854" s="211"/>
      <c r="C854" s="229"/>
      <c r="D854" s="230"/>
      <c r="E854" s="231"/>
      <c r="F854" s="232"/>
      <c r="G854" s="233"/>
      <c r="H854" s="234"/>
      <c r="I854" s="233"/>
      <c r="J854" s="173"/>
      <c r="K854" s="77"/>
      <c r="L854" s="77"/>
      <c r="M854" s="77"/>
      <c r="N854" s="80"/>
      <c r="O854" s="80"/>
    </row>
    <row r="855" ht="15.75" customHeight="1">
      <c r="A855" s="242"/>
      <c r="B855" s="225"/>
      <c r="C855" s="235"/>
      <c r="D855" s="236"/>
      <c r="E855" s="237"/>
      <c r="F855" s="238"/>
      <c r="G855" s="239"/>
      <c r="H855" s="240"/>
      <c r="I855" s="239"/>
      <c r="J855" s="148"/>
      <c r="K855" s="94"/>
      <c r="L855" s="94"/>
      <c r="M855" s="94"/>
      <c r="N855" s="112"/>
      <c r="O855" s="112"/>
    </row>
    <row r="856" ht="15.75" customHeight="1">
      <c r="A856" s="243"/>
      <c r="B856" s="211"/>
      <c r="C856" s="229"/>
      <c r="D856" s="230"/>
      <c r="E856" s="231"/>
      <c r="F856" s="232"/>
      <c r="G856" s="233"/>
      <c r="H856" s="234"/>
      <c r="I856" s="233"/>
      <c r="J856" s="173"/>
      <c r="K856" s="77"/>
      <c r="L856" s="77"/>
      <c r="M856" s="77"/>
      <c r="N856" s="80"/>
      <c r="O856" s="80"/>
    </row>
    <row r="857" ht="15.75" customHeight="1">
      <c r="A857" s="242"/>
      <c r="B857" s="225"/>
      <c r="C857" s="235"/>
      <c r="D857" s="236"/>
      <c r="E857" s="237"/>
      <c r="F857" s="238"/>
      <c r="G857" s="239"/>
      <c r="H857" s="240"/>
      <c r="I857" s="239"/>
      <c r="J857" s="148"/>
      <c r="K857" s="94"/>
      <c r="L857" s="94"/>
      <c r="M857" s="94"/>
      <c r="N857" s="112"/>
      <c r="O857" s="112"/>
    </row>
    <row r="858" ht="15.75" customHeight="1">
      <c r="A858" s="243"/>
      <c r="B858" s="211"/>
      <c r="C858" s="229"/>
      <c r="D858" s="230"/>
      <c r="E858" s="231"/>
      <c r="F858" s="232"/>
      <c r="G858" s="233"/>
      <c r="H858" s="234"/>
      <c r="I858" s="233"/>
      <c r="J858" s="173"/>
      <c r="K858" s="77"/>
      <c r="L858" s="77"/>
      <c r="M858" s="77"/>
      <c r="N858" s="80"/>
      <c r="O858" s="80"/>
    </row>
    <row r="859" ht="15.75" customHeight="1">
      <c r="A859" s="242"/>
      <c r="B859" s="225"/>
      <c r="C859" s="235"/>
      <c r="D859" s="236"/>
      <c r="E859" s="237"/>
      <c r="F859" s="238"/>
      <c r="G859" s="239"/>
      <c r="H859" s="240"/>
      <c r="I859" s="239"/>
      <c r="J859" s="148"/>
      <c r="K859" s="94"/>
      <c r="L859" s="94"/>
      <c r="M859" s="94"/>
      <c r="N859" s="112"/>
      <c r="O859" s="112"/>
    </row>
    <row r="860" ht="15.75" customHeight="1">
      <c r="A860" s="243"/>
      <c r="B860" s="211"/>
      <c r="C860" s="229"/>
      <c r="D860" s="230"/>
      <c r="E860" s="231"/>
      <c r="F860" s="232"/>
      <c r="G860" s="233"/>
      <c r="H860" s="234"/>
      <c r="I860" s="233"/>
      <c r="J860" s="173"/>
      <c r="K860" s="77"/>
      <c r="L860" s="77"/>
      <c r="M860" s="77"/>
      <c r="N860" s="80"/>
      <c r="O860" s="80"/>
    </row>
    <row r="861" ht="15.75" customHeight="1">
      <c r="A861" s="242"/>
      <c r="B861" s="225"/>
      <c r="C861" s="235"/>
      <c r="D861" s="236"/>
      <c r="E861" s="237"/>
      <c r="F861" s="238"/>
      <c r="G861" s="239"/>
      <c r="H861" s="240"/>
      <c r="I861" s="239"/>
      <c r="J861" s="148"/>
      <c r="K861" s="94"/>
      <c r="L861" s="94"/>
      <c r="M861" s="94"/>
      <c r="N861" s="112"/>
      <c r="O861" s="112"/>
    </row>
    <row r="862" ht="15.75" customHeight="1">
      <c r="A862" s="243"/>
      <c r="B862" s="211"/>
      <c r="C862" s="229"/>
      <c r="D862" s="230"/>
      <c r="E862" s="231"/>
      <c r="F862" s="232"/>
      <c r="G862" s="233"/>
      <c r="H862" s="234"/>
      <c r="I862" s="233"/>
      <c r="J862" s="173"/>
      <c r="K862" s="77"/>
      <c r="L862" s="77"/>
      <c r="M862" s="77"/>
      <c r="N862" s="80"/>
      <c r="O862" s="80"/>
    </row>
    <row r="863" ht="15.75" customHeight="1">
      <c r="A863" s="242"/>
      <c r="B863" s="225"/>
      <c r="C863" s="235"/>
      <c r="D863" s="236"/>
      <c r="E863" s="237"/>
      <c r="F863" s="238"/>
      <c r="G863" s="239"/>
      <c r="H863" s="240"/>
      <c r="I863" s="239"/>
      <c r="J863" s="148"/>
      <c r="K863" s="94"/>
      <c r="L863" s="94"/>
      <c r="M863" s="94"/>
      <c r="N863" s="112"/>
      <c r="O863" s="112"/>
    </row>
    <row r="864" ht="15.75" customHeight="1">
      <c r="A864" s="243"/>
      <c r="B864" s="211"/>
      <c r="C864" s="229"/>
      <c r="D864" s="230"/>
      <c r="E864" s="231"/>
      <c r="F864" s="232"/>
      <c r="G864" s="233"/>
      <c r="H864" s="234"/>
      <c r="I864" s="233"/>
      <c r="J864" s="173"/>
      <c r="K864" s="77"/>
      <c r="L864" s="77"/>
      <c r="M864" s="77"/>
      <c r="N864" s="80"/>
      <c r="O864" s="80"/>
    </row>
    <row r="865" ht="15.75" customHeight="1">
      <c r="A865" s="242"/>
      <c r="B865" s="225"/>
      <c r="C865" s="235"/>
      <c r="D865" s="236"/>
      <c r="E865" s="237"/>
      <c r="F865" s="238"/>
      <c r="G865" s="239"/>
      <c r="H865" s="240"/>
      <c r="I865" s="239"/>
      <c r="J865" s="148"/>
      <c r="K865" s="94"/>
      <c r="L865" s="94"/>
      <c r="M865" s="94"/>
      <c r="N865" s="112"/>
      <c r="O865" s="112"/>
    </row>
    <row r="866" ht="15.75" customHeight="1">
      <c r="A866" s="243"/>
      <c r="B866" s="211"/>
      <c r="C866" s="229"/>
      <c r="D866" s="230"/>
      <c r="E866" s="231"/>
      <c r="F866" s="232"/>
      <c r="G866" s="233"/>
      <c r="H866" s="234"/>
      <c r="I866" s="233"/>
      <c r="J866" s="173"/>
      <c r="K866" s="77"/>
      <c r="L866" s="77"/>
      <c r="M866" s="77"/>
      <c r="N866" s="80"/>
      <c r="O866" s="80"/>
    </row>
    <row r="867" ht="15.75" customHeight="1">
      <c r="A867" s="242"/>
      <c r="B867" s="225"/>
      <c r="C867" s="235"/>
      <c r="D867" s="236"/>
      <c r="E867" s="237"/>
      <c r="F867" s="238"/>
      <c r="G867" s="239"/>
      <c r="H867" s="240"/>
      <c r="I867" s="239"/>
      <c r="J867" s="148"/>
      <c r="K867" s="94"/>
      <c r="L867" s="94"/>
      <c r="M867" s="94"/>
      <c r="N867" s="112"/>
      <c r="O867" s="112"/>
    </row>
    <row r="868" ht="15.75" customHeight="1">
      <c r="A868" s="243"/>
      <c r="B868" s="211"/>
      <c r="C868" s="229"/>
      <c r="D868" s="230"/>
      <c r="E868" s="231"/>
      <c r="F868" s="232"/>
      <c r="G868" s="233"/>
      <c r="H868" s="234"/>
      <c r="I868" s="233"/>
      <c r="J868" s="173"/>
      <c r="K868" s="77"/>
      <c r="L868" s="77"/>
      <c r="M868" s="77"/>
      <c r="N868" s="80"/>
      <c r="O868" s="80"/>
    </row>
    <row r="869" ht="15.75" customHeight="1">
      <c r="A869" s="242"/>
      <c r="B869" s="225"/>
      <c r="C869" s="235"/>
      <c r="D869" s="236"/>
      <c r="E869" s="237"/>
      <c r="F869" s="238"/>
      <c r="G869" s="239"/>
      <c r="H869" s="240"/>
      <c r="I869" s="239"/>
      <c r="J869" s="148"/>
      <c r="K869" s="94"/>
      <c r="L869" s="94"/>
      <c r="M869" s="94"/>
      <c r="N869" s="112"/>
      <c r="O869" s="112"/>
    </row>
    <row r="870" ht="15.75" customHeight="1">
      <c r="A870" s="243"/>
      <c r="B870" s="211"/>
      <c r="C870" s="229"/>
      <c r="D870" s="230"/>
      <c r="E870" s="231"/>
      <c r="F870" s="232"/>
      <c r="G870" s="233"/>
      <c r="H870" s="234"/>
      <c r="I870" s="233"/>
      <c r="J870" s="173"/>
      <c r="K870" s="77"/>
      <c r="L870" s="77"/>
      <c r="M870" s="77"/>
      <c r="N870" s="80"/>
      <c r="O870" s="80"/>
    </row>
    <row r="871" ht="15.75" customHeight="1">
      <c r="A871" s="242"/>
      <c r="B871" s="225"/>
      <c r="C871" s="235"/>
      <c r="D871" s="236"/>
      <c r="E871" s="237"/>
      <c r="F871" s="238"/>
      <c r="G871" s="239"/>
      <c r="H871" s="240"/>
      <c r="I871" s="239"/>
      <c r="J871" s="148"/>
      <c r="K871" s="94"/>
      <c r="L871" s="94"/>
      <c r="M871" s="94"/>
      <c r="N871" s="112"/>
      <c r="O871" s="112"/>
    </row>
    <row r="872" ht="15.75" customHeight="1">
      <c r="A872" s="243"/>
      <c r="B872" s="211"/>
      <c r="C872" s="229"/>
      <c r="D872" s="230"/>
      <c r="E872" s="231"/>
      <c r="F872" s="232"/>
      <c r="G872" s="233"/>
      <c r="H872" s="234"/>
      <c r="I872" s="233"/>
      <c r="J872" s="173"/>
      <c r="K872" s="77"/>
      <c r="L872" s="77"/>
      <c r="M872" s="77"/>
      <c r="N872" s="80"/>
      <c r="O872" s="80"/>
    </row>
    <row r="873" ht="15.75" customHeight="1">
      <c r="A873" s="242"/>
      <c r="B873" s="225"/>
      <c r="C873" s="235"/>
      <c r="D873" s="236"/>
      <c r="E873" s="237"/>
      <c r="F873" s="238"/>
      <c r="G873" s="239"/>
      <c r="H873" s="240"/>
      <c r="I873" s="239"/>
      <c r="J873" s="148"/>
      <c r="K873" s="94"/>
      <c r="L873" s="94"/>
      <c r="M873" s="94"/>
      <c r="N873" s="112"/>
      <c r="O873" s="112"/>
    </row>
    <row r="874" ht="15.75" customHeight="1">
      <c r="A874" s="243"/>
      <c r="B874" s="211"/>
      <c r="C874" s="229"/>
      <c r="D874" s="230"/>
      <c r="E874" s="231"/>
      <c r="F874" s="232"/>
      <c r="G874" s="233"/>
      <c r="H874" s="234"/>
      <c r="I874" s="233"/>
      <c r="J874" s="173"/>
      <c r="K874" s="77"/>
      <c r="L874" s="77"/>
      <c r="M874" s="77"/>
      <c r="N874" s="80"/>
      <c r="O874" s="80"/>
    </row>
    <row r="875" ht="15.75" customHeight="1">
      <c r="A875" s="242"/>
      <c r="B875" s="225"/>
      <c r="C875" s="235"/>
      <c r="D875" s="236"/>
      <c r="E875" s="237"/>
      <c r="F875" s="238"/>
      <c r="G875" s="239"/>
      <c r="H875" s="240"/>
      <c r="I875" s="239"/>
      <c r="J875" s="148"/>
      <c r="K875" s="94"/>
      <c r="L875" s="94"/>
      <c r="M875" s="94"/>
      <c r="N875" s="112"/>
      <c r="O875" s="112"/>
    </row>
    <row r="876" ht="15.75" customHeight="1">
      <c r="A876" s="243"/>
      <c r="B876" s="211"/>
      <c r="C876" s="229"/>
      <c r="D876" s="230"/>
      <c r="E876" s="231"/>
      <c r="F876" s="232"/>
      <c r="G876" s="233"/>
      <c r="H876" s="234"/>
      <c r="I876" s="233"/>
      <c r="J876" s="173"/>
      <c r="K876" s="77"/>
      <c r="L876" s="77"/>
      <c r="M876" s="77"/>
      <c r="N876" s="80"/>
      <c r="O876" s="80"/>
    </row>
    <row r="877" ht="15.75" customHeight="1">
      <c r="A877" s="242"/>
      <c r="B877" s="225"/>
      <c r="C877" s="235"/>
      <c r="D877" s="236"/>
      <c r="E877" s="237"/>
      <c r="F877" s="238"/>
      <c r="G877" s="239"/>
      <c r="H877" s="240"/>
      <c r="I877" s="239"/>
      <c r="J877" s="148"/>
      <c r="K877" s="94"/>
      <c r="L877" s="94"/>
      <c r="M877" s="94"/>
      <c r="N877" s="112"/>
      <c r="O877" s="112"/>
    </row>
    <row r="878" ht="15.75" customHeight="1">
      <c r="A878" s="243"/>
      <c r="B878" s="211"/>
      <c r="C878" s="229"/>
      <c r="D878" s="230"/>
      <c r="E878" s="231"/>
      <c r="F878" s="232"/>
      <c r="G878" s="233"/>
      <c r="H878" s="234"/>
      <c r="I878" s="233"/>
      <c r="J878" s="173"/>
      <c r="K878" s="77"/>
      <c r="L878" s="77"/>
      <c r="M878" s="77"/>
      <c r="N878" s="80"/>
      <c r="O878" s="80"/>
    </row>
    <row r="879" ht="15.75" customHeight="1">
      <c r="A879" s="242"/>
      <c r="B879" s="225"/>
      <c r="C879" s="235"/>
      <c r="D879" s="236"/>
      <c r="E879" s="237"/>
      <c r="F879" s="238"/>
      <c r="G879" s="239"/>
      <c r="H879" s="240"/>
      <c r="I879" s="239"/>
      <c r="J879" s="148"/>
      <c r="K879" s="94"/>
      <c r="L879" s="94"/>
      <c r="M879" s="94"/>
      <c r="N879" s="112"/>
      <c r="O879" s="112"/>
    </row>
    <row r="880" ht="15.75" customHeight="1">
      <c r="A880" s="243"/>
      <c r="B880" s="211"/>
      <c r="C880" s="229"/>
      <c r="D880" s="230"/>
      <c r="E880" s="231"/>
      <c r="F880" s="232"/>
      <c r="G880" s="233"/>
      <c r="H880" s="234"/>
      <c r="I880" s="233"/>
      <c r="J880" s="173"/>
      <c r="K880" s="77"/>
      <c r="L880" s="77"/>
      <c r="M880" s="77"/>
      <c r="N880" s="80"/>
      <c r="O880" s="80"/>
    </row>
    <row r="881" ht="15.75" customHeight="1">
      <c r="A881" s="242"/>
      <c r="B881" s="225"/>
      <c r="C881" s="235"/>
      <c r="D881" s="236"/>
      <c r="E881" s="237"/>
      <c r="F881" s="238"/>
      <c r="G881" s="239"/>
      <c r="H881" s="240"/>
      <c r="I881" s="239"/>
      <c r="J881" s="148"/>
      <c r="K881" s="94"/>
      <c r="L881" s="94"/>
      <c r="M881" s="94"/>
      <c r="N881" s="112"/>
      <c r="O881" s="112"/>
    </row>
    <row r="882" ht="15.75" customHeight="1">
      <c r="A882" s="243"/>
      <c r="B882" s="211"/>
      <c r="C882" s="229"/>
      <c r="D882" s="230"/>
      <c r="E882" s="231"/>
      <c r="F882" s="232"/>
      <c r="G882" s="233"/>
      <c r="H882" s="234"/>
      <c r="I882" s="233"/>
      <c r="J882" s="173"/>
      <c r="K882" s="77"/>
      <c r="L882" s="77"/>
      <c r="M882" s="77"/>
      <c r="N882" s="80"/>
      <c r="O882" s="80"/>
    </row>
    <row r="883" ht="15.75" customHeight="1">
      <c r="A883" s="242"/>
      <c r="B883" s="225"/>
      <c r="C883" s="235"/>
      <c r="D883" s="236"/>
      <c r="E883" s="237"/>
      <c r="F883" s="238"/>
      <c r="G883" s="239"/>
      <c r="H883" s="240"/>
      <c r="I883" s="239"/>
      <c r="J883" s="148"/>
      <c r="K883" s="94"/>
      <c r="L883" s="94"/>
      <c r="M883" s="94"/>
      <c r="N883" s="112"/>
      <c r="O883" s="112"/>
    </row>
    <row r="884" ht="15.75" customHeight="1">
      <c r="A884" s="243"/>
      <c r="B884" s="211"/>
      <c r="C884" s="229"/>
      <c r="D884" s="230"/>
      <c r="E884" s="231"/>
      <c r="F884" s="232"/>
      <c r="G884" s="233"/>
      <c r="H884" s="234"/>
      <c r="I884" s="233"/>
      <c r="J884" s="173"/>
      <c r="K884" s="77"/>
      <c r="L884" s="77"/>
      <c r="M884" s="77"/>
      <c r="N884" s="80"/>
      <c r="O884" s="80"/>
    </row>
    <row r="885" ht="15.75" customHeight="1">
      <c r="A885" s="242"/>
      <c r="B885" s="225"/>
      <c r="C885" s="235"/>
      <c r="D885" s="236"/>
      <c r="E885" s="237"/>
      <c r="F885" s="238"/>
      <c r="G885" s="239"/>
      <c r="H885" s="240"/>
      <c r="I885" s="239"/>
      <c r="J885" s="148"/>
      <c r="K885" s="94"/>
      <c r="L885" s="94"/>
      <c r="M885" s="94"/>
      <c r="N885" s="112"/>
      <c r="O885" s="112"/>
    </row>
    <row r="886" ht="15.75" customHeight="1">
      <c r="A886" s="243"/>
      <c r="B886" s="211"/>
      <c r="C886" s="229"/>
      <c r="D886" s="230"/>
      <c r="E886" s="231"/>
      <c r="F886" s="232"/>
      <c r="G886" s="233"/>
      <c r="H886" s="234"/>
      <c r="I886" s="233"/>
      <c r="J886" s="173"/>
      <c r="K886" s="77"/>
      <c r="L886" s="77"/>
      <c r="M886" s="77"/>
      <c r="N886" s="80"/>
      <c r="O886" s="80"/>
    </row>
    <row r="887" ht="15.75" customHeight="1">
      <c r="A887" s="242"/>
      <c r="B887" s="225"/>
      <c r="C887" s="235"/>
      <c r="D887" s="236"/>
      <c r="E887" s="237"/>
      <c r="F887" s="238"/>
      <c r="G887" s="239"/>
      <c r="H887" s="240"/>
      <c r="I887" s="239"/>
      <c r="J887" s="148"/>
      <c r="K887" s="94"/>
      <c r="L887" s="94"/>
      <c r="M887" s="94"/>
      <c r="N887" s="112"/>
      <c r="O887" s="112"/>
    </row>
    <row r="888" ht="15.75" customHeight="1">
      <c r="A888" s="243"/>
      <c r="B888" s="211"/>
      <c r="C888" s="229"/>
      <c r="D888" s="230"/>
      <c r="E888" s="231"/>
      <c r="F888" s="232"/>
      <c r="G888" s="233"/>
      <c r="H888" s="234"/>
      <c r="I888" s="233"/>
      <c r="J888" s="173"/>
      <c r="K888" s="77"/>
      <c r="L888" s="77"/>
      <c r="M888" s="77"/>
      <c r="N888" s="80"/>
      <c r="O888" s="80"/>
    </row>
    <row r="889" ht="15.75" customHeight="1">
      <c r="A889" s="242"/>
      <c r="B889" s="225"/>
      <c r="C889" s="235"/>
      <c r="D889" s="236"/>
      <c r="E889" s="237"/>
      <c r="F889" s="238"/>
      <c r="G889" s="239"/>
      <c r="H889" s="240"/>
      <c r="I889" s="239"/>
      <c r="J889" s="148"/>
      <c r="K889" s="94"/>
      <c r="L889" s="94"/>
      <c r="M889" s="94"/>
      <c r="N889" s="112"/>
      <c r="O889" s="112"/>
    </row>
    <row r="890" ht="15.75" customHeight="1">
      <c r="A890" s="243"/>
      <c r="B890" s="211"/>
      <c r="C890" s="229"/>
      <c r="D890" s="230"/>
      <c r="E890" s="231"/>
      <c r="F890" s="232"/>
      <c r="G890" s="233"/>
      <c r="H890" s="234"/>
      <c r="I890" s="233"/>
      <c r="J890" s="173"/>
      <c r="K890" s="77"/>
      <c r="L890" s="77"/>
      <c r="M890" s="77"/>
      <c r="N890" s="80"/>
      <c r="O890" s="80"/>
    </row>
    <row r="891" ht="15.75" customHeight="1">
      <c r="A891" s="242"/>
      <c r="B891" s="225"/>
      <c r="C891" s="235"/>
      <c r="D891" s="236"/>
      <c r="E891" s="237"/>
      <c r="F891" s="238"/>
      <c r="G891" s="239"/>
      <c r="H891" s="240"/>
      <c r="I891" s="239"/>
      <c r="J891" s="148"/>
      <c r="K891" s="94"/>
      <c r="L891" s="94"/>
      <c r="M891" s="94"/>
      <c r="N891" s="112"/>
      <c r="O891" s="112"/>
    </row>
    <row r="892" ht="15.75" customHeight="1">
      <c r="A892" s="243"/>
      <c r="B892" s="211"/>
      <c r="C892" s="229"/>
      <c r="D892" s="230"/>
      <c r="E892" s="231"/>
      <c r="F892" s="232"/>
      <c r="G892" s="233"/>
      <c r="H892" s="234"/>
      <c r="I892" s="233"/>
      <c r="J892" s="173"/>
      <c r="K892" s="77"/>
      <c r="L892" s="77"/>
      <c r="M892" s="77"/>
      <c r="N892" s="80"/>
      <c r="O892" s="80"/>
    </row>
    <row r="893" ht="15.75" customHeight="1">
      <c r="A893" s="242"/>
      <c r="B893" s="225"/>
      <c r="C893" s="235"/>
      <c r="D893" s="236"/>
      <c r="E893" s="237"/>
      <c r="F893" s="238"/>
      <c r="G893" s="239"/>
      <c r="H893" s="240"/>
      <c r="I893" s="239"/>
      <c r="J893" s="148"/>
      <c r="K893" s="94"/>
      <c r="L893" s="94"/>
      <c r="M893" s="94"/>
      <c r="N893" s="112"/>
      <c r="O893" s="112"/>
    </row>
    <row r="894" ht="15.75" customHeight="1">
      <c r="A894" s="243"/>
      <c r="B894" s="211"/>
      <c r="C894" s="229"/>
      <c r="D894" s="230"/>
      <c r="E894" s="231"/>
      <c r="F894" s="232"/>
      <c r="G894" s="233"/>
      <c r="H894" s="234"/>
      <c r="I894" s="233"/>
      <c r="J894" s="173"/>
      <c r="K894" s="77"/>
      <c r="L894" s="77"/>
      <c r="M894" s="77"/>
      <c r="N894" s="80"/>
      <c r="O894" s="80"/>
    </row>
    <row r="895" ht="15.75" customHeight="1">
      <c r="A895" s="242"/>
      <c r="B895" s="225"/>
      <c r="C895" s="235"/>
      <c r="D895" s="236"/>
      <c r="E895" s="237"/>
      <c r="F895" s="238"/>
      <c r="G895" s="239"/>
      <c r="H895" s="240"/>
      <c r="I895" s="239"/>
      <c r="J895" s="148"/>
      <c r="K895" s="94"/>
      <c r="L895" s="94"/>
      <c r="M895" s="94"/>
      <c r="N895" s="112"/>
      <c r="O895" s="112"/>
    </row>
    <row r="896" ht="15.75" customHeight="1">
      <c r="A896" s="243"/>
      <c r="B896" s="211"/>
      <c r="C896" s="229"/>
      <c r="D896" s="230"/>
      <c r="E896" s="231"/>
      <c r="F896" s="232"/>
      <c r="G896" s="233"/>
      <c r="H896" s="234"/>
      <c r="I896" s="233"/>
      <c r="J896" s="173"/>
      <c r="K896" s="77"/>
      <c r="L896" s="77"/>
      <c r="M896" s="77"/>
      <c r="N896" s="80"/>
      <c r="O896" s="80"/>
    </row>
    <row r="897" ht="15.75" customHeight="1">
      <c r="A897" s="242"/>
      <c r="B897" s="225"/>
      <c r="C897" s="235"/>
      <c r="D897" s="236"/>
      <c r="E897" s="237"/>
      <c r="F897" s="238"/>
      <c r="G897" s="239"/>
      <c r="H897" s="240"/>
      <c r="I897" s="239"/>
      <c r="J897" s="148"/>
      <c r="K897" s="94"/>
      <c r="L897" s="94"/>
      <c r="M897" s="94"/>
      <c r="N897" s="112"/>
      <c r="O897" s="112"/>
    </row>
    <row r="898" ht="15.75" customHeight="1">
      <c r="A898" s="243"/>
      <c r="B898" s="211"/>
      <c r="C898" s="229"/>
      <c r="D898" s="230"/>
      <c r="E898" s="231"/>
      <c r="F898" s="232"/>
      <c r="G898" s="233"/>
      <c r="H898" s="234"/>
      <c r="I898" s="233"/>
      <c r="J898" s="173"/>
      <c r="K898" s="77"/>
      <c r="L898" s="77"/>
      <c r="M898" s="77"/>
      <c r="N898" s="80"/>
      <c r="O898" s="80"/>
    </row>
    <row r="899" ht="15.75" customHeight="1">
      <c r="A899" s="242"/>
      <c r="B899" s="225"/>
      <c r="C899" s="235"/>
      <c r="D899" s="236"/>
      <c r="E899" s="237"/>
      <c r="F899" s="238"/>
      <c r="G899" s="239"/>
      <c r="H899" s="240"/>
      <c r="I899" s="239"/>
      <c r="J899" s="148"/>
      <c r="K899" s="94"/>
      <c r="L899" s="94"/>
      <c r="M899" s="94"/>
      <c r="N899" s="112"/>
      <c r="O899" s="112"/>
    </row>
    <row r="900" ht="15.75" customHeight="1">
      <c r="A900" s="243"/>
      <c r="B900" s="211"/>
      <c r="C900" s="229"/>
      <c r="D900" s="230"/>
      <c r="E900" s="231"/>
      <c r="F900" s="232"/>
      <c r="G900" s="233"/>
      <c r="H900" s="234"/>
      <c r="I900" s="233"/>
      <c r="J900" s="173"/>
      <c r="K900" s="77"/>
      <c r="L900" s="77"/>
      <c r="M900" s="77"/>
      <c r="N900" s="80"/>
      <c r="O900" s="80"/>
    </row>
    <row r="901" ht="15.75" customHeight="1">
      <c r="A901" s="242"/>
      <c r="B901" s="225"/>
      <c r="C901" s="235"/>
      <c r="D901" s="236"/>
      <c r="E901" s="237"/>
      <c r="F901" s="238"/>
      <c r="G901" s="239"/>
      <c r="H901" s="240"/>
      <c r="I901" s="239"/>
      <c r="J901" s="148"/>
      <c r="K901" s="94"/>
      <c r="L901" s="94"/>
      <c r="M901" s="94"/>
      <c r="N901" s="112"/>
      <c r="O901" s="112"/>
    </row>
    <row r="902" ht="15.75" customHeight="1">
      <c r="A902" s="243"/>
      <c r="B902" s="211"/>
      <c r="C902" s="229"/>
      <c r="D902" s="230"/>
      <c r="E902" s="231"/>
      <c r="F902" s="232"/>
      <c r="G902" s="233"/>
      <c r="H902" s="234"/>
      <c r="I902" s="233"/>
      <c r="J902" s="173"/>
      <c r="K902" s="77"/>
      <c r="L902" s="77"/>
      <c r="M902" s="77"/>
      <c r="N902" s="80"/>
      <c r="O902" s="80"/>
    </row>
    <row r="903" ht="15.75" customHeight="1">
      <c r="A903" s="242"/>
      <c r="B903" s="225"/>
      <c r="C903" s="235"/>
      <c r="D903" s="236"/>
      <c r="E903" s="237"/>
      <c r="F903" s="238"/>
      <c r="G903" s="239"/>
      <c r="H903" s="240"/>
      <c r="I903" s="239"/>
      <c r="J903" s="148"/>
      <c r="K903" s="94"/>
      <c r="L903" s="94"/>
      <c r="M903" s="94"/>
      <c r="N903" s="112"/>
      <c r="O903" s="112"/>
    </row>
    <row r="904" ht="15.75" customHeight="1">
      <c r="A904" s="243"/>
      <c r="B904" s="211"/>
      <c r="C904" s="229"/>
      <c r="D904" s="230"/>
      <c r="E904" s="231"/>
      <c r="F904" s="232"/>
      <c r="G904" s="233"/>
      <c r="H904" s="234"/>
      <c r="I904" s="233"/>
      <c r="J904" s="173"/>
      <c r="K904" s="77"/>
      <c r="L904" s="77"/>
      <c r="M904" s="77"/>
      <c r="N904" s="80"/>
      <c r="O904" s="80"/>
    </row>
    <row r="905" ht="15.75" customHeight="1">
      <c r="A905" s="242"/>
      <c r="B905" s="225"/>
      <c r="C905" s="235"/>
      <c r="D905" s="236"/>
      <c r="E905" s="237"/>
      <c r="F905" s="238"/>
      <c r="G905" s="239"/>
      <c r="H905" s="240"/>
      <c r="I905" s="239"/>
      <c r="J905" s="148"/>
      <c r="K905" s="94"/>
      <c r="L905" s="94"/>
      <c r="M905" s="94"/>
      <c r="N905" s="112"/>
      <c r="O905" s="112"/>
    </row>
    <row r="906" ht="15.75" customHeight="1">
      <c r="A906" s="243"/>
      <c r="B906" s="211"/>
      <c r="C906" s="229"/>
      <c r="D906" s="230"/>
      <c r="E906" s="231"/>
      <c r="F906" s="232"/>
      <c r="G906" s="233"/>
      <c r="H906" s="234"/>
      <c r="I906" s="233"/>
      <c r="J906" s="173"/>
      <c r="K906" s="77"/>
      <c r="L906" s="77"/>
      <c r="M906" s="77"/>
      <c r="N906" s="80"/>
      <c r="O906" s="80"/>
    </row>
    <row r="907" ht="15.75" customHeight="1">
      <c r="A907" s="242"/>
      <c r="B907" s="225"/>
      <c r="C907" s="235"/>
      <c r="D907" s="236"/>
      <c r="E907" s="237"/>
      <c r="F907" s="238"/>
      <c r="G907" s="239"/>
      <c r="H907" s="240"/>
      <c r="I907" s="239"/>
      <c r="J907" s="148"/>
      <c r="K907" s="94"/>
      <c r="L907" s="94"/>
      <c r="M907" s="94"/>
      <c r="N907" s="112"/>
      <c r="O907" s="112"/>
    </row>
    <row r="908" ht="15.75" customHeight="1">
      <c r="A908" s="243"/>
      <c r="B908" s="211"/>
      <c r="C908" s="229"/>
      <c r="D908" s="230"/>
      <c r="E908" s="231"/>
      <c r="F908" s="232"/>
      <c r="G908" s="233"/>
      <c r="H908" s="234"/>
      <c r="I908" s="233"/>
      <c r="J908" s="173"/>
      <c r="K908" s="77"/>
      <c r="L908" s="77"/>
      <c r="M908" s="77"/>
      <c r="N908" s="80"/>
      <c r="O908" s="80"/>
    </row>
    <row r="909" ht="15.75" customHeight="1">
      <c r="A909" s="242"/>
      <c r="B909" s="225"/>
      <c r="C909" s="235"/>
      <c r="D909" s="236"/>
      <c r="E909" s="237"/>
      <c r="F909" s="238"/>
      <c r="G909" s="239"/>
      <c r="H909" s="240"/>
      <c r="I909" s="239"/>
      <c r="J909" s="148"/>
      <c r="K909" s="94"/>
      <c r="L909" s="94"/>
      <c r="M909" s="94"/>
      <c r="N909" s="112"/>
      <c r="O909" s="112"/>
    </row>
    <row r="910" ht="15.75" customHeight="1">
      <c r="A910" s="243"/>
      <c r="B910" s="211"/>
      <c r="C910" s="229"/>
      <c r="D910" s="230"/>
      <c r="E910" s="231"/>
      <c r="F910" s="232"/>
      <c r="G910" s="233"/>
      <c r="H910" s="234"/>
      <c r="I910" s="233"/>
      <c r="J910" s="173"/>
      <c r="K910" s="77"/>
      <c r="L910" s="77"/>
      <c r="M910" s="77"/>
      <c r="N910" s="80"/>
      <c r="O910" s="80"/>
    </row>
    <row r="911" ht="15.75" customHeight="1">
      <c r="A911" s="242"/>
      <c r="B911" s="225"/>
      <c r="C911" s="235"/>
      <c r="D911" s="236"/>
      <c r="E911" s="237"/>
      <c r="F911" s="238"/>
      <c r="G911" s="239"/>
      <c r="H911" s="240"/>
      <c r="I911" s="239"/>
      <c r="J911" s="148"/>
      <c r="K911" s="94"/>
      <c r="L911" s="94"/>
      <c r="M911" s="94"/>
      <c r="N911" s="112"/>
      <c r="O911" s="112"/>
    </row>
    <row r="912" ht="15.75" customHeight="1">
      <c r="A912" s="243"/>
      <c r="B912" s="211"/>
      <c r="C912" s="229"/>
      <c r="D912" s="230"/>
      <c r="E912" s="231"/>
      <c r="F912" s="232"/>
      <c r="G912" s="233"/>
      <c r="H912" s="234"/>
      <c r="I912" s="233"/>
      <c r="J912" s="173"/>
      <c r="K912" s="77"/>
      <c r="L912" s="77"/>
      <c r="M912" s="77"/>
      <c r="N912" s="80"/>
      <c r="O912" s="80"/>
    </row>
    <row r="913" ht="15.75" customHeight="1">
      <c r="A913" s="242"/>
      <c r="B913" s="225"/>
      <c r="C913" s="235"/>
      <c r="D913" s="236"/>
      <c r="E913" s="237"/>
      <c r="F913" s="238"/>
      <c r="G913" s="239"/>
      <c r="H913" s="240"/>
      <c r="I913" s="239"/>
      <c r="J913" s="148"/>
      <c r="K913" s="94"/>
      <c r="L913" s="94"/>
      <c r="M913" s="94"/>
      <c r="N913" s="112"/>
      <c r="O913" s="112"/>
    </row>
    <row r="914" ht="15.75" customHeight="1">
      <c r="A914" s="243"/>
      <c r="B914" s="211"/>
      <c r="C914" s="229"/>
      <c r="D914" s="230"/>
      <c r="E914" s="231"/>
      <c r="F914" s="232"/>
      <c r="G914" s="233"/>
      <c r="H914" s="234"/>
      <c r="I914" s="233"/>
      <c r="J914" s="173"/>
      <c r="K914" s="77"/>
      <c r="L914" s="77"/>
      <c r="M914" s="77"/>
      <c r="N914" s="80"/>
      <c r="O914" s="80"/>
    </row>
    <row r="915" ht="15.75" customHeight="1">
      <c r="A915" s="242"/>
      <c r="B915" s="225"/>
      <c r="C915" s="235"/>
      <c r="D915" s="236"/>
      <c r="E915" s="237"/>
      <c r="F915" s="238"/>
      <c r="G915" s="239"/>
      <c r="H915" s="240"/>
      <c r="I915" s="239"/>
      <c r="J915" s="148"/>
      <c r="K915" s="94"/>
      <c r="L915" s="94"/>
      <c r="M915" s="94"/>
      <c r="N915" s="112"/>
      <c r="O915" s="112"/>
    </row>
    <row r="916" ht="15.75" customHeight="1">
      <c r="A916" s="243"/>
      <c r="B916" s="211"/>
      <c r="C916" s="229"/>
      <c r="D916" s="230"/>
      <c r="E916" s="231"/>
      <c r="F916" s="232"/>
      <c r="G916" s="233"/>
      <c r="H916" s="234"/>
      <c r="I916" s="233"/>
      <c r="J916" s="173"/>
      <c r="K916" s="77"/>
      <c r="L916" s="77"/>
      <c r="M916" s="77"/>
      <c r="N916" s="80"/>
      <c r="O916" s="80"/>
    </row>
    <row r="917" ht="15.75" customHeight="1">
      <c r="A917" s="242"/>
      <c r="B917" s="225"/>
      <c r="C917" s="235"/>
      <c r="D917" s="236"/>
      <c r="E917" s="237"/>
      <c r="F917" s="238"/>
      <c r="G917" s="239"/>
      <c r="H917" s="240"/>
      <c r="I917" s="239"/>
      <c r="J917" s="148"/>
      <c r="K917" s="94"/>
      <c r="L917" s="94"/>
      <c r="M917" s="94"/>
      <c r="N917" s="112"/>
      <c r="O917" s="112"/>
    </row>
    <row r="918" ht="15.75" customHeight="1">
      <c r="A918" s="243"/>
      <c r="B918" s="211"/>
      <c r="C918" s="229"/>
      <c r="D918" s="230"/>
      <c r="E918" s="231"/>
      <c r="F918" s="232"/>
      <c r="G918" s="233"/>
      <c r="H918" s="234"/>
      <c r="I918" s="233"/>
      <c r="J918" s="173"/>
      <c r="K918" s="77"/>
      <c r="L918" s="77"/>
      <c r="M918" s="77"/>
      <c r="N918" s="80"/>
      <c r="O918" s="80"/>
    </row>
    <row r="919" ht="15.75" customHeight="1">
      <c r="A919" s="242"/>
      <c r="B919" s="225"/>
      <c r="C919" s="235"/>
      <c r="D919" s="236"/>
      <c r="E919" s="237"/>
      <c r="F919" s="238"/>
      <c r="G919" s="239"/>
      <c r="H919" s="240"/>
      <c r="I919" s="239"/>
      <c r="J919" s="148"/>
      <c r="K919" s="94"/>
      <c r="L919" s="94"/>
      <c r="M919" s="94"/>
      <c r="N919" s="112"/>
      <c r="O919" s="112"/>
    </row>
    <row r="920" ht="15.75" customHeight="1">
      <c r="A920" s="243"/>
      <c r="B920" s="211"/>
      <c r="C920" s="229"/>
      <c r="D920" s="230"/>
      <c r="E920" s="231"/>
      <c r="F920" s="232"/>
      <c r="G920" s="233"/>
      <c r="H920" s="234"/>
      <c r="I920" s="233"/>
      <c r="J920" s="173"/>
      <c r="K920" s="77"/>
      <c r="L920" s="77"/>
      <c r="M920" s="77"/>
      <c r="N920" s="80"/>
      <c r="O920" s="80"/>
    </row>
    <row r="921" ht="15.75" customHeight="1">
      <c r="A921" s="242"/>
      <c r="B921" s="225"/>
      <c r="C921" s="235"/>
      <c r="D921" s="236"/>
      <c r="E921" s="237"/>
      <c r="F921" s="238"/>
      <c r="G921" s="239"/>
      <c r="H921" s="240"/>
      <c r="I921" s="239"/>
      <c r="J921" s="148"/>
      <c r="K921" s="94"/>
      <c r="L921" s="94"/>
      <c r="M921" s="94"/>
      <c r="N921" s="112"/>
      <c r="O921" s="112"/>
    </row>
    <row r="922" ht="15.75" customHeight="1">
      <c r="A922" s="243"/>
      <c r="B922" s="211"/>
      <c r="C922" s="229"/>
      <c r="D922" s="230"/>
      <c r="E922" s="231"/>
      <c r="F922" s="232"/>
      <c r="G922" s="233"/>
      <c r="H922" s="234"/>
      <c r="I922" s="233"/>
      <c r="J922" s="173"/>
      <c r="K922" s="77"/>
      <c r="L922" s="77"/>
      <c r="M922" s="77"/>
      <c r="N922" s="80"/>
      <c r="O922" s="80"/>
    </row>
    <row r="923" ht="15.75" customHeight="1">
      <c r="A923" s="242"/>
      <c r="B923" s="225"/>
      <c r="C923" s="235"/>
      <c r="D923" s="236"/>
      <c r="E923" s="237"/>
      <c r="F923" s="238"/>
      <c r="G923" s="239"/>
      <c r="H923" s="240"/>
      <c r="I923" s="239"/>
      <c r="J923" s="148"/>
      <c r="K923" s="94"/>
      <c r="L923" s="94"/>
      <c r="M923" s="94"/>
      <c r="N923" s="112"/>
      <c r="O923" s="112"/>
    </row>
    <row r="924" ht="15.75" customHeight="1">
      <c r="A924" s="243"/>
      <c r="B924" s="211"/>
      <c r="C924" s="229"/>
      <c r="D924" s="230"/>
      <c r="E924" s="231"/>
      <c r="F924" s="232"/>
      <c r="G924" s="233"/>
      <c r="H924" s="234"/>
      <c r="I924" s="233"/>
      <c r="J924" s="173"/>
      <c r="K924" s="77"/>
      <c r="L924" s="77"/>
      <c r="M924" s="77"/>
      <c r="N924" s="80"/>
      <c r="O924" s="80"/>
    </row>
    <row r="925" ht="15.75" customHeight="1">
      <c r="A925" s="242"/>
      <c r="B925" s="225"/>
      <c r="C925" s="235"/>
      <c r="D925" s="236"/>
      <c r="E925" s="237"/>
      <c r="F925" s="238"/>
      <c r="G925" s="239"/>
      <c r="H925" s="240"/>
      <c r="I925" s="239"/>
      <c r="J925" s="148"/>
      <c r="K925" s="94"/>
      <c r="L925" s="94"/>
      <c r="M925" s="94"/>
      <c r="N925" s="112"/>
      <c r="O925" s="112"/>
    </row>
    <row r="926" ht="15.75" customHeight="1">
      <c r="A926" s="243"/>
      <c r="B926" s="211"/>
      <c r="C926" s="229"/>
      <c r="D926" s="230"/>
      <c r="E926" s="231"/>
      <c r="F926" s="232"/>
      <c r="G926" s="233"/>
      <c r="H926" s="234"/>
      <c r="I926" s="233"/>
      <c r="J926" s="173"/>
      <c r="K926" s="77"/>
      <c r="L926" s="77"/>
      <c r="M926" s="77"/>
      <c r="N926" s="80"/>
      <c r="O926" s="80"/>
    </row>
    <row r="927" ht="15.75" customHeight="1">
      <c r="A927" s="242"/>
      <c r="B927" s="225"/>
      <c r="C927" s="235"/>
      <c r="D927" s="236"/>
      <c r="E927" s="237"/>
      <c r="F927" s="238"/>
      <c r="G927" s="239"/>
      <c r="H927" s="240"/>
      <c r="I927" s="239"/>
      <c r="J927" s="148"/>
      <c r="K927" s="94"/>
      <c r="L927" s="94"/>
      <c r="M927" s="94"/>
      <c r="N927" s="112"/>
      <c r="O927" s="112"/>
    </row>
    <row r="928" ht="15.75" customHeight="1">
      <c r="A928" s="243"/>
      <c r="B928" s="211"/>
      <c r="C928" s="229"/>
      <c r="D928" s="230"/>
      <c r="E928" s="231"/>
      <c r="F928" s="232"/>
      <c r="G928" s="233"/>
      <c r="H928" s="234"/>
      <c r="I928" s="233"/>
      <c r="J928" s="173"/>
      <c r="K928" s="77"/>
      <c r="L928" s="77"/>
      <c r="M928" s="77"/>
      <c r="N928" s="80"/>
      <c r="O928" s="80"/>
    </row>
    <row r="929" ht="15.75" customHeight="1">
      <c r="A929" s="242"/>
      <c r="B929" s="225"/>
      <c r="C929" s="235"/>
      <c r="D929" s="236"/>
      <c r="E929" s="237"/>
      <c r="F929" s="238"/>
      <c r="G929" s="239"/>
      <c r="H929" s="240"/>
      <c r="I929" s="239"/>
      <c r="J929" s="148"/>
      <c r="K929" s="94"/>
      <c r="L929" s="94"/>
      <c r="M929" s="94"/>
      <c r="N929" s="112"/>
      <c r="O929" s="112"/>
    </row>
    <row r="930" ht="15.75" customHeight="1">
      <c r="A930" s="243"/>
      <c r="B930" s="211"/>
      <c r="C930" s="229"/>
      <c r="D930" s="230"/>
      <c r="E930" s="231"/>
      <c r="F930" s="232"/>
      <c r="G930" s="233"/>
      <c r="H930" s="234"/>
      <c r="I930" s="233"/>
      <c r="J930" s="173"/>
      <c r="K930" s="77"/>
      <c r="L930" s="77"/>
      <c r="M930" s="77"/>
      <c r="N930" s="80"/>
      <c r="O930" s="80"/>
    </row>
    <row r="931" ht="15.75" customHeight="1">
      <c r="A931" s="242"/>
      <c r="B931" s="225"/>
      <c r="C931" s="235"/>
      <c r="D931" s="236"/>
      <c r="E931" s="237"/>
      <c r="F931" s="238"/>
      <c r="G931" s="239"/>
      <c r="H931" s="240"/>
      <c r="I931" s="239"/>
      <c r="J931" s="148"/>
      <c r="K931" s="94"/>
      <c r="L931" s="94"/>
      <c r="M931" s="94"/>
      <c r="N931" s="112"/>
      <c r="O931" s="112"/>
    </row>
    <row r="932" ht="15.75" customHeight="1">
      <c r="A932" s="243"/>
      <c r="B932" s="211"/>
      <c r="C932" s="229"/>
      <c r="D932" s="230"/>
      <c r="E932" s="231"/>
      <c r="F932" s="232"/>
      <c r="G932" s="233"/>
      <c r="H932" s="234"/>
      <c r="I932" s="233"/>
      <c r="J932" s="173"/>
      <c r="K932" s="77"/>
      <c r="L932" s="77"/>
      <c r="M932" s="77"/>
      <c r="N932" s="80"/>
      <c r="O932" s="80"/>
    </row>
    <row r="933" ht="15.75" customHeight="1">
      <c r="A933" s="242"/>
      <c r="B933" s="225"/>
      <c r="C933" s="235"/>
      <c r="D933" s="236"/>
      <c r="E933" s="237"/>
      <c r="F933" s="238"/>
      <c r="G933" s="239"/>
      <c r="H933" s="240"/>
      <c r="I933" s="239"/>
      <c r="J933" s="148"/>
      <c r="K933" s="94"/>
      <c r="L933" s="94"/>
      <c r="M933" s="94"/>
      <c r="N933" s="112"/>
      <c r="O933" s="112"/>
    </row>
    <row r="934" ht="15.75" customHeight="1">
      <c r="A934" s="243"/>
      <c r="B934" s="211"/>
      <c r="C934" s="229"/>
      <c r="D934" s="230"/>
      <c r="E934" s="231"/>
      <c r="F934" s="232"/>
      <c r="G934" s="233"/>
      <c r="H934" s="234"/>
      <c r="I934" s="233"/>
      <c r="J934" s="173"/>
      <c r="K934" s="77"/>
      <c r="L934" s="77"/>
      <c r="M934" s="77"/>
      <c r="N934" s="80"/>
      <c r="O934" s="80"/>
    </row>
    <row r="935" ht="15.75" customHeight="1">
      <c r="A935" s="242"/>
      <c r="B935" s="225"/>
      <c r="C935" s="235"/>
      <c r="D935" s="236"/>
      <c r="E935" s="237"/>
      <c r="F935" s="238"/>
      <c r="G935" s="239"/>
      <c r="H935" s="240"/>
      <c r="I935" s="239"/>
      <c r="J935" s="148"/>
      <c r="K935" s="94"/>
      <c r="L935" s="94"/>
      <c r="M935" s="94"/>
      <c r="N935" s="112"/>
      <c r="O935" s="112"/>
    </row>
    <row r="936" ht="15.75" customHeight="1">
      <c r="A936" s="243"/>
      <c r="B936" s="211"/>
      <c r="C936" s="229"/>
      <c r="D936" s="230"/>
      <c r="E936" s="231"/>
      <c r="F936" s="232"/>
      <c r="G936" s="233"/>
      <c r="H936" s="234"/>
      <c r="I936" s="233"/>
      <c r="J936" s="173"/>
      <c r="K936" s="77"/>
      <c r="L936" s="77"/>
      <c r="M936" s="77"/>
      <c r="N936" s="80"/>
      <c r="O936" s="80"/>
    </row>
    <row r="937" ht="15.75" customHeight="1">
      <c r="A937" s="242"/>
      <c r="B937" s="225"/>
      <c r="C937" s="235"/>
      <c r="D937" s="236"/>
      <c r="E937" s="237"/>
      <c r="F937" s="238"/>
      <c r="G937" s="239"/>
      <c r="H937" s="240"/>
      <c r="I937" s="239"/>
      <c r="J937" s="148"/>
      <c r="K937" s="94"/>
      <c r="L937" s="94"/>
      <c r="M937" s="94"/>
      <c r="N937" s="112"/>
      <c r="O937" s="112"/>
    </row>
    <row r="938" ht="15.75" customHeight="1">
      <c r="A938" s="243"/>
      <c r="B938" s="211"/>
      <c r="C938" s="229"/>
      <c r="D938" s="230"/>
      <c r="E938" s="231"/>
      <c r="F938" s="232"/>
      <c r="G938" s="233"/>
      <c r="H938" s="234"/>
      <c r="I938" s="233"/>
      <c r="J938" s="173"/>
      <c r="K938" s="77"/>
      <c r="L938" s="77"/>
      <c r="M938" s="77"/>
      <c r="N938" s="80"/>
      <c r="O938" s="80"/>
    </row>
    <row r="939" ht="15.75" customHeight="1">
      <c r="A939" s="242"/>
      <c r="B939" s="225"/>
      <c r="C939" s="235"/>
      <c r="D939" s="236"/>
      <c r="E939" s="237"/>
      <c r="F939" s="238"/>
      <c r="G939" s="239"/>
      <c r="H939" s="240"/>
      <c r="I939" s="239"/>
      <c r="J939" s="148"/>
      <c r="K939" s="94"/>
      <c r="L939" s="94"/>
      <c r="M939" s="94"/>
      <c r="N939" s="112"/>
      <c r="O939" s="112"/>
    </row>
    <row r="940" ht="15.75" customHeight="1">
      <c r="A940" s="243"/>
      <c r="B940" s="211"/>
      <c r="C940" s="229"/>
      <c r="D940" s="230"/>
      <c r="E940" s="231"/>
      <c r="F940" s="232"/>
      <c r="G940" s="233"/>
      <c r="H940" s="234"/>
      <c r="I940" s="233"/>
      <c r="J940" s="173"/>
      <c r="K940" s="77"/>
      <c r="L940" s="77"/>
      <c r="M940" s="77"/>
      <c r="N940" s="80"/>
      <c r="O940" s="80"/>
    </row>
    <row r="941" ht="15.75" customHeight="1">
      <c r="A941" s="242"/>
      <c r="B941" s="225"/>
      <c r="C941" s="235"/>
      <c r="D941" s="236"/>
      <c r="E941" s="237"/>
      <c r="F941" s="238"/>
      <c r="G941" s="239"/>
      <c r="H941" s="240"/>
      <c r="I941" s="239"/>
      <c r="J941" s="148"/>
      <c r="K941" s="94"/>
      <c r="L941" s="94"/>
      <c r="M941" s="94"/>
      <c r="N941" s="112"/>
      <c r="O941" s="112"/>
    </row>
    <row r="942" ht="15.75" customHeight="1">
      <c r="A942" s="243"/>
      <c r="B942" s="211"/>
      <c r="C942" s="229"/>
      <c r="D942" s="230"/>
      <c r="E942" s="231"/>
      <c r="F942" s="232"/>
      <c r="G942" s="233"/>
      <c r="H942" s="234"/>
      <c r="I942" s="233"/>
      <c r="J942" s="173"/>
      <c r="K942" s="77"/>
      <c r="L942" s="77"/>
      <c r="M942" s="77"/>
      <c r="N942" s="80"/>
      <c r="O942" s="80"/>
    </row>
    <row r="943" ht="15.75" customHeight="1">
      <c r="A943" s="242"/>
      <c r="B943" s="225"/>
      <c r="C943" s="235"/>
      <c r="D943" s="236"/>
      <c r="E943" s="237"/>
      <c r="F943" s="238"/>
      <c r="G943" s="239"/>
      <c r="H943" s="240"/>
      <c r="I943" s="239"/>
      <c r="J943" s="148"/>
      <c r="K943" s="94"/>
      <c r="L943" s="94"/>
      <c r="M943" s="94"/>
      <c r="N943" s="112"/>
      <c r="O943" s="112"/>
    </row>
    <row r="944" ht="15.75" customHeight="1">
      <c r="A944" s="243"/>
      <c r="B944" s="211"/>
      <c r="C944" s="229"/>
      <c r="D944" s="230"/>
      <c r="E944" s="231"/>
      <c r="F944" s="232"/>
      <c r="G944" s="233"/>
      <c r="H944" s="234"/>
      <c r="I944" s="233"/>
      <c r="J944" s="173"/>
      <c r="K944" s="77"/>
      <c r="L944" s="77"/>
      <c r="M944" s="77"/>
      <c r="N944" s="80"/>
      <c r="O944" s="80"/>
    </row>
    <row r="945" ht="15.75" customHeight="1">
      <c r="A945" s="242"/>
      <c r="B945" s="225"/>
      <c r="C945" s="235"/>
      <c r="D945" s="236"/>
      <c r="E945" s="237"/>
      <c r="F945" s="238"/>
      <c r="G945" s="239"/>
      <c r="H945" s="240"/>
      <c r="I945" s="239"/>
      <c r="J945" s="148"/>
      <c r="K945" s="94"/>
      <c r="L945" s="94"/>
      <c r="M945" s="94"/>
      <c r="N945" s="112"/>
      <c r="O945" s="112"/>
    </row>
    <row r="946" ht="15.75" customHeight="1">
      <c r="A946" s="243"/>
      <c r="B946" s="211"/>
      <c r="C946" s="229"/>
      <c r="D946" s="230"/>
      <c r="E946" s="231"/>
      <c r="F946" s="232"/>
      <c r="G946" s="233"/>
      <c r="H946" s="234"/>
      <c r="I946" s="233"/>
      <c r="J946" s="173"/>
      <c r="K946" s="77"/>
      <c r="L946" s="77"/>
      <c r="M946" s="77"/>
      <c r="N946" s="80"/>
      <c r="O946" s="80"/>
    </row>
    <row r="947" ht="15.75" customHeight="1">
      <c r="A947" s="242"/>
      <c r="B947" s="225"/>
      <c r="C947" s="235"/>
      <c r="D947" s="236"/>
      <c r="E947" s="237"/>
      <c r="F947" s="238"/>
      <c r="G947" s="239"/>
      <c r="H947" s="240"/>
      <c r="I947" s="239"/>
      <c r="J947" s="148"/>
      <c r="K947" s="94"/>
      <c r="L947" s="94"/>
      <c r="M947" s="94"/>
      <c r="N947" s="112"/>
      <c r="O947" s="112"/>
    </row>
    <row r="948" ht="15.75" customHeight="1">
      <c r="A948" s="243"/>
      <c r="B948" s="211"/>
      <c r="C948" s="229"/>
      <c r="D948" s="230"/>
      <c r="E948" s="231"/>
      <c r="F948" s="232"/>
      <c r="G948" s="233"/>
      <c r="H948" s="234"/>
      <c r="I948" s="233"/>
      <c r="J948" s="173"/>
      <c r="K948" s="77"/>
      <c r="L948" s="77"/>
      <c r="M948" s="77"/>
      <c r="N948" s="80"/>
      <c r="O948" s="80"/>
    </row>
    <row r="949" ht="15.75" customHeight="1">
      <c r="A949" s="242"/>
      <c r="B949" s="225"/>
      <c r="C949" s="235"/>
      <c r="D949" s="236"/>
      <c r="E949" s="237"/>
      <c r="F949" s="238"/>
      <c r="G949" s="239"/>
      <c r="H949" s="240"/>
      <c r="I949" s="239"/>
      <c r="J949" s="148"/>
      <c r="K949" s="94"/>
      <c r="L949" s="94"/>
      <c r="M949" s="94"/>
      <c r="N949" s="112"/>
      <c r="O949" s="112"/>
    </row>
    <row r="950" ht="15.75" customHeight="1">
      <c r="A950" s="243"/>
      <c r="B950" s="211"/>
      <c r="C950" s="229"/>
      <c r="D950" s="230"/>
      <c r="E950" s="231"/>
      <c r="F950" s="232"/>
      <c r="G950" s="233"/>
      <c r="H950" s="234"/>
      <c r="I950" s="233"/>
      <c r="J950" s="173"/>
      <c r="K950" s="77"/>
      <c r="L950" s="77"/>
      <c r="M950" s="77"/>
      <c r="N950" s="80"/>
      <c r="O950" s="80"/>
    </row>
    <row r="951" ht="15.75" customHeight="1">
      <c r="A951" s="242"/>
      <c r="B951" s="225"/>
      <c r="C951" s="235"/>
      <c r="D951" s="236"/>
      <c r="E951" s="237"/>
      <c r="F951" s="238"/>
      <c r="G951" s="239"/>
      <c r="H951" s="240"/>
      <c r="I951" s="239"/>
      <c r="J951" s="148"/>
      <c r="K951" s="94"/>
      <c r="L951" s="94"/>
      <c r="M951" s="94"/>
      <c r="N951" s="112"/>
      <c r="O951" s="112"/>
    </row>
    <row r="952" ht="15.75" customHeight="1">
      <c r="A952" s="243"/>
      <c r="B952" s="211"/>
      <c r="C952" s="229"/>
      <c r="D952" s="230"/>
      <c r="E952" s="231"/>
      <c r="F952" s="232"/>
      <c r="G952" s="233"/>
      <c r="H952" s="234"/>
      <c r="I952" s="233"/>
      <c r="J952" s="173"/>
      <c r="K952" s="77"/>
      <c r="L952" s="77"/>
      <c r="M952" s="77"/>
      <c r="N952" s="80"/>
      <c r="O952" s="80"/>
    </row>
    <row r="953" ht="15.75" customHeight="1">
      <c r="A953" s="242"/>
      <c r="B953" s="225"/>
      <c r="C953" s="235"/>
      <c r="D953" s="236"/>
      <c r="E953" s="237"/>
      <c r="F953" s="238"/>
      <c r="G953" s="239"/>
      <c r="H953" s="240"/>
      <c r="I953" s="239"/>
      <c r="J953" s="148"/>
      <c r="K953" s="94"/>
      <c r="L953" s="94"/>
      <c r="M953" s="94"/>
      <c r="N953" s="112"/>
      <c r="O953" s="112"/>
    </row>
    <row r="954" ht="15.75" customHeight="1">
      <c r="A954" s="243"/>
      <c r="B954" s="211"/>
      <c r="C954" s="229"/>
      <c r="D954" s="230"/>
      <c r="E954" s="231"/>
      <c r="F954" s="232"/>
      <c r="G954" s="233"/>
      <c r="H954" s="234"/>
      <c r="I954" s="233"/>
      <c r="J954" s="173"/>
      <c r="K954" s="77"/>
      <c r="L954" s="77"/>
      <c r="M954" s="77"/>
      <c r="N954" s="80"/>
      <c r="O954" s="80"/>
    </row>
    <row r="955" ht="15.75" customHeight="1">
      <c r="A955" s="242"/>
      <c r="B955" s="225"/>
      <c r="C955" s="235"/>
      <c r="D955" s="236"/>
      <c r="E955" s="237"/>
      <c r="F955" s="238"/>
      <c r="G955" s="239"/>
      <c r="H955" s="240"/>
      <c r="I955" s="239"/>
      <c r="J955" s="148"/>
      <c r="K955" s="94"/>
      <c r="L955" s="94"/>
      <c r="M955" s="94"/>
      <c r="N955" s="112"/>
      <c r="O955" s="112"/>
    </row>
    <row r="956" ht="15.75" customHeight="1">
      <c r="A956" s="243"/>
      <c r="B956" s="211"/>
      <c r="C956" s="229"/>
      <c r="D956" s="230"/>
      <c r="E956" s="231"/>
      <c r="F956" s="232"/>
      <c r="G956" s="233"/>
      <c r="H956" s="234"/>
      <c r="I956" s="233"/>
      <c r="J956" s="173"/>
      <c r="K956" s="77"/>
      <c r="L956" s="77"/>
      <c r="M956" s="77"/>
      <c r="N956" s="80"/>
      <c r="O956" s="80"/>
    </row>
    <row r="957" ht="15.75" customHeight="1">
      <c r="A957" s="242"/>
      <c r="B957" s="225"/>
      <c r="C957" s="235"/>
      <c r="D957" s="236"/>
      <c r="E957" s="237"/>
      <c r="F957" s="238"/>
      <c r="G957" s="239"/>
      <c r="H957" s="240"/>
      <c r="I957" s="239"/>
      <c r="J957" s="148"/>
      <c r="K957" s="94"/>
      <c r="L957" s="94"/>
      <c r="M957" s="94"/>
      <c r="N957" s="112"/>
      <c r="O957" s="112"/>
    </row>
    <row r="958" ht="15.75" customHeight="1">
      <c r="A958" s="243"/>
      <c r="B958" s="211"/>
      <c r="C958" s="229"/>
      <c r="D958" s="230"/>
      <c r="E958" s="231"/>
      <c r="F958" s="232"/>
      <c r="G958" s="233"/>
      <c r="H958" s="234"/>
      <c r="I958" s="233"/>
      <c r="J958" s="173"/>
      <c r="K958" s="77"/>
      <c r="L958" s="77"/>
      <c r="M958" s="77"/>
      <c r="N958" s="80"/>
      <c r="O958" s="80"/>
    </row>
    <row r="959" ht="15.75" customHeight="1">
      <c r="A959" s="242"/>
      <c r="B959" s="225"/>
      <c r="C959" s="235"/>
      <c r="D959" s="236"/>
      <c r="E959" s="237"/>
      <c r="F959" s="238"/>
      <c r="G959" s="239"/>
      <c r="H959" s="240"/>
      <c r="I959" s="239"/>
      <c r="J959" s="148"/>
      <c r="K959" s="94"/>
      <c r="L959" s="94"/>
      <c r="M959" s="94"/>
      <c r="N959" s="112"/>
      <c r="O959" s="112"/>
    </row>
    <row r="960" ht="15.75" customHeight="1">
      <c r="A960" s="243"/>
      <c r="B960" s="211"/>
      <c r="C960" s="229"/>
      <c r="D960" s="230"/>
      <c r="E960" s="231"/>
      <c r="F960" s="232"/>
      <c r="G960" s="233"/>
      <c r="H960" s="234"/>
      <c r="I960" s="233"/>
      <c r="J960" s="173"/>
      <c r="K960" s="77"/>
      <c r="L960" s="77"/>
      <c r="M960" s="77"/>
      <c r="N960" s="80"/>
      <c r="O960" s="80"/>
    </row>
    <row r="961" ht="15.75" customHeight="1">
      <c r="A961" s="242"/>
      <c r="B961" s="225"/>
      <c r="C961" s="235"/>
      <c r="D961" s="236"/>
      <c r="E961" s="237"/>
      <c r="F961" s="238"/>
      <c r="G961" s="239"/>
      <c r="H961" s="240"/>
      <c r="I961" s="239"/>
      <c r="J961" s="148"/>
      <c r="K961" s="94"/>
      <c r="L961" s="94"/>
      <c r="M961" s="94"/>
      <c r="N961" s="112"/>
      <c r="O961" s="112"/>
    </row>
    <row r="962" ht="15.75" customHeight="1">
      <c r="A962" s="243"/>
      <c r="B962" s="211"/>
      <c r="C962" s="229"/>
      <c r="D962" s="230"/>
      <c r="E962" s="231"/>
      <c r="F962" s="232"/>
      <c r="G962" s="233"/>
      <c r="H962" s="234"/>
      <c r="I962" s="233"/>
      <c r="J962" s="173"/>
      <c r="K962" s="77"/>
      <c r="L962" s="77"/>
      <c r="M962" s="77"/>
      <c r="N962" s="80"/>
      <c r="O962" s="80"/>
    </row>
    <row r="963" ht="15.75" customHeight="1">
      <c r="A963" s="242"/>
      <c r="B963" s="225"/>
      <c r="C963" s="235"/>
      <c r="D963" s="236"/>
      <c r="E963" s="237"/>
      <c r="F963" s="238"/>
      <c r="G963" s="239"/>
      <c r="H963" s="240"/>
      <c r="I963" s="239"/>
      <c r="J963" s="148"/>
      <c r="K963" s="94"/>
      <c r="L963" s="94"/>
      <c r="M963" s="94"/>
      <c r="N963" s="112"/>
      <c r="O963" s="112"/>
    </row>
    <row r="964" ht="15.75" customHeight="1">
      <c r="A964" s="243"/>
      <c r="B964" s="211"/>
      <c r="C964" s="229"/>
      <c r="D964" s="230"/>
      <c r="E964" s="231"/>
      <c r="F964" s="232"/>
      <c r="G964" s="233"/>
      <c r="H964" s="234"/>
      <c r="I964" s="233"/>
      <c r="J964" s="173"/>
      <c r="K964" s="77"/>
      <c r="L964" s="77"/>
      <c r="M964" s="77"/>
      <c r="N964" s="80"/>
      <c r="O964" s="80"/>
    </row>
    <row r="965" ht="15.75" customHeight="1">
      <c r="A965" s="242"/>
      <c r="B965" s="225"/>
      <c r="C965" s="235"/>
      <c r="D965" s="236"/>
      <c r="E965" s="237"/>
      <c r="F965" s="238"/>
      <c r="G965" s="239"/>
      <c r="H965" s="240"/>
      <c r="I965" s="239"/>
      <c r="J965" s="148"/>
      <c r="K965" s="94"/>
      <c r="L965" s="94"/>
      <c r="M965" s="94"/>
      <c r="N965" s="112"/>
      <c r="O965" s="112"/>
    </row>
    <row r="966" ht="15.75" customHeight="1">
      <c r="A966" s="243"/>
      <c r="B966" s="211"/>
      <c r="C966" s="229"/>
      <c r="D966" s="230"/>
      <c r="E966" s="231"/>
      <c r="F966" s="232"/>
      <c r="G966" s="233"/>
      <c r="H966" s="234"/>
      <c r="I966" s="233"/>
      <c r="J966" s="173"/>
      <c r="K966" s="77"/>
      <c r="L966" s="77"/>
      <c r="M966" s="77"/>
      <c r="N966" s="80"/>
      <c r="O966" s="80"/>
    </row>
    <row r="967" ht="15.75" customHeight="1">
      <c r="A967" s="242"/>
      <c r="B967" s="225"/>
      <c r="C967" s="235"/>
      <c r="D967" s="236"/>
      <c r="E967" s="237"/>
      <c r="F967" s="238"/>
      <c r="G967" s="239"/>
      <c r="H967" s="240"/>
      <c r="I967" s="239"/>
      <c r="J967" s="148"/>
      <c r="K967" s="94"/>
      <c r="L967" s="94"/>
      <c r="M967" s="94"/>
      <c r="N967" s="112"/>
      <c r="O967" s="112"/>
    </row>
    <row r="968" ht="15.75" customHeight="1">
      <c r="A968" s="243"/>
      <c r="B968" s="211"/>
      <c r="C968" s="229"/>
      <c r="D968" s="230"/>
      <c r="E968" s="231"/>
      <c r="F968" s="232"/>
      <c r="G968" s="233"/>
      <c r="H968" s="234"/>
      <c r="I968" s="233"/>
      <c r="J968" s="173"/>
      <c r="K968" s="77"/>
      <c r="L968" s="77"/>
      <c r="M968" s="77"/>
      <c r="N968" s="80"/>
      <c r="O968" s="80"/>
    </row>
    <row r="969" ht="15.75" customHeight="1">
      <c r="A969" s="242"/>
      <c r="B969" s="225"/>
      <c r="C969" s="235"/>
      <c r="D969" s="236"/>
      <c r="E969" s="237"/>
      <c r="F969" s="238"/>
      <c r="G969" s="239"/>
      <c r="H969" s="240"/>
      <c r="I969" s="239"/>
      <c r="J969" s="148"/>
      <c r="K969" s="94"/>
      <c r="L969" s="94"/>
      <c r="M969" s="94"/>
      <c r="N969" s="112"/>
      <c r="O969" s="112"/>
    </row>
    <row r="970" ht="15.75" customHeight="1">
      <c r="A970" s="243"/>
      <c r="B970" s="211"/>
      <c r="C970" s="229"/>
      <c r="D970" s="230"/>
      <c r="E970" s="231"/>
      <c r="F970" s="232"/>
      <c r="G970" s="233"/>
      <c r="H970" s="234"/>
      <c r="I970" s="233"/>
      <c r="J970" s="173"/>
      <c r="K970" s="77"/>
      <c r="L970" s="77"/>
      <c r="M970" s="77"/>
      <c r="N970" s="80"/>
      <c r="O970" s="80"/>
    </row>
    <row r="971" ht="15.75" customHeight="1">
      <c r="A971" s="242"/>
      <c r="B971" s="225"/>
      <c r="C971" s="235"/>
      <c r="D971" s="236"/>
      <c r="E971" s="237"/>
      <c r="F971" s="238"/>
      <c r="G971" s="239"/>
      <c r="H971" s="240"/>
      <c r="I971" s="239"/>
      <c r="J971" s="148"/>
      <c r="K971" s="94"/>
      <c r="L971" s="94"/>
      <c r="M971" s="94"/>
      <c r="N971" s="112"/>
      <c r="O971" s="112"/>
    </row>
    <row r="972" ht="15.75" customHeight="1">
      <c r="A972" s="243"/>
      <c r="B972" s="211"/>
      <c r="C972" s="229"/>
      <c r="D972" s="230"/>
      <c r="E972" s="231"/>
      <c r="F972" s="232"/>
      <c r="G972" s="233"/>
      <c r="H972" s="234"/>
      <c r="I972" s="233"/>
      <c r="J972" s="173"/>
      <c r="K972" s="77"/>
      <c r="L972" s="77"/>
      <c r="M972" s="77"/>
      <c r="N972" s="80"/>
      <c r="O972" s="80"/>
    </row>
    <row r="973" ht="15.75" customHeight="1">
      <c r="A973" s="242"/>
      <c r="B973" s="225"/>
      <c r="C973" s="235"/>
      <c r="D973" s="236"/>
      <c r="E973" s="237"/>
      <c r="F973" s="238"/>
      <c r="G973" s="239"/>
      <c r="H973" s="240"/>
      <c r="I973" s="239"/>
      <c r="J973" s="148"/>
      <c r="K973" s="94"/>
      <c r="L973" s="94"/>
      <c r="M973" s="94"/>
      <c r="N973" s="112"/>
      <c r="O973" s="112"/>
    </row>
    <row r="974" ht="15.75" customHeight="1">
      <c r="A974" s="243"/>
      <c r="B974" s="211"/>
      <c r="C974" s="229"/>
      <c r="D974" s="230"/>
      <c r="E974" s="231"/>
      <c r="F974" s="232"/>
      <c r="G974" s="233"/>
      <c r="H974" s="234"/>
      <c r="I974" s="233"/>
      <c r="J974" s="173"/>
      <c r="K974" s="77"/>
      <c r="L974" s="77"/>
      <c r="M974" s="77"/>
      <c r="N974" s="80"/>
      <c r="O974" s="80"/>
    </row>
    <row r="975" ht="15.75" customHeight="1">
      <c r="A975" s="242"/>
      <c r="B975" s="225"/>
      <c r="C975" s="235"/>
      <c r="D975" s="236"/>
      <c r="E975" s="237"/>
      <c r="F975" s="238"/>
      <c r="G975" s="239"/>
      <c r="H975" s="240"/>
      <c r="I975" s="239"/>
      <c r="J975" s="148"/>
      <c r="K975" s="94"/>
      <c r="L975" s="94"/>
      <c r="M975" s="94"/>
      <c r="N975" s="112"/>
      <c r="O975" s="112"/>
    </row>
    <row r="976" ht="15.75" customHeight="1">
      <c r="A976" s="243"/>
      <c r="B976" s="211"/>
      <c r="C976" s="229"/>
      <c r="D976" s="230"/>
      <c r="E976" s="231"/>
      <c r="F976" s="232"/>
      <c r="G976" s="233"/>
      <c r="H976" s="234"/>
      <c r="I976" s="233"/>
      <c r="J976" s="173"/>
      <c r="K976" s="77"/>
      <c r="L976" s="77"/>
      <c r="M976" s="77"/>
      <c r="N976" s="80"/>
      <c r="O976" s="80"/>
    </row>
    <row r="977" ht="15.75" customHeight="1">
      <c r="A977" s="242"/>
      <c r="B977" s="225"/>
      <c r="C977" s="235"/>
      <c r="D977" s="236"/>
      <c r="E977" s="237"/>
      <c r="F977" s="238"/>
      <c r="G977" s="239"/>
      <c r="H977" s="240"/>
      <c r="I977" s="239"/>
      <c r="J977" s="148"/>
      <c r="K977" s="94"/>
      <c r="L977" s="94"/>
      <c r="M977" s="94"/>
      <c r="N977" s="112"/>
      <c r="O977" s="112"/>
    </row>
    <row r="978" ht="15.75" customHeight="1">
      <c r="A978" s="243"/>
      <c r="B978" s="211"/>
      <c r="C978" s="229"/>
      <c r="D978" s="230"/>
      <c r="E978" s="231"/>
      <c r="F978" s="232"/>
      <c r="G978" s="233"/>
      <c r="H978" s="234"/>
      <c r="I978" s="233"/>
      <c r="J978" s="173"/>
      <c r="K978" s="77"/>
      <c r="L978" s="77"/>
      <c r="M978" s="77"/>
      <c r="N978" s="80"/>
      <c r="O978" s="80"/>
    </row>
    <row r="979" ht="15.75" customHeight="1">
      <c r="A979" s="242"/>
      <c r="B979" s="225"/>
      <c r="C979" s="235"/>
      <c r="D979" s="236"/>
      <c r="E979" s="237"/>
      <c r="F979" s="238"/>
      <c r="G979" s="239"/>
      <c r="H979" s="240"/>
      <c r="I979" s="239"/>
      <c r="J979" s="148"/>
      <c r="K979" s="94"/>
      <c r="L979" s="94"/>
      <c r="M979" s="94"/>
      <c r="N979" s="112"/>
      <c r="O979" s="112"/>
    </row>
    <row r="980" ht="15.75" customHeight="1">
      <c r="A980" s="243"/>
      <c r="B980" s="211"/>
      <c r="C980" s="229"/>
      <c r="D980" s="230"/>
      <c r="E980" s="231"/>
      <c r="F980" s="232"/>
      <c r="G980" s="233"/>
      <c r="H980" s="234"/>
      <c r="I980" s="233"/>
      <c r="J980" s="173"/>
      <c r="K980" s="77"/>
      <c r="L980" s="77"/>
      <c r="M980" s="77"/>
      <c r="N980" s="80"/>
      <c r="O980" s="80"/>
    </row>
    <row r="981" ht="15.75" customHeight="1">
      <c r="A981" s="242"/>
      <c r="B981" s="225"/>
      <c r="C981" s="235"/>
      <c r="D981" s="236"/>
      <c r="E981" s="237"/>
      <c r="F981" s="238"/>
      <c r="G981" s="239"/>
      <c r="H981" s="240"/>
      <c r="I981" s="239"/>
      <c r="J981" s="148"/>
      <c r="K981" s="94"/>
      <c r="L981" s="94"/>
      <c r="M981" s="94"/>
      <c r="N981" s="112"/>
      <c r="O981" s="112"/>
    </row>
    <row r="982" ht="15.75" customHeight="1">
      <c r="A982" s="243"/>
      <c r="B982" s="211"/>
      <c r="C982" s="229"/>
      <c r="D982" s="230"/>
      <c r="E982" s="231"/>
      <c r="F982" s="232"/>
      <c r="G982" s="233"/>
      <c r="H982" s="234"/>
      <c r="I982" s="233"/>
      <c r="J982" s="173"/>
      <c r="K982" s="77"/>
      <c r="L982" s="77"/>
      <c r="M982" s="77"/>
      <c r="N982" s="80"/>
      <c r="O982" s="80"/>
    </row>
    <row r="983" ht="15.75" customHeight="1">
      <c r="A983" s="242"/>
      <c r="B983" s="225"/>
      <c r="C983" s="235"/>
      <c r="D983" s="236"/>
      <c r="E983" s="237"/>
      <c r="F983" s="238"/>
      <c r="G983" s="239"/>
      <c r="H983" s="240"/>
      <c r="I983" s="239"/>
      <c r="J983" s="148"/>
      <c r="K983" s="94"/>
      <c r="L983" s="94"/>
      <c r="M983" s="94"/>
      <c r="N983" s="112"/>
      <c r="O983" s="112"/>
    </row>
    <row r="984" ht="15.75" customHeight="1">
      <c r="A984" s="243"/>
      <c r="B984" s="211"/>
      <c r="C984" s="229"/>
      <c r="D984" s="230"/>
      <c r="E984" s="231"/>
      <c r="F984" s="232"/>
      <c r="G984" s="233"/>
      <c r="H984" s="234"/>
      <c r="I984" s="233"/>
      <c r="J984" s="173"/>
      <c r="K984" s="77"/>
      <c r="L984" s="77"/>
      <c r="M984" s="77"/>
      <c r="N984" s="80"/>
      <c r="O984" s="80"/>
    </row>
    <row r="985" ht="15.75" customHeight="1">
      <c r="A985" s="242"/>
      <c r="B985" s="225"/>
      <c r="C985" s="235"/>
      <c r="D985" s="236"/>
      <c r="E985" s="237"/>
      <c r="F985" s="238"/>
      <c r="G985" s="239"/>
      <c r="H985" s="240"/>
      <c r="I985" s="239"/>
      <c r="J985" s="148"/>
      <c r="K985" s="94"/>
      <c r="L985" s="94"/>
      <c r="M985" s="94"/>
      <c r="N985" s="112"/>
      <c r="O985" s="112"/>
    </row>
    <row r="986" ht="15.75" customHeight="1">
      <c r="A986" s="243"/>
      <c r="B986" s="211"/>
      <c r="C986" s="229"/>
      <c r="D986" s="230"/>
      <c r="E986" s="231"/>
      <c r="F986" s="232"/>
      <c r="G986" s="233"/>
      <c r="H986" s="234"/>
      <c r="I986" s="233"/>
      <c r="J986" s="173"/>
      <c r="K986" s="77"/>
      <c r="L986" s="77"/>
      <c r="M986" s="77"/>
      <c r="N986" s="80"/>
      <c r="O986" s="80"/>
    </row>
    <row r="987" ht="15.75" customHeight="1">
      <c r="A987" s="242"/>
      <c r="B987" s="225"/>
      <c r="C987" s="235"/>
      <c r="D987" s="236"/>
      <c r="E987" s="237"/>
      <c r="F987" s="238"/>
      <c r="G987" s="239"/>
      <c r="H987" s="240"/>
      <c r="I987" s="239"/>
      <c r="J987" s="148"/>
      <c r="K987" s="94"/>
      <c r="L987" s="94"/>
      <c r="M987" s="94"/>
      <c r="N987" s="112"/>
      <c r="O987" s="112"/>
    </row>
    <row r="988" ht="15.75" customHeight="1">
      <c r="A988" s="243"/>
      <c r="B988" s="211"/>
      <c r="C988" s="229"/>
      <c r="D988" s="230"/>
      <c r="E988" s="231"/>
      <c r="F988" s="232"/>
      <c r="G988" s="233"/>
      <c r="H988" s="234"/>
      <c r="I988" s="233"/>
      <c r="J988" s="173"/>
      <c r="K988" s="77"/>
      <c r="L988" s="77"/>
      <c r="M988" s="77"/>
      <c r="N988" s="80"/>
      <c r="O988" s="80"/>
    </row>
    <row r="989" ht="15.75" customHeight="1">
      <c r="A989" s="242"/>
      <c r="B989" s="225"/>
      <c r="C989" s="235"/>
      <c r="D989" s="236"/>
      <c r="E989" s="237"/>
      <c r="F989" s="238"/>
      <c r="G989" s="239"/>
      <c r="H989" s="240"/>
      <c r="I989" s="239"/>
      <c r="J989" s="148"/>
      <c r="K989" s="94"/>
      <c r="L989" s="94"/>
      <c r="M989" s="94"/>
      <c r="N989" s="112"/>
      <c r="O989" s="112"/>
    </row>
    <row r="990" ht="15.75" customHeight="1">
      <c r="A990" s="243"/>
      <c r="B990" s="211"/>
      <c r="C990" s="229"/>
      <c r="D990" s="230"/>
      <c r="E990" s="231"/>
      <c r="F990" s="232"/>
      <c r="G990" s="233"/>
      <c r="H990" s="234"/>
      <c r="I990" s="233"/>
      <c r="J990" s="173"/>
      <c r="K990" s="77"/>
      <c r="L990" s="77"/>
      <c r="M990" s="77"/>
      <c r="N990" s="80"/>
      <c r="O990" s="80"/>
    </row>
    <row r="991" ht="15.75" customHeight="1">
      <c r="A991" s="242"/>
      <c r="B991" s="225"/>
      <c r="C991" s="235"/>
      <c r="D991" s="236"/>
      <c r="E991" s="237"/>
      <c r="F991" s="238"/>
      <c r="G991" s="239"/>
      <c r="H991" s="240"/>
      <c r="I991" s="239"/>
      <c r="J991" s="148"/>
      <c r="K991" s="94"/>
      <c r="L991" s="94"/>
      <c r="M991" s="94"/>
      <c r="N991" s="112"/>
      <c r="O991" s="112"/>
    </row>
    <row r="992" ht="15.75" customHeight="1">
      <c r="A992" s="243"/>
      <c r="B992" s="211"/>
      <c r="C992" s="229"/>
      <c r="D992" s="230"/>
      <c r="E992" s="231"/>
      <c r="F992" s="232"/>
      <c r="G992" s="233"/>
      <c r="H992" s="234"/>
      <c r="I992" s="233"/>
      <c r="J992" s="173"/>
      <c r="K992" s="77"/>
      <c r="L992" s="77"/>
      <c r="M992" s="77"/>
      <c r="N992" s="80"/>
      <c r="O992" s="80"/>
    </row>
    <row r="993" ht="15.75" customHeight="1">
      <c r="A993" s="242"/>
      <c r="B993" s="225"/>
      <c r="C993" s="235"/>
      <c r="D993" s="236"/>
      <c r="E993" s="237"/>
      <c r="F993" s="238"/>
      <c r="G993" s="239"/>
      <c r="H993" s="240"/>
      <c r="I993" s="239"/>
      <c r="J993" s="148"/>
      <c r="K993" s="94"/>
      <c r="L993" s="94"/>
      <c r="M993" s="94"/>
      <c r="N993" s="112"/>
      <c r="O993" s="112"/>
    </row>
    <row r="994" ht="15.75" customHeight="1">
      <c r="A994" s="243"/>
      <c r="B994" s="211"/>
      <c r="C994" s="229"/>
      <c r="D994" s="230"/>
      <c r="E994" s="231"/>
      <c r="F994" s="232"/>
      <c r="G994" s="233"/>
      <c r="H994" s="234"/>
      <c r="I994" s="233"/>
      <c r="J994" s="173"/>
      <c r="K994" s="77"/>
      <c r="L994" s="77"/>
      <c r="M994" s="77"/>
      <c r="N994" s="80"/>
      <c r="O994" s="80"/>
    </row>
    <row r="995" ht="15.75" customHeight="1">
      <c r="A995" s="242"/>
      <c r="B995" s="225"/>
      <c r="C995" s="235"/>
      <c r="D995" s="236"/>
      <c r="E995" s="237"/>
      <c r="F995" s="238"/>
      <c r="G995" s="239"/>
      <c r="H995" s="240"/>
      <c r="I995" s="239"/>
      <c r="J995" s="148"/>
      <c r="K995" s="94"/>
      <c r="L995" s="94"/>
      <c r="M995" s="94"/>
      <c r="N995" s="112"/>
      <c r="O995" s="112"/>
    </row>
    <row r="996" ht="15.75" customHeight="1">
      <c r="A996" s="243"/>
      <c r="B996" s="211"/>
      <c r="C996" s="229"/>
      <c r="D996" s="230"/>
      <c r="E996" s="231"/>
      <c r="F996" s="232"/>
      <c r="G996" s="233"/>
      <c r="H996" s="234"/>
      <c r="I996" s="233"/>
      <c r="J996" s="173"/>
      <c r="K996" s="77"/>
      <c r="L996" s="77"/>
      <c r="M996" s="77"/>
      <c r="N996" s="80"/>
      <c r="O996" s="80"/>
    </row>
    <row r="997" ht="15.75" customHeight="1">
      <c r="A997" s="242"/>
      <c r="B997" s="225"/>
      <c r="C997" s="235"/>
      <c r="D997" s="236"/>
      <c r="E997" s="237"/>
      <c r="F997" s="238"/>
      <c r="G997" s="239"/>
      <c r="H997" s="240"/>
      <c r="I997" s="239"/>
      <c r="J997" s="148"/>
      <c r="K997" s="94"/>
      <c r="L997" s="94"/>
      <c r="M997" s="94"/>
      <c r="N997" s="112"/>
      <c r="O997" s="112"/>
    </row>
    <row r="998" ht="15.75" customHeight="1">
      <c r="A998" s="243"/>
      <c r="B998" s="211"/>
      <c r="C998" s="229"/>
      <c r="D998" s="230"/>
      <c r="E998" s="231"/>
      <c r="F998" s="232"/>
      <c r="G998" s="233"/>
      <c r="H998" s="234"/>
      <c r="I998" s="233"/>
      <c r="J998" s="173"/>
      <c r="K998" s="77"/>
      <c r="L998" s="77"/>
      <c r="M998" s="77"/>
      <c r="N998" s="80"/>
      <c r="O998" s="80"/>
    </row>
    <row r="999" ht="15.75" customHeight="1">
      <c r="A999" s="242"/>
      <c r="B999" s="225"/>
      <c r="C999" s="235"/>
      <c r="D999" s="236"/>
      <c r="E999" s="237"/>
      <c r="F999" s="238"/>
      <c r="G999" s="239"/>
      <c r="H999" s="240"/>
      <c r="I999" s="239"/>
      <c r="J999" s="148"/>
      <c r="K999" s="94"/>
      <c r="L999" s="94"/>
      <c r="M999" s="94"/>
      <c r="N999" s="112"/>
      <c r="O999" s="112"/>
    </row>
    <row r="1000" ht="15.75" customHeight="1">
      <c r="A1000" s="243"/>
      <c r="B1000" s="211"/>
      <c r="C1000" s="229"/>
      <c r="D1000" s="230"/>
      <c r="E1000" s="231"/>
      <c r="F1000" s="232"/>
      <c r="G1000" s="233"/>
      <c r="H1000" s="234"/>
      <c r="I1000" s="233"/>
      <c r="J1000" s="173"/>
      <c r="K1000" s="77"/>
      <c r="L1000" s="77"/>
      <c r="M1000" s="77"/>
      <c r="N1000" s="80"/>
      <c r="O1000" s="80"/>
    </row>
    <row r="1001" ht="15.75" customHeight="1">
      <c r="A1001" s="242"/>
      <c r="B1001" s="225"/>
      <c r="C1001" s="235"/>
      <c r="D1001" s="236"/>
      <c r="E1001" s="237"/>
      <c r="F1001" s="238"/>
      <c r="G1001" s="239"/>
      <c r="H1001" s="240"/>
      <c r="I1001" s="239"/>
      <c r="J1001" s="148"/>
      <c r="K1001" s="94"/>
      <c r="L1001" s="94"/>
      <c r="M1001" s="94"/>
      <c r="N1001" s="112"/>
      <c r="O1001" s="112"/>
    </row>
    <row r="1002" ht="15.75" customHeight="1">
      <c r="A1002" s="243"/>
      <c r="B1002" s="211"/>
      <c r="C1002" s="229"/>
      <c r="D1002" s="230"/>
      <c r="E1002" s="231"/>
      <c r="F1002" s="232"/>
      <c r="G1002" s="233"/>
      <c r="H1002" s="234"/>
      <c r="I1002" s="233"/>
      <c r="J1002" s="173"/>
      <c r="K1002" s="77"/>
      <c r="L1002" s="77"/>
      <c r="M1002" s="77"/>
      <c r="N1002" s="80"/>
      <c r="O1002" s="80"/>
    </row>
  </sheetData>
  <autoFilter ref="$B$2:$I$32"/>
  <dataValidations>
    <dataValidation type="list" allowBlank="1" showErrorMessage="1" sqref="D3:D16 D18:D32">
      <formula1>"I,II,III,IV,V,VI,VII,VII,IX,X,XI,XII,Sem informação"</formula1>
    </dataValidation>
    <dataValidation type="list" allowBlank="1" showErrorMessage="1" sqref="D17">
      <formula1>"I,II,III,IV,V,VI,VII,VIII,IX,X,XI,XII,Sem informação"</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0"/>
  <cols>
    <col customWidth="1" min="1" max="1" width="1.25"/>
    <col customWidth="1" min="2" max="2" width="29.88"/>
    <col customWidth="1" min="3" max="3" width="9.5"/>
    <col customWidth="1" min="4" max="4" width="27.13"/>
    <col customWidth="1" min="5" max="6" width="10.88"/>
    <col customWidth="1" min="7" max="7" width="32.88"/>
  </cols>
  <sheetData>
    <row r="1" ht="89.25" customHeight="1">
      <c r="A1" s="244"/>
      <c r="B1" s="245"/>
      <c r="C1" s="246"/>
      <c r="D1" s="246"/>
      <c r="E1" s="10"/>
      <c r="F1" s="10"/>
      <c r="G1" s="10"/>
    </row>
    <row r="2" ht="55.5" customHeight="1">
      <c r="A2" s="16"/>
      <c r="B2" s="22" t="s">
        <v>1</v>
      </c>
      <c r="C2" s="33" t="s">
        <v>3</v>
      </c>
      <c r="D2" s="35" t="s">
        <v>2</v>
      </c>
      <c r="E2" s="28" t="s">
        <v>8</v>
      </c>
      <c r="F2" s="28" t="s">
        <v>15</v>
      </c>
      <c r="G2" s="28" t="s">
        <v>16</v>
      </c>
    </row>
    <row r="3" ht="69.0" customHeight="1">
      <c r="A3" s="48"/>
      <c r="B3" s="51" t="s">
        <v>352</v>
      </c>
      <c r="C3" s="55"/>
      <c r="D3" s="53" t="s">
        <v>353</v>
      </c>
      <c r="E3" s="55"/>
      <c r="F3" s="55">
        <v>24.0</v>
      </c>
      <c r="G3" s="55" t="s">
        <v>354</v>
      </c>
    </row>
    <row r="4" ht="94.5" customHeight="1">
      <c r="A4" s="48"/>
      <c r="B4" s="51" t="s">
        <v>355</v>
      </c>
      <c r="C4" s="55"/>
      <c r="D4" s="53" t="s">
        <v>356</v>
      </c>
      <c r="E4" s="55"/>
      <c r="F4" s="55">
        <v>28.0</v>
      </c>
      <c r="G4" s="55" t="s">
        <v>357</v>
      </c>
    </row>
    <row r="5" ht="77.25" customHeight="1">
      <c r="A5" s="48"/>
      <c r="B5" s="51" t="s">
        <v>358</v>
      </c>
      <c r="C5" s="55"/>
      <c r="D5" s="53" t="s">
        <v>356</v>
      </c>
      <c r="E5" s="55"/>
      <c r="F5" s="55">
        <v>100.0</v>
      </c>
      <c r="G5" s="55" t="s">
        <v>359</v>
      </c>
    </row>
    <row r="6" ht="122.25" customHeight="1">
      <c r="A6" s="48"/>
      <c r="B6" s="51" t="s">
        <v>360</v>
      </c>
      <c r="C6" s="55"/>
      <c r="D6" s="53" t="s">
        <v>356</v>
      </c>
      <c r="E6" s="55"/>
      <c r="F6" s="55">
        <v>20.0</v>
      </c>
      <c r="G6" s="55" t="s">
        <v>354</v>
      </c>
    </row>
    <row r="7" ht="90.75" customHeight="1">
      <c r="A7" s="48"/>
      <c r="B7" s="51" t="s">
        <v>361</v>
      </c>
      <c r="C7" s="55"/>
      <c r="D7" s="53" t="s">
        <v>356</v>
      </c>
      <c r="E7" s="55"/>
      <c r="F7" s="55">
        <v>16.0</v>
      </c>
      <c r="G7" s="55" t="s">
        <v>362</v>
      </c>
    </row>
    <row r="8" ht="92.25" customHeight="1">
      <c r="A8" s="48"/>
      <c r="B8" s="92" t="s">
        <v>363</v>
      </c>
      <c r="C8" s="55"/>
      <c r="D8" s="53" t="s">
        <v>356</v>
      </c>
      <c r="E8" s="55"/>
      <c r="F8" s="55">
        <v>29.0</v>
      </c>
      <c r="G8" s="55" t="s">
        <v>364</v>
      </c>
    </row>
    <row r="9" ht="106.5" customHeight="1">
      <c r="A9" s="48"/>
      <c r="B9" s="92" t="s">
        <v>365</v>
      </c>
      <c r="C9" s="55"/>
      <c r="D9" s="53" t="s">
        <v>356</v>
      </c>
      <c r="E9" s="55"/>
      <c r="F9" s="55">
        <v>20.0</v>
      </c>
      <c r="G9" s="55" t="s">
        <v>366</v>
      </c>
    </row>
    <row r="10" ht="90.0" customHeight="1">
      <c r="A10" s="48"/>
      <c r="B10" s="92" t="s">
        <v>367</v>
      </c>
      <c r="C10" s="55"/>
      <c r="D10" s="53" t="s">
        <v>356</v>
      </c>
      <c r="E10" s="55"/>
      <c r="F10" s="55">
        <v>6.0</v>
      </c>
      <c r="G10" s="55" t="s">
        <v>368</v>
      </c>
    </row>
    <row r="11" ht="122.25" customHeight="1">
      <c r="A11" s="48"/>
      <c r="B11" s="92" t="s">
        <v>369</v>
      </c>
      <c r="C11" s="55"/>
      <c r="D11" s="53" t="s">
        <v>370</v>
      </c>
      <c r="E11" s="55"/>
      <c r="F11" s="55">
        <v>12.0</v>
      </c>
      <c r="G11" s="55" t="s">
        <v>371</v>
      </c>
    </row>
    <row r="12" ht="122.25" customHeight="1">
      <c r="A12" s="48"/>
      <c r="B12" s="92" t="s">
        <v>372</v>
      </c>
      <c r="C12" s="55"/>
      <c r="D12" s="113" t="s">
        <v>373</v>
      </c>
      <c r="E12" s="55"/>
      <c r="F12" s="55">
        <v>94.0</v>
      </c>
      <c r="G12" s="55" t="s">
        <v>374</v>
      </c>
    </row>
    <row r="13" ht="122.25" customHeight="1">
      <c r="A13" s="48"/>
      <c r="B13" s="92" t="s">
        <v>375</v>
      </c>
      <c r="C13" s="55"/>
      <c r="D13" s="113" t="s">
        <v>373</v>
      </c>
      <c r="E13" s="55"/>
      <c r="F13" s="55">
        <v>14.0</v>
      </c>
      <c r="G13" s="55" t="s">
        <v>376</v>
      </c>
    </row>
    <row r="14" ht="122.25" customHeight="1">
      <c r="A14" s="48"/>
      <c r="B14" s="92" t="s">
        <v>377</v>
      </c>
      <c r="C14" s="55"/>
      <c r="D14" s="53" t="s">
        <v>378</v>
      </c>
      <c r="E14" s="55"/>
      <c r="F14" s="55">
        <v>10.0</v>
      </c>
      <c r="G14" s="55" t="s">
        <v>379</v>
      </c>
    </row>
    <row r="15" ht="122.25" customHeight="1">
      <c r="A15" s="48"/>
      <c r="B15" s="92" t="s">
        <v>380</v>
      </c>
      <c r="C15" s="55"/>
      <c r="D15" s="53" t="s">
        <v>381</v>
      </c>
      <c r="E15" s="55"/>
      <c r="F15" s="55">
        <v>10.0</v>
      </c>
      <c r="G15" s="55" t="s">
        <v>368</v>
      </c>
    </row>
    <row r="16" ht="122.25" customHeight="1">
      <c r="A16" s="48"/>
      <c r="B16" s="92" t="s">
        <v>382</v>
      </c>
      <c r="C16" s="55"/>
      <c r="D16" s="53" t="s">
        <v>383</v>
      </c>
      <c r="E16" s="55"/>
      <c r="F16" s="55">
        <v>33.0</v>
      </c>
      <c r="G16" s="55" t="s">
        <v>384</v>
      </c>
    </row>
    <row r="17" ht="122.25" customHeight="1">
      <c r="A17" s="48"/>
      <c r="B17" s="92" t="s">
        <v>385</v>
      </c>
      <c r="C17" s="55"/>
      <c r="D17" s="53" t="s">
        <v>386</v>
      </c>
      <c r="E17" s="55"/>
      <c r="F17" s="55">
        <v>48.0</v>
      </c>
      <c r="G17" s="55" t="s">
        <v>387</v>
      </c>
    </row>
    <row r="18" ht="122.25" customHeight="1">
      <c r="A18" s="48"/>
      <c r="B18" s="92" t="s">
        <v>388</v>
      </c>
      <c r="C18" s="55"/>
      <c r="D18" s="53" t="s">
        <v>389</v>
      </c>
      <c r="E18" s="55"/>
      <c r="F18" s="55">
        <v>23.0</v>
      </c>
      <c r="G18" s="55" t="s">
        <v>390</v>
      </c>
    </row>
    <row r="19" ht="122.25" customHeight="1">
      <c r="A19" s="48"/>
      <c r="B19" s="92" t="s">
        <v>391</v>
      </c>
      <c r="C19" s="55"/>
      <c r="D19" s="53" t="s">
        <v>392</v>
      </c>
      <c r="E19" s="55"/>
      <c r="F19" s="55">
        <v>79.0</v>
      </c>
      <c r="G19" s="55" t="s">
        <v>393</v>
      </c>
    </row>
    <row r="20" ht="122.25" customHeight="1">
      <c r="A20" s="48"/>
      <c r="B20" s="92" t="s">
        <v>394</v>
      </c>
      <c r="C20" s="55"/>
      <c r="D20" s="53" t="s">
        <v>392</v>
      </c>
      <c r="E20" s="55"/>
      <c r="F20" s="55">
        <v>5.0</v>
      </c>
      <c r="G20" s="55" t="s">
        <v>368</v>
      </c>
    </row>
    <row r="21" ht="122.25" customHeight="1">
      <c r="A21" s="48"/>
      <c r="B21" s="92" t="s">
        <v>391</v>
      </c>
      <c r="C21" s="55"/>
      <c r="D21" s="53" t="s">
        <v>392</v>
      </c>
      <c r="E21" s="55"/>
      <c r="F21" s="55">
        <v>20.0</v>
      </c>
      <c r="G21" s="55" t="s">
        <v>368</v>
      </c>
    </row>
    <row r="22" ht="122.25" customHeight="1">
      <c r="A22" s="48"/>
      <c r="B22" s="92" t="s">
        <v>395</v>
      </c>
      <c r="C22" s="55"/>
      <c r="D22" s="53" t="s">
        <v>392</v>
      </c>
      <c r="E22" s="55"/>
      <c r="F22" s="55">
        <v>10.0</v>
      </c>
      <c r="G22" s="55" t="s">
        <v>169</v>
      </c>
    </row>
    <row r="23" ht="122.25" customHeight="1">
      <c r="A23" s="48"/>
      <c r="B23" s="92" t="s">
        <v>396</v>
      </c>
      <c r="C23" s="55"/>
      <c r="D23" s="53" t="s">
        <v>397</v>
      </c>
      <c r="E23" s="55"/>
      <c r="F23" s="55">
        <v>10.0</v>
      </c>
      <c r="G23" s="55" t="s">
        <v>368</v>
      </c>
    </row>
    <row r="24" ht="122.25" customHeight="1">
      <c r="A24" s="48"/>
      <c r="B24" s="92" t="s">
        <v>398</v>
      </c>
      <c r="C24" s="55"/>
      <c r="D24" s="53" t="s">
        <v>144</v>
      </c>
      <c r="E24" s="55"/>
      <c r="F24" s="55">
        <v>10.0</v>
      </c>
      <c r="G24" s="55" t="s">
        <v>379</v>
      </c>
    </row>
    <row r="25" ht="122.25" customHeight="1">
      <c r="A25" s="48"/>
      <c r="B25" s="92" t="s">
        <v>399</v>
      </c>
      <c r="C25" s="55"/>
      <c r="D25" s="53" t="s">
        <v>400</v>
      </c>
      <c r="E25" s="186"/>
      <c r="F25" s="186">
        <v>15.0</v>
      </c>
      <c r="G25" s="186" t="s">
        <v>401</v>
      </c>
    </row>
    <row r="26" ht="122.25" customHeight="1">
      <c r="A26" s="48"/>
      <c r="B26" s="92" t="s">
        <v>402</v>
      </c>
      <c r="C26" s="55"/>
      <c r="D26" s="53" t="s">
        <v>403</v>
      </c>
      <c r="E26" s="194"/>
      <c r="F26" s="55">
        <v>5.0</v>
      </c>
      <c r="G26" s="55" t="s">
        <v>368</v>
      </c>
    </row>
    <row r="27" ht="122.25" customHeight="1">
      <c r="A27" s="48"/>
      <c r="B27" s="92" t="s">
        <v>404</v>
      </c>
      <c r="C27" s="55"/>
      <c r="D27" s="53" t="s">
        <v>405</v>
      </c>
      <c r="E27" s="55"/>
      <c r="F27" s="55">
        <v>55.0</v>
      </c>
      <c r="G27" s="55" t="s">
        <v>406</v>
      </c>
    </row>
    <row r="28" ht="122.25" customHeight="1">
      <c r="A28" s="48"/>
      <c r="B28" s="92"/>
      <c r="C28" s="55"/>
      <c r="D28" s="53"/>
      <c r="E28" s="55"/>
      <c r="F28" s="55"/>
      <c r="G28" s="55"/>
    </row>
    <row r="29" ht="122.25" customHeight="1">
      <c r="A29" s="48"/>
      <c r="B29" s="92"/>
      <c r="C29" s="55"/>
      <c r="D29" s="210"/>
      <c r="E29" s="55"/>
      <c r="F29" s="55"/>
      <c r="G29" s="55"/>
    </row>
    <row r="30" ht="122.25" customHeight="1">
      <c r="A30" s="48"/>
      <c r="B30" s="51"/>
      <c r="C30" s="55"/>
      <c r="D30" s="53"/>
      <c r="E30" s="55"/>
      <c r="F30" s="55"/>
      <c r="G30" s="55"/>
    </row>
    <row r="31" ht="122.25" customHeight="1">
      <c r="A31" s="48"/>
      <c r="B31" s="51"/>
      <c r="C31" s="55"/>
      <c r="D31" s="53"/>
      <c r="E31" s="55"/>
      <c r="F31" s="55"/>
      <c r="G31" s="55"/>
    </row>
    <row r="32" ht="122.25" customHeight="1">
      <c r="A32" s="48"/>
      <c r="B32" s="163"/>
      <c r="C32" s="50"/>
      <c r="D32" s="89"/>
      <c r="E32" s="93"/>
      <c r="F32" s="93"/>
      <c r="G32" s="93"/>
    </row>
    <row r="33" ht="122.25" customHeight="1">
      <c r="A33" s="48"/>
      <c r="B33" s="219"/>
      <c r="C33" s="222"/>
      <c r="D33" s="223"/>
      <c r="E33" s="149"/>
      <c r="F33" s="149"/>
      <c r="G33" s="149"/>
    </row>
    <row r="34" ht="122.25" customHeight="1">
      <c r="A34" s="48"/>
      <c r="B34" s="224"/>
      <c r="C34" s="222"/>
      <c r="D34" s="223"/>
      <c r="E34" s="143"/>
      <c r="F34" s="143"/>
      <c r="G34" s="143"/>
    </row>
    <row r="35" ht="122.25" customHeight="1">
      <c r="A35" s="48"/>
      <c r="B35" s="219"/>
      <c r="C35" s="222"/>
      <c r="D35" s="223"/>
      <c r="E35" s="149"/>
      <c r="F35" s="149"/>
      <c r="G35" s="149"/>
    </row>
    <row r="36" ht="122.25" customHeight="1">
      <c r="A36" s="48"/>
      <c r="B36" s="219"/>
      <c r="C36" s="222"/>
      <c r="D36" s="223"/>
      <c r="E36" s="149"/>
      <c r="F36" s="149"/>
      <c r="G36" s="149"/>
    </row>
    <row r="37" ht="122.25" customHeight="1">
      <c r="A37" s="48"/>
      <c r="B37" s="219"/>
      <c r="C37" s="222"/>
      <c r="D37" s="223"/>
      <c r="E37" s="149"/>
      <c r="F37" s="149"/>
      <c r="G37" s="149"/>
    </row>
    <row r="38" ht="122.25" customHeight="1">
      <c r="A38" s="48"/>
      <c r="B38" s="224"/>
      <c r="C38" s="222"/>
      <c r="D38" s="223"/>
      <c r="E38" s="143"/>
      <c r="F38" s="143"/>
      <c r="G38" s="143"/>
    </row>
    <row r="39" ht="122.25" customHeight="1">
      <c r="A39" s="48"/>
      <c r="B39" s="224"/>
      <c r="C39" s="222"/>
      <c r="D39" s="223"/>
      <c r="E39" s="143"/>
      <c r="F39" s="143"/>
      <c r="G39" s="143"/>
    </row>
    <row r="40" ht="122.25" customHeight="1">
      <c r="A40" s="48"/>
      <c r="B40" s="224"/>
      <c r="C40" s="222"/>
      <c r="D40" s="223"/>
      <c r="E40" s="143"/>
      <c r="F40" s="143"/>
      <c r="G40" s="143"/>
    </row>
    <row r="41" ht="122.25" customHeight="1">
      <c r="A41" s="48"/>
      <c r="B41" s="224"/>
      <c r="C41" s="222"/>
      <c r="D41" s="223"/>
      <c r="E41" s="143"/>
      <c r="F41" s="143"/>
      <c r="G41" s="143"/>
    </row>
    <row r="42" ht="122.25" customHeight="1">
      <c r="A42" s="48"/>
      <c r="B42" s="224"/>
      <c r="C42" s="222"/>
      <c r="D42" s="223"/>
      <c r="E42" s="143"/>
      <c r="F42" s="143"/>
      <c r="G42" s="143"/>
    </row>
    <row r="43" ht="122.25" customHeight="1">
      <c r="A43" s="48"/>
      <c r="B43" s="224"/>
      <c r="C43" s="222"/>
      <c r="D43" s="223"/>
      <c r="E43" s="143"/>
      <c r="F43" s="143"/>
      <c r="G43" s="143"/>
    </row>
    <row r="44" ht="122.25" customHeight="1">
      <c r="A44" s="48"/>
      <c r="B44" s="224"/>
      <c r="C44" s="222"/>
      <c r="D44" s="223"/>
      <c r="E44" s="143"/>
      <c r="F44" s="143"/>
      <c r="G44" s="143"/>
    </row>
    <row r="45" ht="122.25" customHeight="1">
      <c r="A45" s="48"/>
      <c r="B45" s="224"/>
      <c r="C45" s="222"/>
      <c r="D45" s="223"/>
      <c r="E45" s="143"/>
      <c r="F45" s="143"/>
      <c r="G45" s="143"/>
    </row>
    <row r="46" ht="122.25" customHeight="1">
      <c r="A46" s="48"/>
      <c r="B46" s="224"/>
      <c r="C46" s="222"/>
      <c r="D46" s="223"/>
      <c r="E46" s="143"/>
      <c r="F46" s="143"/>
      <c r="G46" s="143"/>
    </row>
    <row r="47" ht="122.25" customHeight="1">
      <c r="A47" s="48"/>
      <c r="B47" s="224"/>
      <c r="C47" s="222"/>
      <c r="D47" s="223"/>
      <c r="E47" s="143"/>
      <c r="F47" s="143"/>
      <c r="G47" s="143"/>
    </row>
    <row r="48" ht="122.25" customHeight="1">
      <c r="A48" s="48"/>
      <c r="B48" s="224"/>
      <c r="C48" s="222"/>
      <c r="D48" s="223"/>
      <c r="E48" s="143"/>
      <c r="F48" s="143"/>
      <c r="G48" s="143"/>
    </row>
    <row r="49" ht="122.25" customHeight="1">
      <c r="A49" s="48"/>
      <c r="B49" s="224"/>
      <c r="C49" s="222"/>
      <c r="D49" s="223"/>
      <c r="E49" s="143"/>
      <c r="F49" s="143"/>
      <c r="G49" s="143"/>
    </row>
    <row r="50" ht="122.25" customHeight="1">
      <c r="A50" s="48"/>
      <c r="B50" s="224"/>
      <c r="C50" s="222"/>
      <c r="D50" s="223"/>
      <c r="E50" s="143"/>
      <c r="F50" s="143"/>
      <c r="G50" s="143"/>
    </row>
    <row r="51" ht="122.25" customHeight="1">
      <c r="A51" s="48"/>
      <c r="B51" s="224"/>
      <c r="C51" s="222"/>
      <c r="D51" s="223"/>
      <c r="E51" s="143"/>
      <c r="F51" s="143"/>
      <c r="G51" s="143"/>
    </row>
    <row r="52" ht="122.25" customHeight="1">
      <c r="A52" s="48"/>
      <c r="B52" s="224"/>
      <c r="C52" s="222"/>
      <c r="D52" s="223"/>
      <c r="E52" s="143"/>
      <c r="F52" s="143"/>
      <c r="G52" s="143"/>
    </row>
    <row r="53" ht="19.5" customHeight="1">
      <c r="A53" s="48"/>
      <c r="B53" s="224"/>
      <c r="C53" s="222"/>
      <c r="D53" s="223"/>
      <c r="E53" s="143"/>
      <c r="F53" s="143"/>
      <c r="G53" s="143"/>
    </row>
    <row r="54" ht="19.5" customHeight="1">
      <c r="A54" s="48"/>
      <c r="B54" s="224"/>
      <c r="C54" s="222"/>
      <c r="D54" s="223"/>
      <c r="E54" s="143"/>
      <c r="F54" s="143"/>
      <c r="G54" s="143"/>
    </row>
    <row r="55" ht="19.5" customHeight="1">
      <c r="A55" s="48"/>
      <c r="B55" s="224"/>
      <c r="C55" s="222"/>
      <c r="D55" s="223"/>
      <c r="E55" s="143"/>
      <c r="F55" s="143"/>
      <c r="G55" s="143"/>
    </row>
    <row r="56" ht="19.5" customHeight="1">
      <c r="A56" s="48"/>
      <c r="B56" s="224"/>
      <c r="C56" s="222"/>
      <c r="D56" s="223"/>
      <c r="E56" s="143"/>
      <c r="F56" s="143"/>
      <c r="G56" s="143"/>
    </row>
    <row r="57" ht="19.5" customHeight="1">
      <c r="A57" s="48"/>
      <c r="B57" s="224"/>
      <c r="C57" s="222"/>
      <c r="D57" s="223"/>
      <c r="E57" s="143"/>
      <c r="F57" s="143"/>
      <c r="G57" s="143"/>
    </row>
    <row r="58" ht="19.5" customHeight="1">
      <c r="A58" s="48"/>
      <c r="B58" s="224"/>
      <c r="C58" s="222"/>
      <c r="D58" s="223"/>
      <c r="E58" s="143"/>
      <c r="F58" s="143"/>
      <c r="G58" s="143"/>
    </row>
    <row r="59" ht="19.5" customHeight="1">
      <c r="A59" s="48"/>
      <c r="B59" s="224"/>
      <c r="C59" s="222"/>
      <c r="D59" s="223"/>
      <c r="E59" s="143"/>
      <c r="F59" s="143"/>
      <c r="G59" s="143"/>
    </row>
    <row r="60" ht="19.5" customHeight="1">
      <c r="A60" s="48"/>
      <c r="B60" s="224"/>
      <c r="C60" s="222"/>
      <c r="D60" s="223"/>
      <c r="E60" s="143"/>
      <c r="F60" s="143"/>
      <c r="G60" s="143"/>
    </row>
    <row r="61" ht="19.5" customHeight="1">
      <c r="A61" s="48"/>
      <c r="B61" s="224"/>
      <c r="C61" s="222"/>
      <c r="D61" s="223"/>
      <c r="E61" s="143"/>
      <c r="F61" s="143"/>
      <c r="G61" s="143"/>
    </row>
    <row r="62" ht="19.5" customHeight="1">
      <c r="A62" s="48"/>
      <c r="B62" s="224"/>
      <c r="C62" s="222"/>
      <c r="D62" s="223"/>
      <c r="E62" s="143"/>
      <c r="F62" s="143"/>
      <c r="G62" s="143"/>
    </row>
    <row r="63" ht="19.5" customHeight="1">
      <c r="A63" s="48"/>
      <c r="B63" s="224"/>
      <c r="C63" s="222"/>
      <c r="D63" s="223"/>
      <c r="E63" s="143"/>
      <c r="F63" s="143"/>
      <c r="G63" s="143"/>
    </row>
    <row r="64" ht="19.5" customHeight="1">
      <c r="A64" s="48"/>
      <c r="B64" s="224"/>
      <c r="C64" s="222"/>
      <c r="D64" s="223"/>
      <c r="E64" s="143"/>
      <c r="F64" s="143"/>
      <c r="G64" s="143"/>
    </row>
    <row r="65" ht="19.5" customHeight="1">
      <c r="A65" s="48"/>
      <c r="B65" s="224"/>
      <c r="C65" s="222"/>
      <c r="D65" s="223"/>
      <c r="E65" s="143"/>
      <c r="F65" s="143"/>
      <c r="G65" s="143"/>
    </row>
    <row r="66" ht="19.5" customHeight="1">
      <c r="A66" s="48"/>
      <c r="B66" s="224"/>
      <c r="C66" s="222"/>
      <c r="D66" s="223"/>
      <c r="E66" s="143"/>
      <c r="F66" s="143"/>
      <c r="G66" s="143"/>
    </row>
    <row r="67" ht="19.5" customHeight="1">
      <c r="A67" s="48"/>
      <c r="B67" s="224"/>
      <c r="C67" s="222"/>
      <c r="D67" s="223"/>
      <c r="E67" s="143"/>
      <c r="F67" s="143"/>
      <c r="G67" s="143"/>
    </row>
    <row r="68" ht="19.5" customHeight="1">
      <c r="A68" s="48"/>
      <c r="B68" s="224"/>
      <c r="C68" s="222"/>
      <c r="D68" s="223"/>
      <c r="E68" s="143"/>
      <c r="F68" s="143"/>
      <c r="G68" s="143"/>
    </row>
    <row r="69" ht="19.5" customHeight="1">
      <c r="A69" s="48"/>
      <c r="B69" s="224"/>
      <c r="C69" s="222"/>
      <c r="D69" s="223"/>
      <c r="E69" s="143"/>
      <c r="F69" s="143"/>
      <c r="G69" s="143"/>
    </row>
    <row r="70" ht="19.5" customHeight="1">
      <c r="A70" s="48"/>
      <c r="B70" s="224"/>
      <c r="C70" s="222"/>
      <c r="D70" s="223"/>
      <c r="E70" s="143"/>
      <c r="F70" s="143"/>
      <c r="G70" s="143"/>
    </row>
    <row r="71" ht="19.5" customHeight="1">
      <c r="A71" s="48"/>
      <c r="B71" s="224"/>
      <c r="C71" s="222"/>
      <c r="D71" s="223"/>
      <c r="E71" s="143"/>
      <c r="F71" s="143"/>
      <c r="G71" s="143"/>
    </row>
    <row r="72" ht="19.5" customHeight="1">
      <c r="A72" s="48"/>
      <c r="B72" s="224"/>
      <c r="C72" s="222"/>
      <c r="D72" s="223"/>
      <c r="E72" s="143"/>
      <c r="F72" s="143"/>
      <c r="G72" s="143"/>
    </row>
    <row r="73" ht="19.5" customHeight="1">
      <c r="A73" s="48"/>
      <c r="B73" s="224"/>
      <c r="C73" s="222"/>
      <c r="D73" s="223"/>
      <c r="E73" s="143"/>
      <c r="F73" s="143"/>
      <c r="G73" s="143"/>
    </row>
    <row r="74" ht="19.5" customHeight="1">
      <c r="A74" s="48"/>
      <c r="B74" s="224"/>
      <c r="C74" s="222"/>
      <c r="D74" s="223"/>
      <c r="E74" s="143"/>
      <c r="F74" s="143"/>
      <c r="G74" s="143"/>
    </row>
    <row r="75" ht="19.5" customHeight="1">
      <c r="A75" s="48"/>
      <c r="B75" s="224"/>
      <c r="C75" s="222"/>
      <c r="D75" s="223"/>
      <c r="E75" s="143"/>
      <c r="F75" s="143"/>
      <c r="G75" s="143"/>
    </row>
    <row r="76" ht="19.5" customHeight="1">
      <c r="A76" s="48"/>
      <c r="B76" s="224"/>
      <c r="C76" s="222"/>
      <c r="D76" s="223"/>
      <c r="E76" s="143"/>
      <c r="F76" s="143"/>
      <c r="G76" s="143"/>
    </row>
    <row r="77" ht="19.5" customHeight="1">
      <c r="A77" s="48"/>
      <c r="B77" s="224"/>
      <c r="C77" s="222"/>
      <c r="D77" s="223"/>
      <c r="E77" s="143"/>
      <c r="F77" s="143"/>
      <c r="G77" s="143"/>
    </row>
    <row r="78" ht="19.5" customHeight="1">
      <c r="A78" s="48"/>
      <c r="B78" s="224"/>
      <c r="C78" s="222"/>
      <c r="D78" s="223"/>
      <c r="E78" s="143"/>
      <c r="F78" s="143"/>
      <c r="G78" s="143"/>
    </row>
    <row r="79" ht="19.5" customHeight="1">
      <c r="A79" s="48"/>
      <c r="B79" s="224"/>
      <c r="C79" s="222"/>
      <c r="D79" s="223"/>
      <c r="E79" s="143"/>
      <c r="F79" s="143"/>
      <c r="G79" s="143"/>
    </row>
    <row r="80" ht="19.5" customHeight="1">
      <c r="A80" s="48"/>
      <c r="B80" s="224"/>
      <c r="C80" s="222"/>
      <c r="D80" s="223"/>
      <c r="E80" s="143"/>
      <c r="F80" s="143"/>
      <c r="G80" s="143"/>
    </row>
    <row r="81" ht="19.5" customHeight="1">
      <c r="A81" s="48"/>
      <c r="B81" s="224"/>
      <c r="C81" s="222"/>
      <c r="D81" s="223"/>
      <c r="E81" s="143"/>
      <c r="F81" s="143"/>
      <c r="G81" s="143"/>
    </row>
    <row r="82" ht="19.5" customHeight="1">
      <c r="A82" s="48"/>
      <c r="B82" s="224"/>
      <c r="C82" s="222"/>
      <c r="D82" s="223"/>
      <c r="E82" s="143"/>
      <c r="F82" s="143"/>
      <c r="G82" s="143"/>
    </row>
    <row r="83" ht="19.5" customHeight="1">
      <c r="A83" s="48"/>
      <c r="B83" s="224"/>
      <c r="C83" s="222"/>
      <c r="D83" s="223"/>
      <c r="E83" s="143"/>
      <c r="F83" s="143"/>
      <c r="G83" s="143"/>
    </row>
    <row r="84" ht="19.5" customHeight="1">
      <c r="A84" s="48"/>
      <c r="B84" s="224"/>
      <c r="C84" s="222"/>
      <c r="D84" s="223"/>
      <c r="E84" s="143"/>
      <c r="F84" s="143"/>
      <c r="G84" s="143"/>
    </row>
    <row r="85" ht="19.5" customHeight="1">
      <c r="A85" s="48"/>
      <c r="B85" s="224"/>
      <c r="C85" s="222"/>
      <c r="D85" s="223"/>
      <c r="E85" s="143"/>
      <c r="F85" s="143"/>
      <c r="G85" s="143"/>
    </row>
    <row r="86" ht="19.5" customHeight="1">
      <c r="A86" s="48"/>
      <c r="B86" s="224"/>
      <c r="C86" s="222"/>
      <c r="D86" s="223"/>
      <c r="E86" s="143"/>
      <c r="F86" s="143"/>
      <c r="G86" s="143"/>
    </row>
    <row r="87" ht="19.5" customHeight="1">
      <c r="A87" s="48"/>
      <c r="B87" s="224"/>
      <c r="C87" s="222"/>
      <c r="D87" s="223"/>
      <c r="E87" s="143"/>
      <c r="F87" s="143"/>
      <c r="G87" s="143"/>
    </row>
    <row r="88" ht="19.5" customHeight="1">
      <c r="A88" s="48"/>
      <c r="B88" s="224"/>
      <c r="C88" s="222"/>
      <c r="D88" s="223"/>
      <c r="E88" s="143"/>
      <c r="F88" s="143"/>
      <c r="G88" s="143"/>
    </row>
    <row r="89" ht="19.5" customHeight="1">
      <c r="A89" s="48"/>
      <c r="B89" s="224"/>
      <c r="C89" s="222"/>
      <c r="D89" s="223"/>
      <c r="E89" s="143"/>
      <c r="F89" s="143"/>
      <c r="G89" s="143"/>
    </row>
    <row r="90" ht="19.5" customHeight="1">
      <c r="A90" s="48"/>
      <c r="B90" s="224"/>
      <c r="C90" s="222"/>
      <c r="D90" s="223"/>
      <c r="E90" s="143"/>
      <c r="F90" s="143"/>
      <c r="G90" s="143"/>
    </row>
    <row r="91" ht="19.5" customHeight="1">
      <c r="A91" s="48"/>
      <c r="B91" s="224"/>
      <c r="C91" s="222"/>
      <c r="D91" s="223"/>
      <c r="E91" s="143"/>
      <c r="F91" s="143"/>
      <c r="G91" s="143"/>
    </row>
    <row r="92" ht="19.5" customHeight="1">
      <c r="A92" s="48"/>
      <c r="B92" s="224"/>
      <c r="C92" s="222"/>
      <c r="D92" s="223"/>
      <c r="E92" s="143"/>
      <c r="F92" s="143"/>
      <c r="G92" s="143"/>
    </row>
    <row r="93" ht="19.5" customHeight="1">
      <c r="A93" s="48"/>
      <c r="B93" s="224"/>
      <c r="C93" s="222"/>
      <c r="D93" s="223"/>
      <c r="E93" s="143"/>
      <c r="F93" s="143"/>
      <c r="G93" s="143"/>
    </row>
    <row r="94" ht="19.5" customHeight="1">
      <c r="A94" s="48"/>
      <c r="B94" s="224"/>
      <c r="C94" s="222"/>
      <c r="D94" s="223"/>
      <c r="E94" s="143"/>
      <c r="F94" s="143"/>
      <c r="G94" s="143"/>
    </row>
    <row r="95" ht="19.5" customHeight="1">
      <c r="A95" s="48"/>
      <c r="B95" s="224"/>
      <c r="C95" s="222"/>
      <c r="D95" s="223"/>
      <c r="E95" s="143"/>
      <c r="F95" s="143"/>
      <c r="G95" s="143"/>
    </row>
    <row r="96" ht="19.5" customHeight="1">
      <c r="A96" s="48"/>
      <c r="B96" s="224"/>
      <c r="C96" s="222"/>
      <c r="D96" s="223"/>
      <c r="E96" s="143"/>
      <c r="F96" s="143"/>
      <c r="G96" s="143"/>
    </row>
    <row r="97" ht="19.5" customHeight="1">
      <c r="A97" s="48"/>
      <c r="B97" s="224"/>
      <c r="C97" s="222"/>
      <c r="D97" s="223"/>
      <c r="E97" s="143"/>
      <c r="F97" s="143"/>
      <c r="G97" s="143"/>
    </row>
    <row r="98" ht="19.5" customHeight="1">
      <c r="A98" s="48"/>
      <c r="B98" s="224"/>
      <c r="C98" s="222"/>
      <c r="D98" s="223"/>
      <c r="E98" s="143"/>
      <c r="F98" s="143"/>
      <c r="G98" s="143"/>
    </row>
    <row r="99" ht="19.5" customHeight="1">
      <c r="A99" s="48"/>
      <c r="B99" s="224"/>
      <c r="C99" s="222"/>
      <c r="D99" s="223"/>
      <c r="E99" s="143"/>
      <c r="F99" s="143"/>
      <c r="G99" s="143"/>
    </row>
    <row r="100" ht="19.5" customHeight="1">
      <c r="A100" s="48"/>
      <c r="B100" s="224"/>
      <c r="C100" s="222"/>
      <c r="D100" s="223"/>
      <c r="E100" s="143"/>
      <c r="F100" s="143"/>
      <c r="G100" s="143"/>
    </row>
    <row r="101" ht="19.5" customHeight="1">
      <c r="A101" s="48"/>
      <c r="B101" s="224"/>
      <c r="C101" s="222"/>
      <c r="D101" s="223"/>
      <c r="E101" s="143"/>
      <c r="F101" s="143"/>
      <c r="G101" s="143"/>
    </row>
    <row r="102" ht="19.5" customHeight="1">
      <c r="A102" s="48"/>
      <c r="B102" s="224"/>
      <c r="C102" s="222"/>
      <c r="D102" s="223"/>
      <c r="E102" s="143"/>
      <c r="F102" s="143"/>
      <c r="G102" s="143"/>
    </row>
    <row r="103" ht="19.5" customHeight="1">
      <c r="A103" s="48"/>
      <c r="B103" s="224"/>
      <c r="C103" s="222"/>
      <c r="D103" s="223"/>
      <c r="E103" s="143"/>
      <c r="F103" s="143"/>
      <c r="G103" s="143"/>
    </row>
    <row r="104" ht="19.5" customHeight="1">
      <c r="A104" s="48"/>
      <c r="B104" s="224"/>
      <c r="C104" s="222"/>
      <c r="D104" s="223"/>
      <c r="E104" s="143"/>
      <c r="F104" s="143"/>
      <c r="G104" s="143"/>
    </row>
    <row r="105" ht="19.5" customHeight="1">
      <c r="A105" s="48"/>
      <c r="B105" s="224"/>
      <c r="C105" s="222"/>
      <c r="D105" s="223"/>
      <c r="E105" s="143"/>
      <c r="F105" s="143"/>
      <c r="G105" s="143"/>
    </row>
    <row r="106" ht="19.5" customHeight="1">
      <c r="A106" s="48"/>
      <c r="B106" s="224"/>
      <c r="C106" s="222"/>
      <c r="D106" s="223"/>
      <c r="E106" s="143"/>
      <c r="F106" s="143"/>
      <c r="G106" s="143"/>
    </row>
    <row r="107" ht="19.5" customHeight="1">
      <c r="A107" s="48"/>
      <c r="B107" s="224"/>
      <c r="C107" s="222"/>
      <c r="D107" s="223"/>
      <c r="E107" s="143"/>
      <c r="F107" s="143"/>
      <c r="G107" s="143"/>
    </row>
    <row r="108" ht="19.5" customHeight="1">
      <c r="A108" s="48"/>
      <c r="B108" s="224"/>
      <c r="C108" s="222"/>
      <c r="D108" s="223"/>
      <c r="E108" s="143"/>
      <c r="F108" s="143"/>
      <c r="G108" s="143"/>
    </row>
    <row r="109" ht="19.5" customHeight="1">
      <c r="A109" s="48"/>
      <c r="B109" s="224"/>
      <c r="C109" s="222"/>
      <c r="D109" s="223"/>
      <c r="E109" s="143"/>
      <c r="F109" s="143"/>
      <c r="G109" s="143"/>
    </row>
    <row r="110" ht="19.5" customHeight="1">
      <c r="A110" s="48"/>
      <c r="B110" s="224"/>
      <c r="C110" s="222"/>
      <c r="D110" s="223"/>
      <c r="E110" s="143"/>
      <c r="F110" s="143"/>
      <c r="G110" s="143"/>
    </row>
    <row r="111" ht="19.5" customHeight="1">
      <c r="A111" s="48"/>
      <c r="B111" s="224"/>
      <c r="C111" s="222"/>
      <c r="D111" s="223"/>
      <c r="E111" s="143"/>
      <c r="F111" s="143"/>
      <c r="G111" s="143"/>
    </row>
    <row r="112" ht="19.5" customHeight="1">
      <c r="A112" s="48"/>
      <c r="B112" s="224"/>
      <c r="C112" s="222"/>
      <c r="D112" s="223"/>
      <c r="E112" s="143"/>
      <c r="F112" s="143"/>
      <c r="G112" s="143"/>
    </row>
    <row r="113" ht="19.5" customHeight="1">
      <c r="A113" s="48"/>
      <c r="B113" s="224"/>
      <c r="C113" s="222"/>
      <c r="D113" s="223"/>
      <c r="E113" s="143"/>
      <c r="F113" s="143"/>
      <c r="G113" s="143"/>
    </row>
    <row r="114" ht="19.5" customHeight="1">
      <c r="A114" s="48"/>
      <c r="B114" s="224"/>
      <c r="C114" s="222"/>
      <c r="D114" s="223"/>
      <c r="E114" s="143"/>
      <c r="F114" s="143"/>
      <c r="G114" s="143"/>
    </row>
    <row r="115" ht="19.5" customHeight="1">
      <c r="A115" s="48"/>
      <c r="B115" s="224"/>
      <c r="C115" s="222"/>
      <c r="D115" s="223"/>
      <c r="E115" s="143"/>
      <c r="F115" s="143"/>
      <c r="G115" s="143"/>
    </row>
    <row r="116" ht="19.5" customHeight="1">
      <c r="A116" s="48"/>
      <c r="B116" s="224"/>
      <c r="C116" s="222"/>
      <c r="D116" s="223"/>
      <c r="E116" s="143"/>
      <c r="F116" s="143"/>
      <c r="G116" s="143"/>
    </row>
    <row r="117" ht="19.5" customHeight="1">
      <c r="A117" s="48"/>
      <c r="B117" s="224"/>
      <c r="C117" s="222"/>
      <c r="D117" s="223"/>
      <c r="E117" s="143"/>
      <c r="F117" s="143"/>
      <c r="G117" s="143"/>
    </row>
    <row r="118" ht="19.5" customHeight="1">
      <c r="A118" s="48"/>
      <c r="B118" s="224"/>
      <c r="C118" s="222"/>
      <c r="D118" s="223"/>
      <c r="E118" s="143"/>
      <c r="F118" s="143"/>
      <c r="G118" s="143"/>
    </row>
    <row r="119" ht="19.5" customHeight="1">
      <c r="A119" s="48"/>
      <c r="B119" s="224"/>
      <c r="C119" s="222"/>
      <c r="D119" s="223"/>
      <c r="E119" s="143"/>
      <c r="F119" s="143"/>
      <c r="G119" s="143"/>
    </row>
    <row r="120" ht="19.5" customHeight="1">
      <c r="A120" s="48"/>
      <c r="B120" s="224"/>
      <c r="C120" s="222"/>
      <c r="D120" s="223"/>
      <c r="E120" s="143"/>
      <c r="F120" s="143"/>
      <c r="G120" s="143"/>
    </row>
    <row r="121" ht="19.5" customHeight="1">
      <c r="A121" s="48"/>
      <c r="B121" s="224"/>
      <c r="C121" s="222"/>
      <c r="D121" s="223"/>
      <c r="E121" s="143"/>
      <c r="F121" s="143"/>
      <c r="G121" s="143"/>
    </row>
    <row r="122" ht="19.5" customHeight="1">
      <c r="A122" s="48"/>
      <c r="B122" s="224"/>
      <c r="C122" s="222"/>
      <c r="D122" s="223"/>
      <c r="E122" s="143"/>
      <c r="F122" s="143"/>
      <c r="G122" s="143"/>
    </row>
    <row r="123" ht="19.5" customHeight="1">
      <c r="A123" s="48"/>
      <c r="B123" s="224"/>
      <c r="C123" s="222"/>
      <c r="D123" s="223"/>
      <c r="E123" s="143"/>
      <c r="F123" s="143"/>
      <c r="G123" s="143"/>
    </row>
    <row r="124" ht="19.5" customHeight="1">
      <c r="A124" s="48"/>
      <c r="B124" s="224"/>
      <c r="C124" s="222"/>
      <c r="D124" s="223"/>
      <c r="E124" s="143"/>
      <c r="F124" s="143"/>
      <c r="G124" s="143"/>
    </row>
    <row r="125" ht="19.5" customHeight="1">
      <c r="A125" s="48"/>
      <c r="B125" s="224"/>
      <c r="C125" s="222"/>
      <c r="D125" s="223"/>
      <c r="E125" s="143"/>
      <c r="F125" s="143"/>
      <c r="G125" s="143"/>
    </row>
    <row r="126" ht="19.5" customHeight="1">
      <c r="A126" s="48"/>
      <c r="B126" s="224"/>
      <c r="C126" s="222"/>
      <c r="D126" s="223"/>
      <c r="E126" s="143"/>
      <c r="F126" s="143"/>
      <c r="G126" s="143"/>
    </row>
    <row r="127" ht="19.5" customHeight="1">
      <c r="A127" s="48"/>
      <c r="B127" s="224"/>
      <c r="C127" s="222"/>
      <c r="D127" s="223"/>
      <c r="E127" s="143"/>
      <c r="F127" s="143"/>
      <c r="G127" s="143"/>
    </row>
    <row r="128" ht="19.5" customHeight="1">
      <c r="A128" s="48"/>
      <c r="B128" s="224"/>
      <c r="C128" s="222"/>
      <c r="D128" s="223"/>
      <c r="E128" s="143"/>
      <c r="F128" s="143"/>
      <c r="G128" s="143"/>
    </row>
    <row r="129" ht="19.5" customHeight="1">
      <c r="A129" s="48"/>
      <c r="B129" s="224"/>
      <c r="C129" s="222"/>
      <c r="D129" s="223"/>
      <c r="E129" s="143"/>
      <c r="F129" s="143"/>
      <c r="G129" s="143"/>
    </row>
    <row r="130" ht="19.5" customHeight="1">
      <c r="A130" s="48"/>
      <c r="B130" s="224"/>
      <c r="C130" s="222"/>
      <c r="D130" s="223"/>
      <c r="E130" s="143"/>
      <c r="F130" s="143"/>
      <c r="G130" s="143"/>
    </row>
    <row r="131" ht="19.5" customHeight="1">
      <c r="A131" s="48"/>
      <c r="B131" s="224"/>
      <c r="C131" s="222"/>
      <c r="D131" s="223"/>
      <c r="E131" s="143"/>
      <c r="F131" s="143"/>
      <c r="G131" s="143"/>
    </row>
    <row r="132" ht="19.5" customHeight="1">
      <c r="A132" s="48"/>
      <c r="B132" s="224"/>
      <c r="C132" s="222"/>
      <c r="D132" s="223"/>
      <c r="E132" s="143"/>
      <c r="F132" s="143"/>
      <c r="G132" s="143"/>
    </row>
    <row r="133" ht="19.5" customHeight="1">
      <c r="A133" s="48"/>
      <c r="B133" s="224"/>
      <c r="C133" s="222"/>
      <c r="D133" s="223"/>
      <c r="E133" s="143"/>
      <c r="F133" s="143"/>
      <c r="G133" s="143"/>
    </row>
    <row r="134" ht="19.5" customHeight="1">
      <c r="A134" s="48"/>
      <c r="B134" s="224"/>
      <c r="C134" s="222"/>
      <c r="D134" s="223"/>
      <c r="E134" s="143"/>
      <c r="F134" s="143"/>
      <c r="G134" s="143"/>
    </row>
    <row r="135" ht="19.5" customHeight="1">
      <c r="A135" s="48"/>
      <c r="B135" s="224"/>
      <c r="C135" s="222"/>
      <c r="D135" s="223"/>
      <c r="E135" s="143"/>
      <c r="F135" s="143"/>
      <c r="G135" s="143"/>
    </row>
    <row r="136" ht="19.5" customHeight="1">
      <c r="A136" s="48"/>
      <c r="B136" s="224"/>
      <c r="C136" s="222"/>
      <c r="D136" s="223"/>
      <c r="E136" s="143"/>
      <c r="F136" s="143"/>
      <c r="G136" s="143"/>
    </row>
    <row r="137" ht="19.5" customHeight="1">
      <c r="A137" s="48"/>
      <c r="B137" s="224"/>
      <c r="C137" s="222"/>
      <c r="D137" s="223"/>
      <c r="E137" s="143"/>
      <c r="F137" s="143"/>
      <c r="G137" s="143"/>
    </row>
    <row r="138" ht="19.5" customHeight="1">
      <c r="A138" s="48"/>
      <c r="B138" s="224"/>
      <c r="C138" s="222"/>
      <c r="D138" s="223"/>
      <c r="E138" s="143"/>
      <c r="F138" s="143"/>
      <c r="G138" s="143"/>
    </row>
    <row r="139" ht="19.5" customHeight="1">
      <c r="A139" s="48"/>
      <c r="B139" s="224"/>
      <c r="C139" s="222"/>
      <c r="D139" s="223"/>
      <c r="E139" s="143"/>
      <c r="F139" s="143"/>
      <c r="G139" s="143"/>
    </row>
    <row r="140" ht="19.5" customHeight="1">
      <c r="A140" s="48"/>
      <c r="B140" s="224"/>
      <c r="C140" s="222"/>
      <c r="D140" s="223"/>
      <c r="E140" s="143"/>
      <c r="F140" s="143"/>
      <c r="G140" s="143"/>
    </row>
    <row r="141" ht="19.5" customHeight="1">
      <c r="A141" s="48"/>
      <c r="B141" s="224"/>
      <c r="C141" s="222"/>
      <c r="D141" s="223"/>
      <c r="E141" s="143"/>
      <c r="F141" s="143"/>
      <c r="G141" s="143"/>
    </row>
    <row r="142" ht="19.5" customHeight="1">
      <c r="A142" s="48"/>
      <c r="B142" s="224"/>
      <c r="C142" s="222"/>
      <c r="D142" s="223"/>
      <c r="E142" s="143"/>
      <c r="F142" s="143"/>
      <c r="G142" s="143"/>
    </row>
    <row r="143" ht="19.5" customHeight="1">
      <c r="A143" s="48"/>
      <c r="B143" s="224"/>
      <c r="C143" s="222"/>
      <c r="D143" s="223"/>
      <c r="E143" s="143"/>
      <c r="F143" s="143"/>
      <c r="G143" s="143"/>
    </row>
    <row r="144" ht="19.5" customHeight="1">
      <c r="A144" s="48"/>
      <c r="B144" s="224"/>
      <c r="C144" s="222"/>
      <c r="D144" s="223"/>
      <c r="E144" s="143"/>
      <c r="F144" s="143"/>
      <c r="G144" s="143"/>
    </row>
    <row r="145" ht="19.5" customHeight="1">
      <c r="A145" s="48"/>
      <c r="B145" s="224"/>
      <c r="C145" s="222"/>
      <c r="D145" s="223"/>
      <c r="E145" s="143"/>
      <c r="F145" s="143"/>
      <c r="G145" s="143"/>
    </row>
    <row r="146" ht="19.5" customHeight="1">
      <c r="A146" s="48"/>
      <c r="B146" s="224"/>
      <c r="C146" s="222"/>
      <c r="D146" s="223"/>
      <c r="E146" s="143"/>
      <c r="F146" s="143"/>
      <c r="G146" s="143"/>
    </row>
    <row r="147" ht="19.5" customHeight="1">
      <c r="A147" s="48"/>
      <c r="B147" s="224"/>
      <c r="C147" s="222"/>
      <c r="D147" s="223"/>
      <c r="E147" s="143"/>
      <c r="F147" s="143"/>
      <c r="G147" s="143"/>
    </row>
    <row r="148" ht="19.5" customHeight="1">
      <c r="A148" s="48"/>
      <c r="B148" s="224"/>
      <c r="C148" s="222"/>
      <c r="D148" s="223"/>
      <c r="E148" s="143"/>
      <c r="F148" s="143"/>
      <c r="G148" s="143"/>
    </row>
    <row r="149" ht="19.5" customHeight="1">
      <c r="A149" s="48"/>
      <c r="B149" s="224"/>
      <c r="C149" s="222"/>
      <c r="D149" s="223"/>
      <c r="E149" s="143"/>
      <c r="F149" s="143"/>
      <c r="G149" s="143"/>
    </row>
    <row r="150" ht="19.5" customHeight="1">
      <c r="A150" s="48"/>
      <c r="B150" s="224"/>
      <c r="C150" s="222"/>
      <c r="D150" s="223"/>
      <c r="E150" s="143"/>
      <c r="F150" s="143"/>
      <c r="G150" s="143"/>
    </row>
    <row r="151" ht="19.5" customHeight="1">
      <c r="A151" s="48"/>
      <c r="B151" s="224"/>
      <c r="C151" s="222"/>
      <c r="D151" s="223"/>
      <c r="E151" s="143"/>
      <c r="F151" s="143"/>
      <c r="G151" s="143"/>
    </row>
    <row r="152" ht="19.5" customHeight="1">
      <c r="A152" s="48"/>
      <c r="B152" s="224"/>
      <c r="C152" s="222"/>
      <c r="D152" s="223"/>
      <c r="E152" s="143"/>
      <c r="F152" s="143"/>
      <c r="G152" s="143"/>
    </row>
    <row r="153" ht="19.5" customHeight="1">
      <c r="A153" s="48"/>
      <c r="B153" s="224"/>
      <c r="C153" s="222"/>
      <c r="D153" s="223"/>
      <c r="E153" s="143"/>
      <c r="F153" s="143"/>
      <c r="G153" s="143"/>
    </row>
    <row r="154" ht="19.5" customHeight="1">
      <c r="A154" s="48"/>
      <c r="B154" s="224"/>
      <c r="C154" s="222"/>
      <c r="D154" s="223"/>
      <c r="E154" s="143"/>
      <c r="F154" s="143"/>
      <c r="G154" s="143"/>
    </row>
    <row r="155" ht="19.5" customHeight="1">
      <c r="A155" s="48"/>
      <c r="B155" s="224"/>
      <c r="C155" s="222"/>
      <c r="D155" s="223"/>
      <c r="E155" s="143"/>
      <c r="F155" s="143"/>
      <c r="G155" s="143"/>
    </row>
    <row r="156" ht="19.5" customHeight="1">
      <c r="A156" s="48"/>
      <c r="B156" s="224"/>
      <c r="C156" s="222"/>
      <c r="D156" s="223"/>
      <c r="E156" s="143"/>
      <c r="F156" s="143"/>
      <c r="G156" s="143"/>
    </row>
    <row r="157" ht="19.5" customHeight="1">
      <c r="A157" s="48"/>
      <c r="B157" s="224"/>
      <c r="C157" s="222"/>
      <c r="D157" s="223"/>
      <c r="E157" s="143"/>
      <c r="F157" s="143"/>
      <c r="G157" s="143"/>
    </row>
    <row r="158" ht="19.5" customHeight="1">
      <c r="A158" s="48"/>
      <c r="B158" s="224"/>
      <c r="C158" s="222"/>
      <c r="D158" s="223"/>
      <c r="E158" s="143"/>
      <c r="F158" s="143"/>
      <c r="G158" s="143"/>
    </row>
    <row r="159" ht="19.5" customHeight="1">
      <c r="A159" s="48"/>
      <c r="B159" s="224"/>
      <c r="C159" s="222"/>
      <c r="D159" s="223"/>
      <c r="E159" s="143"/>
      <c r="F159" s="143"/>
      <c r="G159" s="143"/>
    </row>
    <row r="160" ht="19.5" customHeight="1">
      <c r="A160" s="48"/>
      <c r="B160" s="224"/>
      <c r="C160" s="222"/>
      <c r="D160" s="223"/>
      <c r="E160" s="143"/>
      <c r="F160" s="143"/>
      <c r="G160" s="143"/>
    </row>
    <row r="161" ht="19.5" customHeight="1">
      <c r="A161" s="48"/>
      <c r="B161" s="224"/>
      <c r="C161" s="222"/>
      <c r="D161" s="223"/>
      <c r="E161" s="143"/>
      <c r="F161" s="143"/>
      <c r="G161" s="143"/>
    </row>
    <row r="162" ht="19.5" customHeight="1">
      <c r="A162" s="48"/>
      <c r="B162" s="224"/>
      <c r="C162" s="222"/>
      <c r="D162" s="223"/>
      <c r="E162" s="143"/>
      <c r="F162" s="143"/>
      <c r="G162" s="143"/>
    </row>
    <row r="163" ht="19.5" customHeight="1">
      <c r="A163" s="48"/>
      <c r="B163" s="224"/>
      <c r="C163" s="222"/>
      <c r="D163" s="223"/>
      <c r="E163" s="143"/>
      <c r="F163" s="143"/>
      <c r="G163" s="143"/>
    </row>
    <row r="164" ht="19.5" customHeight="1">
      <c r="A164" s="48"/>
      <c r="B164" s="224"/>
      <c r="C164" s="222"/>
      <c r="D164" s="223"/>
      <c r="E164" s="143"/>
      <c r="F164" s="143"/>
      <c r="G164" s="143"/>
    </row>
    <row r="165" ht="19.5" customHeight="1">
      <c r="A165" s="48"/>
      <c r="B165" s="224"/>
      <c r="C165" s="222"/>
      <c r="D165" s="223"/>
      <c r="E165" s="143"/>
      <c r="F165" s="143"/>
      <c r="G165" s="143"/>
    </row>
    <row r="166" ht="19.5" customHeight="1">
      <c r="A166" s="48"/>
      <c r="B166" s="224"/>
      <c r="C166" s="222"/>
      <c r="D166" s="223"/>
      <c r="E166" s="143"/>
      <c r="F166" s="143"/>
      <c r="G166" s="143"/>
    </row>
    <row r="167" ht="19.5" customHeight="1">
      <c r="A167" s="48"/>
      <c r="B167" s="224"/>
      <c r="C167" s="222"/>
      <c r="D167" s="223"/>
      <c r="E167" s="143"/>
      <c r="F167" s="143"/>
      <c r="G167" s="143"/>
    </row>
    <row r="168" ht="19.5" customHeight="1">
      <c r="A168" s="48"/>
      <c r="B168" s="224"/>
      <c r="C168" s="222"/>
      <c r="D168" s="223"/>
      <c r="E168" s="143"/>
      <c r="F168" s="143"/>
      <c r="G168" s="143"/>
    </row>
    <row r="169" ht="19.5" customHeight="1">
      <c r="A169" s="48"/>
      <c r="B169" s="224"/>
      <c r="C169" s="222"/>
      <c r="D169" s="223"/>
      <c r="E169" s="143"/>
      <c r="F169" s="143"/>
      <c r="G169" s="143"/>
    </row>
    <row r="170" ht="19.5" customHeight="1">
      <c r="A170" s="48"/>
      <c r="B170" s="224"/>
      <c r="C170" s="222"/>
      <c r="D170" s="223"/>
      <c r="E170" s="143"/>
      <c r="F170" s="143"/>
      <c r="G170" s="143"/>
    </row>
    <row r="171" ht="19.5" customHeight="1">
      <c r="A171" s="48"/>
      <c r="B171" s="224"/>
      <c r="C171" s="222"/>
      <c r="D171" s="223"/>
      <c r="E171" s="143"/>
      <c r="F171" s="143"/>
      <c r="G171" s="143"/>
    </row>
    <row r="172" ht="19.5" customHeight="1">
      <c r="A172" s="48"/>
      <c r="B172" s="224"/>
      <c r="C172" s="222"/>
      <c r="D172" s="223"/>
      <c r="E172" s="143"/>
      <c r="F172" s="143"/>
      <c r="G172" s="143"/>
    </row>
    <row r="173" ht="19.5" customHeight="1">
      <c r="A173" s="48"/>
      <c r="B173" s="224"/>
      <c r="C173" s="222"/>
      <c r="D173" s="223"/>
      <c r="E173" s="143"/>
      <c r="F173" s="143"/>
      <c r="G173" s="143"/>
    </row>
    <row r="174" ht="19.5" customHeight="1">
      <c r="A174" s="48"/>
      <c r="B174" s="224"/>
      <c r="C174" s="222"/>
      <c r="D174" s="223"/>
      <c r="E174" s="143"/>
      <c r="F174" s="143"/>
      <c r="G174" s="143"/>
    </row>
    <row r="175" ht="19.5" customHeight="1">
      <c r="A175" s="48"/>
      <c r="B175" s="224"/>
      <c r="C175" s="222"/>
      <c r="D175" s="223"/>
      <c r="E175" s="143"/>
      <c r="F175" s="143"/>
      <c r="G175" s="143"/>
    </row>
    <row r="176" ht="19.5" customHeight="1">
      <c r="A176" s="48"/>
      <c r="B176" s="224"/>
      <c r="C176" s="222"/>
      <c r="D176" s="223"/>
      <c r="E176" s="143"/>
      <c r="F176" s="143"/>
      <c r="G176" s="143"/>
    </row>
    <row r="177" ht="19.5" customHeight="1">
      <c r="A177" s="48"/>
      <c r="B177" s="224"/>
      <c r="C177" s="222"/>
      <c r="D177" s="223"/>
      <c r="E177" s="143"/>
      <c r="F177" s="143"/>
      <c r="G177" s="143"/>
    </row>
    <row r="178" ht="19.5" customHeight="1">
      <c r="A178" s="48"/>
      <c r="B178" s="224"/>
      <c r="C178" s="222"/>
      <c r="D178" s="223"/>
      <c r="E178" s="143"/>
      <c r="F178" s="143"/>
      <c r="G178" s="143"/>
    </row>
    <row r="179" ht="19.5" customHeight="1">
      <c r="A179" s="48"/>
      <c r="B179" s="224"/>
      <c r="C179" s="222"/>
      <c r="D179" s="223"/>
      <c r="E179" s="143"/>
      <c r="F179" s="143"/>
      <c r="G179" s="143"/>
    </row>
    <row r="180" ht="19.5" customHeight="1">
      <c r="A180" s="48"/>
      <c r="B180" s="224"/>
      <c r="C180" s="222"/>
      <c r="D180" s="223"/>
      <c r="E180" s="143"/>
      <c r="F180" s="143"/>
      <c r="G180" s="143"/>
    </row>
    <row r="181" ht="19.5" customHeight="1">
      <c r="A181" s="48"/>
      <c r="B181" s="224"/>
      <c r="C181" s="222"/>
      <c r="D181" s="223"/>
      <c r="E181" s="143"/>
      <c r="F181" s="143"/>
      <c r="G181" s="143"/>
    </row>
    <row r="182" ht="19.5" customHeight="1">
      <c r="A182" s="48"/>
      <c r="B182" s="224"/>
      <c r="C182" s="222"/>
      <c r="D182" s="223"/>
      <c r="E182" s="143"/>
      <c r="F182" s="143"/>
      <c r="G182" s="143"/>
    </row>
    <row r="183" ht="19.5" customHeight="1">
      <c r="A183" s="48"/>
      <c r="B183" s="224"/>
      <c r="C183" s="222"/>
      <c r="D183" s="223"/>
      <c r="E183" s="143"/>
      <c r="F183" s="143"/>
      <c r="G183" s="143"/>
    </row>
    <row r="184" ht="19.5" customHeight="1">
      <c r="A184" s="48"/>
      <c r="B184" s="224"/>
      <c r="C184" s="222"/>
      <c r="D184" s="223"/>
      <c r="E184" s="143"/>
      <c r="F184" s="143"/>
      <c r="G184" s="143"/>
    </row>
    <row r="185" ht="19.5" customHeight="1">
      <c r="A185" s="48"/>
      <c r="B185" s="224"/>
      <c r="C185" s="222"/>
      <c r="D185" s="223"/>
      <c r="E185" s="143"/>
      <c r="F185" s="143"/>
      <c r="G185" s="143"/>
    </row>
    <row r="186" ht="19.5" customHeight="1">
      <c r="A186" s="48"/>
      <c r="B186" s="224"/>
      <c r="C186" s="222"/>
      <c r="D186" s="223"/>
      <c r="E186" s="143"/>
      <c r="F186" s="143"/>
      <c r="G186" s="143"/>
    </row>
    <row r="187" ht="19.5" customHeight="1">
      <c r="A187" s="48"/>
      <c r="B187" s="224"/>
      <c r="C187" s="222"/>
      <c r="D187" s="223"/>
      <c r="E187" s="143"/>
      <c r="F187" s="143"/>
      <c r="G187" s="143"/>
    </row>
    <row r="188" ht="19.5" customHeight="1">
      <c r="A188" s="48"/>
      <c r="B188" s="224"/>
      <c r="C188" s="222"/>
      <c r="D188" s="223"/>
      <c r="E188" s="143"/>
      <c r="F188" s="143"/>
      <c r="G188" s="143"/>
    </row>
    <row r="189" ht="19.5" customHeight="1">
      <c r="A189" s="48"/>
      <c r="B189" s="224"/>
      <c r="C189" s="222"/>
      <c r="D189" s="223"/>
      <c r="E189" s="143"/>
      <c r="F189" s="143"/>
      <c r="G189" s="143"/>
    </row>
    <row r="190" ht="19.5" customHeight="1">
      <c r="A190" s="48"/>
      <c r="B190" s="224"/>
      <c r="C190" s="222"/>
      <c r="D190" s="223"/>
      <c r="E190" s="143"/>
      <c r="F190" s="143"/>
      <c r="G190" s="143"/>
    </row>
    <row r="191" ht="19.5" customHeight="1">
      <c r="A191" s="48"/>
      <c r="B191" s="224"/>
      <c r="C191" s="222"/>
      <c r="D191" s="223"/>
      <c r="E191" s="143"/>
      <c r="F191" s="143"/>
      <c r="G191" s="143"/>
    </row>
    <row r="192" ht="19.5" customHeight="1">
      <c r="A192" s="48"/>
      <c r="B192" s="224"/>
      <c r="C192" s="222"/>
      <c r="D192" s="223"/>
      <c r="E192" s="143"/>
      <c r="F192" s="143"/>
      <c r="G192" s="143"/>
    </row>
    <row r="193" ht="19.5" customHeight="1">
      <c r="A193" s="48"/>
      <c r="B193" s="224"/>
      <c r="C193" s="222"/>
      <c r="D193" s="223"/>
      <c r="E193" s="143"/>
      <c r="F193" s="143"/>
      <c r="G193" s="143"/>
    </row>
    <row r="194" ht="19.5" customHeight="1">
      <c r="A194" s="48"/>
      <c r="B194" s="224"/>
      <c r="C194" s="222"/>
      <c r="D194" s="223"/>
      <c r="E194" s="143"/>
      <c r="F194" s="143"/>
      <c r="G194" s="143"/>
    </row>
    <row r="195" ht="19.5" customHeight="1">
      <c r="A195" s="48"/>
      <c r="B195" s="224"/>
      <c r="C195" s="222"/>
      <c r="D195" s="223"/>
      <c r="E195" s="143"/>
      <c r="F195" s="143"/>
      <c r="G195" s="143"/>
    </row>
    <row r="196" ht="19.5" customHeight="1">
      <c r="A196" s="48"/>
      <c r="B196" s="224"/>
      <c r="C196" s="222"/>
      <c r="D196" s="223"/>
      <c r="E196" s="143"/>
      <c r="F196" s="143"/>
      <c r="G196" s="143"/>
    </row>
    <row r="197" ht="19.5" customHeight="1">
      <c r="A197" s="48"/>
      <c r="B197" s="224"/>
      <c r="C197" s="222"/>
      <c r="D197" s="223"/>
      <c r="E197" s="143"/>
      <c r="F197" s="143"/>
      <c r="G197" s="143"/>
    </row>
    <row r="198" ht="19.5" customHeight="1">
      <c r="A198" s="48"/>
      <c r="B198" s="224"/>
      <c r="C198" s="222"/>
      <c r="D198" s="223"/>
      <c r="E198" s="143"/>
      <c r="F198" s="143"/>
      <c r="G198" s="143"/>
    </row>
    <row r="199" ht="19.5" customHeight="1">
      <c r="A199" s="48"/>
      <c r="B199" s="224"/>
      <c r="C199" s="222"/>
      <c r="D199" s="223"/>
      <c r="E199" s="143"/>
      <c r="F199" s="143"/>
      <c r="G199" s="143"/>
    </row>
    <row r="200" ht="19.5" customHeight="1">
      <c r="A200" s="48"/>
      <c r="B200" s="224"/>
      <c r="C200" s="222"/>
      <c r="D200" s="223"/>
      <c r="E200" s="143"/>
      <c r="F200" s="143"/>
      <c r="G200" s="143"/>
    </row>
    <row r="201" ht="19.5" customHeight="1">
      <c r="A201" s="48"/>
      <c r="B201" s="224"/>
      <c r="C201" s="222"/>
      <c r="D201" s="223"/>
      <c r="E201" s="143"/>
      <c r="F201" s="143"/>
      <c r="G201" s="143"/>
    </row>
    <row r="202" ht="19.5" customHeight="1">
      <c r="A202" s="48"/>
      <c r="B202" s="224"/>
      <c r="C202" s="222"/>
      <c r="D202" s="223"/>
      <c r="E202" s="143"/>
      <c r="F202" s="143"/>
      <c r="G202" s="143"/>
    </row>
    <row r="203" ht="19.5" customHeight="1">
      <c r="A203" s="48"/>
      <c r="B203" s="224"/>
      <c r="C203" s="222"/>
      <c r="D203" s="223"/>
      <c r="E203" s="143"/>
      <c r="F203" s="143"/>
      <c r="G203" s="143"/>
    </row>
    <row r="204" ht="19.5" customHeight="1">
      <c r="A204" s="48"/>
      <c r="B204" s="224"/>
      <c r="C204" s="222"/>
      <c r="D204" s="223"/>
      <c r="E204" s="143"/>
      <c r="F204" s="143"/>
      <c r="G204" s="143"/>
    </row>
    <row r="205" ht="19.5" customHeight="1">
      <c r="A205" s="48"/>
      <c r="B205" s="224"/>
      <c r="C205" s="222"/>
      <c r="D205" s="223"/>
      <c r="E205" s="143"/>
      <c r="F205" s="143"/>
      <c r="G205" s="143"/>
    </row>
    <row r="206" ht="19.5" customHeight="1">
      <c r="A206" s="48"/>
      <c r="B206" s="224"/>
      <c r="C206" s="222"/>
      <c r="D206" s="223"/>
      <c r="E206" s="143"/>
      <c r="F206" s="143"/>
      <c r="G206" s="143"/>
    </row>
    <row r="207" ht="19.5" customHeight="1">
      <c r="A207" s="48"/>
      <c r="B207" s="224"/>
      <c r="C207" s="222"/>
      <c r="D207" s="223"/>
      <c r="E207" s="143"/>
      <c r="F207" s="143"/>
      <c r="G207" s="143"/>
    </row>
    <row r="208" ht="19.5" customHeight="1">
      <c r="A208" s="48"/>
      <c r="B208" s="224"/>
      <c r="C208" s="222"/>
      <c r="D208" s="223"/>
      <c r="E208" s="143"/>
      <c r="F208" s="143"/>
      <c r="G208" s="143"/>
    </row>
    <row r="209" ht="19.5" customHeight="1">
      <c r="A209" s="48"/>
      <c r="B209" s="224"/>
      <c r="C209" s="222"/>
      <c r="D209" s="223"/>
      <c r="E209" s="143"/>
      <c r="F209" s="143"/>
      <c r="G209" s="143"/>
    </row>
    <row r="210" ht="19.5" customHeight="1">
      <c r="A210" s="48"/>
      <c r="B210" s="224"/>
      <c r="C210" s="222"/>
      <c r="D210" s="223"/>
      <c r="E210" s="143"/>
      <c r="F210" s="143"/>
      <c r="G210" s="143"/>
    </row>
    <row r="211" ht="19.5" customHeight="1">
      <c r="A211" s="48"/>
      <c r="B211" s="224"/>
      <c r="C211" s="222"/>
      <c r="D211" s="223"/>
      <c r="E211" s="143"/>
      <c r="F211" s="143"/>
      <c r="G211" s="143"/>
    </row>
    <row r="212" ht="19.5" customHeight="1">
      <c r="A212" s="48"/>
      <c r="B212" s="224"/>
      <c r="C212" s="222"/>
      <c r="D212" s="223"/>
      <c r="E212" s="143"/>
      <c r="F212" s="143"/>
      <c r="G212" s="143"/>
    </row>
    <row r="213" ht="19.5" customHeight="1">
      <c r="A213" s="48"/>
      <c r="B213" s="224"/>
      <c r="C213" s="222"/>
      <c r="D213" s="223"/>
      <c r="E213" s="143"/>
      <c r="F213" s="143"/>
      <c r="G213" s="143"/>
    </row>
    <row r="214" ht="19.5" customHeight="1">
      <c r="A214" s="48"/>
      <c r="B214" s="224"/>
      <c r="C214" s="222"/>
      <c r="D214" s="223"/>
      <c r="E214" s="143"/>
      <c r="F214" s="143"/>
      <c r="G214" s="143"/>
    </row>
    <row r="215" ht="19.5" customHeight="1">
      <c r="A215" s="48"/>
      <c r="B215" s="224"/>
      <c r="C215" s="222"/>
      <c r="D215" s="223"/>
      <c r="E215" s="143"/>
      <c r="F215" s="143"/>
      <c r="G215" s="143"/>
    </row>
    <row r="216" ht="19.5" customHeight="1">
      <c r="A216" s="48"/>
      <c r="B216" s="224"/>
      <c r="C216" s="222"/>
      <c r="D216" s="223"/>
      <c r="E216" s="143"/>
      <c r="F216" s="143"/>
      <c r="G216" s="143"/>
    </row>
    <row r="217" ht="19.5" customHeight="1">
      <c r="A217" s="48"/>
      <c r="B217" s="224"/>
      <c r="C217" s="222"/>
      <c r="D217" s="223"/>
      <c r="E217" s="143"/>
      <c r="F217" s="143"/>
      <c r="G217" s="143"/>
    </row>
    <row r="218" ht="19.5" customHeight="1">
      <c r="A218" s="48"/>
      <c r="B218" s="224"/>
      <c r="C218" s="222"/>
      <c r="D218" s="223"/>
      <c r="E218" s="143"/>
      <c r="F218" s="143"/>
      <c r="G218" s="143"/>
    </row>
    <row r="219" ht="19.5" customHeight="1">
      <c r="A219" s="48"/>
      <c r="B219" s="224"/>
      <c r="C219" s="222"/>
      <c r="D219" s="223"/>
      <c r="E219" s="143"/>
      <c r="F219" s="143"/>
      <c r="G219" s="143"/>
    </row>
    <row r="220" ht="19.5" customHeight="1">
      <c r="A220" s="48"/>
      <c r="B220" s="224"/>
      <c r="C220" s="222"/>
      <c r="D220" s="223"/>
      <c r="E220" s="143"/>
      <c r="F220" s="143"/>
      <c r="G220" s="143"/>
    </row>
    <row r="221" ht="15.75" customHeight="1">
      <c r="A221" s="247"/>
      <c r="B221" s="224"/>
      <c r="C221" s="222"/>
      <c r="D221" s="223"/>
      <c r="E221" s="143"/>
      <c r="F221" s="143"/>
      <c r="G221" s="143"/>
    </row>
    <row r="222" ht="15.75" customHeight="1">
      <c r="A222" s="247"/>
      <c r="B222" s="224"/>
      <c r="C222" s="222"/>
      <c r="D222" s="223"/>
      <c r="E222" s="143"/>
      <c r="F222" s="143"/>
      <c r="G222" s="143"/>
    </row>
    <row r="223" ht="15.75" customHeight="1">
      <c r="A223" s="247"/>
      <c r="B223" s="224"/>
      <c r="C223" s="222"/>
      <c r="D223" s="223"/>
      <c r="E223" s="143"/>
      <c r="F223" s="143"/>
      <c r="G223" s="143"/>
    </row>
    <row r="224" ht="15.75" customHeight="1">
      <c r="A224" s="247"/>
      <c r="B224" s="224"/>
      <c r="C224" s="222"/>
      <c r="D224" s="223"/>
      <c r="E224" s="143"/>
      <c r="F224" s="143"/>
      <c r="G224" s="143"/>
    </row>
    <row r="225" ht="15.75" customHeight="1">
      <c r="A225" s="247"/>
      <c r="B225" s="224"/>
      <c r="C225" s="222"/>
      <c r="D225" s="223"/>
      <c r="E225" s="143"/>
      <c r="F225" s="143"/>
      <c r="G225" s="143"/>
    </row>
    <row r="226" ht="15.75" customHeight="1">
      <c r="A226" s="247"/>
      <c r="B226" s="224"/>
      <c r="C226" s="222"/>
      <c r="D226" s="223"/>
      <c r="E226" s="143"/>
      <c r="F226" s="143"/>
      <c r="G226" s="143"/>
    </row>
    <row r="227" ht="15.75" customHeight="1">
      <c r="A227" s="247"/>
      <c r="B227" s="224"/>
      <c r="C227" s="222"/>
      <c r="D227" s="223"/>
      <c r="E227" s="143"/>
      <c r="F227" s="143"/>
      <c r="G227" s="143"/>
    </row>
    <row r="228" ht="15.75" customHeight="1">
      <c r="A228" s="247"/>
      <c r="B228" s="224"/>
      <c r="C228" s="222"/>
      <c r="D228" s="223"/>
      <c r="E228" s="143"/>
      <c r="F228" s="143"/>
      <c r="G228" s="143"/>
    </row>
    <row r="229" ht="15.75" customHeight="1">
      <c r="A229" s="247"/>
      <c r="B229" s="224"/>
      <c r="C229" s="222"/>
      <c r="D229" s="223"/>
      <c r="E229" s="143"/>
      <c r="F229" s="143"/>
      <c r="G229" s="143"/>
    </row>
    <row r="230" ht="15.75" customHeight="1">
      <c r="A230" s="247"/>
      <c r="B230" s="224"/>
      <c r="C230" s="222"/>
      <c r="D230" s="223"/>
      <c r="E230" s="143"/>
      <c r="F230" s="143"/>
      <c r="G230" s="143"/>
    </row>
    <row r="231" ht="15.75" customHeight="1">
      <c r="A231" s="247"/>
      <c r="B231" s="224"/>
      <c r="C231" s="222"/>
      <c r="D231" s="223"/>
      <c r="E231" s="143"/>
      <c r="F231" s="143"/>
      <c r="G231" s="143"/>
    </row>
    <row r="232" ht="15.75" customHeight="1">
      <c r="A232" s="247"/>
      <c r="B232" s="224"/>
      <c r="C232" s="222"/>
      <c r="D232" s="223"/>
      <c r="E232" s="143"/>
      <c r="F232" s="143"/>
      <c r="G232" s="143"/>
    </row>
    <row r="233" ht="15.75" customHeight="1">
      <c r="A233" s="247"/>
      <c r="B233" s="224"/>
      <c r="C233" s="222"/>
      <c r="D233" s="223"/>
      <c r="E233" s="143"/>
      <c r="F233" s="143"/>
      <c r="G233" s="143"/>
    </row>
    <row r="234" ht="15.75" customHeight="1">
      <c r="A234" s="247"/>
      <c r="B234" s="224"/>
      <c r="C234" s="222"/>
      <c r="D234" s="223"/>
      <c r="E234" s="143"/>
      <c r="F234" s="143"/>
      <c r="G234" s="143"/>
    </row>
    <row r="235" ht="15.75" customHeight="1">
      <c r="A235" s="247"/>
      <c r="B235" s="224"/>
      <c r="C235" s="222"/>
      <c r="D235" s="223"/>
      <c r="E235" s="143"/>
      <c r="F235" s="143"/>
      <c r="G235" s="143"/>
    </row>
    <row r="236" ht="15.75" customHeight="1">
      <c r="A236" s="247"/>
      <c r="B236" s="224"/>
      <c r="C236" s="222"/>
      <c r="D236" s="223"/>
      <c r="E236" s="143"/>
      <c r="F236" s="143"/>
      <c r="G236" s="143"/>
    </row>
    <row r="237" ht="15.75" customHeight="1">
      <c r="A237" s="247"/>
      <c r="B237" s="224"/>
      <c r="C237" s="222"/>
      <c r="D237" s="223"/>
      <c r="E237" s="143"/>
      <c r="F237" s="143"/>
      <c r="G237" s="143"/>
    </row>
    <row r="238" ht="15.75" customHeight="1">
      <c r="A238" s="247"/>
      <c r="B238" s="224"/>
      <c r="C238" s="222"/>
      <c r="D238" s="223"/>
      <c r="E238" s="143"/>
      <c r="F238" s="143"/>
      <c r="G238" s="143"/>
    </row>
    <row r="239" ht="15.75" customHeight="1">
      <c r="A239" s="247"/>
      <c r="B239" s="224"/>
      <c r="C239" s="222"/>
      <c r="D239" s="223"/>
      <c r="E239" s="143"/>
      <c r="F239" s="143"/>
      <c r="G239" s="143"/>
    </row>
    <row r="240" ht="15.75" customHeight="1">
      <c r="A240" s="247"/>
      <c r="B240" s="224"/>
      <c r="C240" s="222"/>
      <c r="D240" s="223"/>
      <c r="E240" s="143"/>
      <c r="F240" s="143"/>
      <c r="G240" s="143"/>
    </row>
    <row r="241" ht="15.75" customHeight="1">
      <c r="A241" s="247"/>
      <c r="B241" s="224"/>
      <c r="C241" s="222"/>
      <c r="D241" s="223"/>
      <c r="E241" s="143"/>
      <c r="F241" s="143"/>
      <c r="G241" s="143"/>
    </row>
    <row r="242" ht="15.75" customHeight="1">
      <c r="A242" s="247"/>
      <c r="B242" s="224"/>
      <c r="C242" s="222"/>
      <c r="D242" s="223"/>
      <c r="E242" s="143"/>
      <c r="F242" s="143"/>
      <c r="G242" s="143"/>
    </row>
    <row r="243" ht="15.75" customHeight="1">
      <c r="A243" s="247"/>
      <c r="B243" s="224"/>
      <c r="C243" s="222"/>
      <c r="D243" s="223"/>
      <c r="E243" s="143"/>
      <c r="F243" s="143"/>
      <c r="G243" s="143"/>
    </row>
    <row r="244" ht="15.75" customHeight="1">
      <c r="A244" s="247"/>
      <c r="B244" s="224"/>
      <c r="C244" s="222"/>
      <c r="D244" s="223"/>
      <c r="E244" s="143"/>
      <c r="F244" s="143"/>
      <c r="G244" s="143"/>
    </row>
    <row r="245" ht="15.75" customHeight="1">
      <c r="A245" s="247"/>
      <c r="B245" s="224"/>
      <c r="C245" s="222"/>
      <c r="D245" s="223"/>
      <c r="E245" s="143"/>
      <c r="F245" s="143"/>
      <c r="G245" s="143"/>
    </row>
    <row r="246" ht="15.75" customHeight="1">
      <c r="A246" s="247"/>
      <c r="B246" s="224"/>
      <c r="C246" s="222"/>
      <c r="D246" s="223"/>
      <c r="E246" s="143"/>
      <c r="F246" s="143"/>
      <c r="G246" s="143"/>
    </row>
    <row r="247" ht="15.75" customHeight="1">
      <c r="A247" s="247"/>
      <c r="B247" s="224"/>
      <c r="C247" s="222"/>
      <c r="D247" s="223"/>
      <c r="E247" s="143"/>
      <c r="F247" s="143"/>
      <c r="G247" s="143"/>
    </row>
    <row r="248" ht="15.75" customHeight="1">
      <c r="A248" s="247"/>
      <c r="B248" s="224"/>
      <c r="C248" s="222"/>
      <c r="D248" s="223"/>
      <c r="E248" s="143"/>
      <c r="F248" s="143"/>
      <c r="G248" s="143"/>
    </row>
    <row r="249" ht="15.75" customHeight="1">
      <c r="A249" s="247"/>
      <c r="B249" s="224"/>
      <c r="C249" s="222"/>
      <c r="D249" s="223"/>
      <c r="E249" s="143"/>
      <c r="F249" s="143"/>
      <c r="G249" s="143"/>
    </row>
    <row r="250" ht="15.75" customHeight="1">
      <c r="A250" s="247"/>
      <c r="B250" s="224"/>
      <c r="C250" s="222"/>
      <c r="D250" s="223"/>
      <c r="E250" s="143"/>
      <c r="F250" s="143"/>
      <c r="G250" s="143"/>
    </row>
    <row r="251" ht="15.75" customHeight="1">
      <c r="A251" s="247"/>
      <c r="B251" s="224"/>
      <c r="C251" s="222"/>
      <c r="D251" s="223"/>
      <c r="E251" s="143"/>
      <c r="F251" s="143"/>
      <c r="G251" s="143"/>
    </row>
    <row r="252" ht="15.75" customHeight="1">
      <c r="A252" s="247"/>
      <c r="B252" s="224"/>
      <c r="C252" s="222"/>
      <c r="D252" s="223"/>
      <c r="E252" s="143"/>
      <c r="F252" s="143"/>
      <c r="G252" s="143"/>
    </row>
    <row r="253" ht="15.75" customHeight="1">
      <c r="A253" s="247"/>
      <c r="B253" s="224"/>
      <c r="C253" s="222"/>
      <c r="D253" s="223"/>
      <c r="E253" s="143"/>
      <c r="F253" s="143"/>
      <c r="G253" s="143"/>
    </row>
    <row r="254" ht="15.75" customHeight="1">
      <c r="A254" s="247"/>
      <c r="B254" s="224"/>
      <c r="C254" s="222"/>
      <c r="D254" s="223"/>
      <c r="E254" s="143"/>
      <c r="F254" s="143"/>
      <c r="G254" s="143"/>
    </row>
    <row r="255" ht="15.75" customHeight="1">
      <c r="A255" s="247"/>
      <c r="B255" s="224"/>
      <c r="C255" s="222"/>
      <c r="D255" s="223"/>
      <c r="E255" s="143"/>
      <c r="F255" s="143"/>
      <c r="G255" s="143"/>
    </row>
    <row r="256" ht="15.75" customHeight="1">
      <c r="A256" s="247"/>
      <c r="B256" s="224"/>
      <c r="C256" s="222"/>
      <c r="D256" s="223"/>
      <c r="E256" s="143"/>
      <c r="F256" s="143"/>
      <c r="G256" s="143"/>
    </row>
    <row r="257" ht="15.75" customHeight="1">
      <c r="A257" s="247"/>
      <c r="B257" s="224"/>
      <c r="C257" s="222"/>
      <c r="D257" s="223"/>
      <c r="E257" s="143"/>
      <c r="F257" s="143"/>
      <c r="G257" s="143"/>
    </row>
    <row r="258" ht="15.75" customHeight="1">
      <c r="A258" s="247"/>
      <c r="B258" s="224"/>
      <c r="C258" s="222"/>
      <c r="D258" s="223"/>
      <c r="E258" s="143"/>
      <c r="F258" s="143"/>
      <c r="G258" s="143"/>
    </row>
    <row r="259" ht="15.75" customHeight="1">
      <c r="A259" s="247"/>
      <c r="B259" s="224"/>
      <c r="C259" s="222"/>
      <c r="D259" s="223"/>
      <c r="E259" s="143"/>
      <c r="F259" s="143"/>
      <c r="G259" s="143"/>
    </row>
    <row r="260" ht="15.75" customHeight="1">
      <c r="A260" s="247"/>
      <c r="B260" s="224"/>
      <c r="C260" s="222"/>
      <c r="D260" s="223"/>
      <c r="E260" s="143"/>
      <c r="F260" s="143"/>
      <c r="G260" s="143"/>
    </row>
    <row r="261" ht="15.75" customHeight="1">
      <c r="A261" s="247"/>
      <c r="B261" s="224"/>
      <c r="C261" s="222"/>
      <c r="D261" s="223"/>
      <c r="E261" s="143"/>
      <c r="F261" s="143"/>
      <c r="G261" s="143"/>
    </row>
    <row r="262" ht="15.75" customHeight="1">
      <c r="A262" s="247"/>
      <c r="B262" s="224"/>
      <c r="C262" s="222"/>
      <c r="D262" s="223"/>
      <c r="E262" s="143"/>
      <c r="F262" s="143"/>
      <c r="G262" s="143"/>
    </row>
    <row r="263" ht="15.75" customHeight="1">
      <c r="A263" s="247"/>
      <c r="B263" s="224"/>
      <c r="C263" s="222"/>
      <c r="D263" s="223"/>
      <c r="E263" s="143"/>
      <c r="F263" s="143"/>
      <c r="G263" s="143"/>
    </row>
    <row r="264" ht="15.75" customHeight="1">
      <c r="A264" s="247"/>
      <c r="B264" s="224"/>
      <c r="C264" s="222"/>
      <c r="D264" s="223"/>
      <c r="E264" s="143"/>
      <c r="F264" s="143"/>
      <c r="G264" s="143"/>
    </row>
    <row r="265" ht="15.75" customHeight="1">
      <c r="A265" s="247"/>
      <c r="B265" s="224"/>
      <c r="C265" s="222"/>
      <c r="D265" s="223"/>
      <c r="E265" s="143"/>
      <c r="F265" s="143"/>
      <c r="G265" s="143"/>
    </row>
    <row r="266" ht="15.75" customHeight="1">
      <c r="A266" s="247"/>
      <c r="B266" s="224"/>
      <c r="C266" s="222"/>
      <c r="D266" s="223"/>
      <c r="E266" s="143"/>
      <c r="F266" s="143"/>
      <c r="G266" s="143"/>
    </row>
    <row r="267" ht="15.75" customHeight="1">
      <c r="A267" s="247"/>
      <c r="B267" s="224"/>
      <c r="C267" s="222"/>
      <c r="D267" s="223"/>
      <c r="E267" s="143"/>
      <c r="F267" s="143"/>
      <c r="G267" s="143"/>
    </row>
    <row r="268" ht="15.75" customHeight="1">
      <c r="A268" s="247"/>
      <c r="B268" s="224"/>
      <c r="C268" s="222"/>
      <c r="D268" s="223"/>
      <c r="E268" s="143"/>
      <c r="F268" s="143"/>
      <c r="G268" s="143"/>
    </row>
    <row r="269" ht="15.75" customHeight="1">
      <c r="A269" s="247"/>
      <c r="B269" s="224"/>
      <c r="C269" s="222"/>
      <c r="D269" s="223"/>
      <c r="E269" s="143"/>
      <c r="F269" s="143"/>
      <c r="G269" s="143"/>
    </row>
    <row r="270" ht="15.75" customHeight="1">
      <c r="A270" s="247"/>
      <c r="B270" s="224"/>
      <c r="C270" s="222"/>
      <c r="D270" s="223"/>
      <c r="E270" s="143"/>
      <c r="F270" s="143"/>
      <c r="G270" s="143"/>
    </row>
    <row r="271" ht="15.75" customHeight="1">
      <c r="A271" s="247"/>
      <c r="B271" s="224"/>
      <c r="C271" s="222"/>
      <c r="D271" s="223"/>
      <c r="E271" s="143"/>
      <c r="F271" s="143"/>
      <c r="G271" s="143"/>
    </row>
    <row r="272" ht="15.75" customHeight="1">
      <c r="A272" s="247"/>
      <c r="B272" s="224"/>
      <c r="C272" s="222"/>
      <c r="D272" s="223"/>
      <c r="E272" s="143"/>
      <c r="F272" s="143"/>
      <c r="G272" s="143"/>
    </row>
    <row r="273" ht="15.75" customHeight="1">
      <c r="A273" s="247"/>
      <c r="B273" s="224"/>
      <c r="C273" s="222"/>
      <c r="D273" s="223"/>
      <c r="E273" s="143"/>
      <c r="F273" s="143"/>
      <c r="G273" s="143"/>
    </row>
    <row r="274" ht="15.75" customHeight="1">
      <c r="A274" s="247"/>
      <c r="B274" s="224"/>
      <c r="C274" s="222"/>
      <c r="D274" s="223"/>
      <c r="E274" s="143"/>
      <c r="F274" s="143"/>
      <c r="G274" s="143"/>
    </row>
    <row r="275" ht="15.75" customHeight="1">
      <c r="A275" s="247"/>
      <c r="B275" s="224"/>
      <c r="C275" s="222"/>
      <c r="D275" s="223"/>
      <c r="E275" s="143"/>
      <c r="F275" s="143"/>
      <c r="G275" s="143"/>
    </row>
    <row r="276" ht="15.75" customHeight="1">
      <c r="A276" s="247"/>
      <c r="B276" s="224"/>
      <c r="C276" s="222"/>
      <c r="D276" s="223"/>
      <c r="E276" s="143"/>
      <c r="F276" s="143"/>
      <c r="G276" s="143"/>
    </row>
    <row r="277" ht="15.75" customHeight="1">
      <c r="A277" s="247"/>
      <c r="B277" s="224"/>
      <c r="C277" s="222"/>
      <c r="D277" s="223"/>
      <c r="E277" s="143"/>
      <c r="F277" s="143"/>
      <c r="G277" s="143"/>
    </row>
    <row r="278" ht="15.75" customHeight="1">
      <c r="A278" s="247"/>
      <c r="B278" s="224"/>
      <c r="C278" s="222"/>
      <c r="D278" s="223"/>
      <c r="E278" s="143"/>
      <c r="F278" s="143"/>
      <c r="G278" s="143"/>
    </row>
    <row r="279" ht="15.75" customHeight="1">
      <c r="A279" s="247"/>
      <c r="B279" s="224"/>
      <c r="C279" s="222"/>
      <c r="D279" s="223"/>
      <c r="E279" s="143"/>
      <c r="F279" s="143"/>
      <c r="G279" s="143"/>
    </row>
    <row r="280" ht="15.75" customHeight="1">
      <c r="A280" s="247"/>
      <c r="B280" s="224"/>
      <c r="C280" s="222"/>
      <c r="D280" s="223"/>
      <c r="E280" s="143"/>
      <c r="F280" s="143"/>
      <c r="G280" s="143"/>
    </row>
    <row r="281" ht="15.75" customHeight="1">
      <c r="A281" s="247"/>
      <c r="B281" s="224"/>
      <c r="C281" s="222"/>
      <c r="D281" s="223"/>
      <c r="E281" s="143"/>
      <c r="F281" s="143"/>
      <c r="G281" s="143"/>
    </row>
    <row r="282" ht="15.75" customHeight="1">
      <c r="A282" s="247"/>
      <c r="B282" s="224"/>
      <c r="C282" s="222"/>
      <c r="D282" s="223"/>
      <c r="E282" s="143"/>
      <c r="F282" s="143"/>
      <c r="G282" s="143"/>
    </row>
    <row r="283" ht="15.75" customHeight="1">
      <c r="A283" s="247"/>
      <c r="B283" s="224"/>
      <c r="C283" s="222"/>
      <c r="D283" s="223"/>
      <c r="E283" s="143"/>
      <c r="F283" s="143"/>
      <c r="G283" s="143"/>
    </row>
    <row r="284" ht="15.75" customHeight="1">
      <c r="A284" s="247"/>
      <c r="B284" s="224"/>
      <c r="C284" s="222"/>
      <c r="D284" s="223"/>
      <c r="E284" s="143"/>
      <c r="F284" s="143"/>
      <c r="G284" s="143"/>
    </row>
    <row r="285" ht="15.75" customHeight="1">
      <c r="A285" s="247"/>
      <c r="B285" s="224"/>
      <c r="C285" s="222"/>
      <c r="D285" s="223"/>
      <c r="E285" s="143"/>
      <c r="F285" s="143"/>
      <c r="G285" s="143"/>
    </row>
    <row r="286" ht="15.75" customHeight="1">
      <c r="A286" s="247"/>
      <c r="B286" s="224"/>
      <c r="C286" s="222"/>
      <c r="D286" s="223"/>
      <c r="E286" s="143"/>
      <c r="F286" s="143"/>
      <c r="G286" s="143"/>
    </row>
    <row r="287" ht="15.75" customHeight="1">
      <c r="A287" s="247"/>
      <c r="B287" s="224"/>
      <c r="C287" s="222"/>
      <c r="D287" s="223"/>
      <c r="E287" s="143"/>
      <c r="F287" s="143"/>
      <c r="G287" s="143"/>
    </row>
    <row r="288" ht="15.75" customHeight="1">
      <c r="A288" s="247"/>
      <c r="B288" s="224"/>
      <c r="C288" s="222"/>
      <c r="D288" s="223"/>
      <c r="E288" s="143"/>
      <c r="F288" s="143"/>
      <c r="G288" s="143"/>
    </row>
    <row r="289" ht="15.75" customHeight="1">
      <c r="A289" s="247"/>
      <c r="B289" s="224"/>
      <c r="C289" s="222"/>
      <c r="D289" s="223"/>
      <c r="E289" s="143"/>
      <c r="F289" s="143"/>
      <c r="G289" s="143"/>
    </row>
    <row r="290" ht="15.75" customHeight="1">
      <c r="A290" s="247"/>
      <c r="B290" s="224"/>
      <c r="C290" s="222"/>
      <c r="D290" s="223"/>
      <c r="E290" s="143"/>
      <c r="F290" s="143"/>
      <c r="G290" s="143"/>
    </row>
    <row r="291" ht="15.75" customHeight="1">
      <c r="A291" s="247"/>
      <c r="B291" s="224"/>
      <c r="C291" s="222"/>
      <c r="D291" s="223"/>
      <c r="E291" s="143"/>
      <c r="F291" s="143"/>
      <c r="G291" s="143"/>
    </row>
    <row r="292" ht="15.75" customHeight="1">
      <c r="A292" s="247"/>
      <c r="B292" s="224"/>
      <c r="C292" s="222"/>
      <c r="D292" s="223"/>
      <c r="E292" s="143"/>
      <c r="F292" s="143"/>
      <c r="G292" s="143"/>
    </row>
    <row r="293" ht="15.75" customHeight="1">
      <c r="A293" s="247"/>
      <c r="B293" s="224"/>
      <c r="C293" s="222"/>
      <c r="D293" s="223"/>
      <c r="E293" s="143"/>
      <c r="F293" s="143"/>
      <c r="G293" s="143"/>
    </row>
    <row r="294" ht="15.75" customHeight="1">
      <c r="A294" s="247"/>
      <c r="B294" s="224"/>
      <c r="C294" s="222"/>
      <c r="D294" s="223"/>
      <c r="E294" s="143"/>
      <c r="F294" s="143"/>
      <c r="G294" s="143"/>
    </row>
    <row r="295" ht="15.75" customHeight="1">
      <c r="A295" s="247"/>
      <c r="B295" s="224"/>
      <c r="C295" s="222"/>
      <c r="D295" s="223"/>
      <c r="E295" s="143"/>
      <c r="F295" s="143"/>
      <c r="G295" s="143"/>
    </row>
    <row r="296" ht="15.75" customHeight="1">
      <c r="A296" s="247"/>
      <c r="B296" s="224"/>
      <c r="C296" s="222"/>
      <c r="D296" s="223"/>
      <c r="E296" s="143"/>
      <c r="F296" s="143"/>
      <c r="G296" s="143"/>
    </row>
    <row r="297" ht="15.75" customHeight="1">
      <c r="A297" s="247"/>
      <c r="B297" s="224"/>
      <c r="C297" s="222"/>
      <c r="D297" s="223"/>
      <c r="E297" s="143"/>
      <c r="F297" s="143"/>
      <c r="G297" s="143"/>
    </row>
    <row r="298" ht="15.75" customHeight="1">
      <c r="A298" s="247"/>
      <c r="B298" s="224"/>
      <c r="C298" s="222"/>
      <c r="D298" s="223"/>
      <c r="E298" s="143"/>
      <c r="F298" s="143"/>
      <c r="G298" s="143"/>
    </row>
    <row r="299" ht="15.75" customHeight="1">
      <c r="A299" s="247"/>
      <c r="B299" s="224"/>
      <c r="C299" s="222"/>
      <c r="D299" s="223"/>
      <c r="E299" s="143"/>
      <c r="F299" s="143"/>
      <c r="G299" s="143"/>
    </row>
    <row r="300" ht="15.75" customHeight="1">
      <c r="A300" s="247"/>
      <c r="B300" s="224"/>
      <c r="C300" s="222"/>
      <c r="D300" s="223"/>
      <c r="E300" s="143"/>
      <c r="F300" s="143"/>
      <c r="G300" s="143"/>
    </row>
    <row r="301" ht="15.75" customHeight="1">
      <c r="A301" s="247"/>
      <c r="B301" s="224"/>
      <c r="C301" s="222"/>
      <c r="D301" s="223"/>
      <c r="E301" s="143"/>
      <c r="F301" s="143"/>
      <c r="G301" s="143"/>
    </row>
    <row r="302" ht="15.75" customHeight="1">
      <c r="A302" s="247"/>
      <c r="B302" s="224"/>
      <c r="C302" s="222"/>
      <c r="D302" s="223"/>
      <c r="E302" s="143"/>
      <c r="F302" s="143"/>
      <c r="G302" s="143"/>
    </row>
    <row r="303" ht="15.75" customHeight="1">
      <c r="A303" s="247"/>
      <c r="B303" s="224"/>
      <c r="C303" s="222"/>
      <c r="D303" s="223"/>
      <c r="E303" s="143"/>
      <c r="F303" s="143"/>
      <c r="G303" s="143"/>
    </row>
    <row r="304" ht="15.75" customHeight="1">
      <c r="A304" s="247"/>
      <c r="B304" s="224"/>
      <c r="C304" s="222"/>
      <c r="D304" s="223"/>
      <c r="E304" s="143"/>
      <c r="F304" s="143"/>
      <c r="G304" s="143"/>
    </row>
    <row r="305" ht="15.75" customHeight="1">
      <c r="A305" s="247"/>
      <c r="B305" s="224"/>
      <c r="C305" s="222"/>
      <c r="D305" s="223"/>
      <c r="E305" s="143"/>
      <c r="F305" s="143"/>
      <c r="G305" s="143"/>
    </row>
    <row r="306" ht="15.75" customHeight="1">
      <c r="A306" s="247"/>
      <c r="B306" s="224"/>
      <c r="C306" s="222"/>
      <c r="D306" s="223"/>
      <c r="E306" s="143"/>
      <c r="F306" s="143"/>
      <c r="G306" s="143"/>
    </row>
    <row r="307" ht="15.75" customHeight="1">
      <c r="A307" s="247"/>
      <c r="B307" s="224"/>
      <c r="C307" s="222"/>
      <c r="D307" s="223"/>
      <c r="E307" s="143"/>
      <c r="F307" s="143"/>
      <c r="G307" s="143"/>
    </row>
    <row r="308" ht="15.75" customHeight="1">
      <c r="A308" s="247"/>
      <c r="B308" s="224"/>
      <c r="C308" s="222"/>
      <c r="D308" s="223"/>
      <c r="E308" s="143"/>
      <c r="F308" s="143"/>
      <c r="G308" s="143"/>
    </row>
    <row r="309" ht="15.75" customHeight="1">
      <c r="A309" s="247"/>
      <c r="B309" s="224"/>
      <c r="C309" s="222"/>
      <c r="D309" s="223"/>
      <c r="E309" s="143"/>
      <c r="F309" s="143"/>
      <c r="G309" s="143"/>
    </row>
    <row r="310" ht="15.75" customHeight="1">
      <c r="A310" s="247"/>
      <c r="B310" s="224"/>
      <c r="C310" s="222"/>
      <c r="D310" s="223"/>
      <c r="E310" s="143"/>
      <c r="F310" s="143"/>
      <c r="G310" s="143"/>
    </row>
    <row r="311" ht="15.75" customHeight="1">
      <c r="A311" s="247"/>
      <c r="B311" s="224"/>
      <c r="C311" s="222"/>
      <c r="D311" s="223"/>
      <c r="E311" s="143"/>
      <c r="F311" s="143"/>
      <c r="G311" s="143"/>
    </row>
    <row r="312" ht="15.75" customHeight="1">
      <c r="A312" s="247"/>
      <c r="B312" s="224"/>
      <c r="C312" s="222"/>
      <c r="D312" s="223"/>
      <c r="E312" s="143"/>
      <c r="F312" s="143"/>
      <c r="G312" s="143"/>
    </row>
    <row r="313" ht="15.75" customHeight="1">
      <c r="A313" s="247"/>
      <c r="B313" s="224"/>
      <c r="C313" s="222"/>
      <c r="D313" s="223"/>
      <c r="E313" s="143"/>
      <c r="F313" s="143"/>
      <c r="G313" s="143"/>
    </row>
    <row r="314" ht="15.75" customHeight="1">
      <c r="A314" s="247"/>
      <c r="B314" s="224"/>
      <c r="C314" s="222"/>
      <c r="D314" s="223"/>
      <c r="E314" s="143"/>
      <c r="F314" s="143"/>
      <c r="G314" s="143"/>
    </row>
    <row r="315" ht="15.75" customHeight="1">
      <c r="A315" s="247"/>
      <c r="B315" s="224"/>
      <c r="C315" s="222"/>
      <c r="D315" s="223"/>
      <c r="E315" s="143"/>
      <c r="F315" s="143"/>
      <c r="G315" s="143"/>
    </row>
    <row r="316" ht="15.75" customHeight="1">
      <c r="A316" s="247"/>
      <c r="B316" s="224"/>
      <c r="C316" s="222"/>
      <c r="D316" s="223"/>
      <c r="E316" s="143"/>
      <c r="F316" s="143"/>
      <c r="G316" s="143"/>
    </row>
    <row r="317" ht="15.75" customHeight="1">
      <c r="A317" s="247"/>
      <c r="B317" s="224"/>
      <c r="C317" s="222"/>
      <c r="D317" s="223"/>
      <c r="E317" s="143"/>
      <c r="F317" s="143"/>
      <c r="G317" s="143"/>
    </row>
    <row r="318" ht="15.75" customHeight="1">
      <c r="A318" s="247"/>
      <c r="B318" s="224"/>
      <c r="C318" s="222"/>
      <c r="D318" s="223"/>
      <c r="E318" s="143"/>
      <c r="F318" s="143"/>
      <c r="G318" s="143"/>
    </row>
    <row r="319" ht="15.75" customHeight="1">
      <c r="A319" s="247"/>
      <c r="B319" s="224"/>
      <c r="C319" s="222"/>
      <c r="D319" s="223"/>
      <c r="E319" s="143"/>
      <c r="F319" s="143"/>
      <c r="G319" s="143"/>
    </row>
    <row r="320" ht="15.75" customHeight="1">
      <c r="A320" s="247"/>
      <c r="B320" s="224"/>
      <c r="C320" s="222"/>
      <c r="D320" s="223"/>
      <c r="E320" s="143"/>
      <c r="F320" s="143"/>
      <c r="G320" s="143"/>
    </row>
    <row r="321" ht="15.75" customHeight="1">
      <c r="A321" s="247"/>
      <c r="B321" s="224"/>
      <c r="C321" s="222"/>
      <c r="D321" s="223"/>
      <c r="E321" s="143"/>
      <c r="F321" s="143"/>
      <c r="G321" s="143"/>
    </row>
    <row r="322" ht="15.75" customHeight="1">
      <c r="A322" s="247"/>
      <c r="B322" s="224"/>
      <c r="C322" s="222"/>
      <c r="D322" s="223"/>
      <c r="E322" s="143"/>
      <c r="F322" s="143"/>
      <c r="G322" s="143"/>
    </row>
    <row r="323" ht="15.75" customHeight="1">
      <c r="A323" s="247"/>
      <c r="B323" s="224"/>
      <c r="C323" s="222"/>
      <c r="D323" s="223"/>
      <c r="E323" s="143"/>
      <c r="F323" s="143"/>
      <c r="G323" s="143"/>
    </row>
    <row r="324" ht="15.75" customHeight="1">
      <c r="A324" s="247"/>
      <c r="B324" s="224"/>
      <c r="C324" s="222"/>
      <c r="D324" s="223"/>
      <c r="E324" s="143"/>
      <c r="F324" s="143"/>
      <c r="G324" s="143"/>
    </row>
    <row r="325" ht="15.75" customHeight="1">
      <c r="A325" s="247"/>
      <c r="B325" s="224"/>
      <c r="C325" s="222"/>
      <c r="D325" s="223"/>
      <c r="E325" s="143"/>
      <c r="F325" s="143"/>
      <c r="G325" s="143"/>
    </row>
    <row r="326" ht="15.75" customHeight="1">
      <c r="A326" s="247"/>
      <c r="B326" s="224"/>
      <c r="C326" s="222"/>
      <c r="D326" s="223"/>
      <c r="E326" s="143"/>
      <c r="F326" s="143"/>
      <c r="G326" s="143"/>
    </row>
    <row r="327" ht="15.75" customHeight="1">
      <c r="A327" s="247"/>
      <c r="B327" s="224"/>
      <c r="C327" s="222"/>
      <c r="D327" s="223"/>
      <c r="E327" s="143"/>
      <c r="F327" s="143"/>
      <c r="G327" s="143"/>
    </row>
    <row r="328" ht="15.75" customHeight="1">
      <c r="A328" s="247"/>
      <c r="B328" s="224"/>
      <c r="C328" s="222"/>
      <c r="D328" s="223"/>
      <c r="E328" s="143"/>
      <c r="F328" s="143"/>
      <c r="G328" s="143"/>
    </row>
    <row r="329" ht="15.75" customHeight="1">
      <c r="A329" s="247"/>
      <c r="B329" s="224"/>
      <c r="C329" s="222"/>
      <c r="D329" s="223"/>
      <c r="E329" s="143"/>
      <c r="F329" s="143"/>
      <c r="G329" s="143"/>
    </row>
    <row r="330" ht="15.75" customHeight="1">
      <c r="A330" s="247"/>
      <c r="B330" s="224"/>
      <c r="C330" s="222"/>
      <c r="D330" s="223"/>
      <c r="E330" s="143"/>
      <c r="F330" s="143"/>
      <c r="G330" s="143"/>
    </row>
    <row r="331" ht="15.75" customHeight="1">
      <c r="A331" s="247"/>
      <c r="B331" s="224"/>
      <c r="C331" s="222"/>
      <c r="D331" s="223"/>
      <c r="E331" s="143"/>
      <c r="F331" s="143"/>
      <c r="G331" s="143"/>
    </row>
    <row r="332" ht="15.75" customHeight="1">
      <c r="A332" s="247"/>
      <c r="B332" s="224"/>
      <c r="C332" s="222"/>
      <c r="D332" s="223"/>
      <c r="E332" s="143"/>
      <c r="F332" s="143"/>
      <c r="G332" s="143"/>
    </row>
    <row r="333" ht="15.75" customHeight="1">
      <c r="A333" s="247"/>
      <c r="B333" s="224"/>
      <c r="C333" s="222"/>
      <c r="D333" s="223"/>
      <c r="E333" s="143"/>
      <c r="F333" s="143"/>
      <c r="G333" s="143"/>
    </row>
    <row r="334" ht="15.75" customHeight="1">
      <c r="A334" s="247"/>
      <c r="B334" s="224"/>
      <c r="C334" s="222"/>
      <c r="D334" s="223"/>
      <c r="E334" s="143"/>
      <c r="F334" s="143"/>
      <c r="G334" s="143"/>
    </row>
    <row r="335" ht="15.75" customHeight="1">
      <c r="A335" s="247"/>
      <c r="B335" s="224"/>
      <c r="C335" s="222"/>
      <c r="D335" s="223"/>
      <c r="E335" s="143"/>
      <c r="F335" s="143"/>
      <c r="G335" s="143"/>
    </row>
    <row r="336" ht="15.75" customHeight="1">
      <c r="A336" s="247"/>
      <c r="B336" s="224"/>
      <c r="C336" s="222"/>
      <c r="D336" s="223"/>
      <c r="E336" s="143"/>
      <c r="F336" s="143"/>
      <c r="G336" s="143"/>
    </row>
    <row r="337" ht="15.75" customHeight="1">
      <c r="A337" s="247"/>
      <c r="B337" s="224"/>
      <c r="C337" s="222"/>
      <c r="D337" s="223"/>
      <c r="E337" s="143"/>
      <c r="F337" s="143"/>
      <c r="G337" s="143"/>
    </row>
    <row r="338" ht="15.75" customHeight="1">
      <c r="A338" s="247"/>
      <c r="B338" s="224"/>
      <c r="C338" s="222"/>
      <c r="D338" s="223"/>
      <c r="E338" s="143"/>
      <c r="F338" s="143"/>
      <c r="G338" s="143"/>
    </row>
    <row r="339" ht="15.75" customHeight="1">
      <c r="A339" s="247"/>
      <c r="B339" s="224"/>
      <c r="C339" s="222"/>
      <c r="D339" s="223"/>
      <c r="E339" s="143"/>
      <c r="F339" s="143"/>
      <c r="G339" s="143"/>
    </row>
    <row r="340" ht="15.75" customHeight="1">
      <c r="A340" s="247"/>
      <c r="B340" s="224"/>
      <c r="C340" s="222"/>
      <c r="D340" s="223"/>
      <c r="E340" s="143"/>
      <c r="F340" s="143"/>
      <c r="G340" s="143"/>
    </row>
    <row r="341" ht="15.75" customHeight="1">
      <c r="A341" s="247"/>
      <c r="B341" s="224"/>
      <c r="C341" s="222"/>
      <c r="D341" s="223"/>
      <c r="E341" s="143"/>
      <c r="F341" s="143"/>
      <c r="G341" s="143"/>
    </row>
    <row r="342" ht="15.75" customHeight="1">
      <c r="A342" s="247"/>
      <c r="B342" s="224"/>
      <c r="C342" s="222"/>
      <c r="D342" s="223"/>
      <c r="E342" s="143"/>
      <c r="F342" s="143"/>
      <c r="G342" s="143"/>
    </row>
    <row r="343" ht="15.75" customHeight="1">
      <c r="A343" s="247"/>
      <c r="B343" s="224"/>
      <c r="C343" s="222"/>
      <c r="D343" s="223"/>
      <c r="E343" s="143"/>
      <c r="F343" s="143"/>
      <c r="G343" s="143"/>
    </row>
    <row r="344" ht="15.75" customHeight="1">
      <c r="A344" s="247"/>
      <c r="B344" s="224"/>
      <c r="C344" s="222"/>
      <c r="D344" s="223"/>
      <c r="E344" s="143"/>
      <c r="F344" s="143"/>
      <c r="G344" s="143"/>
    </row>
    <row r="345" ht="15.75" customHeight="1">
      <c r="A345" s="247"/>
      <c r="B345" s="224"/>
      <c r="C345" s="222"/>
      <c r="D345" s="223"/>
      <c r="E345" s="143"/>
      <c r="F345" s="143"/>
      <c r="G345" s="143"/>
    </row>
    <row r="346" ht="15.75" customHeight="1">
      <c r="A346" s="247"/>
      <c r="B346" s="224"/>
      <c r="C346" s="222"/>
      <c r="D346" s="223"/>
      <c r="E346" s="143"/>
      <c r="F346" s="143"/>
      <c r="G346" s="143"/>
    </row>
    <row r="347" ht="15.75" customHeight="1">
      <c r="A347" s="247"/>
      <c r="B347" s="224"/>
      <c r="C347" s="222"/>
      <c r="D347" s="223"/>
      <c r="E347" s="143"/>
      <c r="F347" s="143"/>
      <c r="G347" s="143"/>
    </row>
    <row r="348" ht="15.75" customHeight="1">
      <c r="A348" s="247"/>
      <c r="B348" s="224"/>
      <c r="C348" s="222"/>
      <c r="D348" s="223"/>
      <c r="E348" s="143"/>
      <c r="F348" s="143"/>
      <c r="G348" s="143"/>
    </row>
    <row r="349" ht="15.75" customHeight="1">
      <c r="A349" s="247"/>
      <c r="B349" s="224"/>
      <c r="C349" s="222"/>
      <c r="D349" s="223"/>
      <c r="E349" s="143"/>
      <c r="F349" s="143"/>
      <c r="G349" s="143"/>
    </row>
    <row r="350" ht="15.75" customHeight="1">
      <c r="A350" s="247"/>
      <c r="B350" s="224"/>
      <c r="C350" s="222"/>
      <c r="D350" s="223"/>
      <c r="E350" s="143"/>
      <c r="F350" s="143"/>
      <c r="G350" s="143"/>
    </row>
    <row r="351" ht="15.75" customHeight="1">
      <c r="A351" s="247"/>
      <c r="B351" s="224"/>
      <c r="C351" s="222"/>
      <c r="D351" s="223"/>
      <c r="E351" s="143"/>
      <c r="F351" s="143"/>
      <c r="G351" s="143"/>
    </row>
    <row r="352" ht="15.75" customHeight="1">
      <c r="A352" s="247"/>
      <c r="B352" s="224"/>
      <c r="C352" s="222"/>
      <c r="D352" s="223"/>
      <c r="E352" s="143"/>
      <c r="F352" s="143"/>
      <c r="G352" s="143"/>
    </row>
    <row r="353" ht="15.75" customHeight="1">
      <c r="A353" s="247"/>
      <c r="B353" s="224"/>
      <c r="C353" s="222"/>
      <c r="D353" s="223"/>
      <c r="E353" s="143"/>
      <c r="F353" s="143"/>
      <c r="G353" s="143"/>
    </row>
    <row r="354" ht="15.75" customHeight="1">
      <c r="A354" s="247"/>
      <c r="B354" s="224"/>
      <c r="C354" s="222"/>
      <c r="D354" s="223"/>
      <c r="E354" s="143"/>
      <c r="F354" s="143"/>
      <c r="G354" s="143"/>
    </row>
    <row r="355" ht="15.75" customHeight="1">
      <c r="A355" s="247"/>
      <c r="B355" s="224"/>
      <c r="C355" s="222"/>
      <c r="D355" s="223"/>
      <c r="E355" s="143"/>
      <c r="F355" s="143"/>
      <c r="G355" s="143"/>
    </row>
    <row r="356" ht="15.75" customHeight="1">
      <c r="A356" s="247"/>
      <c r="B356" s="224"/>
      <c r="C356" s="222"/>
      <c r="D356" s="223"/>
      <c r="E356" s="143"/>
      <c r="F356" s="143"/>
      <c r="G356" s="143"/>
    </row>
    <row r="357" ht="15.75" customHeight="1">
      <c r="A357" s="247"/>
      <c r="B357" s="224"/>
      <c r="C357" s="222"/>
      <c r="D357" s="223"/>
      <c r="E357" s="143"/>
      <c r="F357" s="143"/>
      <c r="G357" s="143"/>
    </row>
    <row r="358" ht="15.75" customHeight="1">
      <c r="A358" s="247"/>
      <c r="B358" s="224"/>
      <c r="C358" s="222"/>
      <c r="D358" s="223"/>
      <c r="E358" s="143"/>
      <c r="F358" s="143"/>
      <c r="G358" s="143"/>
    </row>
    <row r="359" ht="15.75" customHeight="1">
      <c r="A359" s="247"/>
      <c r="B359" s="224"/>
      <c r="C359" s="222"/>
      <c r="D359" s="223"/>
      <c r="E359" s="143"/>
      <c r="F359" s="143"/>
      <c r="G359" s="143"/>
    </row>
    <row r="360" ht="15.75" customHeight="1">
      <c r="A360" s="247"/>
      <c r="B360" s="224"/>
      <c r="C360" s="222"/>
      <c r="D360" s="223"/>
      <c r="E360" s="143"/>
      <c r="F360" s="143"/>
      <c r="G360" s="143"/>
    </row>
    <row r="361" ht="15.75" customHeight="1">
      <c r="A361" s="247"/>
      <c r="B361" s="224"/>
      <c r="C361" s="222"/>
      <c r="D361" s="223"/>
      <c r="E361" s="143"/>
      <c r="F361" s="143"/>
      <c r="G361" s="143"/>
    </row>
    <row r="362" ht="15.75" customHeight="1">
      <c r="A362" s="247"/>
      <c r="B362" s="224"/>
      <c r="C362" s="222"/>
      <c r="D362" s="223"/>
      <c r="E362" s="143"/>
      <c r="F362" s="143"/>
      <c r="G362" s="143"/>
    </row>
    <row r="363" ht="15.75" customHeight="1">
      <c r="A363" s="247"/>
      <c r="B363" s="224"/>
      <c r="C363" s="222"/>
      <c r="D363" s="223"/>
      <c r="E363" s="143"/>
      <c r="F363" s="143"/>
      <c r="G363" s="143"/>
    </row>
    <row r="364" ht="15.75" customHeight="1">
      <c r="A364" s="247"/>
      <c r="B364" s="224"/>
      <c r="C364" s="222"/>
      <c r="D364" s="223"/>
      <c r="E364" s="143"/>
      <c r="F364" s="143"/>
      <c r="G364" s="143"/>
    </row>
    <row r="365" ht="15.75" customHeight="1">
      <c r="A365" s="247"/>
      <c r="B365" s="224"/>
      <c r="C365" s="222"/>
      <c r="D365" s="223"/>
      <c r="E365" s="143"/>
      <c r="F365" s="143"/>
      <c r="G365" s="143"/>
    </row>
    <row r="366" ht="15.75" customHeight="1">
      <c r="A366" s="247"/>
      <c r="B366" s="224"/>
      <c r="C366" s="222"/>
      <c r="D366" s="223"/>
      <c r="E366" s="143"/>
      <c r="F366" s="143"/>
      <c r="G366" s="143"/>
    </row>
    <row r="367" ht="15.75" customHeight="1">
      <c r="A367" s="247"/>
      <c r="B367" s="224"/>
      <c r="C367" s="222"/>
      <c r="D367" s="223"/>
      <c r="E367" s="143"/>
      <c r="F367" s="143"/>
      <c r="G367" s="143"/>
    </row>
    <row r="368" ht="15.75" customHeight="1">
      <c r="A368" s="247"/>
      <c r="B368" s="224"/>
      <c r="C368" s="222"/>
      <c r="D368" s="223"/>
      <c r="E368" s="143"/>
      <c r="F368" s="143"/>
      <c r="G368" s="143"/>
    </row>
    <row r="369" ht="15.75" customHeight="1">
      <c r="A369" s="247"/>
      <c r="B369" s="224"/>
      <c r="C369" s="222"/>
      <c r="D369" s="223"/>
      <c r="E369" s="143"/>
      <c r="F369" s="143"/>
      <c r="G369" s="143"/>
    </row>
    <row r="370" ht="15.75" customHeight="1">
      <c r="A370" s="247"/>
      <c r="B370" s="224"/>
      <c r="C370" s="222"/>
      <c r="D370" s="223"/>
      <c r="E370" s="143"/>
      <c r="F370" s="143"/>
      <c r="G370" s="143"/>
    </row>
    <row r="371" ht="15.75" customHeight="1">
      <c r="A371" s="247"/>
      <c r="B371" s="224"/>
      <c r="C371" s="222"/>
      <c r="D371" s="223"/>
      <c r="E371" s="143"/>
      <c r="F371" s="143"/>
      <c r="G371" s="143"/>
    </row>
    <row r="372" ht="15.75" customHeight="1">
      <c r="A372" s="247"/>
      <c r="B372" s="224"/>
      <c r="C372" s="222"/>
      <c r="D372" s="223"/>
      <c r="E372" s="143"/>
      <c r="F372" s="143"/>
      <c r="G372" s="143"/>
    </row>
    <row r="373" ht="15.75" customHeight="1">
      <c r="A373" s="247"/>
      <c r="B373" s="224"/>
      <c r="C373" s="222"/>
      <c r="D373" s="223"/>
      <c r="E373" s="143"/>
      <c r="F373" s="143"/>
      <c r="G373" s="143"/>
    </row>
    <row r="374" ht="15.75" customHeight="1">
      <c r="A374" s="247"/>
      <c r="B374" s="224"/>
      <c r="C374" s="222"/>
      <c r="D374" s="223"/>
      <c r="E374" s="143"/>
      <c r="F374" s="143"/>
      <c r="G374" s="143"/>
    </row>
    <row r="375" ht="15.75" customHeight="1">
      <c r="A375" s="247"/>
      <c r="B375" s="224"/>
      <c r="C375" s="222"/>
      <c r="D375" s="223"/>
      <c r="E375" s="143"/>
      <c r="F375" s="143"/>
      <c r="G375" s="143"/>
    </row>
    <row r="376" ht="15.75" customHeight="1">
      <c r="A376" s="247"/>
      <c r="B376" s="224"/>
      <c r="C376" s="222"/>
      <c r="D376" s="223"/>
      <c r="E376" s="143"/>
      <c r="F376" s="143"/>
      <c r="G376" s="143"/>
    </row>
    <row r="377" ht="15.75" customHeight="1">
      <c r="A377" s="247"/>
      <c r="B377" s="224"/>
      <c r="C377" s="222"/>
      <c r="D377" s="223"/>
      <c r="E377" s="143"/>
      <c r="F377" s="143"/>
      <c r="G377" s="143"/>
    </row>
    <row r="378" ht="15.75" customHeight="1">
      <c r="A378" s="247"/>
      <c r="B378" s="224"/>
      <c r="C378" s="222"/>
      <c r="D378" s="223"/>
      <c r="E378" s="143"/>
      <c r="F378" s="143"/>
      <c r="G378" s="143"/>
    </row>
    <row r="379" ht="15.75" customHeight="1">
      <c r="A379" s="247"/>
      <c r="B379" s="224"/>
      <c r="C379" s="222"/>
      <c r="D379" s="223"/>
      <c r="E379" s="143"/>
      <c r="F379" s="143"/>
      <c r="G379" s="143"/>
    </row>
    <row r="380" ht="15.75" customHeight="1">
      <c r="A380" s="247"/>
      <c r="B380" s="224"/>
      <c r="C380" s="222"/>
      <c r="D380" s="223"/>
      <c r="E380" s="143"/>
      <c r="F380" s="143"/>
      <c r="G380" s="143"/>
    </row>
    <row r="381" ht="15.75" customHeight="1">
      <c r="A381" s="247"/>
      <c r="B381" s="224"/>
      <c r="C381" s="222"/>
      <c r="D381" s="223"/>
      <c r="E381" s="143"/>
      <c r="F381" s="143"/>
      <c r="G381" s="143"/>
    </row>
    <row r="382" ht="15.75" customHeight="1">
      <c r="A382" s="247"/>
      <c r="B382" s="224"/>
      <c r="C382" s="222"/>
      <c r="D382" s="223"/>
      <c r="E382" s="143"/>
      <c r="F382" s="143"/>
      <c r="G382" s="143"/>
    </row>
    <row r="383" ht="15.75" customHeight="1">
      <c r="A383" s="247"/>
      <c r="B383" s="224"/>
      <c r="C383" s="222"/>
      <c r="D383" s="223"/>
      <c r="E383" s="143"/>
      <c r="F383" s="143"/>
      <c r="G383" s="143"/>
    </row>
    <row r="384" ht="15.75" customHeight="1">
      <c r="A384" s="247"/>
      <c r="B384" s="224"/>
      <c r="C384" s="222"/>
      <c r="D384" s="223"/>
      <c r="E384" s="143"/>
      <c r="F384" s="143"/>
      <c r="G384" s="143"/>
    </row>
    <row r="385" ht="15.75" customHeight="1">
      <c r="A385" s="247"/>
      <c r="B385" s="224"/>
      <c r="C385" s="222"/>
      <c r="D385" s="223"/>
      <c r="E385" s="143"/>
      <c r="F385" s="143"/>
      <c r="G385" s="143"/>
    </row>
    <row r="386" ht="15.75" customHeight="1">
      <c r="A386" s="247"/>
      <c r="B386" s="224"/>
      <c r="C386" s="222"/>
      <c r="D386" s="223"/>
      <c r="E386" s="143"/>
      <c r="F386" s="143"/>
      <c r="G386" s="143"/>
    </row>
    <row r="387" ht="15.75" customHeight="1">
      <c r="A387" s="247"/>
      <c r="B387" s="224"/>
      <c r="C387" s="222"/>
      <c r="D387" s="223"/>
      <c r="E387" s="143"/>
      <c r="F387" s="143"/>
      <c r="G387" s="143"/>
    </row>
    <row r="388" ht="15.75" customHeight="1">
      <c r="A388" s="247"/>
      <c r="B388" s="224"/>
      <c r="C388" s="222"/>
      <c r="D388" s="223"/>
      <c r="E388" s="143"/>
      <c r="F388" s="143"/>
      <c r="G388" s="143"/>
    </row>
    <row r="389" ht="15.75" customHeight="1">
      <c r="A389" s="247"/>
      <c r="B389" s="224"/>
      <c r="C389" s="222"/>
      <c r="D389" s="223"/>
      <c r="E389" s="143"/>
      <c r="F389" s="143"/>
      <c r="G389" s="143"/>
    </row>
    <row r="390" ht="15.75" customHeight="1">
      <c r="A390" s="247"/>
      <c r="B390" s="224"/>
      <c r="C390" s="222"/>
      <c r="D390" s="223"/>
      <c r="E390" s="143"/>
      <c r="F390" s="143"/>
      <c r="G390" s="143"/>
    </row>
    <row r="391" ht="15.75" customHeight="1">
      <c r="A391" s="247"/>
      <c r="B391" s="224"/>
      <c r="C391" s="222"/>
      <c r="D391" s="223"/>
      <c r="E391" s="143"/>
      <c r="F391" s="143"/>
      <c r="G391" s="143"/>
    </row>
    <row r="392" ht="15.75" customHeight="1">
      <c r="A392" s="247"/>
      <c r="B392" s="224"/>
      <c r="C392" s="222"/>
      <c r="D392" s="223"/>
      <c r="E392" s="143"/>
      <c r="F392" s="143"/>
      <c r="G392" s="143"/>
    </row>
    <row r="393" ht="15.75" customHeight="1">
      <c r="A393" s="247"/>
      <c r="B393" s="224"/>
      <c r="C393" s="222"/>
      <c r="D393" s="223"/>
      <c r="E393" s="143"/>
      <c r="F393" s="143"/>
      <c r="G393" s="143"/>
    </row>
    <row r="394" ht="15.75" customHeight="1">
      <c r="A394" s="247"/>
      <c r="B394" s="224"/>
      <c r="C394" s="222"/>
      <c r="D394" s="223"/>
      <c r="E394" s="143"/>
      <c r="F394" s="143"/>
      <c r="G394" s="143"/>
    </row>
    <row r="395" ht="15.75" customHeight="1">
      <c r="A395" s="247"/>
      <c r="B395" s="224"/>
      <c r="C395" s="222"/>
      <c r="D395" s="223"/>
      <c r="E395" s="143"/>
      <c r="F395" s="143"/>
      <c r="G395" s="143"/>
    </row>
    <row r="396" ht="15.75" customHeight="1">
      <c r="A396" s="247"/>
      <c r="B396" s="224"/>
      <c r="C396" s="222"/>
      <c r="D396" s="223"/>
      <c r="E396" s="143"/>
      <c r="F396" s="143"/>
      <c r="G396" s="143"/>
    </row>
    <row r="397" ht="15.75" customHeight="1">
      <c r="A397" s="247"/>
      <c r="B397" s="224"/>
      <c r="C397" s="222"/>
      <c r="D397" s="223"/>
      <c r="E397" s="143"/>
      <c r="F397" s="143"/>
      <c r="G397" s="143"/>
    </row>
    <row r="398" ht="15.75" customHeight="1">
      <c r="A398" s="247"/>
      <c r="B398" s="224"/>
      <c r="C398" s="222"/>
      <c r="D398" s="223"/>
      <c r="E398" s="143"/>
      <c r="F398" s="143"/>
      <c r="G398" s="143"/>
    </row>
    <row r="399" ht="15.75" customHeight="1">
      <c r="A399" s="247"/>
      <c r="B399" s="224"/>
      <c r="C399" s="222"/>
      <c r="D399" s="223"/>
      <c r="E399" s="143"/>
      <c r="F399" s="143"/>
      <c r="G399" s="143"/>
    </row>
    <row r="400" ht="15.75" customHeight="1">
      <c r="A400" s="247"/>
      <c r="B400" s="224"/>
      <c r="C400" s="222"/>
      <c r="D400" s="223"/>
      <c r="E400" s="143"/>
      <c r="F400" s="143"/>
      <c r="G400" s="143"/>
    </row>
    <row r="401" ht="15.75" customHeight="1">
      <c r="A401" s="247"/>
      <c r="B401" s="224"/>
      <c r="C401" s="222"/>
      <c r="D401" s="223"/>
      <c r="E401" s="143"/>
      <c r="F401" s="143"/>
      <c r="G401" s="143"/>
    </row>
    <row r="402" ht="15.75" customHeight="1">
      <c r="A402" s="247"/>
      <c r="B402" s="224"/>
      <c r="C402" s="222"/>
      <c r="D402" s="223"/>
      <c r="E402" s="143"/>
      <c r="F402" s="143"/>
      <c r="G402" s="143"/>
    </row>
    <row r="403" ht="15.75" customHeight="1">
      <c r="A403" s="247"/>
      <c r="B403" s="224"/>
      <c r="C403" s="222"/>
      <c r="D403" s="223"/>
      <c r="E403" s="143"/>
      <c r="F403" s="143"/>
      <c r="G403" s="143"/>
    </row>
    <row r="404" ht="15.75" customHeight="1">
      <c r="A404" s="247"/>
      <c r="B404" s="224"/>
      <c r="C404" s="222"/>
      <c r="D404" s="223"/>
      <c r="E404" s="143"/>
      <c r="F404" s="143"/>
      <c r="G404" s="143"/>
    </row>
    <row r="405" ht="15.75" customHeight="1">
      <c r="A405" s="247"/>
      <c r="B405" s="224"/>
      <c r="C405" s="222"/>
      <c r="D405" s="223"/>
      <c r="E405" s="143"/>
      <c r="F405" s="143"/>
      <c r="G405" s="143"/>
    </row>
    <row r="406" ht="15.75" customHeight="1">
      <c r="A406" s="247"/>
      <c r="B406" s="224"/>
      <c r="C406" s="222"/>
      <c r="D406" s="223"/>
      <c r="E406" s="143"/>
      <c r="F406" s="143"/>
      <c r="G406" s="143"/>
    </row>
    <row r="407" ht="15.75" customHeight="1">
      <c r="A407" s="247"/>
      <c r="B407" s="224"/>
      <c r="C407" s="222"/>
      <c r="D407" s="223"/>
      <c r="E407" s="143"/>
      <c r="F407" s="143"/>
      <c r="G407" s="143"/>
    </row>
    <row r="408" ht="15.75" customHeight="1">
      <c r="A408" s="247"/>
      <c r="B408" s="224"/>
      <c r="C408" s="222"/>
      <c r="D408" s="223"/>
      <c r="E408" s="143"/>
      <c r="F408" s="143"/>
      <c r="G408" s="143"/>
    </row>
    <row r="409" ht="15.75" customHeight="1">
      <c r="A409" s="247"/>
      <c r="B409" s="224"/>
      <c r="C409" s="222"/>
      <c r="D409" s="223"/>
      <c r="E409" s="143"/>
      <c r="F409" s="143"/>
      <c r="G409" s="143"/>
    </row>
    <row r="410" ht="15.75" customHeight="1">
      <c r="A410" s="247"/>
      <c r="B410" s="224"/>
      <c r="C410" s="222"/>
      <c r="D410" s="223"/>
      <c r="E410" s="143"/>
      <c r="F410" s="143"/>
      <c r="G410" s="143"/>
    </row>
    <row r="411" ht="15.75" customHeight="1">
      <c r="A411" s="247"/>
      <c r="B411" s="224"/>
      <c r="C411" s="222"/>
      <c r="D411" s="223"/>
      <c r="E411" s="143"/>
      <c r="F411" s="143"/>
      <c r="G411" s="143"/>
    </row>
    <row r="412" ht="15.75" customHeight="1">
      <c r="A412" s="247"/>
      <c r="B412" s="224"/>
      <c r="C412" s="222"/>
      <c r="D412" s="223"/>
      <c r="E412" s="143"/>
      <c r="F412" s="143"/>
      <c r="G412" s="143"/>
    </row>
    <row r="413" ht="15.75" customHeight="1">
      <c r="A413" s="247"/>
      <c r="B413" s="224"/>
      <c r="C413" s="222"/>
      <c r="D413" s="223"/>
      <c r="E413" s="143"/>
      <c r="F413" s="143"/>
      <c r="G413" s="143"/>
    </row>
    <row r="414" ht="15.75" customHeight="1">
      <c r="A414" s="247"/>
      <c r="B414" s="224"/>
      <c r="C414" s="222"/>
      <c r="D414" s="223"/>
      <c r="E414" s="143"/>
      <c r="F414" s="143"/>
      <c r="G414" s="143"/>
    </row>
    <row r="415" ht="15.75" customHeight="1">
      <c r="A415" s="247"/>
      <c r="B415" s="224"/>
      <c r="C415" s="222"/>
      <c r="D415" s="223"/>
      <c r="E415" s="143"/>
      <c r="F415" s="143"/>
      <c r="G415" s="143"/>
    </row>
    <row r="416" ht="15.75" customHeight="1">
      <c r="A416" s="247"/>
      <c r="B416" s="224"/>
      <c r="C416" s="222"/>
      <c r="D416" s="223"/>
      <c r="E416" s="143"/>
      <c r="F416" s="143"/>
      <c r="G416" s="143"/>
    </row>
    <row r="417" ht="15.75" customHeight="1">
      <c r="A417" s="247"/>
      <c r="B417" s="224"/>
      <c r="C417" s="222"/>
      <c r="D417" s="223"/>
      <c r="E417" s="143"/>
      <c r="F417" s="143"/>
      <c r="G417" s="143"/>
    </row>
    <row r="418" ht="15.75" customHeight="1">
      <c r="A418" s="247"/>
      <c r="B418" s="224"/>
      <c r="C418" s="222"/>
      <c r="D418" s="223"/>
      <c r="E418" s="143"/>
      <c r="F418" s="143"/>
      <c r="G418" s="143"/>
    </row>
    <row r="419" ht="15.75" customHeight="1">
      <c r="A419" s="247"/>
      <c r="B419" s="224"/>
      <c r="C419" s="222"/>
      <c r="D419" s="223"/>
      <c r="E419" s="143"/>
      <c r="F419" s="143"/>
      <c r="G419" s="143"/>
    </row>
    <row r="420" ht="15.75" customHeight="1">
      <c r="A420" s="247"/>
      <c r="B420" s="224"/>
      <c r="C420" s="222"/>
      <c r="D420" s="223"/>
      <c r="E420" s="143"/>
      <c r="F420" s="143"/>
      <c r="G420" s="143"/>
    </row>
    <row r="421" ht="15.75" customHeight="1">
      <c r="A421" s="247"/>
      <c r="B421" s="224"/>
      <c r="C421" s="222"/>
      <c r="D421" s="223"/>
      <c r="E421" s="143"/>
      <c r="F421" s="143"/>
      <c r="G421" s="143"/>
    </row>
    <row r="422" ht="15.75" customHeight="1">
      <c r="A422" s="247"/>
      <c r="B422" s="224"/>
      <c r="C422" s="222"/>
      <c r="D422" s="223"/>
      <c r="E422" s="143"/>
      <c r="F422" s="143"/>
      <c r="G422" s="143"/>
    </row>
    <row r="423" ht="15.75" customHeight="1">
      <c r="A423" s="247"/>
      <c r="B423" s="224"/>
      <c r="C423" s="222"/>
      <c r="D423" s="223"/>
      <c r="E423" s="143"/>
      <c r="F423" s="143"/>
      <c r="G423" s="143"/>
    </row>
    <row r="424" ht="15.75" customHeight="1">
      <c r="A424" s="247"/>
      <c r="B424" s="224"/>
      <c r="C424" s="222"/>
      <c r="D424" s="223"/>
      <c r="E424" s="143"/>
      <c r="F424" s="143"/>
      <c r="G424" s="143"/>
    </row>
    <row r="425" ht="15.75" customHeight="1">
      <c r="A425" s="247"/>
      <c r="B425" s="224"/>
      <c r="C425" s="222"/>
      <c r="D425" s="223"/>
      <c r="E425" s="143"/>
      <c r="F425" s="143"/>
      <c r="G425" s="143"/>
    </row>
    <row r="426" ht="15.75" customHeight="1">
      <c r="A426" s="247"/>
      <c r="B426" s="224"/>
      <c r="C426" s="222"/>
      <c r="D426" s="223"/>
      <c r="E426" s="143"/>
      <c r="F426" s="143"/>
      <c r="G426" s="143"/>
    </row>
    <row r="427" ht="15.75" customHeight="1">
      <c r="A427" s="247"/>
      <c r="B427" s="224"/>
      <c r="C427" s="222"/>
      <c r="D427" s="223"/>
      <c r="E427" s="143"/>
      <c r="F427" s="143"/>
      <c r="G427" s="143"/>
    </row>
    <row r="428" ht="15.75" customHeight="1">
      <c r="A428" s="247"/>
      <c r="B428" s="224"/>
      <c r="C428" s="222"/>
      <c r="D428" s="223"/>
      <c r="E428" s="143"/>
      <c r="F428" s="143"/>
      <c r="G428" s="143"/>
    </row>
    <row r="429" ht="15.75" customHeight="1">
      <c r="A429" s="247"/>
      <c r="B429" s="224"/>
      <c r="C429" s="222"/>
      <c r="D429" s="223"/>
      <c r="E429" s="143"/>
      <c r="F429" s="143"/>
      <c r="G429" s="143"/>
    </row>
    <row r="430" ht="15.75" customHeight="1">
      <c r="A430" s="247"/>
      <c r="B430" s="224"/>
      <c r="C430" s="222"/>
      <c r="D430" s="223"/>
      <c r="E430" s="143"/>
      <c r="F430" s="143"/>
      <c r="G430" s="143"/>
    </row>
    <row r="431" ht="15.75" customHeight="1">
      <c r="A431" s="247"/>
      <c r="B431" s="224"/>
      <c r="C431" s="222"/>
      <c r="D431" s="223"/>
      <c r="E431" s="143"/>
      <c r="F431" s="143"/>
      <c r="G431" s="143"/>
    </row>
    <row r="432" ht="15.75" customHeight="1">
      <c r="A432" s="247"/>
      <c r="B432" s="224"/>
      <c r="C432" s="222"/>
      <c r="D432" s="223"/>
      <c r="E432" s="143"/>
      <c r="F432" s="143"/>
      <c r="G432" s="143"/>
    </row>
    <row r="433" ht="15.75" customHeight="1">
      <c r="A433" s="247"/>
      <c r="B433" s="224"/>
      <c r="C433" s="222"/>
      <c r="D433" s="223"/>
      <c r="E433" s="143"/>
      <c r="F433" s="143"/>
      <c r="G433" s="143"/>
    </row>
    <row r="434" ht="15.75" customHeight="1">
      <c r="A434" s="247"/>
      <c r="B434" s="224"/>
      <c r="C434" s="222"/>
      <c r="D434" s="223"/>
      <c r="E434" s="143"/>
      <c r="F434" s="143"/>
      <c r="G434" s="143"/>
    </row>
    <row r="435" ht="15.75" customHeight="1">
      <c r="A435" s="247"/>
      <c r="B435" s="224"/>
      <c r="C435" s="222"/>
      <c r="D435" s="223"/>
      <c r="E435" s="143"/>
      <c r="F435" s="143"/>
      <c r="G435" s="143"/>
    </row>
    <row r="436" ht="15.75" customHeight="1">
      <c r="A436" s="247"/>
      <c r="B436" s="224"/>
      <c r="C436" s="222"/>
      <c r="D436" s="223"/>
      <c r="E436" s="143"/>
      <c r="F436" s="143"/>
      <c r="G436" s="143"/>
    </row>
    <row r="437" ht="15.75" customHeight="1">
      <c r="A437" s="247"/>
      <c r="B437" s="224"/>
      <c r="C437" s="222"/>
      <c r="D437" s="223"/>
      <c r="E437" s="143"/>
      <c r="F437" s="143"/>
      <c r="G437" s="143"/>
    </row>
    <row r="438" ht="15.75" customHeight="1">
      <c r="A438" s="247"/>
      <c r="B438" s="224"/>
      <c r="C438" s="222"/>
      <c r="D438" s="223"/>
      <c r="E438" s="143"/>
      <c r="F438" s="143"/>
      <c r="G438" s="143"/>
    </row>
    <row r="439" ht="15.75" customHeight="1">
      <c r="A439" s="247"/>
      <c r="B439" s="224"/>
      <c r="C439" s="222"/>
      <c r="D439" s="223"/>
      <c r="E439" s="143"/>
      <c r="F439" s="143"/>
      <c r="G439" s="143"/>
    </row>
    <row r="440" ht="15.75" customHeight="1">
      <c r="A440" s="247"/>
      <c r="B440" s="224"/>
      <c r="C440" s="222"/>
      <c r="D440" s="223"/>
      <c r="E440" s="143"/>
      <c r="F440" s="143"/>
      <c r="G440" s="143"/>
    </row>
    <row r="441" ht="15.75" customHeight="1">
      <c r="A441" s="247"/>
      <c r="B441" s="224"/>
      <c r="C441" s="222"/>
      <c r="D441" s="223"/>
      <c r="E441" s="143"/>
      <c r="F441" s="143"/>
      <c r="G441" s="143"/>
    </row>
    <row r="442" ht="15.75" customHeight="1">
      <c r="A442" s="247"/>
      <c r="B442" s="224"/>
      <c r="C442" s="222"/>
      <c r="D442" s="223"/>
      <c r="E442" s="143"/>
      <c r="F442" s="143"/>
      <c r="G442" s="143"/>
    </row>
    <row r="443" ht="15.75" customHeight="1">
      <c r="A443" s="247"/>
      <c r="B443" s="224"/>
      <c r="C443" s="222"/>
      <c r="D443" s="223"/>
      <c r="E443" s="143"/>
      <c r="F443" s="143"/>
      <c r="G443" s="143"/>
    </row>
    <row r="444" ht="15.75" customHeight="1">
      <c r="A444" s="247"/>
      <c r="B444" s="224"/>
      <c r="C444" s="222"/>
      <c r="D444" s="223"/>
      <c r="E444" s="143"/>
      <c r="F444" s="143"/>
      <c r="G444" s="143"/>
    </row>
    <row r="445" ht="15.75" customHeight="1">
      <c r="A445" s="247"/>
      <c r="B445" s="224"/>
      <c r="C445" s="222"/>
      <c r="D445" s="223"/>
      <c r="E445" s="143"/>
      <c r="F445" s="143"/>
      <c r="G445" s="143"/>
    </row>
    <row r="446" ht="15.75" customHeight="1">
      <c r="A446" s="247"/>
      <c r="B446" s="224"/>
      <c r="C446" s="222"/>
      <c r="D446" s="223"/>
      <c r="E446" s="143"/>
      <c r="F446" s="143"/>
      <c r="G446" s="143"/>
    </row>
    <row r="447" ht="15.75" customHeight="1">
      <c r="A447" s="247"/>
      <c r="B447" s="224"/>
      <c r="C447" s="222"/>
      <c r="D447" s="223"/>
      <c r="E447" s="143"/>
      <c r="F447" s="143"/>
      <c r="G447" s="143"/>
    </row>
    <row r="448" ht="15.75" customHeight="1">
      <c r="A448" s="247"/>
      <c r="B448" s="224"/>
      <c r="C448" s="222"/>
      <c r="D448" s="223"/>
      <c r="E448" s="143"/>
      <c r="F448" s="143"/>
      <c r="G448" s="143"/>
    </row>
    <row r="449" ht="15.75" customHeight="1">
      <c r="A449" s="247"/>
      <c r="B449" s="224"/>
      <c r="C449" s="222"/>
      <c r="D449" s="223"/>
      <c r="E449" s="143"/>
      <c r="F449" s="143"/>
      <c r="G449" s="143"/>
    </row>
    <row r="450" ht="15.75" customHeight="1">
      <c r="A450" s="247"/>
      <c r="B450" s="224"/>
      <c r="C450" s="222"/>
      <c r="D450" s="223"/>
      <c r="E450" s="143"/>
      <c r="F450" s="143"/>
      <c r="G450" s="143"/>
    </row>
    <row r="451" ht="15.75" customHeight="1">
      <c r="A451" s="247"/>
      <c r="B451" s="224"/>
      <c r="C451" s="222"/>
      <c r="D451" s="223"/>
      <c r="E451" s="143"/>
      <c r="F451" s="143"/>
      <c r="G451" s="143"/>
    </row>
    <row r="452" ht="15.75" customHeight="1">
      <c r="A452" s="247"/>
      <c r="B452" s="224"/>
      <c r="C452" s="222"/>
      <c r="D452" s="223"/>
      <c r="E452" s="143"/>
      <c r="F452" s="143"/>
      <c r="G452" s="143"/>
    </row>
    <row r="453" ht="15.75" customHeight="1">
      <c r="A453" s="247"/>
      <c r="B453" s="224"/>
      <c r="C453" s="222"/>
      <c r="D453" s="223"/>
      <c r="E453" s="143"/>
      <c r="F453" s="143"/>
      <c r="G453" s="143"/>
    </row>
    <row r="454" ht="15.75" customHeight="1">
      <c r="A454" s="247"/>
      <c r="B454" s="224"/>
      <c r="C454" s="222"/>
      <c r="D454" s="223"/>
      <c r="E454" s="143"/>
      <c r="F454" s="143"/>
      <c r="G454" s="143"/>
    </row>
    <row r="455" ht="15.75" customHeight="1">
      <c r="A455" s="247"/>
      <c r="B455" s="224"/>
      <c r="C455" s="222"/>
      <c r="D455" s="223"/>
      <c r="E455" s="143"/>
      <c r="F455" s="143"/>
      <c r="G455" s="143"/>
    </row>
    <row r="456" ht="15.75" customHeight="1">
      <c r="A456" s="247"/>
      <c r="B456" s="224"/>
      <c r="C456" s="222"/>
      <c r="D456" s="223"/>
      <c r="E456" s="143"/>
      <c r="F456" s="143"/>
      <c r="G456" s="143"/>
    </row>
    <row r="457" ht="15.75" customHeight="1">
      <c r="A457" s="247"/>
      <c r="B457" s="224"/>
      <c r="C457" s="222"/>
      <c r="D457" s="223"/>
      <c r="E457" s="143"/>
      <c r="F457" s="143"/>
      <c r="G457" s="143"/>
    </row>
    <row r="458" ht="15.75" customHeight="1">
      <c r="A458" s="247"/>
      <c r="B458" s="224"/>
      <c r="C458" s="222"/>
      <c r="D458" s="223"/>
      <c r="E458" s="143"/>
      <c r="F458" s="143"/>
      <c r="G458" s="143"/>
    </row>
    <row r="459" ht="15.75" customHeight="1">
      <c r="A459" s="247"/>
      <c r="B459" s="224"/>
      <c r="C459" s="222"/>
      <c r="D459" s="223"/>
      <c r="E459" s="143"/>
      <c r="F459" s="143"/>
      <c r="G459" s="143"/>
    </row>
    <row r="460" ht="15.75" customHeight="1">
      <c r="A460" s="247"/>
      <c r="B460" s="224"/>
      <c r="C460" s="222"/>
      <c r="D460" s="223"/>
      <c r="E460" s="143"/>
      <c r="F460" s="143"/>
      <c r="G460" s="143"/>
    </row>
    <row r="461" ht="15.75" customHeight="1">
      <c r="A461" s="247"/>
      <c r="B461" s="224"/>
      <c r="C461" s="222"/>
      <c r="D461" s="223"/>
      <c r="E461" s="143"/>
      <c r="F461" s="143"/>
      <c r="G461" s="143"/>
    </row>
    <row r="462" ht="15.75" customHeight="1">
      <c r="A462" s="247"/>
      <c r="B462" s="224"/>
      <c r="C462" s="222"/>
      <c r="D462" s="223"/>
      <c r="E462" s="143"/>
      <c r="F462" s="143"/>
      <c r="G462" s="143"/>
    </row>
    <row r="463" ht="15.75" customHeight="1">
      <c r="A463" s="247"/>
      <c r="B463" s="224"/>
      <c r="C463" s="222"/>
      <c r="D463" s="223"/>
      <c r="E463" s="143"/>
      <c r="F463" s="143"/>
      <c r="G463" s="143"/>
    </row>
    <row r="464" ht="15.75" customHeight="1">
      <c r="A464" s="247"/>
      <c r="B464" s="224"/>
      <c r="C464" s="222"/>
      <c r="D464" s="223"/>
      <c r="E464" s="143"/>
      <c r="F464" s="143"/>
      <c r="G464" s="143"/>
    </row>
    <row r="465" ht="15.75" customHeight="1">
      <c r="A465" s="247"/>
      <c r="B465" s="224"/>
      <c r="C465" s="222"/>
      <c r="D465" s="223"/>
      <c r="E465" s="143"/>
      <c r="F465" s="143"/>
      <c r="G465" s="143"/>
    </row>
    <row r="466" ht="15.75" customHeight="1">
      <c r="A466" s="247"/>
      <c r="B466" s="224"/>
      <c r="C466" s="222"/>
      <c r="D466" s="223"/>
      <c r="E466" s="143"/>
      <c r="F466" s="143"/>
      <c r="G466" s="143"/>
    </row>
    <row r="467" ht="15.75" customHeight="1">
      <c r="A467" s="247"/>
      <c r="B467" s="224"/>
      <c r="C467" s="222"/>
      <c r="D467" s="223"/>
      <c r="E467" s="143"/>
      <c r="F467" s="143"/>
      <c r="G467" s="143"/>
    </row>
    <row r="468" ht="15.75" customHeight="1">
      <c r="A468" s="247"/>
      <c r="B468" s="224"/>
      <c r="C468" s="222"/>
      <c r="D468" s="223"/>
      <c r="E468" s="143"/>
      <c r="F468" s="143"/>
      <c r="G468" s="143"/>
    </row>
    <row r="469" ht="15.75" customHeight="1">
      <c r="A469" s="247"/>
      <c r="B469" s="224"/>
      <c r="C469" s="222"/>
      <c r="D469" s="223"/>
      <c r="E469" s="143"/>
      <c r="F469" s="143"/>
      <c r="G469" s="143"/>
    </row>
    <row r="470" ht="15.75" customHeight="1">
      <c r="A470" s="247"/>
      <c r="B470" s="224"/>
      <c r="C470" s="222"/>
      <c r="D470" s="223"/>
      <c r="E470" s="143"/>
      <c r="F470" s="143"/>
      <c r="G470" s="143"/>
    </row>
    <row r="471" ht="15.75" customHeight="1">
      <c r="A471" s="247"/>
      <c r="B471" s="224"/>
      <c r="C471" s="222"/>
      <c r="D471" s="223"/>
      <c r="E471" s="143"/>
      <c r="F471" s="143"/>
      <c r="G471" s="143"/>
    </row>
    <row r="472" ht="15.75" customHeight="1">
      <c r="A472" s="247"/>
      <c r="B472" s="224"/>
      <c r="C472" s="222"/>
      <c r="D472" s="223"/>
      <c r="E472" s="143"/>
      <c r="F472" s="143"/>
      <c r="G472" s="143"/>
    </row>
    <row r="473" ht="15.75" customHeight="1">
      <c r="A473" s="247"/>
      <c r="B473" s="224"/>
      <c r="C473" s="222"/>
      <c r="D473" s="223"/>
      <c r="E473" s="143"/>
      <c r="F473" s="143"/>
      <c r="G473" s="143"/>
    </row>
    <row r="474" ht="15.75" customHeight="1">
      <c r="A474" s="247"/>
      <c r="B474" s="224"/>
      <c r="C474" s="222"/>
      <c r="D474" s="223"/>
      <c r="E474" s="143"/>
      <c r="F474" s="143"/>
      <c r="G474" s="143"/>
    </row>
    <row r="475" ht="15.75" customHeight="1">
      <c r="A475" s="247"/>
      <c r="B475" s="224"/>
      <c r="C475" s="222"/>
      <c r="D475" s="223"/>
      <c r="E475" s="143"/>
      <c r="F475" s="143"/>
      <c r="G475" s="143"/>
    </row>
    <row r="476" ht="15.75" customHeight="1">
      <c r="A476" s="247"/>
      <c r="B476" s="224"/>
      <c r="C476" s="222"/>
      <c r="D476" s="223"/>
      <c r="E476" s="143"/>
      <c r="F476" s="143"/>
      <c r="G476" s="143"/>
    </row>
    <row r="477" ht="15.75" customHeight="1">
      <c r="A477" s="247"/>
      <c r="B477" s="224"/>
      <c r="C477" s="222"/>
      <c r="D477" s="223"/>
      <c r="E477" s="143"/>
      <c r="F477" s="143"/>
      <c r="G477" s="143"/>
    </row>
    <row r="478" ht="15.75" customHeight="1">
      <c r="A478" s="247"/>
      <c r="B478" s="224"/>
      <c r="C478" s="222"/>
      <c r="D478" s="223"/>
      <c r="E478" s="143"/>
      <c r="F478" s="143"/>
      <c r="G478" s="143"/>
    </row>
    <row r="479" ht="15.75" customHeight="1">
      <c r="A479" s="247"/>
      <c r="B479" s="224"/>
      <c r="C479" s="222"/>
      <c r="D479" s="223"/>
      <c r="E479" s="143"/>
      <c r="F479" s="143"/>
      <c r="G479" s="143"/>
    </row>
    <row r="480" ht="15.75" customHeight="1">
      <c r="A480" s="247"/>
      <c r="B480" s="224"/>
      <c r="C480" s="222"/>
      <c r="D480" s="223"/>
      <c r="E480" s="143"/>
      <c r="F480" s="143"/>
      <c r="G480" s="143"/>
    </row>
    <row r="481" ht="15.75" customHeight="1">
      <c r="A481" s="247"/>
      <c r="B481" s="224"/>
      <c r="C481" s="222"/>
      <c r="D481" s="223"/>
      <c r="E481" s="143"/>
      <c r="F481" s="143"/>
      <c r="G481" s="143"/>
    </row>
    <row r="482" ht="15.75" customHeight="1">
      <c r="A482" s="247"/>
      <c r="B482" s="224"/>
      <c r="C482" s="222"/>
      <c r="D482" s="223"/>
      <c r="E482" s="143"/>
      <c r="F482" s="143"/>
      <c r="G482" s="143"/>
    </row>
    <row r="483" ht="15.75" customHeight="1">
      <c r="A483" s="247"/>
      <c r="B483" s="224"/>
      <c r="C483" s="222"/>
      <c r="D483" s="223"/>
      <c r="E483" s="143"/>
      <c r="F483" s="143"/>
      <c r="G483" s="143"/>
    </row>
    <row r="484" ht="15.75" customHeight="1">
      <c r="A484" s="247"/>
      <c r="B484" s="224"/>
      <c r="C484" s="222"/>
      <c r="D484" s="223"/>
      <c r="E484" s="143"/>
      <c r="F484" s="143"/>
      <c r="G484" s="143"/>
    </row>
    <row r="485" ht="15.75" customHeight="1">
      <c r="A485" s="247"/>
      <c r="B485" s="224"/>
      <c r="C485" s="222"/>
      <c r="D485" s="223"/>
      <c r="E485" s="143"/>
      <c r="F485" s="143"/>
      <c r="G485" s="143"/>
    </row>
    <row r="486" ht="15.75" customHeight="1">
      <c r="A486" s="247"/>
      <c r="B486" s="224"/>
      <c r="C486" s="222"/>
      <c r="D486" s="223"/>
      <c r="E486" s="143"/>
      <c r="F486" s="143"/>
      <c r="G486" s="143"/>
    </row>
    <row r="487" ht="15.75" customHeight="1">
      <c r="A487" s="247"/>
      <c r="B487" s="224"/>
      <c r="C487" s="222"/>
      <c r="D487" s="223"/>
      <c r="E487" s="143"/>
      <c r="F487" s="143"/>
      <c r="G487" s="143"/>
    </row>
    <row r="488" ht="15.75" customHeight="1">
      <c r="A488" s="247"/>
      <c r="B488" s="224"/>
      <c r="C488" s="222"/>
      <c r="D488" s="223"/>
      <c r="E488" s="143"/>
      <c r="F488" s="143"/>
      <c r="G488" s="143"/>
    </row>
    <row r="489" ht="15.75" customHeight="1">
      <c r="A489" s="247"/>
      <c r="B489" s="224"/>
      <c r="C489" s="222"/>
      <c r="D489" s="223"/>
      <c r="E489" s="143"/>
      <c r="F489" s="143"/>
      <c r="G489" s="143"/>
    </row>
    <row r="490" ht="15.75" customHeight="1">
      <c r="A490" s="247"/>
      <c r="B490" s="224"/>
      <c r="C490" s="222"/>
      <c r="D490" s="223"/>
      <c r="E490" s="143"/>
      <c r="F490" s="143"/>
      <c r="G490" s="143"/>
    </row>
    <row r="491" ht="15.75" customHeight="1">
      <c r="A491" s="247"/>
      <c r="B491" s="224"/>
      <c r="C491" s="222"/>
      <c r="D491" s="223"/>
      <c r="E491" s="143"/>
      <c r="F491" s="143"/>
      <c r="G491" s="143"/>
    </row>
    <row r="492" ht="15.75" customHeight="1">
      <c r="A492" s="247"/>
      <c r="B492" s="224"/>
      <c r="C492" s="222"/>
      <c r="D492" s="223"/>
      <c r="E492" s="143"/>
      <c r="F492" s="143"/>
      <c r="G492" s="143"/>
    </row>
    <row r="493" ht="15.75" customHeight="1">
      <c r="A493" s="247"/>
      <c r="B493" s="224"/>
      <c r="C493" s="222"/>
      <c r="D493" s="223"/>
      <c r="E493" s="143"/>
      <c r="F493" s="143"/>
      <c r="G493" s="143"/>
    </row>
    <row r="494" ht="15.75" customHeight="1">
      <c r="A494" s="247"/>
      <c r="B494" s="224"/>
      <c r="C494" s="222"/>
      <c r="D494" s="223"/>
      <c r="E494" s="143"/>
      <c r="F494" s="143"/>
      <c r="G494" s="143"/>
    </row>
    <row r="495" ht="15.75" customHeight="1">
      <c r="A495" s="247"/>
      <c r="B495" s="224"/>
      <c r="C495" s="222"/>
      <c r="D495" s="223"/>
      <c r="E495" s="143"/>
      <c r="F495" s="143"/>
      <c r="G495" s="143"/>
    </row>
    <row r="496" ht="15.75" customHeight="1">
      <c r="A496" s="247"/>
      <c r="B496" s="224"/>
      <c r="C496" s="222"/>
      <c r="D496" s="223"/>
      <c r="E496" s="143"/>
      <c r="F496" s="143"/>
      <c r="G496" s="143"/>
    </row>
    <row r="497" ht="15.75" customHeight="1">
      <c r="A497" s="247"/>
      <c r="B497" s="224"/>
      <c r="C497" s="222"/>
      <c r="D497" s="223"/>
      <c r="E497" s="143"/>
      <c r="F497" s="143"/>
      <c r="G497" s="143"/>
    </row>
    <row r="498" ht="15.75" customHeight="1">
      <c r="A498" s="247"/>
      <c r="B498" s="224"/>
      <c r="C498" s="222"/>
      <c r="D498" s="223"/>
      <c r="E498" s="143"/>
      <c r="F498" s="143"/>
      <c r="G498" s="143"/>
    </row>
    <row r="499" ht="15.75" customHeight="1">
      <c r="A499" s="247"/>
      <c r="B499" s="224"/>
      <c r="C499" s="222"/>
      <c r="D499" s="223"/>
      <c r="E499" s="143"/>
      <c r="F499" s="143"/>
      <c r="G499" s="143"/>
    </row>
    <row r="500" ht="15.75" customHeight="1">
      <c r="A500" s="247"/>
      <c r="B500" s="224"/>
      <c r="C500" s="222"/>
      <c r="D500" s="223"/>
      <c r="E500" s="143"/>
      <c r="F500" s="143"/>
      <c r="G500" s="143"/>
    </row>
    <row r="501" ht="15.75" customHeight="1">
      <c r="A501" s="247"/>
      <c r="B501" s="224"/>
      <c r="C501" s="222"/>
      <c r="D501" s="223"/>
      <c r="E501" s="143"/>
      <c r="F501" s="143"/>
      <c r="G501" s="143"/>
    </row>
    <row r="502" ht="15.75" customHeight="1">
      <c r="A502" s="247"/>
      <c r="B502" s="224"/>
      <c r="C502" s="222"/>
      <c r="D502" s="223"/>
      <c r="E502" s="143"/>
      <c r="F502" s="143"/>
      <c r="G502" s="143"/>
    </row>
    <row r="503" ht="15.75" customHeight="1">
      <c r="A503" s="247"/>
      <c r="B503" s="224"/>
      <c r="C503" s="222"/>
      <c r="D503" s="223"/>
      <c r="E503" s="143"/>
      <c r="F503" s="143"/>
      <c r="G503" s="143"/>
    </row>
    <row r="504" ht="15.75" customHeight="1">
      <c r="A504" s="247"/>
      <c r="B504" s="224"/>
      <c r="C504" s="222"/>
      <c r="D504" s="223"/>
      <c r="E504" s="143"/>
      <c r="F504" s="143"/>
      <c r="G504" s="143"/>
    </row>
    <row r="505" ht="15.75" customHeight="1">
      <c r="A505" s="247"/>
      <c r="B505" s="224"/>
      <c r="C505" s="222"/>
      <c r="D505" s="223"/>
      <c r="E505" s="143"/>
      <c r="F505" s="143"/>
      <c r="G505" s="143"/>
    </row>
    <row r="506" ht="15.75" customHeight="1">
      <c r="A506" s="247"/>
      <c r="B506" s="224"/>
      <c r="C506" s="222"/>
      <c r="D506" s="223"/>
      <c r="E506" s="143"/>
      <c r="F506" s="143"/>
      <c r="G506" s="143"/>
    </row>
    <row r="507" ht="15.75" customHeight="1">
      <c r="A507" s="247"/>
      <c r="B507" s="224"/>
      <c r="C507" s="222"/>
      <c r="D507" s="223"/>
      <c r="E507" s="143"/>
      <c r="F507" s="143"/>
      <c r="G507" s="143"/>
    </row>
    <row r="508" ht="15.75" customHeight="1">
      <c r="A508" s="247"/>
      <c r="B508" s="224"/>
      <c r="C508" s="222"/>
      <c r="D508" s="223"/>
      <c r="E508" s="143"/>
      <c r="F508" s="143"/>
      <c r="G508" s="143"/>
    </row>
    <row r="509" ht="15.75" customHeight="1">
      <c r="A509" s="247"/>
      <c r="B509" s="224"/>
      <c r="C509" s="222"/>
      <c r="D509" s="223"/>
      <c r="E509" s="143"/>
      <c r="F509" s="143"/>
      <c r="G509" s="143"/>
    </row>
    <row r="510" ht="15.75" customHeight="1">
      <c r="A510" s="247"/>
      <c r="B510" s="224"/>
      <c r="C510" s="222"/>
      <c r="D510" s="223"/>
      <c r="E510" s="143"/>
      <c r="F510" s="143"/>
      <c r="G510" s="143"/>
    </row>
    <row r="511" ht="15.75" customHeight="1">
      <c r="A511" s="247"/>
      <c r="B511" s="224"/>
      <c r="C511" s="222"/>
      <c r="D511" s="223"/>
      <c r="E511" s="143"/>
      <c r="F511" s="143"/>
      <c r="G511" s="143"/>
    </row>
    <row r="512" ht="15.75" customHeight="1">
      <c r="A512" s="247"/>
      <c r="B512" s="224"/>
      <c r="C512" s="222"/>
      <c r="D512" s="223"/>
      <c r="E512" s="143"/>
      <c r="F512" s="143"/>
      <c r="G512" s="143"/>
    </row>
    <row r="513" ht="15.75" customHeight="1">
      <c r="A513" s="247"/>
      <c r="B513" s="224"/>
      <c r="C513" s="222"/>
      <c r="D513" s="223"/>
      <c r="E513" s="143"/>
      <c r="F513" s="143"/>
      <c r="G513" s="143"/>
    </row>
    <row r="514" ht="15.75" customHeight="1">
      <c r="A514" s="247"/>
      <c r="B514" s="224"/>
      <c r="C514" s="222"/>
      <c r="D514" s="223"/>
      <c r="E514" s="143"/>
      <c r="F514" s="143"/>
      <c r="G514" s="143"/>
    </row>
    <row r="515" ht="15.75" customHeight="1">
      <c r="A515" s="247"/>
      <c r="B515" s="224"/>
      <c r="C515" s="222"/>
      <c r="D515" s="223"/>
      <c r="E515" s="143"/>
      <c r="F515" s="143"/>
      <c r="G515" s="143"/>
    </row>
    <row r="516" ht="15.75" customHeight="1">
      <c r="A516" s="247"/>
      <c r="B516" s="224"/>
      <c r="C516" s="222"/>
      <c r="D516" s="223"/>
      <c r="E516" s="143"/>
      <c r="F516" s="143"/>
      <c r="G516" s="143"/>
    </row>
    <row r="517" ht="15.75" customHeight="1">
      <c r="A517" s="247"/>
      <c r="B517" s="224"/>
      <c r="C517" s="222"/>
      <c r="D517" s="223"/>
      <c r="E517" s="143"/>
      <c r="F517" s="143"/>
      <c r="G517" s="143"/>
    </row>
    <row r="518" ht="15.75" customHeight="1">
      <c r="A518" s="247"/>
      <c r="B518" s="224"/>
      <c r="C518" s="222"/>
      <c r="D518" s="223"/>
      <c r="E518" s="143"/>
      <c r="F518" s="143"/>
      <c r="G518" s="143"/>
    </row>
    <row r="519" ht="15.75" customHeight="1">
      <c r="A519" s="247"/>
      <c r="B519" s="224"/>
      <c r="C519" s="222"/>
      <c r="D519" s="223"/>
      <c r="E519" s="143"/>
      <c r="F519" s="143"/>
      <c r="G519" s="143"/>
    </row>
    <row r="520" ht="15.75" customHeight="1">
      <c r="A520" s="247"/>
      <c r="B520" s="224"/>
      <c r="C520" s="222"/>
      <c r="D520" s="223"/>
      <c r="E520" s="143"/>
      <c r="F520" s="143"/>
      <c r="G520" s="143"/>
    </row>
    <row r="521" ht="15.75" customHeight="1">
      <c r="A521" s="247"/>
      <c r="B521" s="224"/>
      <c r="C521" s="222"/>
      <c r="D521" s="223"/>
      <c r="E521" s="143"/>
      <c r="F521" s="143"/>
      <c r="G521" s="143"/>
    </row>
    <row r="522" ht="15.75" customHeight="1">
      <c r="A522" s="247"/>
      <c r="B522" s="224"/>
      <c r="C522" s="222"/>
      <c r="D522" s="223"/>
      <c r="E522" s="143"/>
      <c r="F522" s="143"/>
      <c r="G522" s="143"/>
    </row>
    <row r="523" ht="15.75" customHeight="1">
      <c r="A523" s="247"/>
      <c r="B523" s="224"/>
      <c r="C523" s="222"/>
      <c r="D523" s="223"/>
      <c r="E523" s="143"/>
      <c r="F523" s="143"/>
      <c r="G523" s="143"/>
    </row>
    <row r="524" ht="15.75" customHeight="1">
      <c r="A524" s="247"/>
      <c r="B524" s="224"/>
      <c r="C524" s="222"/>
      <c r="D524" s="223"/>
      <c r="E524" s="143"/>
      <c r="F524" s="143"/>
      <c r="G524" s="143"/>
    </row>
    <row r="525" ht="15.75" customHeight="1">
      <c r="A525" s="247"/>
      <c r="B525" s="224"/>
      <c r="C525" s="222"/>
      <c r="D525" s="223"/>
      <c r="E525" s="143"/>
      <c r="F525" s="143"/>
      <c r="G525" s="143"/>
    </row>
    <row r="526" ht="15.75" customHeight="1">
      <c r="A526" s="247"/>
      <c r="B526" s="224"/>
      <c r="C526" s="222"/>
      <c r="D526" s="223"/>
      <c r="E526" s="143"/>
      <c r="F526" s="143"/>
      <c r="G526" s="143"/>
    </row>
    <row r="527" ht="15.75" customHeight="1">
      <c r="A527" s="247"/>
      <c r="B527" s="224"/>
      <c r="C527" s="222"/>
      <c r="D527" s="223"/>
      <c r="E527" s="143"/>
      <c r="F527" s="143"/>
      <c r="G527" s="143"/>
    </row>
    <row r="528" ht="15.75" customHeight="1">
      <c r="A528" s="247"/>
      <c r="B528" s="224"/>
      <c r="C528" s="222"/>
      <c r="D528" s="223"/>
      <c r="E528" s="143"/>
      <c r="F528" s="143"/>
      <c r="G528" s="143"/>
    </row>
    <row r="529" ht="15.75" customHeight="1">
      <c r="A529" s="247"/>
      <c r="B529" s="224"/>
      <c r="C529" s="222"/>
      <c r="D529" s="223"/>
      <c r="E529" s="143"/>
      <c r="F529" s="143"/>
      <c r="G529" s="143"/>
    </row>
    <row r="530" ht="15.75" customHeight="1">
      <c r="A530" s="247"/>
      <c r="B530" s="224"/>
      <c r="C530" s="222"/>
      <c r="D530" s="223"/>
      <c r="E530" s="143"/>
      <c r="F530" s="143"/>
      <c r="G530" s="143"/>
    </row>
    <row r="531" ht="15.75" customHeight="1">
      <c r="A531" s="247"/>
      <c r="B531" s="224"/>
      <c r="C531" s="222"/>
      <c r="D531" s="223"/>
      <c r="E531" s="143"/>
      <c r="F531" s="143"/>
      <c r="G531" s="143"/>
    </row>
    <row r="532" ht="15.75" customHeight="1">
      <c r="A532" s="247"/>
      <c r="B532" s="224"/>
      <c r="C532" s="222"/>
      <c r="D532" s="223"/>
      <c r="E532" s="143"/>
      <c r="F532" s="143"/>
      <c r="G532" s="143"/>
    </row>
    <row r="533" ht="15.75" customHeight="1">
      <c r="A533" s="247"/>
      <c r="B533" s="224"/>
      <c r="C533" s="222"/>
      <c r="D533" s="223"/>
      <c r="E533" s="143"/>
      <c r="F533" s="143"/>
      <c r="G533" s="143"/>
    </row>
    <row r="534" ht="15.75" customHeight="1">
      <c r="A534" s="247"/>
      <c r="B534" s="224"/>
      <c r="C534" s="222"/>
      <c r="D534" s="223"/>
      <c r="E534" s="143"/>
      <c r="F534" s="143"/>
      <c r="G534" s="143"/>
    </row>
    <row r="535" ht="15.75" customHeight="1">
      <c r="A535" s="247"/>
      <c r="B535" s="224"/>
      <c r="C535" s="222"/>
      <c r="D535" s="223"/>
      <c r="E535" s="143"/>
      <c r="F535" s="143"/>
      <c r="G535" s="143"/>
    </row>
    <row r="536" ht="15.75" customHeight="1">
      <c r="A536" s="247"/>
      <c r="B536" s="224"/>
      <c r="C536" s="222"/>
      <c r="D536" s="223"/>
      <c r="E536" s="143"/>
      <c r="F536" s="143"/>
      <c r="G536" s="143"/>
    </row>
    <row r="537" ht="15.75" customHeight="1">
      <c r="A537" s="247"/>
      <c r="B537" s="224"/>
      <c r="C537" s="222"/>
      <c r="D537" s="223"/>
      <c r="E537" s="143"/>
      <c r="F537" s="143"/>
      <c r="G537" s="143"/>
    </row>
    <row r="538" ht="15.75" customHeight="1">
      <c r="A538" s="247"/>
      <c r="B538" s="224"/>
      <c r="C538" s="222"/>
      <c r="D538" s="223"/>
      <c r="E538" s="143"/>
      <c r="F538" s="143"/>
      <c r="G538" s="143"/>
    </row>
    <row r="539" ht="15.75" customHeight="1">
      <c r="A539" s="247"/>
      <c r="B539" s="224"/>
      <c r="C539" s="222"/>
      <c r="D539" s="223"/>
      <c r="E539" s="143"/>
      <c r="F539" s="143"/>
      <c r="G539" s="143"/>
    </row>
    <row r="540" ht="15.75" customHeight="1">
      <c r="A540" s="247"/>
      <c r="B540" s="224"/>
      <c r="C540" s="222"/>
      <c r="D540" s="223"/>
      <c r="E540" s="143"/>
      <c r="F540" s="143"/>
      <c r="G540" s="143"/>
    </row>
    <row r="541" ht="15.75" customHeight="1">
      <c r="A541" s="247"/>
      <c r="B541" s="224"/>
      <c r="C541" s="222"/>
      <c r="D541" s="223"/>
      <c r="E541" s="143"/>
      <c r="F541" s="143"/>
      <c r="G541" s="143"/>
    </row>
    <row r="542" ht="15.75" customHeight="1">
      <c r="A542" s="247"/>
      <c r="B542" s="224"/>
      <c r="C542" s="222"/>
      <c r="D542" s="223"/>
      <c r="E542" s="143"/>
      <c r="F542" s="143"/>
      <c r="G542" s="143"/>
    </row>
    <row r="543" ht="15.75" customHeight="1">
      <c r="A543" s="247"/>
      <c r="B543" s="224"/>
      <c r="C543" s="222"/>
      <c r="D543" s="223"/>
      <c r="E543" s="143"/>
      <c r="F543" s="143"/>
      <c r="G543" s="143"/>
    </row>
    <row r="544" ht="15.75" customHeight="1">
      <c r="A544" s="247"/>
      <c r="B544" s="224"/>
      <c r="C544" s="222"/>
      <c r="D544" s="223"/>
      <c r="E544" s="143"/>
      <c r="F544" s="143"/>
      <c r="G544" s="143"/>
    </row>
    <row r="545" ht="15.75" customHeight="1">
      <c r="A545" s="247"/>
      <c r="B545" s="224"/>
      <c r="C545" s="222"/>
      <c r="D545" s="223"/>
      <c r="E545" s="143"/>
      <c r="F545" s="143"/>
      <c r="G545" s="143"/>
    </row>
    <row r="546" ht="15.75" customHeight="1">
      <c r="A546" s="247"/>
      <c r="B546" s="224"/>
      <c r="C546" s="222"/>
      <c r="D546" s="223"/>
      <c r="E546" s="143"/>
      <c r="F546" s="143"/>
      <c r="G546" s="143"/>
    </row>
    <row r="547" ht="15.75" customHeight="1">
      <c r="A547" s="247"/>
      <c r="B547" s="224"/>
      <c r="C547" s="222"/>
      <c r="D547" s="223"/>
      <c r="E547" s="143"/>
      <c r="F547" s="143"/>
      <c r="G547" s="143"/>
    </row>
    <row r="548" ht="15.75" customHeight="1">
      <c r="A548" s="247"/>
      <c r="B548" s="224"/>
      <c r="C548" s="222"/>
      <c r="D548" s="223"/>
      <c r="E548" s="143"/>
      <c r="F548" s="143"/>
      <c r="G548" s="143"/>
    </row>
    <row r="549" ht="15.75" customHeight="1">
      <c r="A549" s="247"/>
      <c r="B549" s="224"/>
      <c r="C549" s="222"/>
      <c r="D549" s="223"/>
      <c r="E549" s="143"/>
      <c r="F549" s="143"/>
      <c r="G549" s="143"/>
    </row>
    <row r="550" ht="15.75" customHeight="1">
      <c r="A550" s="247"/>
      <c r="B550" s="224"/>
      <c r="C550" s="222"/>
      <c r="D550" s="223"/>
      <c r="E550" s="143"/>
      <c r="F550" s="143"/>
      <c r="G550" s="143"/>
    </row>
    <row r="551" ht="15.75" customHeight="1">
      <c r="A551" s="247"/>
      <c r="B551" s="224"/>
      <c r="C551" s="222"/>
      <c r="D551" s="223"/>
      <c r="E551" s="143"/>
      <c r="F551" s="143"/>
      <c r="G551" s="143"/>
    </row>
    <row r="552" ht="15.75" customHeight="1">
      <c r="A552" s="247"/>
      <c r="B552" s="224"/>
      <c r="C552" s="222"/>
      <c r="D552" s="223"/>
      <c r="E552" s="143"/>
      <c r="F552" s="143"/>
      <c r="G552" s="143"/>
    </row>
    <row r="553" ht="15.75" customHeight="1">
      <c r="A553" s="247"/>
      <c r="B553" s="224"/>
      <c r="C553" s="222"/>
      <c r="D553" s="223"/>
      <c r="E553" s="143"/>
      <c r="F553" s="143"/>
      <c r="G553" s="143"/>
    </row>
    <row r="554" ht="15.75" customHeight="1">
      <c r="A554" s="247"/>
      <c r="B554" s="224"/>
      <c r="C554" s="222"/>
      <c r="D554" s="223"/>
      <c r="E554" s="143"/>
      <c r="F554" s="143"/>
      <c r="G554" s="143"/>
    </row>
    <row r="555" ht="15.75" customHeight="1">
      <c r="A555" s="247"/>
      <c r="B555" s="224"/>
      <c r="C555" s="222"/>
      <c r="D555" s="223"/>
      <c r="E555" s="143"/>
      <c r="F555" s="143"/>
      <c r="G555" s="143"/>
    </row>
    <row r="556" ht="15.75" customHeight="1">
      <c r="A556" s="247"/>
      <c r="B556" s="224"/>
      <c r="C556" s="222"/>
      <c r="D556" s="223"/>
      <c r="E556" s="143"/>
      <c r="F556" s="143"/>
      <c r="G556" s="143"/>
    </row>
    <row r="557" ht="15.75" customHeight="1">
      <c r="A557" s="247"/>
      <c r="B557" s="224"/>
      <c r="C557" s="222"/>
      <c r="D557" s="223"/>
      <c r="E557" s="143"/>
      <c r="F557" s="143"/>
      <c r="G557" s="143"/>
    </row>
    <row r="558" ht="15.75" customHeight="1">
      <c r="A558" s="247"/>
      <c r="B558" s="224"/>
      <c r="C558" s="222"/>
      <c r="D558" s="223"/>
      <c r="E558" s="143"/>
      <c r="F558" s="143"/>
      <c r="G558" s="143"/>
    </row>
    <row r="559" ht="15.75" customHeight="1">
      <c r="A559" s="247"/>
      <c r="B559" s="224"/>
      <c r="C559" s="222"/>
      <c r="D559" s="223"/>
      <c r="E559" s="143"/>
      <c r="F559" s="143"/>
      <c r="G559" s="143"/>
    </row>
    <row r="560" ht="15.75" customHeight="1">
      <c r="A560" s="247"/>
      <c r="B560" s="224"/>
      <c r="C560" s="222"/>
      <c r="D560" s="223"/>
      <c r="E560" s="143"/>
      <c r="F560" s="143"/>
      <c r="G560" s="143"/>
    </row>
    <row r="561" ht="15.75" customHeight="1">
      <c r="A561" s="247"/>
      <c r="B561" s="224"/>
      <c r="C561" s="222"/>
      <c r="D561" s="223"/>
      <c r="E561" s="143"/>
      <c r="F561" s="143"/>
      <c r="G561" s="143"/>
    </row>
    <row r="562" ht="15.75" customHeight="1">
      <c r="A562" s="247"/>
      <c r="B562" s="224"/>
      <c r="C562" s="222"/>
      <c r="D562" s="223"/>
      <c r="E562" s="143"/>
      <c r="F562" s="143"/>
      <c r="G562" s="143"/>
    </row>
    <row r="563" ht="15.75" customHeight="1">
      <c r="A563" s="247"/>
      <c r="B563" s="224"/>
      <c r="C563" s="222"/>
      <c r="D563" s="223"/>
      <c r="E563" s="143"/>
      <c r="F563" s="143"/>
      <c r="G563" s="143"/>
    </row>
    <row r="564" ht="15.75" customHeight="1">
      <c r="A564" s="247"/>
      <c r="B564" s="224"/>
      <c r="C564" s="222"/>
      <c r="D564" s="223"/>
      <c r="E564" s="143"/>
      <c r="F564" s="143"/>
      <c r="G564" s="143"/>
    </row>
    <row r="565" ht="15.75" customHeight="1">
      <c r="A565" s="247"/>
      <c r="B565" s="224"/>
      <c r="C565" s="222"/>
      <c r="D565" s="223"/>
      <c r="E565" s="143"/>
      <c r="F565" s="143"/>
      <c r="G565" s="143"/>
    </row>
    <row r="566" ht="15.75" customHeight="1">
      <c r="A566" s="247"/>
      <c r="B566" s="224"/>
      <c r="C566" s="222"/>
      <c r="D566" s="223"/>
      <c r="E566" s="143"/>
      <c r="F566" s="143"/>
      <c r="G566" s="143"/>
    </row>
    <row r="567" ht="15.75" customHeight="1">
      <c r="A567" s="247"/>
      <c r="B567" s="224"/>
      <c r="C567" s="222"/>
      <c r="D567" s="223"/>
      <c r="E567" s="143"/>
      <c r="F567" s="143"/>
      <c r="G567" s="143"/>
    </row>
    <row r="568" ht="15.75" customHeight="1">
      <c r="A568" s="247"/>
      <c r="B568" s="224"/>
      <c r="C568" s="222"/>
      <c r="D568" s="223"/>
      <c r="E568" s="143"/>
      <c r="F568" s="143"/>
      <c r="G568" s="143"/>
    </row>
    <row r="569" ht="15.75" customHeight="1">
      <c r="A569" s="247"/>
      <c r="B569" s="224"/>
      <c r="C569" s="222"/>
      <c r="D569" s="223"/>
      <c r="E569" s="143"/>
      <c r="F569" s="143"/>
      <c r="G569" s="143"/>
    </row>
    <row r="570" ht="15.75" customHeight="1">
      <c r="A570" s="247"/>
      <c r="B570" s="224"/>
      <c r="C570" s="222"/>
      <c r="D570" s="223"/>
      <c r="E570" s="143"/>
      <c r="F570" s="143"/>
      <c r="G570" s="143"/>
    </row>
    <row r="571" ht="15.75" customHeight="1">
      <c r="A571" s="247"/>
      <c r="B571" s="224"/>
      <c r="C571" s="222"/>
      <c r="D571" s="223"/>
      <c r="E571" s="143"/>
      <c r="F571" s="143"/>
      <c r="G571" s="143"/>
    </row>
    <row r="572" ht="15.75" customHeight="1">
      <c r="A572" s="247"/>
      <c r="B572" s="224"/>
      <c r="C572" s="222"/>
      <c r="D572" s="223"/>
      <c r="E572" s="143"/>
      <c r="F572" s="143"/>
      <c r="G572" s="143"/>
    </row>
    <row r="573" ht="15.75" customHeight="1">
      <c r="A573" s="247"/>
      <c r="B573" s="224"/>
      <c r="C573" s="222"/>
      <c r="D573" s="223"/>
      <c r="E573" s="143"/>
      <c r="F573" s="143"/>
      <c r="G573" s="143"/>
    </row>
    <row r="574" ht="15.75" customHeight="1">
      <c r="A574" s="247"/>
      <c r="B574" s="224"/>
      <c r="C574" s="222"/>
      <c r="D574" s="223"/>
      <c r="E574" s="143"/>
      <c r="F574" s="143"/>
      <c r="G574" s="143"/>
    </row>
    <row r="575" ht="15.75" customHeight="1">
      <c r="A575" s="247"/>
      <c r="B575" s="224"/>
      <c r="C575" s="222"/>
      <c r="D575" s="223"/>
      <c r="E575" s="143"/>
      <c r="F575" s="143"/>
      <c r="G575" s="143"/>
    </row>
    <row r="576" ht="15.75" customHeight="1">
      <c r="A576" s="247"/>
      <c r="B576" s="224"/>
      <c r="C576" s="222"/>
      <c r="D576" s="223"/>
      <c r="E576" s="143"/>
      <c r="F576" s="143"/>
      <c r="G576" s="143"/>
    </row>
    <row r="577" ht="15.75" customHeight="1">
      <c r="A577" s="247"/>
      <c r="B577" s="224"/>
      <c r="C577" s="222"/>
      <c r="D577" s="223"/>
      <c r="E577" s="143"/>
      <c r="F577" s="143"/>
      <c r="G577" s="143"/>
    </row>
    <row r="578" ht="15.75" customHeight="1">
      <c r="A578" s="247"/>
      <c r="B578" s="224"/>
      <c r="C578" s="222"/>
      <c r="D578" s="223"/>
      <c r="E578" s="143"/>
      <c r="F578" s="143"/>
      <c r="G578" s="143"/>
    </row>
    <row r="579" ht="15.75" customHeight="1">
      <c r="A579" s="247"/>
      <c r="B579" s="224"/>
      <c r="C579" s="222"/>
      <c r="D579" s="223"/>
      <c r="E579" s="143"/>
      <c r="F579" s="143"/>
      <c r="G579" s="143"/>
    </row>
    <row r="580" ht="15.75" customHeight="1">
      <c r="A580" s="247"/>
      <c r="B580" s="224"/>
      <c r="C580" s="222"/>
      <c r="D580" s="223"/>
      <c r="E580" s="143"/>
      <c r="F580" s="143"/>
      <c r="G580" s="143"/>
    </row>
    <row r="581" ht="15.75" customHeight="1">
      <c r="A581" s="247"/>
      <c r="B581" s="224"/>
      <c r="C581" s="222"/>
      <c r="D581" s="223"/>
      <c r="E581" s="143"/>
      <c r="F581" s="143"/>
      <c r="G581" s="143"/>
    </row>
    <row r="582" ht="15.75" customHeight="1">
      <c r="A582" s="247"/>
      <c r="B582" s="224"/>
      <c r="C582" s="222"/>
      <c r="D582" s="223"/>
      <c r="E582" s="143"/>
      <c r="F582" s="143"/>
      <c r="G582" s="143"/>
    </row>
    <row r="583" ht="15.75" customHeight="1">
      <c r="A583" s="247"/>
      <c r="B583" s="224"/>
      <c r="C583" s="222"/>
      <c r="D583" s="223"/>
      <c r="E583" s="143"/>
      <c r="F583" s="143"/>
      <c r="G583" s="143"/>
    </row>
    <row r="584" ht="15.75" customHeight="1">
      <c r="A584" s="247"/>
      <c r="B584" s="224"/>
      <c r="C584" s="222"/>
      <c r="D584" s="223"/>
      <c r="E584" s="143"/>
      <c r="F584" s="143"/>
      <c r="G584" s="143"/>
    </row>
    <row r="585" ht="15.75" customHeight="1">
      <c r="A585" s="247"/>
      <c r="B585" s="224"/>
      <c r="C585" s="222"/>
      <c r="D585" s="223"/>
      <c r="E585" s="143"/>
      <c r="F585" s="143"/>
      <c r="G585" s="143"/>
    </row>
    <row r="586" ht="15.75" customHeight="1">
      <c r="A586" s="247"/>
      <c r="B586" s="224"/>
      <c r="C586" s="222"/>
      <c r="D586" s="223"/>
      <c r="E586" s="143"/>
      <c r="F586" s="143"/>
      <c r="G586" s="143"/>
    </row>
    <row r="587" ht="15.75" customHeight="1">
      <c r="A587" s="247"/>
      <c r="B587" s="224"/>
      <c r="C587" s="222"/>
      <c r="D587" s="223"/>
      <c r="E587" s="143"/>
      <c r="F587" s="143"/>
      <c r="G587" s="143"/>
    </row>
    <row r="588" ht="15.75" customHeight="1">
      <c r="A588" s="247"/>
      <c r="B588" s="224"/>
      <c r="C588" s="222"/>
      <c r="D588" s="223"/>
      <c r="E588" s="143"/>
      <c r="F588" s="143"/>
      <c r="G588" s="143"/>
    </row>
    <row r="589" ht="15.75" customHeight="1">
      <c r="A589" s="247"/>
      <c r="B589" s="224"/>
      <c r="C589" s="222"/>
      <c r="D589" s="223"/>
      <c r="E589" s="143"/>
      <c r="F589" s="143"/>
      <c r="G589" s="143"/>
    </row>
    <row r="590" ht="15.75" customHeight="1">
      <c r="A590" s="247"/>
      <c r="B590" s="224"/>
      <c r="C590" s="222"/>
      <c r="D590" s="223"/>
      <c r="E590" s="143"/>
      <c r="F590" s="143"/>
      <c r="G590" s="143"/>
    </row>
    <row r="591" ht="15.75" customHeight="1">
      <c r="A591" s="247"/>
      <c r="B591" s="224"/>
      <c r="C591" s="222"/>
      <c r="D591" s="223"/>
      <c r="E591" s="143"/>
      <c r="F591" s="143"/>
      <c r="G591" s="143"/>
    </row>
    <row r="592" ht="15.75" customHeight="1">
      <c r="A592" s="247"/>
      <c r="B592" s="224"/>
      <c r="C592" s="222"/>
      <c r="D592" s="223"/>
      <c r="E592" s="143"/>
      <c r="F592" s="143"/>
      <c r="G592" s="143"/>
    </row>
    <row r="593" ht="15.75" customHeight="1">
      <c r="A593" s="247"/>
      <c r="B593" s="224"/>
      <c r="C593" s="222"/>
      <c r="D593" s="223"/>
      <c r="E593" s="143"/>
      <c r="F593" s="143"/>
      <c r="G593" s="143"/>
    </row>
    <row r="594" ht="15.75" customHeight="1">
      <c r="A594" s="247"/>
      <c r="B594" s="224"/>
      <c r="C594" s="222"/>
      <c r="D594" s="223"/>
      <c r="E594" s="143"/>
      <c r="F594" s="143"/>
      <c r="G594" s="143"/>
    </row>
    <row r="595" ht="15.75" customHeight="1">
      <c r="A595" s="247"/>
      <c r="B595" s="224"/>
      <c r="C595" s="222"/>
      <c r="D595" s="223"/>
      <c r="E595" s="143"/>
      <c r="F595" s="143"/>
      <c r="G595" s="143"/>
    </row>
    <row r="596" ht="15.75" customHeight="1">
      <c r="A596" s="247"/>
      <c r="B596" s="224"/>
      <c r="C596" s="222"/>
      <c r="D596" s="223"/>
      <c r="E596" s="143"/>
      <c r="F596" s="143"/>
      <c r="G596" s="143"/>
    </row>
    <row r="597" ht="15.75" customHeight="1">
      <c r="A597" s="247"/>
      <c r="B597" s="224"/>
      <c r="C597" s="222"/>
      <c r="D597" s="223"/>
      <c r="E597" s="143"/>
      <c r="F597" s="143"/>
      <c r="G597" s="143"/>
    </row>
    <row r="598" ht="15.75" customHeight="1">
      <c r="A598" s="247"/>
      <c r="B598" s="224"/>
      <c r="C598" s="222"/>
      <c r="D598" s="223"/>
      <c r="E598" s="143"/>
      <c r="F598" s="143"/>
      <c r="G598" s="143"/>
    </row>
    <row r="599" ht="15.75" customHeight="1">
      <c r="A599" s="247"/>
      <c r="B599" s="224"/>
      <c r="C599" s="222"/>
      <c r="D599" s="223"/>
      <c r="E599" s="143"/>
      <c r="F599" s="143"/>
      <c r="G599" s="143"/>
    </row>
    <row r="600" ht="15.75" customHeight="1">
      <c r="A600" s="247"/>
      <c r="B600" s="224"/>
      <c r="C600" s="222"/>
      <c r="D600" s="223"/>
      <c r="E600" s="143"/>
      <c r="F600" s="143"/>
      <c r="G600" s="143"/>
    </row>
    <row r="601" ht="15.75" customHeight="1">
      <c r="A601" s="247"/>
      <c r="B601" s="224"/>
      <c r="C601" s="222"/>
      <c r="D601" s="223"/>
      <c r="E601" s="143"/>
      <c r="F601" s="143"/>
      <c r="G601" s="143"/>
    </row>
    <row r="602" ht="15.75" customHeight="1">
      <c r="A602" s="247"/>
      <c r="B602" s="224"/>
      <c r="C602" s="222"/>
      <c r="D602" s="223"/>
      <c r="E602" s="143"/>
      <c r="F602" s="143"/>
      <c r="G602" s="143"/>
    </row>
    <row r="603" ht="15.75" customHeight="1">
      <c r="A603" s="247"/>
      <c r="B603" s="224"/>
      <c r="C603" s="222"/>
      <c r="D603" s="223"/>
      <c r="E603" s="143"/>
      <c r="F603" s="143"/>
      <c r="G603" s="143"/>
    </row>
    <row r="604" ht="15.75" customHeight="1">
      <c r="A604" s="247"/>
      <c r="B604" s="224"/>
      <c r="C604" s="222"/>
      <c r="D604" s="223"/>
      <c r="E604" s="143"/>
      <c r="F604" s="143"/>
      <c r="G604" s="143"/>
    </row>
    <row r="605" ht="15.75" customHeight="1">
      <c r="A605" s="247"/>
      <c r="B605" s="224"/>
      <c r="C605" s="222"/>
      <c r="D605" s="223"/>
      <c r="E605" s="143"/>
      <c r="F605" s="143"/>
      <c r="G605" s="143"/>
    </row>
    <row r="606" ht="15.75" customHeight="1">
      <c r="A606" s="247"/>
      <c r="B606" s="224"/>
      <c r="C606" s="222"/>
      <c r="D606" s="223"/>
      <c r="E606" s="143"/>
      <c r="F606" s="143"/>
      <c r="G606" s="143"/>
    </row>
    <row r="607" ht="15.75" customHeight="1">
      <c r="A607" s="247"/>
      <c r="B607" s="224"/>
      <c r="C607" s="222"/>
      <c r="D607" s="223"/>
      <c r="E607" s="143"/>
      <c r="F607" s="143"/>
      <c r="G607" s="143"/>
    </row>
    <row r="608" ht="15.75" customHeight="1">
      <c r="A608" s="247"/>
      <c r="B608" s="224"/>
      <c r="C608" s="222"/>
      <c r="D608" s="223"/>
      <c r="E608" s="143"/>
      <c r="F608" s="143"/>
      <c r="G608" s="143"/>
    </row>
    <row r="609" ht="15.75" customHeight="1">
      <c r="A609" s="247"/>
      <c r="B609" s="224"/>
      <c r="C609" s="222"/>
      <c r="D609" s="223"/>
      <c r="E609" s="143"/>
      <c r="F609" s="143"/>
      <c r="G609" s="143"/>
    </row>
    <row r="610" ht="15.75" customHeight="1">
      <c r="A610" s="247"/>
      <c r="B610" s="224"/>
      <c r="C610" s="222"/>
      <c r="D610" s="223"/>
      <c r="E610" s="143"/>
      <c r="F610" s="143"/>
      <c r="G610" s="143"/>
    </row>
    <row r="611" ht="15.75" customHeight="1">
      <c r="A611" s="247"/>
      <c r="B611" s="224"/>
      <c r="C611" s="222"/>
      <c r="D611" s="223"/>
      <c r="E611" s="143"/>
      <c r="F611" s="143"/>
      <c r="G611" s="143"/>
    </row>
    <row r="612" ht="15.75" customHeight="1">
      <c r="A612" s="247"/>
      <c r="B612" s="224"/>
      <c r="C612" s="222"/>
      <c r="D612" s="223"/>
      <c r="E612" s="143"/>
      <c r="F612" s="143"/>
      <c r="G612" s="143"/>
    </row>
    <row r="613" ht="15.75" customHeight="1">
      <c r="A613" s="247"/>
      <c r="B613" s="224"/>
      <c r="C613" s="222"/>
      <c r="D613" s="223"/>
      <c r="E613" s="143"/>
      <c r="F613" s="143"/>
      <c r="G613" s="143"/>
    </row>
    <row r="614" ht="15.75" customHeight="1">
      <c r="A614" s="247"/>
      <c r="B614" s="224"/>
      <c r="C614" s="222"/>
      <c r="D614" s="223"/>
      <c r="E614" s="143"/>
      <c r="F614" s="143"/>
      <c r="G614" s="143"/>
    </row>
    <row r="615" ht="15.75" customHeight="1">
      <c r="A615" s="247"/>
      <c r="B615" s="224"/>
      <c r="C615" s="222"/>
      <c r="D615" s="223"/>
      <c r="E615" s="143"/>
      <c r="F615" s="143"/>
      <c r="G615" s="143"/>
    </row>
    <row r="616" ht="15.75" customHeight="1">
      <c r="A616" s="247"/>
      <c r="B616" s="224"/>
      <c r="C616" s="222"/>
      <c r="D616" s="223"/>
      <c r="E616" s="143"/>
      <c r="F616" s="143"/>
      <c r="G616" s="143"/>
    </row>
    <row r="617" ht="15.75" customHeight="1">
      <c r="A617" s="247"/>
      <c r="B617" s="224"/>
      <c r="C617" s="222"/>
      <c r="D617" s="223"/>
      <c r="E617" s="143"/>
      <c r="F617" s="143"/>
      <c r="G617" s="143"/>
    </row>
    <row r="618" ht="15.75" customHeight="1">
      <c r="A618" s="247"/>
      <c r="B618" s="224"/>
      <c r="C618" s="222"/>
      <c r="D618" s="223"/>
      <c r="E618" s="143"/>
      <c r="F618" s="143"/>
      <c r="G618" s="143"/>
    </row>
    <row r="619" ht="15.75" customHeight="1">
      <c r="A619" s="247"/>
      <c r="B619" s="224"/>
      <c r="C619" s="222"/>
      <c r="D619" s="223"/>
      <c r="E619" s="143"/>
      <c r="F619" s="143"/>
      <c r="G619" s="143"/>
    </row>
    <row r="620" ht="15.75" customHeight="1">
      <c r="A620" s="247"/>
      <c r="B620" s="224"/>
      <c r="C620" s="222"/>
      <c r="D620" s="223"/>
      <c r="E620" s="143"/>
      <c r="F620" s="143"/>
      <c r="G620" s="143"/>
    </row>
    <row r="621" ht="15.75" customHeight="1">
      <c r="A621" s="247"/>
      <c r="B621" s="224"/>
      <c r="C621" s="222"/>
      <c r="D621" s="223"/>
      <c r="E621" s="143"/>
      <c r="F621" s="143"/>
      <c r="G621" s="143"/>
    </row>
    <row r="622" ht="15.75" customHeight="1">
      <c r="A622" s="247"/>
      <c r="B622" s="224"/>
      <c r="C622" s="222"/>
      <c r="D622" s="223"/>
      <c r="E622" s="143"/>
      <c r="F622" s="143"/>
      <c r="G622" s="143"/>
    </row>
    <row r="623" ht="15.75" customHeight="1">
      <c r="A623" s="247"/>
      <c r="B623" s="224"/>
      <c r="C623" s="222"/>
      <c r="D623" s="223"/>
      <c r="E623" s="143"/>
      <c r="F623" s="143"/>
      <c r="G623" s="143"/>
    </row>
    <row r="624" ht="15.75" customHeight="1">
      <c r="A624" s="247"/>
      <c r="B624" s="224"/>
      <c r="C624" s="222"/>
      <c r="D624" s="223"/>
      <c r="E624" s="143"/>
      <c r="F624" s="143"/>
      <c r="G624" s="143"/>
    </row>
    <row r="625" ht="15.75" customHeight="1">
      <c r="A625" s="247"/>
      <c r="B625" s="224"/>
      <c r="C625" s="222"/>
      <c r="D625" s="223"/>
      <c r="E625" s="143"/>
      <c r="F625" s="143"/>
      <c r="G625" s="143"/>
    </row>
    <row r="626" ht="15.75" customHeight="1">
      <c r="A626" s="247"/>
      <c r="B626" s="224"/>
      <c r="C626" s="222"/>
      <c r="D626" s="223"/>
      <c r="E626" s="143"/>
      <c r="F626" s="143"/>
      <c r="G626" s="143"/>
    </row>
    <row r="627" ht="15.75" customHeight="1">
      <c r="A627" s="247"/>
      <c r="B627" s="224"/>
      <c r="C627" s="222"/>
      <c r="D627" s="223"/>
      <c r="E627" s="143"/>
      <c r="F627" s="143"/>
      <c r="G627" s="143"/>
    </row>
    <row r="628" ht="15.75" customHeight="1">
      <c r="A628" s="247"/>
      <c r="B628" s="224"/>
      <c r="C628" s="222"/>
      <c r="D628" s="223"/>
      <c r="E628" s="143"/>
      <c r="F628" s="143"/>
      <c r="G628" s="143"/>
    </row>
    <row r="629" ht="15.75" customHeight="1">
      <c r="A629" s="247"/>
      <c r="B629" s="224"/>
      <c r="C629" s="222"/>
      <c r="D629" s="223"/>
      <c r="E629" s="143"/>
      <c r="F629" s="143"/>
      <c r="G629" s="143"/>
    </row>
    <row r="630" ht="15.75" customHeight="1">
      <c r="A630" s="247"/>
      <c r="B630" s="224"/>
      <c r="C630" s="222"/>
      <c r="D630" s="223"/>
      <c r="E630" s="143"/>
      <c r="F630" s="143"/>
      <c r="G630" s="143"/>
    </row>
    <row r="631" ht="15.75" customHeight="1">
      <c r="A631" s="247"/>
      <c r="B631" s="224"/>
      <c r="C631" s="222"/>
      <c r="D631" s="223"/>
      <c r="E631" s="143"/>
      <c r="F631" s="143"/>
      <c r="G631" s="143"/>
    </row>
    <row r="632" ht="15.75" customHeight="1">
      <c r="A632" s="247"/>
      <c r="B632" s="224"/>
      <c r="C632" s="222"/>
      <c r="D632" s="223"/>
      <c r="E632" s="143"/>
      <c r="F632" s="143"/>
      <c r="G632" s="143"/>
    </row>
    <row r="633" ht="15.75" customHeight="1">
      <c r="A633" s="247"/>
      <c r="B633" s="224"/>
      <c r="C633" s="222"/>
      <c r="D633" s="223"/>
      <c r="E633" s="143"/>
      <c r="F633" s="143"/>
      <c r="G633" s="143"/>
    </row>
    <row r="634" ht="15.75" customHeight="1">
      <c r="A634" s="247"/>
      <c r="B634" s="224"/>
      <c r="C634" s="222"/>
      <c r="D634" s="223"/>
      <c r="E634" s="143"/>
      <c r="F634" s="143"/>
      <c r="G634" s="143"/>
    </row>
    <row r="635" ht="15.75" customHeight="1">
      <c r="A635" s="247"/>
      <c r="B635" s="224"/>
      <c r="C635" s="222"/>
      <c r="D635" s="223"/>
      <c r="E635" s="143"/>
      <c r="F635" s="143"/>
      <c r="G635" s="143"/>
    </row>
    <row r="636" ht="15.75" customHeight="1">
      <c r="A636" s="247"/>
      <c r="B636" s="224"/>
      <c r="C636" s="222"/>
      <c r="D636" s="223"/>
      <c r="E636" s="143"/>
      <c r="F636" s="143"/>
      <c r="G636" s="143"/>
    </row>
    <row r="637" ht="15.75" customHeight="1">
      <c r="A637" s="247"/>
      <c r="B637" s="224"/>
      <c r="C637" s="222"/>
      <c r="D637" s="223"/>
      <c r="E637" s="143"/>
      <c r="F637" s="143"/>
      <c r="G637" s="143"/>
    </row>
    <row r="638" ht="15.75" customHeight="1">
      <c r="A638" s="247"/>
      <c r="B638" s="224"/>
      <c r="C638" s="222"/>
      <c r="D638" s="223"/>
      <c r="E638" s="143"/>
      <c r="F638" s="143"/>
      <c r="G638" s="143"/>
    </row>
    <row r="639" ht="15.75" customHeight="1">
      <c r="A639" s="247"/>
      <c r="B639" s="224"/>
      <c r="C639" s="222"/>
      <c r="D639" s="223"/>
      <c r="E639" s="143"/>
      <c r="F639" s="143"/>
      <c r="G639" s="143"/>
    </row>
    <row r="640" ht="15.75" customHeight="1">
      <c r="A640" s="247"/>
      <c r="B640" s="224"/>
      <c r="C640" s="222"/>
      <c r="D640" s="223"/>
      <c r="E640" s="143"/>
      <c r="F640" s="143"/>
      <c r="G640" s="143"/>
    </row>
    <row r="641" ht="15.75" customHeight="1">
      <c r="A641" s="247"/>
      <c r="B641" s="224"/>
      <c r="C641" s="222"/>
      <c r="D641" s="223"/>
      <c r="E641" s="143"/>
      <c r="F641" s="143"/>
      <c r="G641" s="143"/>
    </row>
    <row r="642" ht="15.75" customHeight="1">
      <c r="A642" s="247"/>
      <c r="B642" s="224"/>
      <c r="C642" s="222"/>
      <c r="D642" s="223"/>
      <c r="E642" s="143"/>
      <c r="F642" s="143"/>
      <c r="G642" s="143"/>
    </row>
    <row r="643" ht="15.75" customHeight="1">
      <c r="A643" s="247"/>
      <c r="B643" s="224"/>
      <c r="C643" s="222"/>
      <c r="D643" s="223"/>
      <c r="E643" s="143"/>
      <c r="F643" s="143"/>
      <c r="G643" s="143"/>
    </row>
    <row r="644" ht="15.75" customHeight="1">
      <c r="A644" s="247"/>
      <c r="B644" s="224"/>
      <c r="C644" s="222"/>
      <c r="D644" s="223"/>
      <c r="E644" s="143"/>
      <c r="F644" s="143"/>
      <c r="G644" s="143"/>
    </row>
    <row r="645" ht="15.75" customHeight="1">
      <c r="A645" s="247"/>
      <c r="B645" s="224"/>
      <c r="C645" s="222"/>
      <c r="D645" s="223"/>
      <c r="E645" s="143"/>
      <c r="F645" s="143"/>
      <c r="G645" s="143"/>
    </row>
    <row r="646" ht="15.75" customHeight="1">
      <c r="A646" s="247"/>
      <c r="B646" s="224"/>
      <c r="C646" s="222"/>
      <c r="D646" s="223"/>
      <c r="E646" s="143"/>
      <c r="F646" s="143"/>
      <c r="G646" s="143"/>
    </row>
    <row r="647" ht="15.75" customHeight="1">
      <c r="A647" s="247"/>
      <c r="B647" s="224"/>
      <c r="C647" s="222"/>
      <c r="D647" s="223"/>
      <c r="E647" s="143"/>
      <c r="F647" s="143"/>
      <c r="G647" s="143"/>
    </row>
    <row r="648" ht="15.75" customHeight="1">
      <c r="A648" s="247"/>
      <c r="B648" s="224"/>
      <c r="C648" s="222"/>
      <c r="D648" s="223"/>
      <c r="E648" s="143"/>
      <c r="F648" s="143"/>
      <c r="G648" s="143"/>
    </row>
    <row r="649" ht="15.75" customHeight="1">
      <c r="A649" s="247"/>
      <c r="B649" s="224"/>
      <c r="C649" s="222"/>
      <c r="D649" s="223"/>
      <c r="E649" s="143"/>
      <c r="F649" s="143"/>
      <c r="G649" s="143"/>
    </row>
    <row r="650" ht="15.75" customHeight="1">
      <c r="A650" s="247"/>
      <c r="B650" s="224"/>
      <c r="C650" s="222"/>
      <c r="D650" s="223"/>
      <c r="E650" s="143"/>
      <c r="F650" s="143"/>
      <c r="G650" s="143"/>
    </row>
    <row r="651" ht="15.75" customHeight="1">
      <c r="A651" s="247"/>
      <c r="B651" s="224"/>
      <c r="C651" s="222"/>
      <c r="D651" s="223"/>
      <c r="E651" s="143"/>
      <c r="F651" s="143"/>
      <c r="G651" s="143"/>
    </row>
    <row r="652" ht="15.75" customHeight="1">
      <c r="A652" s="247"/>
      <c r="B652" s="224"/>
      <c r="C652" s="222"/>
      <c r="D652" s="223"/>
      <c r="E652" s="143"/>
      <c r="F652" s="143"/>
      <c r="G652" s="143"/>
    </row>
    <row r="653" ht="15.75" customHeight="1">
      <c r="A653" s="247"/>
      <c r="B653" s="224"/>
      <c r="C653" s="222"/>
      <c r="D653" s="223"/>
      <c r="E653" s="143"/>
      <c r="F653" s="143"/>
      <c r="G653" s="143"/>
    </row>
    <row r="654" ht="15.75" customHeight="1">
      <c r="A654" s="247"/>
      <c r="B654" s="224"/>
      <c r="C654" s="222"/>
      <c r="D654" s="223"/>
      <c r="E654" s="143"/>
      <c r="F654" s="143"/>
      <c r="G654" s="143"/>
    </row>
    <row r="655" ht="15.75" customHeight="1">
      <c r="A655" s="247"/>
      <c r="B655" s="224"/>
      <c r="C655" s="222"/>
      <c r="D655" s="223"/>
      <c r="E655" s="143"/>
      <c r="F655" s="143"/>
      <c r="G655" s="143"/>
    </row>
    <row r="656" ht="15.75" customHeight="1">
      <c r="A656" s="247"/>
      <c r="B656" s="224"/>
      <c r="C656" s="222"/>
      <c r="D656" s="223"/>
      <c r="E656" s="143"/>
      <c r="F656" s="143"/>
      <c r="G656" s="143"/>
    </row>
    <row r="657" ht="15.75" customHeight="1">
      <c r="A657" s="247"/>
      <c r="B657" s="224"/>
      <c r="C657" s="222"/>
      <c r="D657" s="223"/>
      <c r="E657" s="143"/>
      <c r="F657" s="143"/>
      <c r="G657" s="143"/>
    </row>
    <row r="658" ht="15.75" customHeight="1">
      <c r="A658" s="247"/>
      <c r="B658" s="224"/>
      <c r="C658" s="222"/>
      <c r="D658" s="223"/>
      <c r="E658" s="143"/>
      <c r="F658" s="143"/>
      <c r="G658" s="143"/>
    </row>
    <row r="659" ht="15.75" customHeight="1">
      <c r="A659" s="247"/>
      <c r="B659" s="224"/>
      <c r="C659" s="222"/>
      <c r="D659" s="223"/>
      <c r="E659" s="143"/>
      <c r="F659" s="143"/>
      <c r="G659" s="143"/>
    </row>
    <row r="660" ht="15.75" customHeight="1">
      <c r="A660" s="247"/>
      <c r="B660" s="224"/>
      <c r="C660" s="222"/>
      <c r="D660" s="223"/>
      <c r="E660" s="143"/>
      <c r="F660" s="143"/>
      <c r="G660" s="143"/>
    </row>
    <row r="661" ht="15.75" customHeight="1">
      <c r="A661" s="247"/>
      <c r="B661" s="224"/>
      <c r="C661" s="222"/>
      <c r="D661" s="223"/>
      <c r="E661" s="143"/>
      <c r="F661" s="143"/>
      <c r="G661" s="143"/>
    </row>
    <row r="662" ht="15.75" customHeight="1">
      <c r="A662" s="247"/>
      <c r="B662" s="224"/>
      <c r="C662" s="222"/>
      <c r="D662" s="223"/>
      <c r="E662" s="143"/>
      <c r="F662" s="143"/>
      <c r="G662" s="143"/>
    </row>
    <row r="663" ht="15.75" customHeight="1">
      <c r="A663" s="247"/>
      <c r="B663" s="224"/>
      <c r="C663" s="222"/>
      <c r="D663" s="223"/>
      <c r="E663" s="143"/>
      <c r="F663" s="143"/>
      <c r="G663" s="143"/>
    </row>
    <row r="664" ht="15.75" customHeight="1">
      <c r="A664" s="247"/>
      <c r="B664" s="224"/>
      <c r="C664" s="222"/>
      <c r="D664" s="223"/>
      <c r="E664" s="143"/>
      <c r="F664" s="143"/>
      <c r="G664" s="143"/>
    </row>
    <row r="665" ht="15.75" customHeight="1">
      <c r="A665" s="247"/>
      <c r="B665" s="224"/>
      <c r="C665" s="222"/>
      <c r="D665" s="223"/>
      <c r="E665" s="143"/>
      <c r="F665" s="143"/>
      <c r="G665" s="143"/>
    </row>
    <row r="666" ht="15.75" customHeight="1">
      <c r="A666" s="247"/>
      <c r="B666" s="224"/>
      <c r="C666" s="222"/>
      <c r="D666" s="223"/>
      <c r="E666" s="143"/>
      <c r="F666" s="143"/>
      <c r="G666" s="143"/>
    </row>
    <row r="667" ht="15.75" customHeight="1">
      <c r="A667" s="247"/>
      <c r="B667" s="224"/>
      <c r="C667" s="222"/>
      <c r="D667" s="223"/>
      <c r="E667" s="143"/>
      <c r="F667" s="143"/>
      <c r="G667" s="143"/>
    </row>
    <row r="668" ht="15.75" customHeight="1">
      <c r="A668" s="247"/>
      <c r="B668" s="224"/>
      <c r="C668" s="222"/>
      <c r="D668" s="223"/>
      <c r="E668" s="143"/>
      <c r="F668" s="143"/>
      <c r="G668" s="143"/>
    </row>
    <row r="669" ht="15.75" customHeight="1">
      <c r="A669" s="247"/>
      <c r="B669" s="224"/>
      <c r="C669" s="222"/>
      <c r="D669" s="223"/>
      <c r="E669" s="143"/>
      <c r="F669" s="143"/>
      <c r="G669" s="143"/>
    </row>
    <row r="670" ht="15.75" customHeight="1">
      <c r="A670" s="247"/>
      <c r="B670" s="224"/>
      <c r="C670" s="222"/>
      <c r="D670" s="223"/>
      <c r="E670" s="143"/>
      <c r="F670" s="143"/>
      <c r="G670" s="143"/>
    </row>
    <row r="671" ht="15.75" customHeight="1">
      <c r="A671" s="247"/>
      <c r="B671" s="224"/>
      <c r="C671" s="222"/>
      <c r="D671" s="223"/>
      <c r="E671" s="143"/>
      <c r="F671" s="143"/>
      <c r="G671" s="143"/>
    </row>
    <row r="672" ht="15.75" customHeight="1">
      <c r="A672" s="247"/>
      <c r="B672" s="224"/>
      <c r="C672" s="222"/>
      <c r="D672" s="223"/>
      <c r="E672" s="143"/>
      <c r="F672" s="143"/>
      <c r="G672" s="143"/>
    </row>
    <row r="673" ht="15.75" customHeight="1">
      <c r="A673" s="247"/>
      <c r="B673" s="224"/>
      <c r="C673" s="222"/>
      <c r="D673" s="223"/>
      <c r="E673" s="143"/>
      <c r="F673" s="143"/>
      <c r="G673" s="143"/>
    </row>
    <row r="674" ht="15.75" customHeight="1">
      <c r="A674" s="247"/>
      <c r="B674" s="224"/>
      <c r="C674" s="222"/>
      <c r="D674" s="223"/>
      <c r="E674" s="143"/>
      <c r="F674" s="143"/>
      <c r="G674" s="143"/>
    </row>
    <row r="675" ht="15.75" customHeight="1">
      <c r="A675" s="247"/>
      <c r="B675" s="224"/>
      <c r="C675" s="222"/>
      <c r="D675" s="223"/>
      <c r="E675" s="143"/>
      <c r="F675" s="143"/>
      <c r="G675" s="143"/>
    </row>
    <row r="676" ht="15.75" customHeight="1">
      <c r="A676" s="247"/>
      <c r="B676" s="224"/>
      <c r="C676" s="222"/>
      <c r="D676" s="223"/>
      <c r="E676" s="143"/>
      <c r="F676" s="143"/>
      <c r="G676" s="143"/>
    </row>
    <row r="677" ht="15.75" customHeight="1">
      <c r="A677" s="247"/>
      <c r="B677" s="224"/>
      <c r="C677" s="222"/>
      <c r="D677" s="223"/>
      <c r="E677" s="143"/>
      <c r="F677" s="143"/>
      <c r="G677" s="143"/>
    </row>
    <row r="678" ht="15.75" customHeight="1">
      <c r="A678" s="247"/>
      <c r="B678" s="224"/>
      <c r="C678" s="222"/>
      <c r="D678" s="223"/>
      <c r="E678" s="143"/>
      <c r="F678" s="143"/>
      <c r="G678" s="143"/>
    </row>
    <row r="679" ht="15.75" customHeight="1">
      <c r="A679" s="247"/>
      <c r="B679" s="224"/>
      <c r="C679" s="222"/>
      <c r="D679" s="223"/>
      <c r="E679" s="143"/>
      <c r="F679" s="143"/>
      <c r="G679" s="143"/>
    </row>
    <row r="680" ht="15.75" customHeight="1">
      <c r="A680" s="247"/>
      <c r="B680" s="224"/>
      <c r="C680" s="222"/>
      <c r="D680" s="223"/>
      <c r="E680" s="143"/>
      <c r="F680" s="143"/>
      <c r="G680" s="143"/>
    </row>
    <row r="681" ht="15.75" customHeight="1">
      <c r="A681" s="247"/>
      <c r="B681" s="224"/>
      <c r="C681" s="222"/>
      <c r="D681" s="223"/>
      <c r="E681" s="143"/>
      <c r="F681" s="143"/>
      <c r="G681" s="143"/>
    </row>
    <row r="682" ht="15.75" customHeight="1">
      <c r="A682" s="247"/>
      <c r="B682" s="224"/>
      <c r="C682" s="222"/>
      <c r="D682" s="223"/>
      <c r="E682" s="143"/>
      <c r="F682" s="143"/>
      <c r="G682" s="143"/>
    </row>
    <row r="683" ht="15.75" customHeight="1">
      <c r="A683" s="247"/>
      <c r="B683" s="224"/>
      <c r="C683" s="222"/>
      <c r="D683" s="223"/>
      <c r="E683" s="143"/>
      <c r="F683" s="143"/>
      <c r="G683" s="143"/>
    </row>
    <row r="684" ht="15.75" customHeight="1">
      <c r="A684" s="247"/>
      <c r="B684" s="224"/>
      <c r="C684" s="222"/>
      <c r="D684" s="223"/>
      <c r="E684" s="143"/>
      <c r="F684" s="143"/>
      <c r="G684" s="143"/>
    </row>
    <row r="685" ht="15.75" customHeight="1">
      <c r="A685" s="247"/>
      <c r="B685" s="224"/>
      <c r="C685" s="222"/>
      <c r="D685" s="223"/>
      <c r="E685" s="143"/>
      <c r="F685" s="143"/>
      <c r="G685" s="143"/>
    </row>
    <row r="686" ht="15.75" customHeight="1">
      <c r="A686" s="247"/>
      <c r="B686" s="224"/>
      <c r="C686" s="222"/>
      <c r="D686" s="223"/>
      <c r="E686" s="143"/>
      <c r="F686" s="143"/>
      <c r="G686" s="143"/>
    </row>
    <row r="687" ht="15.75" customHeight="1">
      <c r="A687" s="247"/>
      <c r="B687" s="224"/>
      <c r="C687" s="222"/>
      <c r="D687" s="223"/>
      <c r="E687" s="143"/>
      <c r="F687" s="143"/>
      <c r="G687" s="143"/>
    </row>
    <row r="688" ht="15.75" customHeight="1">
      <c r="A688" s="247"/>
      <c r="B688" s="224"/>
      <c r="C688" s="222"/>
      <c r="D688" s="223"/>
      <c r="E688" s="143"/>
      <c r="F688" s="143"/>
      <c r="G688" s="143"/>
    </row>
    <row r="689" ht="15.75" customHeight="1">
      <c r="A689" s="247"/>
      <c r="B689" s="224"/>
      <c r="C689" s="222"/>
      <c r="D689" s="223"/>
      <c r="E689" s="143"/>
      <c r="F689" s="143"/>
      <c r="G689" s="143"/>
    </row>
    <row r="690" ht="15.75" customHeight="1">
      <c r="A690" s="247"/>
      <c r="B690" s="224"/>
      <c r="C690" s="222"/>
      <c r="D690" s="223"/>
      <c r="E690" s="143"/>
      <c r="F690" s="143"/>
      <c r="G690" s="143"/>
    </row>
    <row r="691" ht="15.75" customHeight="1">
      <c r="A691" s="247"/>
      <c r="B691" s="224"/>
      <c r="C691" s="222"/>
      <c r="D691" s="223"/>
      <c r="E691" s="143"/>
      <c r="F691" s="143"/>
      <c r="G691" s="143"/>
    </row>
    <row r="692" ht="15.75" customHeight="1">
      <c r="A692" s="247"/>
      <c r="B692" s="224"/>
      <c r="C692" s="222"/>
      <c r="D692" s="223"/>
      <c r="E692" s="143"/>
      <c r="F692" s="143"/>
      <c r="G692" s="143"/>
    </row>
    <row r="693" ht="15.75" customHeight="1">
      <c r="A693" s="247"/>
      <c r="B693" s="224"/>
      <c r="C693" s="222"/>
      <c r="D693" s="223"/>
      <c r="E693" s="143"/>
      <c r="F693" s="143"/>
      <c r="G693" s="143"/>
    </row>
    <row r="694" ht="15.75" customHeight="1">
      <c r="A694" s="247"/>
      <c r="B694" s="224"/>
      <c r="C694" s="222"/>
      <c r="D694" s="223"/>
      <c r="E694" s="143"/>
      <c r="F694" s="143"/>
      <c r="G694" s="143"/>
    </row>
    <row r="695" ht="15.75" customHeight="1">
      <c r="A695" s="247"/>
      <c r="B695" s="224"/>
      <c r="C695" s="222"/>
      <c r="D695" s="223"/>
      <c r="E695" s="143"/>
      <c r="F695" s="143"/>
      <c r="G695" s="143"/>
    </row>
    <row r="696" ht="15.75" customHeight="1">
      <c r="A696" s="247"/>
      <c r="B696" s="224"/>
      <c r="C696" s="222"/>
      <c r="D696" s="223"/>
      <c r="E696" s="143"/>
      <c r="F696" s="143"/>
      <c r="G696" s="143"/>
    </row>
    <row r="697" ht="15.75" customHeight="1">
      <c r="A697" s="247"/>
      <c r="B697" s="224"/>
      <c r="C697" s="222"/>
      <c r="D697" s="223"/>
      <c r="E697" s="143"/>
      <c r="F697" s="143"/>
      <c r="G697" s="143"/>
    </row>
    <row r="698" ht="15.75" customHeight="1">
      <c r="A698" s="247"/>
      <c r="B698" s="224"/>
      <c r="C698" s="222"/>
      <c r="D698" s="223"/>
      <c r="E698" s="143"/>
      <c r="F698" s="143"/>
      <c r="G698" s="143"/>
    </row>
    <row r="699" ht="15.75" customHeight="1">
      <c r="A699" s="247"/>
      <c r="B699" s="224"/>
      <c r="C699" s="222"/>
      <c r="D699" s="223"/>
      <c r="E699" s="143"/>
      <c r="F699" s="143"/>
      <c r="G699" s="143"/>
    </row>
    <row r="700" ht="15.75" customHeight="1">
      <c r="A700" s="247"/>
      <c r="B700" s="224"/>
      <c r="C700" s="222"/>
      <c r="D700" s="223"/>
      <c r="E700" s="143"/>
      <c r="F700" s="143"/>
      <c r="G700" s="143"/>
    </row>
    <row r="701" ht="15.75" customHeight="1">
      <c r="A701" s="247"/>
      <c r="B701" s="224"/>
      <c r="C701" s="222"/>
      <c r="D701" s="223"/>
      <c r="E701" s="143"/>
      <c r="F701" s="143"/>
      <c r="G701" s="143"/>
    </row>
    <row r="702" ht="15.75" customHeight="1">
      <c r="A702" s="247"/>
      <c r="B702" s="224"/>
      <c r="C702" s="222"/>
      <c r="D702" s="223"/>
      <c r="E702" s="143"/>
      <c r="F702" s="143"/>
      <c r="G702" s="143"/>
    </row>
    <row r="703" ht="15.75" customHeight="1">
      <c r="A703" s="247"/>
      <c r="B703" s="224"/>
      <c r="C703" s="222"/>
      <c r="D703" s="223"/>
      <c r="E703" s="143"/>
      <c r="F703" s="143"/>
      <c r="G703" s="143"/>
    </row>
    <row r="704" ht="15.75" customHeight="1">
      <c r="A704" s="247"/>
      <c r="B704" s="224"/>
      <c r="C704" s="222"/>
      <c r="D704" s="223"/>
      <c r="E704" s="143"/>
      <c r="F704" s="143"/>
      <c r="G704" s="143"/>
    </row>
    <row r="705" ht="15.75" customHeight="1">
      <c r="A705" s="247"/>
      <c r="B705" s="224"/>
      <c r="C705" s="222"/>
      <c r="D705" s="223"/>
      <c r="E705" s="143"/>
      <c r="F705" s="143"/>
      <c r="G705" s="143"/>
    </row>
    <row r="706" ht="15.75" customHeight="1">
      <c r="A706" s="247"/>
      <c r="B706" s="224"/>
      <c r="C706" s="222"/>
      <c r="D706" s="223"/>
      <c r="E706" s="143"/>
      <c r="F706" s="143"/>
      <c r="G706" s="143"/>
    </row>
    <row r="707" ht="15.75" customHeight="1">
      <c r="A707" s="247"/>
      <c r="B707" s="224"/>
      <c r="C707" s="222"/>
      <c r="D707" s="223"/>
      <c r="E707" s="143"/>
      <c r="F707" s="143"/>
      <c r="G707" s="143"/>
    </row>
    <row r="708" ht="15.75" customHeight="1">
      <c r="A708" s="247"/>
      <c r="B708" s="224"/>
      <c r="C708" s="222"/>
      <c r="D708" s="223"/>
      <c r="E708" s="143"/>
      <c r="F708" s="143"/>
      <c r="G708" s="143"/>
    </row>
    <row r="709" ht="15.75" customHeight="1">
      <c r="A709" s="247"/>
      <c r="B709" s="224"/>
      <c r="C709" s="222"/>
      <c r="D709" s="223"/>
      <c r="E709" s="143"/>
      <c r="F709" s="143"/>
      <c r="G709" s="143"/>
    </row>
    <row r="710" ht="15.75" customHeight="1">
      <c r="A710" s="247"/>
      <c r="B710" s="224"/>
      <c r="C710" s="222"/>
      <c r="D710" s="223"/>
      <c r="E710" s="143"/>
      <c r="F710" s="143"/>
      <c r="G710" s="143"/>
    </row>
    <row r="711" ht="15.75" customHeight="1">
      <c r="A711" s="247"/>
      <c r="B711" s="224"/>
      <c r="C711" s="222"/>
      <c r="D711" s="223"/>
      <c r="E711" s="143"/>
      <c r="F711" s="143"/>
      <c r="G711" s="143"/>
    </row>
    <row r="712" ht="15.75" customHeight="1">
      <c r="A712" s="247"/>
      <c r="B712" s="224"/>
      <c r="C712" s="222"/>
      <c r="D712" s="223"/>
      <c r="E712" s="143"/>
      <c r="F712" s="143"/>
      <c r="G712" s="143"/>
    </row>
    <row r="713" ht="15.75" customHeight="1">
      <c r="A713" s="247"/>
      <c r="B713" s="224"/>
      <c r="C713" s="222"/>
      <c r="D713" s="223"/>
      <c r="E713" s="143"/>
      <c r="F713" s="143"/>
      <c r="G713" s="143"/>
    </row>
    <row r="714" ht="15.75" customHeight="1">
      <c r="A714" s="247"/>
      <c r="B714" s="224"/>
      <c r="C714" s="222"/>
      <c r="D714" s="223"/>
      <c r="E714" s="143"/>
      <c r="F714" s="143"/>
      <c r="G714" s="143"/>
    </row>
    <row r="715" ht="15.75" customHeight="1">
      <c r="A715" s="247"/>
      <c r="B715" s="224"/>
      <c r="C715" s="222"/>
      <c r="D715" s="223"/>
      <c r="E715" s="143"/>
      <c r="F715" s="143"/>
      <c r="G715" s="143"/>
    </row>
    <row r="716" ht="15.75" customHeight="1">
      <c r="A716" s="247"/>
      <c r="B716" s="224"/>
      <c r="C716" s="222"/>
      <c r="D716" s="223"/>
      <c r="E716" s="143"/>
      <c r="F716" s="143"/>
      <c r="G716" s="143"/>
    </row>
    <row r="717" ht="15.75" customHeight="1">
      <c r="A717" s="247"/>
      <c r="B717" s="224"/>
      <c r="C717" s="222"/>
      <c r="D717" s="223"/>
      <c r="E717" s="143"/>
      <c r="F717" s="143"/>
      <c r="G717" s="143"/>
    </row>
    <row r="718" ht="15.75" customHeight="1">
      <c r="A718" s="247"/>
      <c r="B718" s="224"/>
      <c r="C718" s="222"/>
      <c r="D718" s="223"/>
      <c r="E718" s="143"/>
      <c r="F718" s="143"/>
      <c r="G718" s="143"/>
    </row>
    <row r="719" ht="15.75" customHeight="1">
      <c r="A719" s="247"/>
      <c r="B719" s="224"/>
      <c r="C719" s="222"/>
      <c r="D719" s="223"/>
      <c r="E719" s="143"/>
      <c r="F719" s="143"/>
      <c r="G719" s="143"/>
    </row>
    <row r="720" ht="15.75" customHeight="1">
      <c r="A720" s="247"/>
      <c r="B720" s="224"/>
      <c r="C720" s="222"/>
      <c r="D720" s="223"/>
      <c r="E720" s="143"/>
      <c r="F720" s="143"/>
      <c r="G720" s="143"/>
    </row>
    <row r="721" ht="15.75" customHeight="1">
      <c r="A721" s="247"/>
      <c r="B721" s="224"/>
      <c r="C721" s="222"/>
      <c r="D721" s="223"/>
      <c r="E721" s="143"/>
      <c r="F721" s="143"/>
      <c r="G721" s="143"/>
    </row>
    <row r="722" ht="15.75" customHeight="1">
      <c r="A722" s="247"/>
      <c r="B722" s="224"/>
      <c r="C722" s="222"/>
      <c r="D722" s="223"/>
      <c r="E722" s="143"/>
      <c r="F722" s="143"/>
      <c r="G722" s="143"/>
    </row>
    <row r="723" ht="15.75" customHeight="1">
      <c r="A723" s="247"/>
      <c r="B723" s="224"/>
      <c r="C723" s="222"/>
      <c r="D723" s="223"/>
      <c r="E723" s="143"/>
      <c r="F723" s="143"/>
      <c r="G723" s="143"/>
    </row>
    <row r="724" ht="15.75" customHeight="1">
      <c r="A724" s="247"/>
      <c r="B724" s="224"/>
      <c r="C724" s="222"/>
      <c r="D724" s="223"/>
      <c r="E724" s="143"/>
      <c r="F724" s="143"/>
      <c r="G724" s="143"/>
    </row>
    <row r="725" ht="15.75" customHeight="1">
      <c r="A725" s="247"/>
      <c r="B725" s="224"/>
      <c r="C725" s="222"/>
      <c r="D725" s="223"/>
      <c r="E725" s="143"/>
      <c r="F725" s="143"/>
      <c r="G725" s="143"/>
    </row>
    <row r="726" ht="15.75" customHeight="1">
      <c r="A726" s="247"/>
      <c r="B726" s="224"/>
      <c r="C726" s="222"/>
      <c r="D726" s="223"/>
      <c r="E726" s="143"/>
      <c r="F726" s="143"/>
      <c r="G726" s="143"/>
    </row>
    <row r="727" ht="15.75" customHeight="1">
      <c r="A727" s="247"/>
      <c r="B727" s="224"/>
      <c r="C727" s="222"/>
      <c r="D727" s="223"/>
      <c r="E727" s="143"/>
      <c r="F727" s="143"/>
      <c r="G727" s="143"/>
    </row>
    <row r="728" ht="15.75" customHeight="1">
      <c r="A728" s="247"/>
      <c r="B728" s="224"/>
      <c r="C728" s="222"/>
      <c r="D728" s="223"/>
      <c r="E728" s="143"/>
      <c r="F728" s="143"/>
      <c r="G728" s="143"/>
    </row>
    <row r="729" ht="15.75" customHeight="1">
      <c r="A729" s="247"/>
      <c r="B729" s="224"/>
      <c r="C729" s="222"/>
      <c r="D729" s="223"/>
      <c r="E729" s="143"/>
      <c r="F729" s="143"/>
      <c r="G729" s="143"/>
    </row>
    <row r="730" ht="15.75" customHeight="1">
      <c r="A730" s="247"/>
      <c r="B730" s="224"/>
      <c r="C730" s="222"/>
      <c r="D730" s="223"/>
      <c r="E730" s="143"/>
      <c r="F730" s="143"/>
      <c r="G730" s="143"/>
    </row>
    <row r="731" ht="15.75" customHeight="1">
      <c r="A731" s="247"/>
      <c r="B731" s="224"/>
      <c r="C731" s="222"/>
      <c r="D731" s="223"/>
      <c r="E731" s="143"/>
      <c r="F731" s="143"/>
      <c r="G731" s="143"/>
    </row>
    <row r="732" ht="15.75" customHeight="1">
      <c r="A732" s="247"/>
      <c r="B732" s="224"/>
      <c r="C732" s="222"/>
      <c r="D732" s="223"/>
      <c r="E732" s="143"/>
      <c r="F732" s="143"/>
      <c r="G732" s="143"/>
    </row>
    <row r="733" ht="15.75" customHeight="1">
      <c r="A733" s="247"/>
      <c r="B733" s="224"/>
      <c r="C733" s="222"/>
      <c r="D733" s="223"/>
      <c r="E733" s="143"/>
      <c r="F733" s="143"/>
      <c r="G733" s="143"/>
    </row>
    <row r="734" ht="15.75" customHeight="1">
      <c r="A734" s="247"/>
      <c r="B734" s="224"/>
      <c r="C734" s="222"/>
      <c r="D734" s="223"/>
      <c r="E734" s="143"/>
      <c r="F734" s="143"/>
      <c r="G734" s="143"/>
    </row>
    <row r="735" ht="15.75" customHeight="1">
      <c r="A735" s="247"/>
      <c r="B735" s="224"/>
      <c r="C735" s="222"/>
      <c r="D735" s="223"/>
      <c r="E735" s="143"/>
      <c r="F735" s="143"/>
      <c r="G735" s="143"/>
    </row>
    <row r="736" ht="15.75" customHeight="1">
      <c r="A736" s="247"/>
      <c r="B736" s="224"/>
      <c r="C736" s="222"/>
      <c r="D736" s="223"/>
      <c r="E736" s="143"/>
      <c r="F736" s="143"/>
      <c r="G736" s="143"/>
    </row>
    <row r="737" ht="15.75" customHeight="1">
      <c r="A737" s="247"/>
      <c r="B737" s="224"/>
      <c r="C737" s="222"/>
      <c r="D737" s="223"/>
      <c r="E737" s="143"/>
      <c r="F737" s="143"/>
      <c r="G737" s="143"/>
    </row>
    <row r="738" ht="15.75" customHeight="1">
      <c r="A738" s="247"/>
      <c r="B738" s="224"/>
      <c r="C738" s="222"/>
      <c r="D738" s="223"/>
      <c r="E738" s="143"/>
      <c r="F738" s="143"/>
      <c r="G738" s="143"/>
    </row>
    <row r="739" ht="15.75" customHeight="1">
      <c r="A739" s="247"/>
      <c r="B739" s="224"/>
      <c r="C739" s="222"/>
      <c r="D739" s="223"/>
      <c r="E739" s="143"/>
      <c r="F739" s="143"/>
      <c r="G739" s="143"/>
    </row>
    <row r="740" ht="15.75" customHeight="1">
      <c r="A740" s="247"/>
      <c r="B740" s="224"/>
      <c r="C740" s="222"/>
      <c r="D740" s="223"/>
      <c r="E740" s="143"/>
      <c r="F740" s="143"/>
      <c r="G740" s="143"/>
    </row>
    <row r="741" ht="15.75" customHeight="1">
      <c r="A741" s="247"/>
      <c r="B741" s="224"/>
      <c r="C741" s="222"/>
      <c r="D741" s="223"/>
      <c r="E741" s="143"/>
      <c r="F741" s="143"/>
      <c r="G741" s="143"/>
    </row>
    <row r="742" ht="15.75" customHeight="1">
      <c r="A742" s="247"/>
      <c r="B742" s="224"/>
      <c r="C742" s="222"/>
      <c r="D742" s="223"/>
      <c r="E742" s="143"/>
      <c r="F742" s="143"/>
      <c r="G742" s="143"/>
    </row>
    <row r="743" ht="15.75" customHeight="1">
      <c r="A743" s="247"/>
      <c r="B743" s="224"/>
      <c r="C743" s="222"/>
      <c r="D743" s="223"/>
      <c r="E743" s="143"/>
      <c r="F743" s="143"/>
      <c r="G743" s="143"/>
    </row>
    <row r="744" ht="15.75" customHeight="1">
      <c r="A744" s="247"/>
      <c r="B744" s="224"/>
      <c r="C744" s="222"/>
      <c r="D744" s="223"/>
      <c r="E744" s="143"/>
      <c r="F744" s="143"/>
      <c r="G744" s="143"/>
    </row>
    <row r="745" ht="15.75" customHeight="1">
      <c r="A745" s="247"/>
      <c r="B745" s="224"/>
      <c r="C745" s="222"/>
      <c r="D745" s="223"/>
      <c r="E745" s="143"/>
      <c r="F745" s="143"/>
      <c r="G745" s="143"/>
    </row>
    <row r="746" ht="15.75" customHeight="1">
      <c r="A746" s="247"/>
      <c r="B746" s="224"/>
      <c r="C746" s="222"/>
      <c r="D746" s="223"/>
      <c r="E746" s="143"/>
      <c r="F746" s="143"/>
      <c r="G746" s="143"/>
    </row>
    <row r="747" ht="15.75" customHeight="1">
      <c r="A747" s="247"/>
      <c r="B747" s="224"/>
      <c r="C747" s="222"/>
      <c r="D747" s="223"/>
      <c r="E747" s="143"/>
      <c r="F747" s="143"/>
      <c r="G747" s="143"/>
    </row>
    <row r="748" ht="15.75" customHeight="1">
      <c r="A748" s="247"/>
      <c r="B748" s="224"/>
      <c r="C748" s="222"/>
      <c r="D748" s="223"/>
      <c r="E748" s="143"/>
      <c r="F748" s="143"/>
      <c r="G748" s="143"/>
    </row>
    <row r="749" ht="15.75" customHeight="1">
      <c r="A749" s="247"/>
      <c r="B749" s="224"/>
      <c r="C749" s="222"/>
      <c r="D749" s="223"/>
      <c r="E749" s="143"/>
      <c r="F749" s="143"/>
      <c r="G749" s="143"/>
    </row>
    <row r="750" ht="15.75" customHeight="1">
      <c r="A750" s="247"/>
      <c r="B750" s="224"/>
      <c r="C750" s="222"/>
      <c r="D750" s="223"/>
      <c r="E750" s="143"/>
      <c r="F750" s="143"/>
      <c r="G750" s="143"/>
    </row>
    <row r="751" ht="15.75" customHeight="1">
      <c r="A751" s="247"/>
      <c r="B751" s="224"/>
      <c r="C751" s="222"/>
      <c r="D751" s="223"/>
      <c r="E751" s="143"/>
      <c r="F751" s="143"/>
      <c r="G751" s="143"/>
    </row>
    <row r="752" ht="15.75" customHeight="1">
      <c r="A752" s="247"/>
      <c r="B752" s="224"/>
      <c r="C752" s="222"/>
      <c r="D752" s="223"/>
      <c r="E752" s="143"/>
      <c r="F752" s="143"/>
      <c r="G752" s="143"/>
    </row>
    <row r="753" ht="15.75" customHeight="1">
      <c r="A753" s="247"/>
      <c r="B753" s="224"/>
      <c r="C753" s="222"/>
      <c r="D753" s="223"/>
      <c r="E753" s="143"/>
      <c r="F753" s="143"/>
      <c r="G753" s="143"/>
    </row>
    <row r="754" ht="15.75" customHeight="1">
      <c r="A754" s="247"/>
      <c r="B754" s="224"/>
      <c r="C754" s="222"/>
      <c r="D754" s="223"/>
      <c r="E754" s="143"/>
      <c r="F754" s="143"/>
      <c r="G754" s="143"/>
    </row>
    <row r="755" ht="15.75" customHeight="1">
      <c r="A755" s="247"/>
      <c r="B755" s="224"/>
      <c r="C755" s="222"/>
      <c r="D755" s="223"/>
      <c r="E755" s="143"/>
      <c r="F755" s="143"/>
      <c r="G755" s="143"/>
    </row>
    <row r="756" ht="15.75" customHeight="1">
      <c r="A756" s="247"/>
      <c r="B756" s="224"/>
      <c r="C756" s="222"/>
      <c r="D756" s="223"/>
      <c r="E756" s="143"/>
      <c r="F756" s="143"/>
      <c r="G756" s="143"/>
    </row>
    <row r="757" ht="15.75" customHeight="1">
      <c r="A757" s="247"/>
      <c r="B757" s="224"/>
      <c r="C757" s="222"/>
      <c r="D757" s="223"/>
      <c r="E757" s="143"/>
      <c r="F757" s="143"/>
      <c r="G757" s="143"/>
    </row>
    <row r="758" ht="15.75" customHeight="1">
      <c r="A758" s="247"/>
      <c r="B758" s="224"/>
      <c r="C758" s="222"/>
      <c r="D758" s="223"/>
      <c r="E758" s="143"/>
      <c r="F758" s="143"/>
      <c r="G758" s="143"/>
    </row>
    <row r="759" ht="15.75" customHeight="1">
      <c r="A759" s="247"/>
      <c r="B759" s="224"/>
      <c r="C759" s="222"/>
      <c r="D759" s="223"/>
      <c r="E759" s="143"/>
      <c r="F759" s="143"/>
      <c r="G759" s="143"/>
    </row>
    <row r="760" ht="15.75" customHeight="1">
      <c r="A760" s="247"/>
      <c r="B760" s="224"/>
      <c r="C760" s="222"/>
      <c r="D760" s="223"/>
      <c r="E760" s="143"/>
      <c r="F760" s="143"/>
      <c r="G760" s="143"/>
    </row>
    <row r="761" ht="15.75" customHeight="1">
      <c r="A761" s="247"/>
      <c r="B761" s="224"/>
      <c r="C761" s="222"/>
      <c r="D761" s="223"/>
      <c r="E761" s="143"/>
      <c r="F761" s="143"/>
      <c r="G761" s="143"/>
    </row>
    <row r="762" ht="15.75" customHeight="1">
      <c r="A762" s="247"/>
      <c r="B762" s="224"/>
      <c r="C762" s="222"/>
      <c r="D762" s="223"/>
      <c r="E762" s="143"/>
      <c r="F762" s="143"/>
      <c r="G762" s="143"/>
    </row>
    <row r="763" ht="15.75" customHeight="1">
      <c r="A763" s="247"/>
      <c r="B763" s="224"/>
      <c r="C763" s="222"/>
      <c r="D763" s="223"/>
      <c r="E763" s="143"/>
      <c r="F763" s="143"/>
      <c r="G763" s="143"/>
    </row>
    <row r="764" ht="15.75" customHeight="1">
      <c r="A764" s="247"/>
      <c r="B764" s="224"/>
      <c r="C764" s="222"/>
      <c r="D764" s="223"/>
      <c r="E764" s="143"/>
      <c r="F764" s="143"/>
      <c r="G764" s="143"/>
    </row>
    <row r="765" ht="15.75" customHeight="1">
      <c r="A765" s="247"/>
      <c r="B765" s="224"/>
      <c r="C765" s="222"/>
      <c r="D765" s="223"/>
      <c r="E765" s="143"/>
      <c r="F765" s="143"/>
      <c r="G765" s="143"/>
    </row>
    <row r="766" ht="15.75" customHeight="1">
      <c r="A766" s="247"/>
      <c r="B766" s="224"/>
      <c r="C766" s="222"/>
      <c r="D766" s="223"/>
      <c r="E766" s="143"/>
      <c r="F766" s="143"/>
      <c r="G766" s="143"/>
    </row>
    <row r="767" ht="15.75" customHeight="1">
      <c r="A767" s="247"/>
      <c r="B767" s="224"/>
      <c r="C767" s="222"/>
      <c r="D767" s="223"/>
      <c r="E767" s="143"/>
      <c r="F767" s="143"/>
      <c r="G767" s="143"/>
    </row>
    <row r="768" ht="15.75" customHeight="1">
      <c r="A768" s="247"/>
      <c r="B768" s="224"/>
      <c r="C768" s="222"/>
      <c r="D768" s="223"/>
      <c r="E768" s="143"/>
      <c r="F768" s="143"/>
      <c r="G768" s="143"/>
    </row>
    <row r="769" ht="15.75" customHeight="1">
      <c r="A769" s="247"/>
      <c r="B769" s="224"/>
      <c r="C769" s="222"/>
      <c r="D769" s="223"/>
      <c r="E769" s="143"/>
      <c r="F769" s="143"/>
      <c r="G769" s="143"/>
    </row>
    <row r="770" ht="15.75" customHeight="1">
      <c r="A770" s="247"/>
      <c r="B770" s="224"/>
      <c r="C770" s="222"/>
      <c r="D770" s="223"/>
      <c r="E770" s="143"/>
      <c r="F770" s="143"/>
      <c r="G770" s="143"/>
    </row>
    <row r="771" ht="15.75" customHeight="1">
      <c r="A771" s="247"/>
      <c r="B771" s="224"/>
      <c r="C771" s="222"/>
      <c r="D771" s="223"/>
      <c r="E771" s="143"/>
      <c r="F771" s="143"/>
      <c r="G771" s="143"/>
    </row>
    <row r="772" ht="15.75" customHeight="1">
      <c r="A772" s="247"/>
      <c r="B772" s="224"/>
      <c r="C772" s="222"/>
      <c r="D772" s="223"/>
      <c r="E772" s="143"/>
      <c r="F772" s="143"/>
      <c r="G772" s="143"/>
    </row>
    <row r="773" ht="15.75" customHeight="1">
      <c r="A773" s="247"/>
      <c r="B773" s="224"/>
      <c r="C773" s="222"/>
      <c r="D773" s="223"/>
      <c r="E773" s="143"/>
      <c r="F773" s="143"/>
      <c r="G773" s="143"/>
    </row>
    <row r="774" ht="15.75" customHeight="1">
      <c r="A774" s="247"/>
      <c r="B774" s="224"/>
      <c r="C774" s="222"/>
      <c r="D774" s="223"/>
      <c r="E774" s="143"/>
      <c r="F774" s="143"/>
      <c r="G774" s="143"/>
    </row>
    <row r="775" ht="15.75" customHeight="1">
      <c r="A775" s="247"/>
      <c r="B775" s="224"/>
      <c r="C775" s="222"/>
      <c r="D775" s="223"/>
      <c r="E775" s="143"/>
      <c r="F775" s="143"/>
      <c r="G775" s="143"/>
    </row>
    <row r="776" ht="15.75" customHeight="1">
      <c r="A776" s="247"/>
      <c r="B776" s="224"/>
      <c r="C776" s="222"/>
      <c r="D776" s="223"/>
      <c r="E776" s="143"/>
      <c r="F776" s="143"/>
      <c r="G776" s="143"/>
    </row>
    <row r="777" ht="15.75" customHeight="1">
      <c r="A777" s="247"/>
      <c r="B777" s="224"/>
      <c r="C777" s="222"/>
      <c r="D777" s="223"/>
      <c r="E777" s="143"/>
      <c r="F777" s="143"/>
      <c r="G777" s="143"/>
    </row>
    <row r="778" ht="15.75" customHeight="1">
      <c r="A778" s="247"/>
      <c r="B778" s="224"/>
      <c r="C778" s="222"/>
      <c r="D778" s="223"/>
      <c r="E778" s="143"/>
      <c r="F778" s="143"/>
      <c r="G778" s="143"/>
    </row>
    <row r="779" ht="15.75" customHeight="1">
      <c r="A779" s="247"/>
      <c r="B779" s="224"/>
      <c r="C779" s="222"/>
      <c r="D779" s="223"/>
      <c r="E779" s="143"/>
      <c r="F779" s="143"/>
      <c r="G779" s="143"/>
    </row>
    <row r="780" ht="15.75" customHeight="1">
      <c r="A780" s="247"/>
      <c r="B780" s="224"/>
      <c r="C780" s="222"/>
      <c r="D780" s="223"/>
      <c r="E780" s="143"/>
      <c r="F780" s="143"/>
      <c r="G780" s="143"/>
    </row>
    <row r="781" ht="15.75" customHeight="1">
      <c r="A781" s="247"/>
      <c r="B781" s="224"/>
      <c r="C781" s="222"/>
      <c r="D781" s="223"/>
      <c r="E781" s="143"/>
      <c r="F781" s="143"/>
      <c r="G781" s="143"/>
    </row>
    <row r="782" ht="15.75" customHeight="1">
      <c r="A782" s="247"/>
      <c r="B782" s="224"/>
      <c r="C782" s="222"/>
      <c r="D782" s="223"/>
      <c r="E782" s="143"/>
      <c r="F782" s="143"/>
      <c r="G782" s="143"/>
    </row>
    <row r="783" ht="15.75" customHeight="1">
      <c r="A783" s="247"/>
      <c r="B783" s="224"/>
      <c r="C783" s="222"/>
      <c r="D783" s="223"/>
      <c r="E783" s="143"/>
      <c r="F783" s="143"/>
      <c r="G783" s="143"/>
    </row>
    <row r="784" ht="15.75" customHeight="1">
      <c r="A784" s="247"/>
      <c r="B784" s="224"/>
      <c r="C784" s="222"/>
      <c r="D784" s="223"/>
      <c r="E784" s="143"/>
      <c r="F784" s="143"/>
      <c r="G784" s="143"/>
    </row>
    <row r="785" ht="15.75" customHeight="1">
      <c r="A785" s="247"/>
      <c r="B785" s="224"/>
      <c r="C785" s="222"/>
      <c r="D785" s="223"/>
      <c r="E785" s="143"/>
      <c r="F785" s="143"/>
      <c r="G785" s="143"/>
    </row>
    <row r="786" ht="15.75" customHeight="1">
      <c r="A786" s="247"/>
      <c r="B786" s="224"/>
      <c r="C786" s="222"/>
      <c r="D786" s="223"/>
      <c r="E786" s="143"/>
      <c r="F786" s="143"/>
      <c r="G786" s="143"/>
    </row>
    <row r="787" ht="15.75" customHeight="1">
      <c r="A787" s="247"/>
      <c r="B787" s="224"/>
      <c r="C787" s="222"/>
      <c r="D787" s="223"/>
      <c r="E787" s="143"/>
      <c r="F787" s="143"/>
      <c r="G787" s="143"/>
    </row>
    <row r="788" ht="15.75" customHeight="1">
      <c r="A788" s="247"/>
      <c r="B788" s="224"/>
      <c r="C788" s="222"/>
      <c r="D788" s="223"/>
      <c r="E788" s="143"/>
      <c r="F788" s="143"/>
      <c r="G788" s="143"/>
    </row>
    <row r="789" ht="15.75" customHeight="1">
      <c r="A789" s="247"/>
      <c r="B789" s="224"/>
      <c r="C789" s="222"/>
      <c r="D789" s="223"/>
      <c r="E789" s="143"/>
      <c r="F789" s="143"/>
      <c r="G789" s="143"/>
    </row>
    <row r="790" ht="15.75" customHeight="1">
      <c r="A790" s="247"/>
      <c r="B790" s="224"/>
      <c r="C790" s="222"/>
      <c r="D790" s="223"/>
      <c r="E790" s="143"/>
      <c r="F790" s="143"/>
      <c r="G790" s="143"/>
    </row>
    <row r="791" ht="15.75" customHeight="1">
      <c r="A791" s="247"/>
      <c r="B791" s="224"/>
      <c r="C791" s="222"/>
      <c r="D791" s="223"/>
      <c r="E791" s="143"/>
      <c r="F791" s="143"/>
      <c r="G791" s="143"/>
    </row>
    <row r="792" ht="15.75" customHeight="1">
      <c r="A792" s="247"/>
      <c r="B792" s="224"/>
      <c r="C792" s="222"/>
      <c r="D792" s="223"/>
      <c r="E792" s="143"/>
      <c r="F792" s="143"/>
      <c r="G792" s="143"/>
    </row>
    <row r="793" ht="15.75" customHeight="1">
      <c r="A793" s="247"/>
      <c r="B793" s="224"/>
      <c r="C793" s="222"/>
      <c r="D793" s="223"/>
      <c r="E793" s="143"/>
      <c r="F793" s="143"/>
      <c r="G793" s="143"/>
    </row>
    <row r="794" ht="15.75" customHeight="1">
      <c r="A794" s="247"/>
      <c r="B794" s="224"/>
      <c r="C794" s="222"/>
      <c r="D794" s="223"/>
      <c r="E794" s="143"/>
      <c r="F794" s="143"/>
      <c r="G794" s="143"/>
    </row>
    <row r="795" ht="15.75" customHeight="1">
      <c r="A795" s="247"/>
      <c r="B795" s="224"/>
      <c r="C795" s="222"/>
      <c r="D795" s="223"/>
      <c r="E795" s="143"/>
      <c r="F795" s="143"/>
      <c r="G795" s="143"/>
    </row>
    <row r="796" ht="15.75" customHeight="1">
      <c r="A796" s="247"/>
      <c r="B796" s="224"/>
      <c r="C796" s="222"/>
      <c r="D796" s="223"/>
      <c r="E796" s="143"/>
      <c r="F796" s="143"/>
      <c r="G796" s="143"/>
    </row>
    <row r="797" ht="15.75" customHeight="1">
      <c r="A797" s="247"/>
      <c r="B797" s="224"/>
      <c r="C797" s="222"/>
      <c r="D797" s="223"/>
      <c r="E797" s="143"/>
      <c r="F797" s="143"/>
      <c r="G797" s="143"/>
    </row>
    <row r="798" ht="15.75" customHeight="1">
      <c r="A798" s="247"/>
      <c r="B798" s="224"/>
      <c r="C798" s="222"/>
      <c r="D798" s="223"/>
      <c r="E798" s="143"/>
      <c r="F798" s="143"/>
      <c r="G798" s="143"/>
    </row>
    <row r="799" ht="15.75" customHeight="1">
      <c r="A799" s="247"/>
      <c r="B799" s="224"/>
      <c r="C799" s="222"/>
      <c r="D799" s="223"/>
      <c r="E799" s="143"/>
      <c r="F799" s="143"/>
      <c r="G799" s="143"/>
    </row>
    <row r="800" ht="15.75" customHeight="1">
      <c r="A800" s="247"/>
      <c r="B800" s="224"/>
      <c r="C800" s="222"/>
      <c r="D800" s="223"/>
      <c r="E800" s="143"/>
      <c r="F800" s="143"/>
      <c r="G800" s="143"/>
    </row>
    <row r="801" ht="15.75" customHeight="1">
      <c r="A801" s="247"/>
      <c r="B801" s="224"/>
      <c r="C801" s="222"/>
      <c r="D801" s="223"/>
      <c r="E801" s="143"/>
      <c r="F801" s="143"/>
      <c r="G801" s="143"/>
    </row>
    <row r="802" ht="15.75" customHeight="1">
      <c r="A802" s="247"/>
      <c r="B802" s="224"/>
      <c r="C802" s="222"/>
      <c r="D802" s="223"/>
      <c r="E802" s="143"/>
      <c r="F802" s="143"/>
      <c r="G802" s="143"/>
    </row>
    <row r="803" ht="15.75" customHeight="1">
      <c r="A803" s="247"/>
      <c r="B803" s="224"/>
      <c r="C803" s="222"/>
      <c r="D803" s="223"/>
      <c r="E803" s="143"/>
      <c r="F803" s="143"/>
      <c r="G803" s="143"/>
    </row>
    <row r="804" ht="15.75" customHeight="1">
      <c r="A804" s="247"/>
      <c r="B804" s="224"/>
      <c r="C804" s="222"/>
      <c r="D804" s="223"/>
      <c r="E804" s="143"/>
      <c r="F804" s="143"/>
      <c r="G804" s="143"/>
    </row>
    <row r="805" ht="15.75" customHeight="1">
      <c r="A805" s="247"/>
      <c r="B805" s="224"/>
      <c r="C805" s="222"/>
      <c r="D805" s="223"/>
      <c r="E805" s="143"/>
      <c r="F805" s="143"/>
      <c r="G805" s="143"/>
    </row>
    <row r="806" ht="15.75" customHeight="1">
      <c r="A806" s="247"/>
      <c r="B806" s="224"/>
      <c r="C806" s="222"/>
      <c r="D806" s="223"/>
      <c r="E806" s="143"/>
      <c r="F806" s="143"/>
      <c r="G806" s="143"/>
    </row>
    <row r="807" ht="15.75" customHeight="1">
      <c r="A807" s="247"/>
      <c r="B807" s="224"/>
      <c r="C807" s="222"/>
      <c r="D807" s="223"/>
      <c r="E807" s="143"/>
      <c r="F807" s="143"/>
      <c r="G807" s="143"/>
    </row>
    <row r="808" ht="15.75" customHeight="1">
      <c r="A808" s="247"/>
      <c r="B808" s="224"/>
      <c r="C808" s="222"/>
      <c r="D808" s="223"/>
      <c r="E808" s="143"/>
      <c r="F808" s="143"/>
      <c r="G808" s="143"/>
    </row>
    <row r="809" ht="15.75" customHeight="1">
      <c r="A809" s="247"/>
      <c r="B809" s="224"/>
      <c r="C809" s="222"/>
      <c r="D809" s="223"/>
      <c r="E809" s="143"/>
      <c r="F809" s="143"/>
      <c r="G809" s="143"/>
    </row>
    <row r="810" ht="15.75" customHeight="1">
      <c r="A810" s="247"/>
      <c r="B810" s="224"/>
      <c r="C810" s="222"/>
      <c r="D810" s="223"/>
      <c r="E810" s="143"/>
      <c r="F810" s="143"/>
      <c r="G810" s="143"/>
    </row>
    <row r="811" ht="15.75" customHeight="1">
      <c r="A811" s="247"/>
      <c r="B811" s="224"/>
      <c r="C811" s="222"/>
      <c r="D811" s="223"/>
      <c r="E811" s="143"/>
      <c r="F811" s="143"/>
      <c r="G811" s="143"/>
    </row>
    <row r="812" ht="15.75" customHeight="1">
      <c r="A812" s="247"/>
      <c r="B812" s="224"/>
      <c r="C812" s="222"/>
      <c r="D812" s="223"/>
      <c r="E812" s="143"/>
      <c r="F812" s="143"/>
      <c r="G812" s="143"/>
    </row>
    <row r="813" ht="15.75" customHeight="1">
      <c r="A813" s="247"/>
      <c r="B813" s="224"/>
      <c r="C813" s="222"/>
      <c r="D813" s="223"/>
      <c r="E813" s="143"/>
      <c r="F813" s="143"/>
      <c r="G813" s="143"/>
    </row>
    <row r="814" ht="15.75" customHeight="1">
      <c r="A814" s="247"/>
      <c r="B814" s="224"/>
      <c r="C814" s="222"/>
      <c r="D814" s="223"/>
      <c r="E814" s="143"/>
      <c r="F814" s="143"/>
      <c r="G814" s="143"/>
    </row>
    <row r="815" ht="15.75" customHeight="1">
      <c r="A815" s="247"/>
      <c r="B815" s="224"/>
      <c r="C815" s="222"/>
      <c r="D815" s="223"/>
      <c r="E815" s="143"/>
      <c r="F815" s="143"/>
      <c r="G815" s="143"/>
    </row>
    <row r="816" ht="15.75" customHeight="1">
      <c r="A816" s="247"/>
      <c r="B816" s="224"/>
      <c r="C816" s="222"/>
      <c r="D816" s="223"/>
      <c r="E816" s="143"/>
      <c r="F816" s="143"/>
      <c r="G816" s="143"/>
    </row>
    <row r="817" ht="15.75" customHeight="1">
      <c r="A817" s="247"/>
      <c r="B817" s="224"/>
      <c r="C817" s="222"/>
      <c r="D817" s="223"/>
      <c r="E817" s="143"/>
      <c r="F817" s="143"/>
      <c r="G817" s="143"/>
    </row>
    <row r="818" ht="15.75" customHeight="1">
      <c r="A818" s="247"/>
      <c r="B818" s="224"/>
      <c r="C818" s="222"/>
      <c r="D818" s="223"/>
      <c r="E818" s="143"/>
      <c r="F818" s="143"/>
      <c r="G818" s="143"/>
    </row>
    <row r="819" ht="15.75" customHeight="1">
      <c r="A819" s="247"/>
      <c r="B819" s="224"/>
      <c r="C819" s="222"/>
      <c r="D819" s="223"/>
      <c r="E819" s="143"/>
      <c r="F819" s="143"/>
      <c r="G819" s="143"/>
    </row>
    <row r="820" ht="15.75" customHeight="1">
      <c r="A820" s="247"/>
      <c r="B820" s="224"/>
      <c r="C820" s="222"/>
      <c r="D820" s="223"/>
      <c r="E820" s="143"/>
      <c r="F820" s="143"/>
      <c r="G820" s="143"/>
    </row>
    <row r="821" ht="15.75" customHeight="1">
      <c r="A821" s="247"/>
      <c r="B821" s="224"/>
      <c r="C821" s="222"/>
      <c r="D821" s="223"/>
      <c r="E821" s="143"/>
      <c r="F821" s="143"/>
      <c r="G821" s="143"/>
    </row>
    <row r="822" ht="15.75" customHeight="1">
      <c r="A822" s="247"/>
      <c r="B822" s="224"/>
      <c r="C822" s="222"/>
      <c r="D822" s="223"/>
      <c r="E822" s="143"/>
      <c r="F822" s="143"/>
      <c r="G822" s="143"/>
    </row>
    <row r="823" ht="15.75" customHeight="1">
      <c r="A823" s="247"/>
      <c r="B823" s="224"/>
      <c r="C823" s="222"/>
      <c r="D823" s="223"/>
      <c r="E823" s="143"/>
      <c r="F823" s="143"/>
      <c r="G823" s="143"/>
    </row>
    <row r="824" ht="15.75" customHeight="1">
      <c r="A824" s="247"/>
      <c r="B824" s="224"/>
      <c r="C824" s="222"/>
      <c r="D824" s="223"/>
      <c r="E824" s="143"/>
      <c r="F824" s="143"/>
      <c r="G824" s="143"/>
    </row>
    <row r="825" ht="15.75" customHeight="1">
      <c r="A825" s="247"/>
      <c r="B825" s="224"/>
      <c r="C825" s="222"/>
      <c r="D825" s="223"/>
      <c r="E825" s="143"/>
      <c r="F825" s="143"/>
      <c r="G825" s="143"/>
    </row>
    <row r="826" ht="15.75" customHeight="1">
      <c r="A826" s="247"/>
      <c r="B826" s="224"/>
      <c r="C826" s="222"/>
      <c r="D826" s="223"/>
      <c r="E826" s="143"/>
      <c r="F826" s="143"/>
      <c r="G826" s="143"/>
    </row>
    <row r="827" ht="15.75" customHeight="1">
      <c r="A827" s="247"/>
      <c r="B827" s="224"/>
      <c r="C827" s="222"/>
      <c r="D827" s="223"/>
      <c r="E827" s="143"/>
      <c r="F827" s="143"/>
      <c r="G827" s="143"/>
    </row>
    <row r="828" ht="15.75" customHeight="1">
      <c r="A828" s="247"/>
      <c r="B828" s="224"/>
      <c r="C828" s="222"/>
      <c r="D828" s="223"/>
      <c r="E828" s="143"/>
      <c r="F828" s="143"/>
      <c r="G828" s="143"/>
    </row>
    <row r="829" ht="15.75" customHeight="1">
      <c r="A829" s="247"/>
      <c r="B829" s="224"/>
      <c r="C829" s="222"/>
      <c r="D829" s="223"/>
      <c r="E829" s="143"/>
      <c r="F829" s="143"/>
      <c r="G829" s="143"/>
    </row>
    <row r="830" ht="15.75" customHeight="1">
      <c r="A830" s="247"/>
      <c r="B830" s="224"/>
      <c r="C830" s="222"/>
      <c r="D830" s="223"/>
      <c r="E830" s="143"/>
      <c r="F830" s="143"/>
      <c r="G830" s="143"/>
    </row>
    <row r="831" ht="15.75" customHeight="1">
      <c r="A831" s="247"/>
      <c r="B831" s="224"/>
      <c r="C831" s="222"/>
      <c r="D831" s="223"/>
      <c r="E831" s="143"/>
      <c r="F831" s="143"/>
      <c r="G831" s="143"/>
    </row>
    <row r="832" ht="15.75" customHeight="1">
      <c r="A832" s="247"/>
      <c r="B832" s="224"/>
      <c r="C832" s="222"/>
      <c r="D832" s="223"/>
      <c r="E832" s="143"/>
      <c r="F832" s="143"/>
      <c r="G832" s="143"/>
    </row>
    <row r="833" ht="15.75" customHeight="1">
      <c r="A833" s="247"/>
      <c r="B833" s="224"/>
      <c r="C833" s="222"/>
      <c r="D833" s="223"/>
      <c r="E833" s="143"/>
      <c r="F833" s="143"/>
      <c r="G833" s="143"/>
    </row>
    <row r="834" ht="15.75" customHeight="1">
      <c r="A834" s="247"/>
      <c r="B834" s="224"/>
      <c r="C834" s="222"/>
      <c r="D834" s="223"/>
      <c r="E834" s="143"/>
      <c r="F834" s="143"/>
      <c r="G834" s="143"/>
    </row>
    <row r="835" ht="15.75" customHeight="1">
      <c r="A835" s="247"/>
      <c r="B835" s="224"/>
      <c r="C835" s="222"/>
      <c r="D835" s="223"/>
      <c r="E835" s="143"/>
      <c r="F835" s="143"/>
      <c r="G835" s="143"/>
    </row>
    <row r="836" ht="15.75" customHeight="1">
      <c r="A836" s="247"/>
      <c r="B836" s="224"/>
      <c r="C836" s="222"/>
      <c r="D836" s="223"/>
      <c r="E836" s="143"/>
      <c r="F836" s="143"/>
      <c r="G836" s="143"/>
    </row>
    <row r="837" ht="15.75" customHeight="1">
      <c r="A837" s="247"/>
      <c r="B837" s="224"/>
      <c r="C837" s="222"/>
      <c r="D837" s="223"/>
      <c r="E837" s="143"/>
      <c r="F837" s="143"/>
      <c r="G837" s="143"/>
    </row>
    <row r="838" ht="15.75" customHeight="1">
      <c r="A838" s="247"/>
      <c r="B838" s="224"/>
      <c r="C838" s="222"/>
      <c r="D838" s="223"/>
      <c r="E838" s="143"/>
      <c r="F838" s="143"/>
      <c r="G838" s="143"/>
    </row>
    <row r="839" ht="15.75" customHeight="1">
      <c r="A839" s="247"/>
      <c r="B839" s="224"/>
      <c r="C839" s="222"/>
      <c r="D839" s="223"/>
      <c r="E839" s="143"/>
      <c r="F839" s="143"/>
      <c r="G839" s="143"/>
    </row>
    <row r="840" ht="15.75" customHeight="1">
      <c r="A840" s="247"/>
      <c r="B840" s="224"/>
      <c r="C840" s="222"/>
      <c r="D840" s="223"/>
      <c r="E840" s="143"/>
      <c r="F840" s="143"/>
      <c r="G840" s="143"/>
    </row>
    <row r="841" ht="15.75" customHeight="1">
      <c r="A841" s="247"/>
      <c r="B841" s="224"/>
      <c r="C841" s="222"/>
      <c r="D841" s="223"/>
      <c r="E841" s="143"/>
      <c r="F841" s="143"/>
      <c r="G841" s="143"/>
    </row>
    <row r="842" ht="15.75" customHeight="1">
      <c r="A842" s="247"/>
      <c r="B842" s="224"/>
      <c r="C842" s="222"/>
      <c r="D842" s="223"/>
      <c r="E842" s="143"/>
      <c r="F842" s="143"/>
      <c r="G842" s="143"/>
    </row>
    <row r="843" ht="15.75" customHeight="1">
      <c r="A843" s="247"/>
      <c r="B843" s="224"/>
      <c r="C843" s="222"/>
      <c r="D843" s="223"/>
      <c r="E843" s="143"/>
      <c r="F843" s="143"/>
      <c r="G843" s="143"/>
    </row>
    <row r="844" ht="15.75" customHeight="1">
      <c r="A844" s="247"/>
      <c r="B844" s="224"/>
      <c r="C844" s="222"/>
      <c r="D844" s="223"/>
      <c r="E844" s="143"/>
      <c r="F844" s="143"/>
      <c r="G844" s="143"/>
    </row>
    <row r="845" ht="15.75" customHeight="1">
      <c r="A845" s="247"/>
      <c r="B845" s="224"/>
      <c r="C845" s="222"/>
      <c r="D845" s="223"/>
      <c r="E845" s="143"/>
      <c r="F845" s="143"/>
      <c r="G845" s="143"/>
    </row>
    <row r="846" ht="15.75" customHeight="1">
      <c r="A846" s="247"/>
      <c r="B846" s="224"/>
      <c r="C846" s="222"/>
      <c r="D846" s="223"/>
      <c r="E846" s="143"/>
      <c r="F846" s="143"/>
      <c r="G846" s="143"/>
    </row>
    <row r="847" ht="15.75" customHeight="1">
      <c r="A847" s="247"/>
      <c r="B847" s="224"/>
      <c r="C847" s="222"/>
      <c r="D847" s="223"/>
      <c r="E847" s="143"/>
      <c r="F847" s="143"/>
      <c r="G847" s="143"/>
    </row>
    <row r="848" ht="15.75" customHeight="1">
      <c r="A848" s="247"/>
      <c r="B848" s="224"/>
      <c r="C848" s="222"/>
      <c r="D848" s="223"/>
      <c r="E848" s="143"/>
      <c r="F848" s="143"/>
      <c r="G848" s="143"/>
    </row>
    <row r="849" ht="15.75" customHeight="1">
      <c r="A849" s="247"/>
      <c r="B849" s="224"/>
      <c r="C849" s="222"/>
      <c r="D849" s="223"/>
      <c r="E849" s="143"/>
      <c r="F849" s="143"/>
      <c r="G849" s="143"/>
    </row>
    <row r="850" ht="15.75" customHeight="1">
      <c r="A850" s="247"/>
      <c r="B850" s="224"/>
      <c r="C850" s="222"/>
      <c r="D850" s="223"/>
      <c r="E850" s="143"/>
      <c r="F850" s="143"/>
      <c r="G850" s="143"/>
    </row>
    <row r="851" ht="15.75" customHeight="1">
      <c r="A851" s="247"/>
      <c r="B851" s="224"/>
      <c r="C851" s="222"/>
      <c r="D851" s="223"/>
      <c r="E851" s="143"/>
      <c r="F851" s="143"/>
      <c r="G851" s="143"/>
    </row>
    <row r="852" ht="15.75" customHeight="1">
      <c r="A852" s="247"/>
      <c r="B852" s="224"/>
      <c r="C852" s="222"/>
      <c r="D852" s="223"/>
      <c r="E852" s="143"/>
      <c r="F852" s="143"/>
      <c r="G852" s="143"/>
    </row>
    <row r="853" ht="15.75" customHeight="1">
      <c r="A853" s="247"/>
      <c r="B853" s="224"/>
      <c r="C853" s="222"/>
      <c r="D853" s="223"/>
      <c r="E853" s="143"/>
      <c r="F853" s="143"/>
      <c r="G853" s="143"/>
    </row>
    <row r="854" ht="15.75" customHeight="1">
      <c r="A854" s="247"/>
      <c r="B854" s="224"/>
      <c r="C854" s="222"/>
      <c r="D854" s="223"/>
      <c r="E854" s="143"/>
      <c r="F854" s="143"/>
      <c r="G854" s="143"/>
    </row>
    <row r="855" ht="15.75" customHeight="1">
      <c r="A855" s="247"/>
      <c r="B855" s="224"/>
      <c r="C855" s="222"/>
      <c r="D855" s="223"/>
      <c r="E855" s="143"/>
      <c r="F855" s="143"/>
      <c r="G855" s="143"/>
    </row>
    <row r="856" ht="15.75" customHeight="1">
      <c r="A856" s="247"/>
      <c r="B856" s="224"/>
      <c r="C856" s="222"/>
      <c r="D856" s="223"/>
      <c r="E856" s="143"/>
      <c r="F856" s="143"/>
      <c r="G856" s="143"/>
    </row>
    <row r="857" ht="15.75" customHeight="1">
      <c r="A857" s="247"/>
      <c r="B857" s="224"/>
      <c r="C857" s="222"/>
      <c r="D857" s="223"/>
      <c r="E857" s="143"/>
      <c r="F857" s="143"/>
      <c r="G857" s="143"/>
    </row>
    <row r="858" ht="15.75" customHeight="1">
      <c r="A858" s="247"/>
      <c r="B858" s="224"/>
      <c r="C858" s="222"/>
      <c r="D858" s="223"/>
      <c r="E858" s="143"/>
      <c r="F858" s="143"/>
      <c r="G858" s="143"/>
    </row>
    <row r="859" ht="15.75" customHeight="1">
      <c r="A859" s="247"/>
      <c r="B859" s="224"/>
      <c r="C859" s="222"/>
      <c r="D859" s="223"/>
      <c r="E859" s="143"/>
      <c r="F859" s="143"/>
      <c r="G859" s="143"/>
    </row>
    <row r="860" ht="15.75" customHeight="1">
      <c r="A860" s="247"/>
      <c r="B860" s="224"/>
      <c r="C860" s="222"/>
      <c r="D860" s="223"/>
      <c r="E860" s="143"/>
      <c r="F860" s="143"/>
      <c r="G860" s="143"/>
    </row>
    <row r="861" ht="15.75" customHeight="1">
      <c r="A861" s="247"/>
      <c r="B861" s="224"/>
      <c r="C861" s="222"/>
      <c r="D861" s="223"/>
      <c r="E861" s="143"/>
      <c r="F861" s="143"/>
      <c r="G861" s="143"/>
    </row>
    <row r="862" ht="15.75" customHeight="1">
      <c r="A862" s="247"/>
      <c r="B862" s="224"/>
      <c r="C862" s="222"/>
      <c r="D862" s="223"/>
      <c r="E862" s="143"/>
      <c r="F862" s="143"/>
      <c r="G862" s="143"/>
    </row>
    <row r="863" ht="15.75" customHeight="1">
      <c r="A863" s="247"/>
      <c r="B863" s="224"/>
      <c r="C863" s="222"/>
      <c r="D863" s="223"/>
      <c r="E863" s="143"/>
      <c r="F863" s="143"/>
      <c r="G863" s="143"/>
    </row>
    <row r="864" ht="15.75" customHeight="1">
      <c r="A864" s="247"/>
      <c r="B864" s="224"/>
      <c r="C864" s="222"/>
      <c r="D864" s="223"/>
      <c r="E864" s="143"/>
      <c r="F864" s="143"/>
      <c r="G864" s="143"/>
    </row>
    <row r="865" ht="15.75" customHeight="1">
      <c r="A865" s="247"/>
      <c r="B865" s="224"/>
      <c r="C865" s="222"/>
      <c r="D865" s="223"/>
      <c r="E865" s="143"/>
      <c r="F865" s="143"/>
      <c r="G865" s="143"/>
    </row>
    <row r="866" ht="15.75" customHeight="1">
      <c r="A866" s="247"/>
      <c r="B866" s="224"/>
      <c r="C866" s="222"/>
      <c r="D866" s="223"/>
      <c r="E866" s="143"/>
      <c r="F866" s="143"/>
      <c r="G866" s="143"/>
    </row>
    <row r="867" ht="15.75" customHeight="1">
      <c r="A867" s="247"/>
      <c r="B867" s="224"/>
      <c r="C867" s="222"/>
      <c r="D867" s="223"/>
      <c r="E867" s="143"/>
      <c r="F867" s="143"/>
      <c r="G867" s="143"/>
    </row>
    <row r="868" ht="15.75" customHeight="1">
      <c r="A868" s="247"/>
      <c r="B868" s="224"/>
      <c r="C868" s="222"/>
      <c r="D868" s="223"/>
      <c r="E868" s="143"/>
      <c r="F868" s="143"/>
      <c r="G868" s="143"/>
    </row>
    <row r="869" ht="15.75" customHeight="1">
      <c r="A869" s="247"/>
      <c r="B869" s="224"/>
      <c r="C869" s="222"/>
      <c r="D869" s="223"/>
      <c r="E869" s="143"/>
      <c r="F869" s="143"/>
      <c r="G869" s="143"/>
    </row>
    <row r="870" ht="15.75" customHeight="1">
      <c r="A870" s="247"/>
      <c r="B870" s="224"/>
      <c r="C870" s="222"/>
      <c r="D870" s="223"/>
      <c r="E870" s="143"/>
      <c r="F870" s="143"/>
      <c r="G870" s="143"/>
    </row>
    <row r="871" ht="15.75" customHeight="1">
      <c r="A871" s="247"/>
      <c r="B871" s="224"/>
      <c r="C871" s="222"/>
      <c r="D871" s="223"/>
      <c r="E871" s="143"/>
      <c r="F871" s="143"/>
      <c r="G871" s="143"/>
    </row>
    <row r="872" ht="15.75" customHeight="1">
      <c r="A872" s="247"/>
      <c r="B872" s="224"/>
      <c r="C872" s="222"/>
      <c r="D872" s="223"/>
      <c r="E872" s="143"/>
      <c r="F872" s="143"/>
      <c r="G872" s="143"/>
    </row>
    <row r="873" ht="15.75" customHeight="1">
      <c r="A873" s="247"/>
      <c r="B873" s="224"/>
      <c r="C873" s="222"/>
      <c r="D873" s="223"/>
      <c r="E873" s="143"/>
      <c r="F873" s="143"/>
      <c r="G873" s="143"/>
    </row>
    <row r="874" ht="15.75" customHeight="1">
      <c r="A874" s="247"/>
      <c r="B874" s="224"/>
      <c r="C874" s="222"/>
      <c r="D874" s="223"/>
      <c r="E874" s="143"/>
      <c r="F874" s="143"/>
      <c r="G874" s="143"/>
    </row>
    <row r="875" ht="15.75" customHeight="1">
      <c r="A875" s="247"/>
      <c r="B875" s="224"/>
      <c r="C875" s="222"/>
      <c r="D875" s="223"/>
      <c r="E875" s="143"/>
      <c r="F875" s="143"/>
      <c r="G875" s="143"/>
    </row>
    <row r="876" ht="15.75" customHeight="1">
      <c r="A876" s="247"/>
      <c r="B876" s="224"/>
      <c r="C876" s="222"/>
      <c r="D876" s="223"/>
      <c r="E876" s="143"/>
      <c r="F876" s="143"/>
      <c r="G876" s="143"/>
    </row>
    <row r="877" ht="15.75" customHeight="1">
      <c r="A877" s="247"/>
      <c r="B877" s="224"/>
      <c r="C877" s="222"/>
      <c r="D877" s="223"/>
      <c r="E877" s="143"/>
      <c r="F877" s="143"/>
      <c r="G877" s="143"/>
    </row>
    <row r="878" ht="15.75" customHeight="1">
      <c r="A878" s="247"/>
      <c r="B878" s="224"/>
      <c r="C878" s="222"/>
      <c r="D878" s="223"/>
      <c r="E878" s="143"/>
      <c r="F878" s="143"/>
      <c r="G878" s="143"/>
    </row>
    <row r="879" ht="15.75" customHeight="1">
      <c r="A879" s="247"/>
      <c r="B879" s="224"/>
      <c r="C879" s="222"/>
      <c r="D879" s="223"/>
      <c r="E879" s="143"/>
      <c r="F879" s="143"/>
      <c r="G879" s="143"/>
    </row>
    <row r="880" ht="15.75" customHeight="1">
      <c r="A880" s="247"/>
      <c r="B880" s="224"/>
      <c r="C880" s="222"/>
      <c r="D880" s="223"/>
      <c r="E880" s="143"/>
      <c r="F880" s="143"/>
      <c r="G880" s="143"/>
    </row>
    <row r="881" ht="15.75" customHeight="1">
      <c r="A881" s="247"/>
      <c r="B881" s="224"/>
      <c r="C881" s="222"/>
      <c r="D881" s="223"/>
      <c r="E881" s="143"/>
      <c r="F881" s="143"/>
      <c r="G881" s="143"/>
    </row>
    <row r="882" ht="15.75" customHeight="1">
      <c r="A882" s="247"/>
      <c r="B882" s="224"/>
      <c r="C882" s="222"/>
      <c r="D882" s="223"/>
      <c r="E882" s="143"/>
      <c r="F882" s="143"/>
      <c r="G882" s="143"/>
    </row>
    <row r="883" ht="15.75" customHeight="1">
      <c r="A883" s="247"/>
      <c r="B883" s="224"/>
      <c r="C883" s="222"/>
      <c r="D883" s="223"/>
      <c r="E883" s="143"/>
      <c r="F883" s="143"/>
      <c r="G883" s="143"/>
    </row>
    <row r="884" ht="15.75" customHeight="1">
      <c r="A884" s="247"/>
      <c r="B884" s="224"/>
      <c r="C884" s="222"/>
      <c r="D884" s="223"/>
      <c r="E884" s="143"/>
      <c r="F884" s="143"/>
      <c r="G884" s="143"/>
    </row>
    <row r="885" ht="15.75" customHeight="1">
      <c r="A885" s="247"/>
      <c r="B885" s="224"/>
      <c r="C885" s="222"/>
      <c r="D885" s="223"/>
      <c r="E885" s="143"/>
      <c r="F885" s="143"/>
      <c r="G885" s="143"/>
    </row>
    <row r="886" ht="15.75" customHeight="1">
      <c r="A886" s="247"/>
      <c r="B886" s="224"/>
      <c r="C886" s="222"/>
      <c r="D886" s="223"/>
      <c r="E886" s="143"/>
      <c r="F886" s="143"/>
      <c r="G886" s="143"/>
    </row>
    <row r="887" ht="15.75" customHeight="1">
      <c r="A887" s="247"/>
      <c r="B887" s="224"/>
      <c r="C887" s="222"/>
      <c r="D887" s="223"/>
      <c r="E887" s="143"/>
      <c r="F887" s="143"/>
      <c r="G887" s="143"/>
    </row>
    <row r="888" ht="15.75" customHeight="1">
      <c r="A888" s="247"/>
      <c r="B888" s="224"/>
      <c r="C888" s="222"/>
      <c r="D888" s="223"/>
      <c r="E888" s="143"/>
      <c r="F888" s="143"/>
      <c r="G888" s="143"/>
    </row>
    <row r="889" ht="15.75" customHeight="1">
      <c r="A889" s="247"/>
      <c r="B889" s="224"/>
      <c r="C889" s="222"/>
      <c r="D889" s="223"/>
      <c r="E889" s="143"/>
      <c r="F889" s="143"/>
      <c r="G889" s="143"/>
    </row>
    <row r="890" ht="15.75" customHeight="1">
      <c r="A890" s="247"/>
      <c r="B890" s="224"/>
      <c r="C890" s="222"/>
      <c r="D890" s="223"/>
      <c r="E890" s="143"/>
      <c r="F890" s="143"/>
      <c r="G890" s="143"/>
    </row>
    <row r="891" ht="15.75" customHeight="1">
      <c r="A891" s="247"/>
      <c r="B891" s="224"/>
      <c r="C891" s="222"/>
      <c r="D891" s="223"/>
      <c r="E891" s="143"/>
      <c r="F891" s="143"/>
      <c r="G891" s="143"/>
    </row>
    <row r="892" ht="15.75" customHeight="1">
      <c r="A892" s="247"/>
      <c r="B892" s="224"/>
      <c r="C892" s="222"/>
      <c r="D892" s="223"/>
      <c r="E892" s="143"/>
      <c r="F892" s="143"/>
      <c r="G892" s="143"/>
    </row>
    <row r="893" ht="15.75" customHeight="1">
      <c r="A893" s="247"/>
      <c r="B893" s="224"/>
      <c r="C893" s="222"/>
      <c r="D893" s="223"/>
      <c r="E893" s="143"/>
      <c r="F893" s="143"/>
      <c r="G893" s="143"/>
    </row>
    <row r="894" ht="15.75" customHeight="1">
      <c r="A894" s="247"/>
      <c r="B894" s="224"/>
      <c r="C894" s="222"/>
      <c r="D894" s="223"/>
      <c r="E894" s="143"/>
      <c r="F894" s="143"/>
      <c r="G894" s="143"/>
    </row>
    <row r="895" ht="15.75" customHeight="1">
      <c r="A895" s="247"/>
      <c r="B895" s="224"/>
      <c r="C895" s="222"/>
      <c r="D895" s="223"/>
      <c r="E895" s="143"/>
      <c r="F895" s="143"/>
      <c r="G895" s="143"/>
    </row>
    <row r="896" ht="15.75" customHeight="1">
      <c r="A896" s="247"/>
      <c r="B896" s="224"/>
      <c r="C896" s="222"/>
      <c r="D896" s="223"/>
      <c r="E896" s="143"/>
      <c r="F896" s="143"/>
      <c r="G896" s="143"/>
    </row>
    <row r="897" ht="15.75" customHeight="1">
      <c r="A897" s="247"/>
      <c r="B897" s="224"/>
      <c r="C897" s="222"/>
      <c r="D897" s="223"/>
      <c r="E897" s="143"/>
      <c r="F897" s="143"/>
      <c r="G897" s="143"/>
    </row>
    <row r="898" ht="15.75" customHeight="1">
      <c r="A898" s="247"/>
      <c r="B898" s="224"/>
      <c r="C898" s="222"/>
      <c r="D898" s="223"/>
      <c r="E898" s="143"/>
      <c r="F898" s="143"/>
      <c r="G898" s="143"/>
    </row>
    <row r="899" ht="15.75" customHeight="1">
      <c r="A899" s="247"/>
      <c r="B899" s="224"/>
      <c r="C899" s="222"/>
      <c r="D899" s="223"/>
      <c r="E899" s="143"/>
      <c r="F899" s="143"/>
      <c r="G899" s="143"/>
    </row>
    <row r="900" ht="15.75" customHeight="1">
      <c r="A900" s="247"/>
      <c r="B900" s="224"/>
      <c r="C900" s="222"/>
      <c r="D900" s="223"/>
      <c r="E900" s="143"/>
      <c r="F900" s="143"/>
      <c r="G900" s="143"/>
    </row>
    <row r="901" ht="15.75" customHeight="1">
      <c r="A901" s="247"/>
      <c r="B901" s="224"/>
      <c r="C901" s="222"/>
      <c r="D901" s="223"/>
      <c r="E901" s="143"/>
      <c r="F901" s="143"/>
      <c r="G901" s="143"/>
    </row>
    <row r="902" ht="15.75" customHeight="1">
      <c r="A902" s="247"/>
      <c r="B902" s="224"/>
      <c r="C902" s="222"/>
      <c r="D902" s="223"/>
      <c r="E902" s="143"/>
      <c r="F902" s="143"/>
      <c r="G902" s="143"/>
    </row>
    <row r="903" ht="15.75" customHeight="1">
      <c r="A903" s="247"/>
      <c r="B903" s="224"/>
      <c r="C903" s="222"/>
      <c r="D903" s="223"/>
      <c r="E903" s="143"/>
      <c r="F903" s="143"/>
      <c r="G903" s="143"/>
    </row>
    <row r="904" ht="15.75" customHeight="1">
      <c r="A904" s="247"/>
      <c r="B904" s="224"/>
      <c r="C904" s="222"/>
      <c r="D904" s="223"/>
      <c r="E904" s="143"/>
      <c r="F904" s="143"/>
      <c r="G904" s="143"/>
    </row>
    <row r="905" ht="15.75" customHeight="1">
      <c r="A905" s="247"/>
      <c r="B905" s="224"/>
      <c r="C905" s="222"/>
      <c r="D905" s="223"/>
      <c r="E905" s="143"/>
      <c r="F905" s="143"/>
      <c r="G905" s="143"/>
    </row>
    <row r="906" ht="15.75" customHeight="1">
      <c r="A906" s="247"/>
      <c r="B906" s="224"/>
      <c r="C906" s="222"/>
      <c r="D906" s="223"/>
      <c r="E906" s="143"/>
      <c r="F906" s="143"/>
      <c r="G906" s="143"/>
    </row>
    <row r="907" ht="15.75" customHeight="1">
      <c r="A907" s="247"/>
      <c r="B907" s="224"/>
      <c r="C907" s="222"/>
      <c r="D907" s="223"/>
      <c r="E907" s="143"/>
      <c r="F907" s="143"/>
      <c r="G907" s="143"/>
    </row>
    <row r="908" ht="15.75" customHeight="1">
      <c r="A908" s="247"/>
      <c r="B908" s="224"/>
      <c r="C908" s="222"/>
      <c r="D908" s="223"/>
      <c r="E908" s="143"/>
      <c r="F908" s="143"/>
      <c r="G908" s="143"/>
    </row>
    <row r="909" ht="15.75" customHeight="1">
      <c r="A909" s="247"/>
      <c r="B909" s="224"/>
      <c r="C909" s="222"/>
      <c r="D909" s="223"/>
      <c r="E909" s="143"/>
      <c r="F909" s="143"/>
      <c r="G909" s="143"/>
    </row>
    <row r="910" ht="15.75" customHeight="1">
      <c r="A910" s="247"/>
      <c r="B910" s="224"/>
      <c r="C910" s="222"/>
      <c r="D910" s="223"/>
      <c r="E910" s="143"/>
      <c r="F910" s="143"/>
      <c r="G910" s="143"/>
    </row>
    <row r="911" ht="15.75" customHeight="1">
      <c r="A911" s="247"/>
      <c r="B911" s="224"/>
      <c r="C911" s="222"/>
      <c r="D911" s="223"/>
      <c r="E911" s="143"/>
      <c r="F911" s="143"/>
      <c r="G911" s="143"/>
    </row>
    <row r="912" ht="15.75" customHeight="1">
      <c r="A912" s="247"/>
      <c r="B912" s="224"/>
      <c r="C912" s="222"/>
      <c r="D912" s="223"/>
      <c r="E912" s="143"/>
      <c r="F912" s="143"/>
      <c r="G912" s="143"/>
    </row>
    <row r="913" ht="15.75" customHeight="1">
      <c r="A913" s="247"/>
      <c r="B913" s="224"/>
      <c r="C913" s="222"/>
      <c r="D913" s="223"/>
      <c r="E913" s="143"/>
      <c r="F913" s="143"/>
      <c r="G913" s="143"/>
    </row>
    <row r="914" ht="15.75" customHeight="1">
      <c r="A914" s="247"/>
      <c r="B914" s="224"/>
      <c r="C914" s="222"/>
      <c r="D914" s="223"/>
      <c r="E914" s="143"/>
      <c r="F914" s="143"/>
      <c r="G914" s="143"/>
    </row>
    <row r="915" ht="15.75" customHeight="1">
      <c r="A915" s="247"/>
      <c r="B915" s="224"/>
      <c r="C915" s="222"/>
      <c r="D915" s="223"/>
      <c r="E915" s="143"/>
      <c r="F915" s="143"/>
      <c r="G915" s="143"/>
    </row>
    <row r="916" ht="15.75" customHeight="1">
      <c r="A916" s="247"/>
      <c r="B916" s="224"/>
      <c r="C916" s="222"/>
      <c r="D916" s="223"/>
      <c r="E916" s="143"/>
      <c r="F916" s="143"/>
      <c r="G916" s="143"/>
    </row>
    <row r="917" ht="15.75" customHeight="1">
      <c r="A917" s="247"/>
      <c r="B917" s="224"/>
      <c r="C917" s="222"/>
      <c r="D917" s="223"/>
      <c r="E917" s="143"/>
      <c r="F917" s="143"/>
      <c r="G917" s="143"/>
    </row>
    <row r="918" ht="15.75" customHeight="1">
      <c r="A918" s="247"/>
      <c r="B918" s="224"/>
      <c r="C918" s="222"/>
      <c r="D918" s="223"/>
      <c r="E918" s="143"/>
      <c r="F918" s="143"/>
      <c r="G918" s="143"/>
    </row>
    <row r="919" ht="15.75" customHeight="1">
      <c r="A919" s="247"/>
      <c r="B919" s="224"/>
      <c r="C919" s="222"/>
      <c r="D919" s="223"/>
      <c r="E919" s="143"/>
      <c r="F919" s="143"/>
      <c r="G919" s="143"/>
    </row>
    <row r="920" ht="15.75" customHeight="1">
      <c r="A920" s="247"/>
      <c r="B920" s="224"/>
      <c r="C920" s="222"/>
      <c r="D920" s="223"/>
      <c r="E920" s="143"/>
      <c r="F920" s="143"/>
      <c r="G920" s="143"/>
    </row>
    <row r="921" ht="15.75" customHeight="1">
      <c r="A921" s="247"/>
      <c r="B921" s="224"/>
      <c r="C921" s="222"/>
      <c r="D921" s="223"/>
      <c r="E921" s="143"/>
      <c r="F921" s="143"/>
      <c r="G921" s="143"/>
    </row>
    <row r="922" ht="15.75" customHeight="1">
      <c r="A922" s="247"/>
      <c r="B922" s="224"/>
      <c r="C922" s="222"/>
      <c r="D922" s="223"/>
      <c r="E922" s="143"/>
      <c r="F922" s="143"/>
      <c r="G922" s="143"/>
    </row>
    <row r="923" ht="15.75" customHeight="1">
      <c r="A923" s="247"/>
      <c r="B923" s="224"/>
      <c r="C923" s="222"/>
      <c r="D923" s="223"/>
      <c r="E923" s="143"/>
      <c r="F923" s="143"/>
      <c r="G923" s="143"/>
    </row>
    <row r="924" ht="15.75" customHeight="1">
      <c r="A924" s="247"/>
      <c r="B924" s="224"/>
      <c r="C924" s="222"/>
      <c r="D924" s="223"/>
      <c r="E924" s="143"/>
      <c r="F924" s="143"/>
      <c r="G924" s="143"/>
    </row>
    <row r="925" ht="15.75" customHeight="1">
      <c r="A925" s="247"/>
      <c r="B925" s="224"/>
      <c r="C925" s="222"/>
      <c r="D925" s="223"/>
      <c r="E925" s="143"/>
      <c r="F925" s="143"/>
      <c r="G925" s="143"/>
    </row>
    <row r="926" ht="15.75" customHeight="1">
      <c r="A926" s="247"/>
      <c r="B926" s="224"/>
      <c r="C926" s="222"/>
      <c r="D926" s="223"/>
      <c r="E926" s="143"/>
      <c r="F926" s="143"/>
      <c r="G926" s="143"/>
    </row>
    <row r="927" ht="15.75" customHeight="1">
      <c r="A927" s="247"/>
      <c r="B927" s="224"/>
      <c r="C927" s="222"/>
      <c r="D927" s="223"/>
      <c r="E927" s="143"/>
      <c r="F927" s="143"/>
      <c r="G927" s="143"/>
    </row>
    <row r="928" ht="15.75" customHeight="1">
      <c r="A928" s="247"/>
      <c r="B928" s="224"/>
      <c r="C928" s="222"/>
      <c r="D928" s="223"/>
      <c r="E928" s="143"/>
      <c r="F928" s="143"/>
      <c r="G928" s="143"/>
    </row>
    <row r="929" ht="15.75" customHeight="1">
      <c r="A929" s="247"/>
      <c r="B929" s="224"/>
      <c r="C929" s="222"/>
      <c r="D929" s="223"/>
      <c r="E929" s="143"/>
      <c r="F929" s="143"/>
      <c r="G929" s="143"/>
    </row>
    <row r="930" ht="15.75" customHeight="1">
      <c r="A930" s="247"/>
      <c r="B930" s="224"/>
      <c r="C930" s="222"/>
      <c r="D930" s="223"/>
      <c r="E930" s="143"/>
      <c r="F930" s="143"/>
      <c r="G930" s="143"/>
    </row>
    <row r="931" ht="15.75" customHeight="1">
      <c r="A931" s="247"/>
      <c r="B931" s="224"/>
      <c r="C931" s="222"/>
      <c r="D931" s="223"/>
      <c r="E931" s="143"/>
      <c r="F931" s="143"/>
      <c r="G931" s="143"/>
    </row>
    <row r="932" ht="15.75" customHeight="1">
      <c r="A932" s="247"/>
      <c r="B932" s="224"/>
      <c r="C932" s="222"/>
      <c r="D932" s="223"/>
      <c r="E932" s="143"/>
      <c r="F932" s="143"/>
      <c r="G932" s="143"/>
    </row>
    <row r="933" ht="15.75" customHeight="1">
      <c r="A933" s="247"/>
      <c r="B933" s="224"/>
      <c r="C933" s="222"/>
      <c r="D933" s="223"/>
      <c r="E933" s="143"/>
      <c r="F933" s="143"/>
      <c r="G933" s="143"/>
    </row>
    <row r="934" ht="15.75" customHeight="1">
      <c r="A934" s="247"/>
      <c r="B934" s="224"/>
      <c r="C934" s="222"/>
      <c r="D934" s="223"/>
      <c r="E934" s="143"/>
      <c r="F934" s="143"/>
      <c r="G934" s="143"/>
    </row>
    <row r="935" ht="15.75" customHeight="1">
      <c r="A935" s="247"/>
      <c r="B935" s="224"/>
      <c r="C935" s="222"/>
      <c r="D935" s="223"/>
      <c r="E935" s="143"/>
      <c r="F935" s="143"/>
      <c r="G935" s="143"/>
    </row>
    <row r="936" ht="15.75" customHeight="1">
      <c r="A936" s="247"/>
      <c r="B936" s="224"/>
      <c r="C936" s="222"/>
      <c r="D936" s="223"/>
      <c r="E936" s="143"/>
      <c r="F936" s="143"/>
      <c r="G936" s="143"/>
    </row>
    <row r="937" ht="15.75" customHeight="1">
      <c r="A937" s="247"/>
      <c r="B937" s="224"/>
      <c r="C937" s="222"/>
      <c r="D937" s="223"/>
      <c r="E937" s="143"/>
      <c r="F937" s="143"/>
      <c r="G937" s="143"/>
    </row>
    <row r="938" ht="15.75" customHeight="1">
      <c r="A938" s="247"/>
      <c r="B938" s="224"/>
      <c r="C938" s="222"/>
      <c r="D938" s="223"/>
      <c r="E938" s="143"/>
      <c r="F938" s="143"/>
      <c r="G938" s="143"/>
    </row>
    <row r="939" ht="15.75" customHeight="1">
      <c r="A939" s="247"/>
      <c r="B939" s="224"/>
      <c r="C939" s="222"/>
      <c r="D939" s="223"/>
      <c r="E939" s="143"/>
      <c r="F939" s="143"/>
      <c r="G939" s="143"/>
    </row>
    <row r="940" ht="15.75" customHeight="1">
      <c r="A940" s="247"/>
      <c r="B940" s="224"/>
      <c r="C940" s="222"/>
      <c r="D940" s="223"/>
      <c r="E940" s="143"/>
      <c r="F940" s="143"/>
      <c r="G940" s="143"/>
    </row>
    <row r="941" ht="15.75" customHeight="1">
      <c r="A941" s="247"/>
      <c r="B941" s="224"/>
      <c r="C941" s="222"/>
      <c r="D941" s="223"/>
      <c r="E941" s="143"/>
      <c r="F941" s="143"/>
      <c r="G941" s="143"/>
    </row>
    <row r="942" ht="15.75" customHeight="1">
      <c r="A942" s="247"/>
      <c r="B942" s="224"/>
      <c r="C942" s="222"/>
      <c r="D942" s="223"/>
      <c r="E942" s="143"/>
      <c r="F942" s="143"/>
      <c r="G942" s="143"/>
    </row>
    <row r="943" ht="15.75" customHeight="1">
      <c r="A943" s="247"/>
      <c r="B943" s="224"/>
      <c r="C943" s="222"/>
      <c r="D943" s="223"/>
      <c r="E943" s="143"/>
      <c r="F943" s="143"/>
      <c r="G943" s="143"/>
    </row>
    <row r="944" ht="15.75" customHeight="1">
      <c r="A944" s="247"/>
      <c r="B944" s="224"/>
      <c r="C944" s="222"/>
      <c r="D944" s="223"/>
      <c r="E944" s="143"/>
      <c r="F944" s="143"/>
      <c r="G944" s="143"/>
    </row>
    <row r="945" ht="15.75" customHeight="1">
      <c r="A945" s="247"/>
      <c r="B945" s="224"/>
      <c r="C945" s="222"/>
      <c r="D945" s="223"/>
      <c r="E945" s="143"/>
      <c r="F945" s="143"/>
      <c r="G945" s="143"/>
    </row>
    <row r="946" ht="15.75" customHeight="1">
      <c r="A946" s="247"/>
      <c r="B946" s="224"/>
      <c r="C946" s="222"/>
      <c r="D946" s="223"/>
      <c r="E946" s="143"/>
      <c r="F946" s="143"/>
      <c r="G946" s="143"/>
    </row>
    <row r="947" ht="15.75" customHeight="1">
      <c r="A947" s="247"/>
      <c r="B947" s="224"/>
      <c r="C947" s="222"/>
      <c r="D947" s="223"/>
      <c r="E947" s="143"/>
      <c r="F947" s="143"/>
      <c r="G947" s="143"/>
    </row>
    <row r="948" ht="15.75" customHeight="1">
      <c r="A948" s="247"/>
      <c r="B948" s="224"/>
      <c r="C948" s="222"/>
      <c r="D948" s="223"/>
      <c r="E948" s="143"/>
      <c r="F948" s="143"/>
      <c r="G948" s="143"/>
    </row>
    <row r="949" ht="15.75" customHeight="1">
      <c r="A949" s="247"/>
      <c r="B949" s="224"/>
      <c r="C949" s="222"/>
      <c r="D949" s="223"/>
      <c r="E949" s="143"/>
      <c r="F949" s="143"/>
      <c r="G949" s="143"/>
    </row>
    <row r="950" ht="15.75" customHeight="1">
      <c r="A950" s="247"/>
      <c r="B950" s="224"/>
      <c r="C950" s="222"/>
      <c r="D950" s="223"/>
      <c r="E950" s="143"/>
      <c r="F950" s="143"/>
      <c r="G950" s="143"/>
    </row>
    <row r="951" ht="15.75" customHeight="1">
      <c r="A951" s="247"/>
      <c r="B951" s="224"/>
      <c r="C951" s="222"/>
      <c r="D951" s="223"/>
      <c r="E951" s="143"/>
      <c r="F951" s="143"/>
      <c r="G951" s="143"/>
    </row>
    <row r="952" ht="15.75" customHeight="1">
      <c r="A952" s="247"/>
      <c r="B952" s="224"/>
      <c r="C952" s="222"/>
      <c r="D952" s="223"/>
      <c r="E952" s="143"/>
      <c r="F952" s="143"/>
      <c r="G952" s="143"/>
    </row>
    <row r="953" ht="15.75" customHeight="1">
      <c r="A953" s="247"/>
      <c r="B953" s="224"/>
      <c r="C953" s="222"/>
      <c r="D953" s="223"/>
      <c r="E953" s="143"/>
      <c r="F953" s="143"/>
      <c r="G953" s="143"/>
    </row>
    <row r="954" ht="15.75" customHeight="1">
      <c r="A954" s="247"/>
      <c r="B954" s="224"/>
      <c r="C954" s="222"/>
      <c r="D954" s="223"/>
      <c r="E954" s="143"/>
      <c r="F954" s="143"/>
      <c r="G954" s="143"/>
    </row>
    <row r="955" ht="15.75" customHeight="1">
      <c r="A955" s="247"/>
      <c r="B955" s="224"/>
      <c r="C955" s="222"/>
      <c r="D955" s="223"/>
      <c r="E955" s="143"/>
      <c r="F955" s="143"/>
      <c r="G955" s="143"/>
    </row>
    <row r="956" ht="15.75" customHeight="1">
      <c r="A956" s="247"/>
      <c r="B956" s="224"/>
      <c r="C956" s="222"/>
      <c r="D956" s="223"/>
      <c r="E956" s="143"/>
      <c r="F956" s="143"/>
      <c r="G956" s="143"/>
    </row>
    <row r="957" ht="15.75" customHeight="1">
      <c r="A957" s="247"/>
      <c r="B957" s="224"/>
      <c r="C957" s="222"/>
      <c r="D957" s="223"/>
      <c r="E957" s="143"/>
      <c r="F957" s="143"/>
      <c r="G957" s="143"/>
    </row>
    <row r="958" ht="15.75" customHeight="1">
      <c r="A958" s="247"/>
      <c r="B958" s="224"/>
      <c r="C958" s="222"/>
      <c r="D958" s="223"/>
      <c r="E958" s="143"/>
      <c r="F958" s="143"/>
      <c r="G958" s="143"/>
    </row>
    <row r="959" ht="15.75" customHeight="1">
      <c r="A959" s="247"/>
      <c r="B959" s="224"/>
      <c r="C959" s="222"/>
      <c r="D959" s="223"/>
      <c r="E959" s="143"/>
      <c r="F959" s="143"/>
      <c r="G959" s="143"/>
    </row>
    <row r="960" ht="15.75" customHeight="1">
      <c r="A960" s="247"/>
      <c r="B960" s="224"/>
      <c r="C960" s="222"/>
      <c r="D960" s="223"/>
      <c r="E960" s="143"/>
      <c r="F960" s="143"/>
      <c r="G960" s="143"/>
    </row>
    <row r="961" ht="15.75" customHeight="1">
      <c r="A961" s="247"/>
      <c r="B961" s="224"/>
      <c r="C961" s="222"/>
      <c r="D961" s="223"/>
      <c r="E961" s="143"/>
      <c r="F961" s="143"/>
      <c r="G961" s="143"/>
    </row>
    <row r="962" ht="15.75" customHeight="1">
      <c r="A962" s="247"/>
      <c r="B962" s="224"/>
      <c r="C962" s="222"/>
      <c r="D962" s="223"/>
      <c r="E962" s="143"/>
      <c r="F962" s="143"/>
      <c r="G962" s="143"/>
    </row>
    <row r="963" ht="15.75" customHeight="1">
      <c r="A963" s="247"/>
      <c r="B963" s="224"/>
      <c r="C963" s="222"/>
      <c r="D963" s="223"/>
      <c r="E963" s="143"/>
      <c r="F963" s="143"/>
      <c r="G963" s="143"/>
    </row>
    <row r="964" ht="15.75" customHeight="1">
      <c r="A964" s="247"/>
      <c r="B964" s="224"/>
      <c r="C964" s="222"/>
      <c r="D964" s="223"/>
      <c r="E964" s="143"/>
      <c r="F964" s="143"/>
      <c r="G964" s="143"/>
    </row>
    <row r="965" ht="15.75" customHeight="1">
      <c r="A965" s="247"/>
      <c r="B965" s="224"/>
      <c r="C965" s="222"/>
      <c r="D965" s="223"/>
      <c r="E965" s="143"/>
      <c r="F965" s="143"/>
      <c r="G965" s="143"/>
    </row>
    <row r="966" ht="15.75" customHeight="1">
      <c r="A966" s="247"/>
      <c r="B966" s="224"/>
      <c r="C966" s="222"/>
      <c r="D966" s="223"/>
      <c r="E966" s="143"/>
      <c r="F966" s="143"/>
      <c r="G966" s="143"/>
    </row>
    <row r="967" ht="15.75" customHeight="1">
      <c r="A967" s="247"/>
      <c r="B967" s="224"/>
      <c r="C967" s="222"/>
      <c r="D967" s="223"/>
      <c r="E967" s="143"/>
      <c r="F967" s="143"/>
      <c r="G967" s="143"/>
    </row>
    <row r="968" ht="15.75" customHeight="1">
      <c r="A968" s="247"/>
      <c r="B968" s="224"/>
      <c r="C968" s="222"/>
      <c r="D968" s="223"/>
      <c r="E968" s="143"/>
      <c r="F968" s="143"/>
      <c r="G968" s="143"/>
    </row>
    <row r="969" ht="15.75" customHeight="1">
      <c r="A969" s="247"/>
      <c r="B969" s="224"/>
      <c r="C969" s="222"/>
      <c r="D969" s="223"/>
      <c r="E969" s="143"/>
      <c r="F969" s="143"/>
      <c r="G969" s="143"/>
    </row>
    <row r="970" ht="15.75" customHeight="1">
      <c r="A970" s="247"/>
      <c r="B970" s="224"/>
      <c r="C970" s="222"/>
      <c r="D970" s="223"/>
      <c r="E970" s="143"/>
      <c r="F970" s="143"/>
      <c r="G970" s="143"/>
    </row>
    <row r="971" ht="15.75" customHeight="1">
      <c r="A971" s="247"/>
      <c r="B971" s="224"/>
      <c r="C971" s="222"/>
      <c r="D971" s="223"/>
      <c r="E971" s="143"/>
      <c r="F971" s="143"/>
      <c r="G971" s="143"/>
    </row>
    <row r="972" ht="15.75" customHeight="1">
      <c r="A972" s="247"/>
      <c r="B972" s="224"/>
      <c r="C972" s="222"/>
      <c r="D972" s="223"/>
      <c r="E972" s="143"/>
      <c r="F972" s="143"/>
      <c r="G972" s="143"/>
    </row>
    <row r="973" ht="15.75" customHeight="1">
      <c r="A973" s="247"/>
      <c r="B973" s="224"/>
      <c r="C973" s="222"/>
      <c r="D973" s="223"/>
      <c r="E973" s="143"/>
      <c r="F973" s="143"/>
      <c r="G973" s="143"/>
    </row>
    <row r="974" ht="15.75" customHeight="1">
      <c r="A974" s="247"/>
      <c r="B974" s="224"/>
      <c r="C974" s="222"/>
      <c r="D974" s="223"/>
      <c r="E974" s="143"/>
      <c r="F974" s="143"/>
      <c r="G974" s="143"/>
    </row>
    <row r="975" ht="15.75" customHeight="1">
      <c r="A975" s="247"/>
      <c r="B975" s="224"/>
      <c r="C975" s="222"/>
      <c r="D975" s="223"/>
      <c r="E975" s="143"/>
      <c r="F975" s="143"/>
      <c r="G975" s="143"/>
    </row>
    <row r="976" ht="15.75" customHeight="1">
      <c r="A976" s="247"/>
      <c r="B976" s="224"/>
      <c r="C976" s="222"/>
      <c r="D976" s="223"/>
      <c r="E976" s="143"/>
      <c r="F976" s="143"/>
      <c r="G976" s="143"/>
    </row>
    <row r="977" ht="15.75" customHeight="1">
      <c r="A977" s="247"/>
      <c r="B977" s="224"/>
      <c r="C977" s="222"/>
      <c r="D977" s="223"/>
      <c r="E977" s="143"/>
      <c r="F977" s="143"/>
      <c r="G977" s="143"/>
    </row>
    <row r="978" ht="15.75" customHeight="1">
      <c r="A978" s="247"/>
      <c r="B978" s="224"/>
      <c r="C978" s="222"/>
      <c r="D978" s="223"/>
      <c r="E978" s="143"/>
      <c r="F978" s="143"/>
      <c r="G978" s="143"/>
    </row>
    <row r="979" ht="15.75" customHeight="1">
      <c r="A979" s="247"/>
      <c r="B979" s="224"/>
      <c r="C979" s="222"/>
      <c r="D979" s="223"/>
      <c r="E979" s="143"/>
      <c r="F979" s="143"/>
      <c r="G979" s="143"/>
    </row>
    <row r="980" ht="15.75" customHeight="1">
      <c r="A980" s="247"/>
      <c r="B980" s="224"/>
      <c r="C980" s="222"/>
      <c r="D980" s="223"/>
      <c r="E980" s="143"/>
      <c r="F980" s="143"/>
      <c r="G980" s="143"/>
    </row>
    <row r="981" ht="15.75" customHeight="1">
      <c r="A981" s="247"/>
      <c r="B981" s="224"/>
      <c r="C981" s="222"/>
      <c r="D981" s="223"/>
      <c r="E981" s="143"/>
      <c r="F981" s="143"/>
      <c r="G981" s="143"/>
    </row>
    <row r="982" ht="15.75" customHeight="1">
      <c r="A982" s="247"/>
      <c r="B982" s="224"/>
      <c r="C982" s="222"/>
      <c r="D982" s="223"/>
      <c r="E982" s="143"/>
      <c r="F982" s="143"/>
      <c r="G982" s="143"/>
    </row>
    <row r="983" ht="15.75" customHeight="1">
      <c r="A983" s="247"/>
      <c r="B983" s="224"/>
      <c r="C983" s="222"/>
      <c r="D983" s="223"/>
      <c r="E983" s="143"/>
      <c r="F983" s="143"/>
      <c r="G983" s="143"/>
    </row>
    <row r="984" ht="15.75" customHeight="1">
      <c r="A984" s="247"/>
      <c r="B984" s="224"/>
      <c r="C984" s="222"/>
      <c r="D984" s="223"/>
      <c r="E984" s="143"/>
      <c r="F984" s="143"/>
      <c r="G984" s="143"/>
    </row>
    <row r="985" ht="15.75" customHeight="1">
      <c r="A985" s="247"/>
      <c r="B985" s="224"/>
      <c r="C985" s="222"/>
      <c r="D985" s="223"/>
      <c r="E985" s="143"/>
      <c r="F985" s="143"/>
      <c r="G985" s="143"/>
    </row>
    <row r="986" ht="15.75" customHeight="1">
      <c r="A986" s="247"/>
      <c r="B986" s="224"/>
      <c r="C986" s="222"/>
      <c r="D986" s="223"/>
      <c r="E986" s="143"/>
      <c r="F986" s="143"/>
      <c r="G986" s="143"/>
    </row>
    <row r="987" ht="15.75" customHeight="1">
      <c r="A987" s="247"/>
      <c r="B987" s="224"/>
      <c r="C987" s="222"/>
      <c r="D987" s="223"/>
      <c r="E987" s="143"/>
      <c r="F987" s="143"/>
      <c r="G987" s="143"/>
    </row>
    <row r="988" ht="15.75" customHeight="1">
      <c r="A988" s="247"/>
      <c r="B988" s="224"/>
      <c r="C988" s="222"/>
      <c r="D988" s="223"/>
      <c r="E988" s="143"/>
      <c r="F988" s="143"/>
      <c r="G988" s="143"/>
    </row>
    <row r="989" ht="15.75" customHeight="1">
      <c r="A989" s="247"/>
      <c r="B989" s="224"/>
      <c r="C989" s="222"/>
      <c r="D989" s="223"/>
      <c r="E989" s="143"/>
      <c r="F989" s="143"/>
      <c r="G989" s="143"/>
    </row>
    <row r="990" ht="15.75" customHeight="1">
      <c r="A990" s="247"/>
      <c r="B990" s="224"/>
      <c r="C990" s="222"/>
      <c r="D990" s="223"/>
      <c r="E990" s="143"/>
      <c r="F990" s="143"/>
      <c r="G990" s="143"/>
    </row>
    <row r="991" ht="15.75" customHeight="1">
      <c r="A991" s="247"/>
      <c r="B991" s="224"/>
      <c r="C991" s="222"/>
      <c r="D991" s="223"/>
      <c r="E991" s="143"/>
      <c r="F991" s="143"/>
      <c r="G991" s="143"/>
    </row>
    <row r="992" ht="15.75" customHeight="1">
      <c r="A992" s="247"/>
      <c r="B992" s="224"/>
      <c r="C992" s="222"/>
      <c r="D992" s="223"/>
      <c r="E992" s="143"/>
      <c r="F992" s="143"/>
      <c r="G992" s="143"/>
    </row>
    <row r="993" ht="15.75" customHeight="1">
      <c r="A993" s="247"/>
      <c r="B993" s="224"/>
      <c r="C993" s="222"/>
      <c r="D993" s="223"/>
      <c r="E993" s="143"/>
      <c r="F993" s="143"/>
      <c r="G993" s="143"/>
    </row>
    <row r="994" ht="15.75" customHeight="1">
      <c r="A994" s="247"/>
      <c r="B994" s="224"/>
      <c r="C994" s="222"/>
      <c r="D994" s="223"/>
      <c r="E994" s="143"/>
      <c r="F994" s="143"/>
      <c r="G994" s="143"/>
    </row>
    <row r="995" ht="15.75" customHeight="1">
      <c r="A995" s="247"/>
      <c r="B995" s="224"/>
      <c r="C995" s="222"/>
      <c r="D995" s="223"/>
      <c r="E995" s="143"/>
      <c r="F995" s="143"/>
      <c r="G995" s="143"/>
    </row>
    <row r="996" ht="15.75" customHeight="1">
      <c r="A996" s="247"/>
      <c r="B996" s="224"/>
      <c r="C996" s="222"/>
      <c r="D996" s="223"/>
      <c r="E996" s="143"/>
      <c r="F996" s="143"/>
      <c r="G996" s="143"/>
    </row>
    <row r="997" ht="15.75" customHeight="1">
      <c r="A997" s="247"/>
      <c r="B997" s="224"/>
      <c r="C997" s="222"/>
      <c r="D997" s="223"/>
      <c r="E997" s="143"/>
      <c r="F997" s="143"/>
      <c r="G997" s="143"/>
    </row>
    <row r="998" ht="15.75" customHeight="1">
      <c r="A998" s="247"/>
      <c r="B998" s="224"/>
      <c r="C998" s="222"/>
      <c r="D998" s="223"/>
      <c r="E998" s="143"/>
      <c r="F998" s="143"/>
      <c r="G998" s="143"/>
    </row>
    <row r="999" ht="15.75" customHeight="1">
      <c r="A999" s="247"/>
      <c r="B999" s="224"/>
      <c r="C999" s="222"/>
      <c r="D999" s="223"/>
      <c r="E999" s="143"/>
      <c r="F999" s="143"/>
      <c r="G999" s="143"/>
    </row>
    <row r="1000" ht="15.75" customHeight="1">
      <c r="A1000" s="247"/>
      <c r="B1000" s="224"/>
      <c r="C1000" s="222"/>
      <c r="D1000" s="223"/>
      <c r="E1000" s="143"/>
      <c r="F1000" s="143"/>
      <c r="G1000" s="143"/>
    </row>
  </sheetData>
  <customSheetViews>
    <customSheetView guid="{09549009-DDA2-40E2-A258-491072C3BE75}" filter="1" showAutoFilter="1">
      <autoFilter ref="$A$2:$G$32"/>
    </customSheetView>
  </customSheetViews>
  <dataValidations>
    <dataValidation type="list" allowBlank="1" showErrorMessage="1" sqref="C3:C27 C29:C31">
      <formula1>"I,II,III,IV,V,VI,VII,VII,VIII,IX,X,XI,XII,Sem informação"</formula1>
    </dataValidation>
  </dataValidations>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2.0" topLeftCell="A3" activePane="bottomLeft" state="frozen"/>
      <selection activeCell="B4" sqref="B4" pane="bottomLeft"/>
    </sheetView>
  </sheetViews>
  <sheetFormatPr customHeight="1" defaultColWidth="12.63" defaultRowHeight="15.0"/>
  <cols>
    <col customWidth="1" min="1" max="1" width="12.75"/>
    <col customWidth="1" min="2" max="2" width="10.13"/>
    <col customWidth="1" min="3" max="3" width="13.63"/>
    <col customWidth="1" min="4" max="4" width="18.25"/>
    <col customWidth="1" min="5" max="5" width="25.25"/>
    <col customWidth="1" min="6" max="6" width="45.38"/>
    <col customWidth="1" min="7" max="7" width="20.25"/>
    <col customWidth="1" min="8" max="8" width="12.63"/>
    <col customWidth="1" min="9" max="9" width="14.88"/>
    <col customWidth="1" min="10" max="10" width="42.75"/>
    <col customWidth="1" min="11" max="11" width="17.75"/>
    <col customWidth="1" min="12" max="12" width="18.63"/>
    <col customWidth="1" min="13" max="13" width="17.88"/>
    <col customWidth="1" min="14" max="14" width="24.88"/>
    <col customWidth="1" min="15" max="15" width="17.88"/>
    <col customWidth="1" min="16" max="16" width="16.63"/>
    <col customWidth="1" min="17" max="17" width="18.0"/>
    <col customWidth="1" min="18" max="18" width="16.0"/>
    <col customWidth="1" min="19" max="19" width="19.13"/>
    <col customWidth="1" min="20" max="20" width="53.75"/>
    <col customWidth="1" min="21" max="21" width="3.0"/>
  </cols>
  <sheetData>
    <row r="1" ht="89.25" customHeight="1">
      <c r="A1" s="11"/>
      <c r="B1" s="248"/>
      <c r="C1" s="11"/>
      <c r="D1" s="6"/>
      <c r="E1" s="249"/>
      <c r="F1" s="6"/>
      <c r="G1" s="6"/>
      <c r="H1" s="6"/>
      <c r="I1" s="6"/>
      <c r="J1" s="250"/>
      <c r="K1" s="10"/>
      <c r="L1" s="6"/>
      <c r="M1" s="6"/>
      <c r="N1" s="6"/>
      <c r="O1" s="6"/>
      <c r="P1" s="6"/>
      <c r="Q1" s="6"/>
      <c r="R1" s="6"/>
      <c r="S1" s="6"/>
      <c r="T1" s="6"/>
      <c r="U1" s="6"/>
    </row>
    <row r="2" ht="57.0" customHeight="1">
      <c r="A2" s="251" t="s">
        <v>407</v>
      </c>
      <c r="B2" s="252" t="s">
        <v>408</v>
      </c>
      <c r="C2" s="253" t="s">
        <v>409</v>
      </c>
      <c r="D2" s="254" t="s">
        <v>410</v>
      </c>
      <c r="E2" s="255" t="s">
        <v>411</v>
      </c>
      <c r="F2" s="256" t="s">
        <v>412</v>
      </c>
      <c r="G2" s="257" t="s">
        <v>5</v>
      </c>
      <c r="H2" s="257" t="s">
        <v>3</v>
      </c>
      <c r="I2" s="257" t="s">
        <v>413</v>
      </c>
      <c r="J2" s="258" t="s">
        <v>9</v>
      </c>
      <c r="K2" s="259" t="s">
        <v>11</v>
      </c>
      <c r="L2" s="257" t="s">
        <v>414</v>
      </c>
      <c r="M2" s="259" t="s">
        <v>415</v>
      </c>
      <c r="N2" s="251" t="s">
        <v>416</v>
      </c>
      <c r="O2" s="260" t="s">
        <v>35</v>
      </c>
      <c r="P2" s="28" t="s">
        <v>36</v>
      </c>
      <c r="Q2" s="28" t="s">
        <v>38</v>
      </c>
      <c r="R2" s="28" t="s">
        <v>39</v>
      </c>
      <c r="S2" s="261" t="s">
        <v>13</v>
      </c>
      <c r="T2" s="261" t="s">
        <v>18</v>
      </c>
      <c r="U2" s="262"/>
    </row>
    <row r="3" ht="137.25" customHeight="1">
      <c r="A3" s="263" t="s">
        <v>417</v>
      </c>
      <c r="B3" s="264" t="s">
        <v>418</v>
      </c>
      <c r="C3" s="265" t="s">
        <v>419</v>
      </c>
      <c r="D3" s="125" t="s">
        <v>1</v>
      </c>
      <c r="E3" s="163" t="s">
        <v>48</v>
      </c>
      <c r="F3" s="266" t="str">
        <f t="array" ref="F3">TEXTJOIN(CHAR(10), TRUE, 
  "*" &amp; E3 &amp; "*", 
  "Tipo de Gestão: " &amp; _xlfn.XLOOKUP(E3, 'Hospitais Regionais e OSS'!B:B, 'Hospitais Regionais e OSS'!D:D, "Não encontrado"), 
  "OSS: " &amp; _xlfn.XLOOKUP(E3, 'Hospitais Regionais e OSS'!B:B, 'Hospitais Regionais e OSS'!C:C, "Não encontrado"), 
  "Geres: " &amp; _xlfn.XLOOKUP(E3, 'Hospitais Regionais e OSS'!B:B, 'Hospitais Regionais e OSS'!E:E, "Não encontrado"), 
  "Localização: " &amp; _xlfn.XLOOKUP(E3, 'Hospitais Regionais e OSS'!B:B, 'Hospitais Regionais e OSS'!F:F, "Não encontrado"), 
  "Nº de Leitos: " &amp; _xlfn.XLOOKUP(E3, 'Hospitais Regionais e OSS'!B:B, 'Hospitais Regionais e OSS'!G:G, "Não encontrado"), 
  "Perfil: " &amp; _xlfn.XLOOKUP(E3, 'Hospitais Regionais e OSS'!B:B, 'Hospitais Regionais e OSS'!K:K, "Não encontrado"), 
  "Nº Profissionais Total: " &amp; _xlfn.XLOOKUP(E3, 'Hospitais Regionais e OSS'!B:B, 'Hospitais Regionais e OSS'!L:L, "Não encontrado"), 
  "Nº Profissionais convocados nesta gestão: " &amp; _xlfn.XLOOKUP(E3, 'Hospitais Regionais e OSS'!B:B, 'Hospitais Regionais e OSS'!M:M, "Não encontrado"), 
  "Valor do contrato de manutenção predial (anual): " &amp; _xlfn.XLOOKUP(E3, 'Hospitais Regionais e OSS'!B:B, 'Hospitais Regionais e OSS'!N:N, "Não encontrado"), 
  "Investimento nesta gestão: " &amp; TEXT(_xlfn.XLOOKUP(E3, 'Hospitais Regionais e OSS'!B:B, 'Hospitais Regionais e OSS'!O:O, 0), "R$ #.##0,00"), 
  "Aumento do cofinanciamento (Gestão Própria) - de 2023 a 2026: " &amp; TEXT(_xlfn.XLOOKUP(E3, 'Hospitais Regionais e OSS'!B:B, 'Hospitais Regionais e OSS'!R:R, 0), "0,00%"), 
  "Cofinanciamento 2022 (Apenas Gestão Própria): " &amp; TEXT(_xlfn.XLOOKUP(E3, 'Hospitais Regionais e OSS'!B:B, 'Hospitais Regionais e OSS'!P:P, 0), "R$ #.##0,00"), 
  "Cofinanciamento 2025 (Apenas Gestão Própria): " &amp; TEXT(_xlfn.XLOOKUP(E3, 'Hospitais Regionais e OSS'!B:B, 'Hospitais Regionais e OSS'!Q:Q, 0), "R$ #.##0,00"), 
  "Repasse (OS) em 2025: " &amp; TEXT(_xlfn.XLOOKUP(E3, 'Hospitais Regionais e OSS'!B:B, 'Hospitais Regionais e OSS'!S:S, 0), "R$ #.##0,00"), 
  "Principais avanços nessa gestão: " &amp; _xlfn.XLOOKUP(E3, 'Hospitais Regionais e OSS'!B:B, 'Hospitais Regionais e OSS'!T:T, "Não encontrado")
)</f>
        <v>*Hospital Geral da Mirueira*
Tipo de Gestão: Gestão própria
OSS: -
Geres: I
Localização:  Estrada da Santa Casa, s/n, Mirueira-Paulista/PE
Nº de Leitos: 102
Perfil: clínica médica, hanseníase, saúde mental (referência para tratamento de alcoolismo e outras drogas)
Nº Profissionais Total: 386
Nº Profissionais convocados nesta gestão: 132
Valor do contrato de manutenção predial (anual): 5062936,89
Investimento nesta gestão: R$ 11.162.206,84000
Aumento do cofinanciamento (Gestão Própria) - de 2023 a 2026: 014%
Cofinanciamento 2022 (Apenas Gestão Própria): R$ 2.542.612,000
Cofinanciamento 2025 (Apenas Gestão Própria): R$ 2.886.030,4000
Repasse (OS) em 2025: -
Principais avanços nessa gestão: Equipagem: Ampliação de 12 leitos de saúde mental; Substituição de todas as camas da unidade; Implantação do Núcleo Interno de Regulação-NIR; Implantação de 30 cargos de liderança para servidores-FSUS; Requalificação do  setor do  Raio-x (em andamento);  Incremento de recursos humanos; Abertura de 10 leitos-clínica médica (em andamento).</v>
      </c>
      <c r="G3" s="55" t="s">
        <v>49</v>
      </c>
      <c r="H3" s="38" t="s">
        <v>50</v>
      </c>
      <c r="I3" s="267">
        <f t="array" ref="I3">_xlfn.XLOOKUP(E3, 'Hospitais Regionais e OSS'!B:B, 'Hospitais Regionais e OSS'!G:G)</f>
        <v>102</v>
      </c>
      <c r="J3" s="194" t="str">
        <f t="array" ref="J3">_xlfn.XLOOKUP(E3, 'Hospitais Regionais e OSS'!B:B, 'Hospitais Regionais e OSS'!K:K)</f>
        <v>clínica médica, hanseníase, saúde mental (referência para tratamento de alcoolismo e outras drogas)</v>
      </c>
      <c r="K3" s="268">
        <f t="array" ref="K3">_xlfn.XLOOKUP(E3, 'Hospitais Regionais e OSS'!B:B, 'Hospitais Regionais e OSS'!L:L)</f>
        <v>386</v>
      </c>
      <c r="L3" s="267">
        <f t="array" ref="L3">_xlfn.XLOOKUP(E3, 'Hospitais Regionais e OSS'!B:B, 'Hospitais Regionais e OSS'!M:M)</f>
        <v>132</v>
      </c>
      <c r="M3" s="269">
        <f t="array" ref="M3">_xlfn.XLOOKUP(E3, 'Hospitais Regionais e OSS'!B:B, 'Hospitais Regionais e OSS'!N:N)</f>
        <v>5062936.89</v>
      </c>
      <c r="N3" s="270">
        <f t="array" ref="N3">_xlfn.XLOOKUP(E3, 'Hospitais Regionais e OSS'!B:B, 'Hospitais Regionais e OSS'!O:O)</f>
        <v>11162206.84</v>
      </c>
      <c r="O3" s="270">
        <f t="array" ref="O3">_xlfn.XLOOKUP(E3, 'Hospitais Regionais e OSS'!B:B, 'Hospitais Regionais e OSS'!P:P)</f>
        <v>2542612</v>
      </c>
      <c r="P3" s="270">
        <f t="array" ref="P3">_xlfn.XLOOKUP(E3, 'Hospitais Regionais e OSS'!B:B, 'Hospitais Regionais e OSS'!Q:Q)</f>
        <v>2886030.4</v>
      </c>
      <c r="Q3" s="271">
        <f t="array" ref="Q3">_xlfn.XLOOKUP(E3, 'Hospitais Regionais e OSS'!B:B, 'Hospitais Regionais e OSS'!R:R)</f>
        <v>0.1350652007</v>
      </c>
      <c r="R3" s="270" t="str">
        <f t="array" ref="R3">_xlfn.XLOOKUP(E3, 'Hospitais Regionais e OSS'!B:B, 'Hospitais Regionais e OSS'!S:S)</f>
        <v>-</v>
      </c>
      <c r="S3" s="272"/>
      <c r="T3" s="273" t="str">
        <f t="array" ref="T3">_xlfn.XLOOKUP(E3, 'Hospitais Regionais e OSS'!B:B, 'Hospitais Regionais e OSS'!T:T)</f>
        <v>Equipagem: Ampliação de 12 leitos de saúde mental; Substituição de todas as camas da unidade; Implantação do Núcleo Interno de Regulação-NIR; Implantação de 30 cargos de liderança para servidores-FSUS; Requalificação do  setor do  Raio-x (em andamento);  Incremento de recursos humanos; Abertura de 10 leitos-clínica médica (em andamento).</v>
      </c>
      <c r="U3" s="267"/>
    </row>
    <row r="4" ht="137.25" customHeight="1">
      <c r="A4" s="274">
        <v>2611606.0</v>
      </c>
      <c r="B4" s="264" t="s">
        <v>356</v>
      </c>
      <c r="C4" s="265" t="s">
        <v>419</v>
      </c>
      <c r="D4" s="125" t="s">
        <v>1</v>
      </c>
      <c r="E4" s="163" t="s">
        <v>64</v>
      </c>
      <c r="F4" s="266" t="str">
        <f t="array" ref="F4">TEXTJOIN(CHAR(10), TRUE, 
  "*" &amp; E4 &amp; "*", 
  "Tipo de Gestão: " &amp; _xlfn.XLOOKUP(E4, 'Hospitais Regionais e OSS'!B:B, 'Hospitais Regionais e OSS'!D:D, "Não encontrado"), 
  "OSS: " &amp; _xlfn.XLOOKUP(E4, 'Hospitais Regionais e OSS'!B:B, 'Hospitais Regionais e OSS'!C:C, "Não encontrado"), 
  "Geres: " &amp; _xlfn.XLOOKUP(E4, 'Hospitais Regionais e OSS'!B:B, 'Hospitais Regionais e OSS'!E:E, "Não encontrado"), 
  "Localização: " &amp; _xlfn.XLOOKUP(E4, 'Hospitais Regionais e OSS'!B:B, 'Hospitais Regionais e OSS'!F:F, "Não encontrado"), 
  "Nº de Leitos: " &amp; _xlfn.XLOOKUP(E4, 'Hospitais Regionais e OSS'!B:B, 'Hospitais Regionais e OSS'!G:G, "Não encontrado"), 
  "Perfil: " &amp; _xlfn.XLOOKUP(E4, 'Hospitais Regionais e OSS'!B:B, 'Hospitais Regionais e OSS'!K:K, "Não encontrado"), 
  "Nº Profissionais Total: " &amp; _xlfn.XLOOKUP(E4, 'Hospitais Regionais e OSS'!B:B, 'Hospitais Regionais e OSS'!L:L, "Não encontrado"), 
  "Nº Profissionais convocados nesta gestão: " &amp; _xlfn.XLOOKUP(E4, 'Hospitais Regionais e OSS'!B:B, 'Hospitais Regionais e OSS'!M:M, "Não encontrado"), 
  "Valor do contrato de manutenção predial (anual): " &amp; _xlfn.XLOOKUP(E4, 'Hospitais Regionais e OSS'!B:B, 'Hospitais Regionais e OSS'!N:N, "Não encontrado"), 
  "Investimento nesta gestão: " &amp; TEXT(_xlfn.XLOOKUP(E4, 'Hospitais Regionais e OSS'!B:B, 'Hospitais Regionais e OSS'!O:O, 0), "R$ #.##0,00"), 
  "Aumento do cofinanciamento (Gestão Própria) - de 2023 a 2026: " &amp; TEXT(_xlfn.XLOOKUP(E4, 'Hospitais Regionais e OSS'!B:B, 'Hospitais Regionais e OSS'!R:R, 0), "0,00%"), 
  "Cofinanciamento 2022 (Apenas Gestão Própria): " &amp; TEXT(_xlfn.XLOOKUP(E4, 'Hospitais Regionais e OSS'!B:B, 'Hospitais Regionais e OSS'!P:P, 0), "R$ #.##0,00"), 
  "Cofinanciamento 2025 (Apenas Gestão Própria): " &amp; TEXT(_xlfn.XLOOKUP(E4, 'Hospitais Regionais e OSS'!B:B, 'Hospitais Regionais e OSS'!Q:Q, 0), "R$ #.##0,00"), 
  "Repasse (OS) em 2025: " &amp; TEXT(_xlfn.XLOOKUP(E4, 'Hospitais Regionais e OSS'!B:B, 'Hospitais Regionais e OSS'!S:S, 0), "R$ #.##0,00"), 
  "Principais avanços nessa gestão: " &amp; _xlfn.XLOOKUP(E4, 'Hospitais Regionais e OSS'!B:B, 'Hospitais Regionais e OSS'!T:T, "Não encontrado")
)</f>
        <v>*Hospital Geral de Areias*
Tipo de Gestão: Gestão própria
OSS: -
Geres: I
Localização: Avenida Recife, 810, Estância, Recife 
Nº de Leitos: 103
Perfil: Urgência: Odontologia, clínica médica, pediatria. Ambulatório: Bucomaxilo, Clínica Médica Geral Adulto, Ortopedia, Gastroenterologia, reumatologia, Odontologia e Pediatria.
Nº Profissionais Total: 832
Nº Profissionais convocados nesta gestão: 516
Valor do contrato de manutenção predial (anual): 3921000
Investimento nesta gestão: R$ 16.678.217,75000
Aumento do cofinanciamento (Gestão Própria) - de 2023 a 2026: 132%
Cofinanciamento 2022 (Apenas Gestão Própria): R$ 3.292.000,000
Cofinanciamento 2025 (Apenas Gestão Própria): R$ 7.635.659,8000
Repasse (OS) em 2025: -
Principais avanços nessa gestão: Requalificação da emergência pediatrica, requalificação do ambulatório de odontologia , incluindo o PNE - pacientes com necessidades especiais;  Implantação do Serviço Especializado em Engenharia de Segurança e em Medicina do Trabalho – SESMT; Implementação do Huddle nas emergências; Aqusição de 01 (uma) ambulância de suporte avançado (UTI) Movél;  Aquisição de instrumentais cirúrgicos; Aquisição de cadeiras odontológicas;  Incremento de recursos humanos; Substituição de todas as camas da unidade; Implantação de 31 cargos de liderança para servidores-FSUS.</v>
      </c>
      <c r="G4" s="55" t="s">
        <v>49</v>
      </c>
      <c r="H4" s="38" t="s">
        <v>50</v>
      </c>
      <c r="I4" s="267">
        <f t="array" ref="I4">_xlfn.XLOOKUP(E4, 'Hospitais Regionais e OSS'!B:B, 'Hospitais Regionais e OSS'!G:G)</f>
        <v>103</v>
      </c>
      <c r="J4" s="194" t="str">
        <f t="array" ref="J4">_xlfn.XLOOKUP(E4, 'Hospitais Regionais e OSS'!B:B, 'Hospitais Regionais e OSS'!K:K)</f>
        <v>Urgência: Odontologia, clínica médica, pediatria. Ambulatório: Bucomaxilo, Clínica Médica Geral Adulto, Ortopedia, Gastroenterologia, reumatologia, Odontologia e Pediatria.
</v>
      </c>
      <c r="K4" s="268">
        <f t="array" ref="K4">_xlfn.XLOOKUP(E4, 'Hospitais Regionais e OSS'!B:B, 'Hospitais Regionais e OSS'!L:L)</f>
        <v>832</v>
      </c>
      <c r="L4" s="267">
        <f t="array" ref="L4">_xlfn.XLOOKUP(E4, 'Hospitais Regionais e OSS'!B:B, 'Hospitais Regionais e OSS'!M:M)</f>
        <v>516</v>
      </c>
      <c r="M4" s="269">
        <f t="array" ref="M4">_xlfn.XLOOKUP(E4, 'Hospitais Regionais e OSS'!B:B, 'Hospitais Regionais e OSS'!N:N)</f>
        <v>3921000</v>
      </c>
      <c r="N4" s="270">
        <f t="array" ref="N4">_xlfn.XLOOKUP(E4, 'Hospitais Regionais e OSS'!B:B, 'Hospitais Regionais e OSS'!O:O)</f>
        <v>16678217.75</v>
      </c>
      <c r="O4" s="270">
        <f t="array" ref="O4">_xlfn.XLOOKUP(E4, 'Hospitais Regionais e OSS'!B:B, 'Hospitais Regionais e OSS'!P:P)</f>
        <v>3292000</v>
      </c>
      <c r="P4" s="270">
        <f t="array" ref="P4">_xlfn.XLOOKUP(E4, 'Hospitais Regionais e OSS'!B:B, 'Hospitais Regionais e OSS'!Q:Q)</f>
        <v>7635659.8</v>
      </c>
      <c r="Q4" s="271">
        <f t="array" ref="Q4">_xlfn.XLOOKUP(E4, 'Hospitais Regionais e OSS'!B:B, 'Hospitais Regionais e OSS'!R:R)</f>
        <v>1.319459235</v>
      </c>
      <c r="R4" s="270" t="str">
        <f t="array" ref="R4">_xlfn.XLOOKUP(E4, 'Hospitais Regionais e OSS'!B:B, 'Hospitais Regionais e OSS'!S:S)</f>
        <v>-</v>
      </c>
      <c r="S4" s="272"/>
      <c r="T4" s="273" t="str">
        <f t="array" ref="T4">_xlfn.XLOOKUP(E4, 'Hospitais Regionais e OSS'!B:B, 'Hospitais Regionais e OSS'!T:T)</f>
        <v>Requalificação da emergência pediatrica, requalificação do ambulatório de odontologia , incluindo o PNE - pacientes com necessidades especiais;  Implantação do Serviço Especializado em Engenharia de Segurança e em Medicina do Trabalho – SESMT; Implementação do Huddle nas emergências; Aqusição de 01 (uma) ambulância de suporte avançado (UTI) Movél;  Aquisição de instrumentais cirúrgicos; Aquisição de cadeiras odontológicas;  Incremento de recursos humanos; Substituição de todas as camas da unidade; Implantação de 31 cargos de liderança para servidores-FSUS.</v>
      </c>
      <c r="U4" s="267"/>
    </row>
    <row r="5" ht="137.25" customHeight="1">
      <c r="A5" s="263" t="s">
        <v>417</v>
      </c>
      <c r="B5" s="264" t="s">
        <v>418</v>
      </c>
      <c r="C5" s="265" t="s">
        <v>419</v>
      </c>
      <c r="D5" s="125" t="s">
        <v>1</v>
      </c>
      <c r="E5" s="163" t="s">
        <v>71</v>
      </c>
      <c r="F5" s="266" t="str">
        <f t="array" ref="F5">TEXTJOIN(CHAR(10), TRUE, 
  "*" &amp; E5 &amp; "*", 
  "Tipo de Gestão: " &amp; _xlfn.XLOOKUP(E5, 'Hospitais Regionais e OSS'!B:B, 'Hospitais Regionais e OSS'!D:D, "Não encontrado"), 
  "OSS: " &amp; _xlfn.XLOOKUP(E5, 'Hospitais Regionais e OSS'!B:B, 'Hospitais Regionais e OSS'!C:C, "Não encontrado"), 
  "Geres: " &amp; _xlfn.XLOOKUP(E5, 'Hospitais Regionais e OSS'!B:B, 'Hospitais Regionais e OSS'!E:E, "Não encontrado"), 
  "Localização: " &amp; _xlfn.XLOOKUP(E5, 'Hospitais Regionais e OSS'!B:B, 'Hospitais Regionais e OSS'!F:F, "Não encontrado"), 
  "Nº de Leitos: " &amp; _xlfn.XLOOKUP(E5, 'Hospitais Regionais e OSS'!B:B, 'Hospitais Regionais e OSS'!G:G, "Não encontrado"), 
  "Perfil: " &amp; _xlfn.XLOOKUP(E5, 'Hospitais Regionais e OSS'!B:B, 'Hospitais Regionais e OSS'!K:K, "Não encontrado"), 
  "Nº Profissionais Total: " &amp; _xlfn.XLOOKUP(E5, 'Hospitais Regionais e OSS'!B:B, 'Hospitais Regionais e OSS'!L:L, "Não encontrado"), 
  "Nº Profissionais convocados nesta gestão: " &amp; _xlfn.XLOOKUP(E5, 'Hospitais Regionais e OSS'!B:B, 'Hospitais Regionais e OSS'!M:M, "Não encontrado"), 
  "Valor do contrato de manutenção predial (anual): " &amp; _xlfn.XLOOKUP(E5, 'Hospitais Regionais e OSS'!B:B, 'Hospitais Regionais e OSS'!N:N, "Não encontrado"), 
  "Investimento nesta gestão: " &amp; TEXT(_xlfn.XLOOKUP(E5, 'Hospitais Regionais e OSS'!B:B, 'Hospitais Regionais e OSS'!O:O, 0), "R$ #.##0,00"), 
  "Aumento do cofinanciamento (Gestão Própria) - de 2023 a 2026: " &amp; TEXT(_xlfn.XLOOKUP(E5, 'Hospitais Regionais e OSS'!B:B, 'Hospitais Regionais e OSS'!R:R, 0), "0,00%"), 
  "Cofinanciamento 2022 (Apenas Gestão Própria): " &amp; TEXT(_xlfn.XLOOKUP(E5, 'Hospitais Regionais e OSS'!B:B, 'Hospitais Regionais e OSS'!P:P, 0), "R$ #.##0,00"), 
  "Cofinanciamento 2025 (Apenas Gestão Própria): " &amp; TEXT(_xlfn.XLOOKUP(E5, 'Hospitais Regionais e OSS'!B:B, 'Hospitais Regionais e OSS'!Q:Q, 0), "R$ #.##0,00"), 
  "Repasse (OS) em 2025: " &amp; TEXT(_xlfn.XLOOKUP(E5, 'Hospitais Regionais e OSS'!B:B, 'Hospitais Regionais e OSS'!S:S, 0), "R$ #.##0,00"), 
  "Principais avanços nessa gestão: " &amp; _xlfn.XLOOKUP(E5, 'Hospitais Regionais e OSS'!B:B, 'Hospitais Regionais e OSS'!T:T, "Não encontrado")
)</f>
        <v>*Hospital Nossa Senhora de Aparecida*
Tipo de Gestão: OSS
OSS: HTRI
Geres: I
Localização: Avenida Rodolfo Aureliano, 976, Vila Torres Galvão, Paulista
Nº de Leitos: 114
Perfil: Neurologia clínica e cirúrgica pediátrica, pediatria clínica, pediatria cirúrgica, cirurgia vascular com hemodinâmica, endoscopia digestiva alta adulto e pediátrica, urgência e emergência adulto e pediátrica
Nº Profissionais Total: 626
Nº Profissionais convocados nesta gestão: -
Valor do contrato de manutenção predial (anual): -
Investimento nesta gestão: R$ 178.000.000,000
Aumento do cofinanciamento (Gestão Própria) - de 2023 a 2026: 000%
Cofinanciamento 2022 (Apenas Gestão Própria): -
Cofinanciamento 2025 (Apenas Gestão Própria): -
Repasse (OS) em 2025: -
Principais avanços nessa gestão: Hospital inaugurado em 15/06/2026.</v>
      </c>
      <c r="G5" s="55" t="s">
        <v>7</v>
      </c>
      <c r="H5" s="38" t="s">
        <v>50</v>
      </c>
      <c r="I5" s="267">
        <f t="array" ref="I5">_xlfn.XLOOKUP(E5, 'Hospitais Regionais e OSS'!B:B, 'Hospitais Regionais e OSS'!G:G)</f>
        <v>114</v>
      </c>
      <c r="J5" s="194" t="str">
        <f t="array" ref="J5">_xlfn.XLOOKUP(E5, 'Hospitais Regionais e OSS'!B:B, 'Hospitais Regionais e OSS'!K:K)</f>
        <v>Neurologia clínica e cirúrgica pediátrica, pediatria clínica, pediatria cirúrgica, cirurgia vascular com hemodinâmica, endoscopia digestiva alta adulto e pediátrica, urgência e emergência adulto e pediátrica</v>
      </c>
      <c r="K5" s="268">
        <f t="array" ref="K5">_xlfn.XLOOKUP(E5, 'Hospitais Regionais e OSS'!B:B, 'Hospitais Regionais e OSS'!L:L)</f>
        <v>626</v>
      </c>
      <c r="L5" s="267" t="str">
        <f t="array" ref="L5">_xlfn.XLOOKUP(E5, 'Hospitais Regionais e OSS'!B:B, 'Hospitais Regionais e OSS'!M:M)</f>
        <v>-</v>
      </c>
      <c r="M5" s="269" t="str">
        <f t="array" ref="M5">_xlfn.XLOOKUP(E5, 'Hospitais Regionais e OSS'!B:B, 'Hospitais Regionais e OSS'!N:N)</f>
        <v>-</v>
      </c>
      <c r="N5" s="270">
        <f t="array" ref="N5">_xlfn.XLOOKUP(E5, 'Hospitais Regionais e OSS'!B:B, 'Hospitais Regionais e OSS'!O:O)</f>
        <v>178000000</v>
      </c>
      <c r="O5" s="267" t="str">
        <f t="array" ref="O5">_xlfn.XLOOKUP(E5, 'Hospitais Regionais e OSS'!B:B, 'Hospitais Regionais e OSS'!P:P)</f>
        <v>-</v>
      </c>
      <c r="P5" s="267" t="str">
        <f t="array" ref="P5">_xlfn.XLOOKUP(E5, 'Hospitais Regionais e OSS'!B:B, 'Hospitais Regionais e OSS'!Q:Q)</f>
        <v>-</v>
      </c>
      <c r="Q5" s="271" t="str">
        <f t="array" ref="Q5">_xlfn.XLOOKUP(E5, 'Hospitais Regionais e OSS'!B:B, 'Hospitais Regionais e OSS'!R:R)</f>
        <v/>
      </c>
      <c r="R5" s="270" t="str">
        <f t="array" ref="R5">_xlfn.XLOOKUP(E5, 'Hospitais Regionais e OSS'!B:B, 'Hospitais Regionais e OSS'!S:S)</f>
        <v>-</v>
      </c>
      <c r="S5" s="272"/>
      <c r="T5" s="273" t="str">
        <f t="array" ref="T5">_xlfn.XLOOKUP(E5, 'Hospitais Regionais e OSS'!B:B, 'Hospitais Regionais e OSS'!T:T)</f>
        <v>Hospital inaugurado em 15/06/2026.</v>
      </c>
      <c r="U5" s="267"/>
    </row>
    <row r="6" ht="137.25" customHeight="1">
      <c r="A6" s="274">
        <v>2611606.0</v>
      </c>
      <c r="B6" s="264" t="s">
        <v>356</v>
      </c>
      <c r="C6" s="265" t="s">
        <v>419</v>
      </c>
      <c r="D6" s="125" t="s">
        <v>1</v>
      </c>
      <c r="E6" s="163" t="s">
        <v>76</v>
      </c>
      <c r="F6" s="266" t="str">
        <f t="array" ref="F6">TEXTJOIN(CHAR(10), TRUE, 
  "*" &amp; E6 &amp; "*", 
  "Tipo de Gestão: " &amp; _xlfn.XLOOKUP(E6, 'Hospitais Regionais e OSS'!B:B, 'Hospitais Regionais e OSS'!D:D, "Não encontrado"), 
  "OSS: " &amp; _xlfn.XLOOKUP(E6, 'Hospitais Regionais e OSS'!B:B, 'Hospitais Regionais e OSS'!C:C, "Não encontrado"), 
  "Geres: " &amp; _xlfn.XLOOKUP(E6, 'Hospitais Regionais e OSS'!B:B, 'Hospitais Regionais e OSS'!E:E, "Não encontrado"), 
  "Localização: " &amp; _xlfn.XLOOKUP(E6, 'Hospitais Regionais e OSS'!B:B, 'Hospitais Regionais e OSS'!F:F, "Não encontrado"), 
  "Nº de Leitos: " &amp; _xlfn.XLOOKUP(E6, 'Hospitais Regionais e OSS'!B:B, 'Hospitais Regionais e OSS'!G:G, "Não encontrado"), 
  "Perfil: " &amp; _xlfn.XLOOKUP(E6, 'Hospitais Regionais e OSS'!B:B, 'Hospitais Regionais e OSS'!K:K, "Não encontrado"), 
  "Nº Profissionais Total: " &amp; _xlfn.XLOOKUP(E6, 'Hospitais Regionais e OSS'!B:B, 'Hospitais Regionais e OSS'!L:L, "Não encontrado"), 
  "Nº Profissionais convocados nesta gestão: " &amp; _xlfn.XLOOKUP(E6, 'Hospitais Regionais e OSS'!B:B, 'Hospitais Regionais e OSS'!M:M, "Não encontrado"), 
  "Valor do contrato de manutenção predial (anual): " &amp; _xlfn.XLOOKUP(E6, 'Hospitais Regionais e OSS'!B:B, 'Hospitais Regionais e OSS'!N:N, "Não encontrado"), 
  "Investimento nesta gestão: " &amp; TEXT(_xlfn.XLOOKUP(E6, 'Hospitais Regionais e OSS'!B:B, 'Hospitais Regionais e OSS'!O:O, 0), "R$ #.##0,00"), 
  "Aumento do cofinanciamento (Gestão Própria) - de 2023 a 2026: " &amp; TEXT(_xlfn.XLOOKUP(E6, 'Hospitais Regionais e OSS'!B:B, 'Hospitais Regionais e OSS'!R:R, 0), "0,00%"), 
  "Cofinanciamento 2022 (Apenas Gestão Própria): " &amp; TEXT(_xlfn.XLOOKUP(E6, 'Hospitais Regionais e OSS'!B:B, 'Hospitais Regionais e OSS'!P:P, 0), "R$ #.##0,00"), 
  "Cofinanciamento 2025 (Apenas Gestão Própria): " &amp; TEXT(_xlfn.XLOOKUP(E6, 'Hospitais Regionais e OSS'!B:B, 'Hospitais Regionais e OSS'!Q:Q, 0), "R$ #.##0,00"), 
  "Repasse (OS) em 2025: " &amp; TEXT(_xlfn.XLOOKUP(E6, 'Hospitais Regionais e OSS'!B:B, 'Hospitais Regionais e OSS'!S:S, 0), "R$ #.##0,00"), 
  "Principais avanços nessa gestão: " &amp; _xlfn.XLOOKUP(E6, 'Hospitais Regionais e OSS'!B:B, 'Hospitais Regionais e OSS'!T:T, "Não encontrado")
)</f>
        <v>*Hospital Correia Picanço*
Tipo de Gestão: Gestão própria
OSS: -
Geres: I
Localização: Avenida Conselheiro Rosa e Silva, 2130, Tamarineira, Recife.
Nº de Leitos: 77
Perfil: Urgência: Infectologia. Ambulatorial: Infectologia adulto, enfermagem, psicologia, odontologia, nutrição, serviço social, cardiologia, neurologia, ginecologia, endocrinologia, médico do trabalho, nefrologia, dermatologia, pneumologia, proctologia e psiquiatria.
Nº Profissionais Total: 628
Nº Profissionais convocados nesta gestão: 132
Valor do contrato de manutenção predial (anual): 3375684,39
Investimento nesta gestão: R$ 7.695.233,65000
Aumento do cofinanciamento (Gestão Própria) - de 2023 a 2026: 071%
Cofinanciamento 2022 (Apenas Gestão Própria): R$ 4.831.232,71000
Cofinanciamento 2025 (Apenas Gestão Própria): R$ 8.283.645,51000
Repasse (OS) em 2025: -
Principais avanços nessa gestão: Abertura do ambulatório de tuberculose multirresistente (TB-MDR), Aquisição de raio-x digital, aquisição de ultrasson com doppler, videolaringoscópio e videobroncoscópio, substituição de todas as camas hospitalares, reforma da emergência adulto (em andamento), Implantação de 31 cargos de liderança para servidores-FSUS.</v>
      </c>
      <c r="G6" s="55" t="s">
        <v>49</v>
      </c>
      <c r="H6" s="38" t="s">
        <v>50</v>
      </c>
      <c r="I6" s="267">
        <f t="array" ref="I6">_xlfn.XLOOKUP(E6, 'Hospitais Regionais e OSS'!B:B, 'Hospitais Regionais e OSS'!G:G)</f>
        <v>77</v>
      </c>
      <c r="J6" s="194" t="str">
        <f t="array" ref="J6">_xlfn.XLOOKUP(E6, 'Hospitais Regionais e OSS'!B:B, 'Hospitais Regionais e OSS'!K:K)</f>
        <v>Urgência: Infectologia. Ambulatorial: Infectologia adulto, enfermagem, psicologia, odontologia, nutrição, serviço social, cardiologia, neurologia, ginecologia, endocrinologia, médico do trabalho, nefrologia, dermatologia, pneumologia, proctologia e psiquiatria.</v>
      </c>
      <c r="K6" s="268">
        <f t="array" ref="K6">_xlfn.XLOOKUP(E6, 'Hospitais Regionais e OSS'!B:B, 'Hospitais Regionais e OSS'!L:L)</f>
        <v>628</v>
      </c>
      <c r="L6" s="267">
        <f t="array" ref="L6">_xlfn.XLOOKUP(E6, 'Hospitais Regionais e OSS'!B:B, 'Hospitais Regionais e OSS'!M:M)</f>
        <v>132</v>
      </c>
      <c r="M6" s="269">
        <f t="array" ref="M6">_xlfn.XLOOKUP(E6, 'Hospitais Regionais e OSS'!B:B, 'Hospitais Regionais e OSS'!N:N)</f>
        <v>3375684.39</v>
      </c>
      <c r="N6" s="270">
        <f t="array" ref="N6">_xlfn.XLOOKUP(E6, 'Hospitais Regionais e OSS'!B:B, 'Hospitais Regionais e OSS'!O:O)</f>
        <v>7695233.65</v>
      </c>
      <c r="O6" s="270">
        <f t="array" ref="O6">_xlfn.XLOOKUP(E6, 'Hospitais Regionais e OSS'!B:B, 'Hospitais Regionais e OSS'!P:P)</f>
        <v>4831232.71</v>
      </c>
      <c r="P6" s="270">
        <f t="array" ref="P6">_xlfn.XLOOKUP(E6, 'Hospitais Regionais e OSS'!B:B, 'Hospitais Regionais e OSS'!Q:Q)</f>
        <v>8283645.51</v>
      </c>
      <c r="Q6" s="271">
        <f t="array" ref="Q6">_xlfn.XLOOKUP(E6, 'Hospitais Regionais e OSS'!B:B, 'Hospitais Regionais e OSS'!R:R)</f>
        <v>0.7146028782</v>
      </c>
      <c r="R6" s="270" t="str">
        <f t="array" ref="R6">_xlfn.XLOOKUP(E6, 'Hospitais Regionais e OSS'!B:B, 'Hospitais Regionais e OSS'!S:S)</f>
        <v>-</v>
      </c>
      <c r="S6" s="272"/>
      <c r="T6" s="273" t="str">
        <f t="array" ref="T6">_xlfn.XLOOKUP(E6, 'Hospitais Regionais e OSS'!B:B, 'Hospitais Regionais e OSS'!T:T)</f>
        <v>Abertura do ambulatório de tuberculose multirresistente (TB-MDR), Aquisição de raio-x digital, aquisição de ultrasson com doppler, videolaringoscópio e videobroncoscópio, substituição de todas as camas hospitalares, reforma da emergência adulto (em andamento), Implantação de 31 cargos de liderança para servidores-FSUS.</v>
      </c>
      <c r="U6" s="267"/>
    </row>
    <row r="7" ht="137.25" customHeight="1">
      <c r="A7" s="274">
        <v>2611606.0</v>
      </c>
      <c r="B7" s="264" t="s">
        <v>356</v>
      </c>
      <c r="C7" s="265" t="s">
        <v>419</v>
      </c>
      <c r="D7" s="125" t="s">
        <v>1</v>
      </c>
      <c r="E7" s="163" t="s">
        <v>81</v>
      </c>
      <c r="F7" s="266" t="str">
        <f t="array" ref="F7">TEXTJOIN(CHAR(10), TRUE, 
  "*" &amp; E7 &amp; "*", 
  "Tipo de Gestão: " &amp; _xlfn.XLOOKUP(E7, 'Hospitais Regionais e OSS'!B:B, 'Hospitais Regionais e OSS'!D:D, "Não encontrado"), 
  "OSS: " &amp; _xlfn.XLOOKUP(E7, 'Hospitais Regionais e OSS'!B:B, 'Hospitais Regionais e OSS'!C:C, "Não encontrado"), 
  "Geres: " &amp; _xlfn.XLOOKUP(E7, 'Hospitais Regionais e OSS'!B:B, 'Hospitais Regionais e OSS'!E:E, "Não encontrado"), 
  "Localização: " &amp; _xlfn.XLOOKUP(E7, 'Hospitais Regionais e OSS'!B:B, 'Hospitais Regionais e OSS'!F:F, "Não encontrado"), 
  "Nº de Leitos: " &amp; _xlfn.XLOOKUP(E7, 'Hospitais Regionais e OSS'!B:B, 'Hospitais Regionais e OSS'!G:G, "Não encontrado"), 
  "Perfil: " &amp; _xlfn.XLOOKUP(E7, 'Hospitais Regionais e OSS'!B:B, 'Hospitais Regionais e OSS'!K:K, "Não encontrado"), 
  "Nº Profissionais Total: " &amp; _xlfn.XLOOKUP(E7, 'Hospitais Regionais e OSS'!B:B, 'Hospitais Regionais e OSS'!L:L, "Não encontrado"), 
  "Nº Profissionais convocados nesta gestão: " &amp; _xlfn.XLOOKUP(E7, 'Hospitais Regionais e OSS'!B:B, 'Hospitais Regionais e OSS'!M:M, "Não encontrado"), 
  "Valor do contrato de manutenção predial (anual): " &amp; _xlfn.XLOOKUP(E7, 'Hospitais Regionais e OSS'!B:B, 'Hospitais Regionais e OSS'!N:N, "Não encontrado"), 
  "Investimento nesta gestão: " &amp; TEXT(_xlfn.XLOOKUP(E7, 'Hospitais Regionais e OSS'!B:B, 'Hospitais Regionais e OSS'!O:O, 0), "R$ #.##0,00"), 
  "Aumento do cofinanciamento (Gestão Própria) - de 2023 a 2026: " &amp; TEXT(_xlfn.XLOOKUP(E7, 'Hospitais Regionais e OSS'!B:B, 'Hospitais Regionais e OSS'!R:R, 0), "0,00%"), 
  "Cofinanciamento 2022 (Apenas Gestão Própria): " &amp; TEXT(_xlfn.XLOOKUP(E7, 'Hospitais Regionais e OSS'!B:B, 'Hospitais Regionais e OSS'!P:P, 0), "R$ #.##0,00"), 
  "Cofinanciamento 2025 (Apenas Gestão Própria): " &amp; TEXT(_xlfn.XLOOKUP(E7, 'Hospitais Regionais e OSS'!B:B, 'Hospitais Regionais e OSS'!Q:Q, 0), "R$ #.##0,00"), 
  "Repasse (OS) em 2025: " &amp; TEXT(_xlfn.XLOOKUP(E7, 'Hospitais Regionais e OSS'!B:B, 'Hospitais Regionais e OSS'!S:S, 0), "R$ #.##0,00"), 
  "Principais avanços nessa gestão: " &amp; _xlfn.XLOOKUP(E7, 'Hospitais Regionais e OSS'!B:B, 'Hospitais Regionais e OSS'!T:T, "Não encontrado")
)</f>
        <v>*Hospital Psiquiátrico Ulysses Pernambucano*
Tipo de Gestão: Gestão própria
OSS: -
Geres: I
Localização: Avenida Conselheiro Rosa e Silva, 2130, Tamarineira, Recife.
Nº de Leitos: 115
Perfil: Referência estadual em assistência psiquiátrica
Nº Profissionais Total: 499
Nº Profissionais convocados nesta gestão: 204
Valor do contrato de manutenção predial (anual): 5063526,58
Investimento nesta gestão: R$ 16.044.394,89000
Aumento do cofinanciamento (Gestão Própria) - de 2023 a 2026: 101%
Cofinanciamento 2022 (Apenas Gestão Própria): R$ 1.857.244,95000
Cofinanciamento 2025 (Apenas Gestão Própria): R$ 3.738.387,41000
Repasse (OS) em 2025: -
Principais avanços nessa gestão: Requalificação da capela, implementação do Núcleo Interno de Regulação (NIR), troca de todas as camas hospitalares, Aqusição de 01 (uma) ambulância de suporte avançado (UTI) Movél; Aquisição de 30 novos computadores, Requalificação da casa dos residentes, Reforma da enfermaria Adail Santos;  Incremento de recursos humanos; Reforma da emergência (em andamento), Implantação de 31 cargos de liderança para servidores-FSUS.</v>
      </c>
      <c r="G7" s="55" t="s">
        <v>49</v>
      </c>
      <c r="H7" s="38" t="s">
        <v>50</v>
      </c>
      <c r="I7" s="267">
        <f t="array" ref="I7">_xlfn.XLOOKUP(E7, 'Hospitais Regionais e OSS'!B:B, 'Hospitais Regionais e OSS'!G:G)</f>
        <v>115</v>
      </c>
      <c r="J7" s="194" t="str">
        <f t="array" ref="J7">_xlfn.XLOOKUP(E7, 'Hospitais Regionais e OSS'!B:B, 'Hospitais Regionais e OSS'!K:K)</f>
        <v>Referência estadual em assistência psiquiátrica</v>
      </c>
      <c r="K7" s="268">
        <f t="array" ref="K7">_xlfn.XLOOKUP(E7, 'Hospitais Regionais e OSS'!B:B, 'Hospitais Regionais e OSS'!L:L)</f>
        <v>499</v>
      </c>
      <c r="L7" s="267">
        <f t="array" ref="L7">_xlfn.XLOOKUP(E7, 'Hospitais Regionais e OSS'!B:B, 'Hospitais Regionais e OSS'!M:M)</f>
        <v>204</v>
      </c>
      <c r="M7" s="269">
        <f t="array" ref="M7">_xlfn.XLOOKUP(E7, 'Hospitais Regionais e OSS'!B:B, 'Hospitais Regionais e OSS'!N:N)</f>
        <v>5063526.58</v>
      </c>
      <c r="N7" s="270">
        <f t="array" ref="N7">_xlfn.XLOOKUP(E7, 'Hospitais Regionais e OSS'!B:B, 'Hospitais Regionais e OSS'!O:O)</f>
        <v>16044394.89</v>
      </c>
      <c r="O7" s="270">
        <f t="array" ref="O7">_xlfn.XLOOKUP(E7, 'Hospitais Regionais e OSS'!B:B, 'Hospitais Regionais e OSS'!P:P)</f>
        <v>1857244.95</v>
      </c>
      <c r="P7" s="270">
        <f t="array" ref="P7">_xlfn.XLOOKUP(E7, 'Hospitais Regionais e OSS'!B:B, 'Hospitais Regionais e OSS'!Q:Q)</f>
        <v>3738387.41</v>
      </c>
      <c r="Q7" s="271">
        <f t="array" ref="Q7">_xlfn.XLOOKUP(E7, 'Hospitais Regionais e OSS'!B:B, 'Hospitais Regionais e OSS'!R:R)</f>
        <v>1.012867183</v>
      </c>
      <c r="R7" s="270" t="str">
        <f t="array" ref="R7">_xlfn.XLOOKUP(E7, 'Hospitais Regionais e OSS'!B:B, 'Hospitais Regionais e OSS'!S:S)</f>
        <v>-</v>
      </c>
      <c r="S7" s="272"/>
      <c r="T7" s="273" t="str">
        <f t="array" ref="T7">_xlfn.XLOOKUP(E7, 'Hospitais Regionais e OSS'!B:B, 'Hospitais Regionais e OSS'!T:T)</f>
        <v>Requalificação da capela, implementação do Núcleo Interno de Regulação (NIR), troca de todas as camas hospitalares, Aqusição de 01 (uma) ambulância de suporte avançado (UTI) Movél; Aquisição de 30 novos computadores, Requalificação da casa dos residentes, Reforma da enfermaria Adail Santos;  Incremento de recursos humanos; Reforma da emergência (em andamento), Implantação de 31 cargos de liderança para servidores-FSUS.</v>
      </c>
      <c r="U7" s="267"/>
    </row>
    <row r="8" ht="137.25" customHeight="1">
      <c r="A8" s="275">
        <v>2605459.0</v>
      </c>
      <c r="B8" s="276" t="s">
        <v>420</v>
      </c>
      <c r="C8" s="57" t="s">
        <v>419</v>
      </c>
      <c r="D8" s="125" t="s">
        <v>1</v>
      </c>
      <c r="E8" s="138" t="s">
        <v>84</v>
      </c>
      <c r="F8" s="266" t="str">
        <f t="array" ref="F8">TEXTJOIN(CHAR(10), TRUE, 
  "*" &amp; E8 &amp; "*", 
  "Tipo de Gestão: " &amp; _xlfn.XLOOKUP(E8, 'Hospitais Regionais e OSS'!B:B, 'Hospitais Regionais e OSS'!D:D, "Não encontrado"), 
  "OSS: " &amp; _xlfn.XLOOKUP(E8, 'Hospitais Regionais e OSS'!B:B, 'Hospitais Regionais e OSS'!C:C, "Não encontrado"), 
  "Geres: " &amp; _xlfn.XLOOKUP(E8, 'Hospitais Regionais e OSS'!B:B, 'Hospitais Regionais e OSS'!E:E, "Não encontrado"), 
  "Localização: " &amp; _xlfn.XLOOKUP(E8, 'Hospitais Regionais e OSS'!B:B, 'Hospitais Regionais e OSS'!F:F, "Não encontrado"), 
  "Nº de Leitos: " &amp; _xlfn.XLOOKUP(E8, 'Hospitais Regionais e OSS'!B:B, 'Hospitais Regionais e OSS'!G:G, "Não encontrado"), 
  "Perfil: " &amp; _xlfn.XLOOKUP(E8, 'Hospitais Regionais e OSS'!B:B, 'Hospitais Regionais e OSS'!K:K, "Não encontrado"), 
  "Nº Profissionais Total: " &amp; _xlfn.XLOOKUP(E8, 'Hospitais Regionais e OSS'!B:B, 'Hospitais Regionais e OSS'!L:L, "Não encontrado"), 
  "Nº Profissionais convocados nesta gestão: " &amp; _xlfn.XLOOKUP(E8, 'Hospitais Regionais e OSS'!B:B, 'Hospitais Regionais e OSS'!M:M, "Não encontrado"), 
  "Valor do contrato de manutenção predial (anual): " &amp; _xlfn.XLOOKUP(E8, 'Hospitais Regionais e OSS'!B:B, 'Hospitais Regionais e OSS'!N:N, "Não encontrado"), 
  "Investimento nesta gestão: " &amp; TEXT(_xlfn.XLOOKUP(E8, 'Hospitais Regionais e OSS'!B:B, 'Hospitais Regionais e OSS'!O:O, 0), "R$ #.##0,00"), 
  "Aumento do cofinanciamento (Gestão Própria) - de 2023 a 2026: " &amp; TEXT(_xlfn.XLOOKUP(E8, 'Hospitais Regionais e OSS'!B:B, 'Hospitais Regionais e OSS'!R:R, 0), "0,00%"), 
  "Cofinanciamento 2022 (Apenas Gestão Própria): " &amp; TEXT(_xlfn.XLOOKUP(E8, 'Hospitais Regionais e OSS'!B:B, 'Hospitais Regionais e OSS'!P:P, 0), "R$ #.##0,00"), 
  "Cofinanciamento 2025 (Apenas Gestão Própria): " &amp; TEXT(_xlfn.XLOOKUP(E8, 'Hospitais Regionais e OSS'!B:B, 'Hospitais Regionais e OSS'!Q:Q, 0), "R$ #.##0,00"), 
  "Repasse (OS) em 2025: " &amp; TEXT(_xlfn.XLOOKUP(E8, 'Hospitais Regionais e OSS'!B:B, 'Hospitais Regionais e OSS'!S:S, 0), "R$ #.##0,00"), 
  "Principais avanços nessa gestão: " &amp; _xlfn.XLOOKUP(E8, 'Hospitais Regionais e OSS'!B:B, 'Hospitais Regionais e OSS'!T:T, "Não encontrado")
)</f>
        <v>*Hospital São Lucas*
Tipo de Gestão: Gestão própria
OSS: -
Geres: I
Localização: BR 363, Praça Flamboyant, Fernando de Noronha
Nº de Leitos: 10
Perfil: Urgência: pediatria, clínica médica e odontologia. Ambulatório:  pediatria, obstetrícia, psiquiatria e odontologia
Nº Profissionais Total: 13
Nº Profissionais convocados nesta gestão: 3
Valor do contrato de manutenção predial (anual): -
Investimento nesta gestão: R$ 9.639.104,8000
Aumento do cofinanciamento (Gestão Própria) - de 2023 a 2026: -
Cofinanciamento 2022 (Apenas Gestão Própria): -
Cofinanciamento 2025 (Apenas Gestão Própria): -
Repasse (OS) em 2025: -
Principais avanços nessa gestão: Equipamentos: 12 camas elétricas (entregues); 10 macas (entregues); 9 poltronas hospitalares (entregues); 2 bisturis elétricos (entregues); 3 balanças antropométricas (entregues); 1 foco cirúrgico (entregues); 1 autoclave vertical (entregues); 1 cardiovesor bifásico (entregues); 2 monitores cardíacos (entregues); 3 esfigmomanômetros (entregues); 1 colposcópio (entregue); 1 aparelho de ultrassonografia portátil com doppler e ecocardiograma (entregues); 1 aparelho de raio-x móvel (entregue); 1 cadeira odontológica (entregue); 1 aparelho de gasometria (entregue / recurso de emenda). Infraestrutura:  reforma do ambulatório, reforma com ampliação (em andamento).</v>
      </c>
      <c r="G8" s="55" t="s">
        <v>49</v>
      </c>
      <c r="H8" s="38" t="s">
        <v>50</v>
      </c>
      <c r="I8" s="267">
        <f t="array" ref="I8">_xlfn.XLOOKUP(E8, 'Hospitais Regionais e OSS'!B:B, 'Hospitais Regionais e OSS'!G:G)</f>
        <v>10</v>
      </c>
      <c r="J8" s="194" t="str">
        <f t="array" ref="J8">_xlfn.XLOOKUP(E8, 'Hospitais Regionais e OSS'!B:B, 'Hospitais Regionais e OSS'!K:K)</f>
        <v>Urgência: pediatria, clínica médica e odontologia. Ambulatório:  pediatria, obstetrícia, psiquiatria e odontologia</v>
      </c>
      <c r="K8" s="268">
        <f t="array" ref="K8">_xlfn.XLOOKUP(E8, 'Hospitais Regionais e OSS'!B:B, 'Hospitais Regionais e OSS'!L:L)</f>
        <v>13</v>
      </c>
      <c r="L8" s="267">
        <f t="array" ref="L8">_xlfn.XLOOKUP(E8, 'Hospitais Regionais e OSS'!B:B, 'Hospitais Regionais e OSS'!M:M)</f>
        <v>3</v>
      </c>
      <c r="M8" s="269" t="str">
        <f t="array" ref="M8">_xlfn.XLOOKUP(E8, 'Hospitais Regionais e OSS'!B:B, 'Hospitais Regionais e OSS'!N:N)</f>
        <v>-</v>
      </c>
      <c r="N8" s="270">
        <f t="array" ref="N8">_xlfn.XLOOKUP(E8, 'Hospitais Regionais e OSS'!B:B, 'Hospitais Regionais e OSS'!O:O)</f>
        <v>9639104.8</v>
      </c>
      <c r="O8" s="267" t="str">
        <f t="array" ref="O8">_xlfn.XLOOKUP(E8, 'Hospitais Regionais e OSS'!B:B, 'Hospitais Regionais e OSS'!P:P)</f>
        <v>-</v>
      </c>
      <c r="P8" s="267" t="str">
        <f t="array" ref="P8">_xlfn.XLOOKUP(E8, 'Hospitais Regionais e OSS'!B:B, 'Hospitais Regionais e OSS'!Q:Q)</f>
        <v>-</v>
      </c>
      <c r="Q8" s="267" t="str">
        <f t="array" ref="Q8">_xlfn.XLOOKUP(E8, 'Hospitais Regionais e OSS'!B:B, 'Hospitais Regionais e OSS'!R:R)</f>
        <v>-</v>
      </c>
      <c r="R8" s="270" t="str">
        <f t="array" ref="R8">_xlfn.XLOOKUP(E8, 'Hospitais Regionais e OSS'!B:B, 'Hospitais Regionais e OSS'!S:S)</f>
        <v>-</v>
      </c>
      <c r="S8" s="272"/>
      <c r="T8" s="273" t="str">
        <f t="array" ref="T8">_xlfn.XLOOKUP(E8, 'Hospitais Regionais e OSS'!B:B, 'Hospitais Regionais e OSS'!T:T)</f>
        <v>Equipamentos: 12 camas elétricas (entregues); 10 macas (entregues); 9 poltronas hospitalares (entregues); 2 bisturis elétricos (entregues); 3 balanças antropométricas (entregues); 1 foco cirúrgico (entregues); 1 autoclave vertical (entregues); 1 cardiovesor bifásico (entregues); 2 monitores cardíacos (entregues); 3 esfigmomanômetros (entregues); 1 colposcópio (entregue); 1 aparelho de ultrassonografia portátil com doppler e ecocardiograma (entregues); 1 aparelho de raio-x móvel (entregue); 1 cadeira odontológica (entregue); 1 aparelho de gasometria (entregue / recurso de emenda). Infraestrutura:  reforma do ambulatório, reforma com ampliação (em andamento).</v>
      </c>
      <c r="U8" s="267"/>
    </row>
    <row r="9" ht="137.25" customHeight="1">
      <c r="A9" s="277">
        <v>2607901.0</v>
      </c>
      <c r="B9" s="278" t="s">
        <v>421</v>
      </c>
      <c r="C9" s="279" t="s">
        <v>419</v>
      </c>
      <c r="D9" s="125" t="s">
        <v>1</v>
      </c>
      <c r="E9" s="138" t="s">
        <v>90</v>
      </c>
      <c r="F9" s="266" t="str">
        <f t="array" ref="F9">TEXTJOIN(CHAR(10), TRUE, 
  "*" &amp; E9 &amp; "*", 
  "Tipo de Gestão: " &amp; _xlfn.XLOOKUP(E9, 'Hospitais Regionais e OSS'!B:B, 'Hospitais Regionais e OSS'!D:D, "Não encontrado"), 
  "OSS: " &amp; _xlfn.XLOOKUP(E9, 'Hospitais Regionais e OSS'!B:B, 'Hospitais Regionais e OSS'!C:C, "Não encontrado"), 
  "Geres: " &amp; _xlfn.XLOOKUP(E9, 'Hospitais Regionais e OSS'!B:B, 'Hospitais Regionais e OSS'!E:E, "Não encontrado"), 
  "Localização: " &amp; _xlfn.XLOOKUP(E9, 'Hospitais Regionais e OSS'!B:B, 'Hospitais Regionais e OSS'!F:F, "Não encontrado"), 
  "Nº de Leitos: " &amp; _xlfn.XLOOKUP(E9, 'Hospitais Regionais e OSS'!B:B, 'Hospitais Regionais e OSS'!G:G, "Não encontrado"), 
  "Perfil: " &amp; _xlfn.XLOOKUP(E9, 'Hospitais Regionais e OSS'!B:B, 'Hospitais Regionais e OSS'!K:K, "Não encontrado"), 
  "Nº Profissionais Total: " &amp; _xlfn.XLOOKUP(E9, 'Hospitais Regionais e OSS'!B:B, 'Hospitais Regionais e OSS'!L:L, "Não encontrado"), 
  "Nº Profissionais convocados nesta gestão: " &amp; _xlfn.XLOOKUP(E9, 'Hospitais Regionais e OSS'!B:B, 'Hospitais Regionais e OSS'!M:M, "Não encontrado"), 
  "Valor do contrato de manutenção predial (anual): " &amp; _xlfn.XLOOKUP(E9, 'Hospitais Regionais e OSS'!B:B, 'Hospitais Regionais e OSS'!N:N, "Não encontrado"), 
  "Investimento nesta gestão: " &amp; TEXT(_xlfn.XLOOKUP(E9, 'Hospitais Regionais e OSS'!B:B, 'Hospitais Regionais e OSS'!O:O, 0), "R$ #.##0,00"), 
  "Aumento do cofinanciamento (Gestão Própria) - de 2023 a 2026: " &amp; TEXT(_xlfn.XLOOKUP(E9, 'Hospitais Regionais e OSS'!B:B, 'Hospitais Regionais e OSS'!R:R, 0), "0,00%"), 
  "Cofinanciamento 2022 (Apenas Gestão Própria): " &amp; TEXT(_xlfn.XLOOKUP(E9, 'Hospitais Regionais e OSS'!B:B, 'Hospitais Regionais e OSS'!P:P, 0), "R$ #.##0,00"), 
  "Cofinanciamento 2025 (Apenas Gestão Própria): " &amp; TEXT(_xlfn.XLOOKUP(E9, 'Hospitais Regionais e OSS'!B:B, 'Hospitais Regionais e OSS'!Q:Q, 0), "R$ #.##0,00"), 
  "Repasse (OS) em 2025: " &amp; TEXT(_xlfn.XLOOKUP(E9, 'Hospitais Regionais e OSS'!B:B, 'Hospitais Regionais e OSS'!S:S, 0), "R$ #.##0,00"), 
  "Principais avanços nessa gestão: " &amp; _xlfn.XLOOKUP(E9, 'Hospitais Regionais e OSS'!B:B, 'Hospitais Regionais e OSS'!T:T, "Não encontrado")
)</f>
        <v>*Hospital Jaboatão Prazeres*
Tipo de Gestão: Gestão própria
OSS: -
Geres: I
Localização: R. Recife, s/n - Cajueiro Seco, Jaboatão dos Guararapes - PE
Nº de Leitos: 77
Perfil: Urgência pediátrica, adulta e odontológica, clínica médica e cirúrgica.
Nº Profissionais Total: 525
Nº Profissionais convocados nesta gestão: 192
Valor do contrato de manutenção predial (anual): 4162937,89
Investimento nesta gestão: R$ 13.588.193,83000
Aumento do cofinanciamento (Gestão Própria) - de 2023 a 2026: 020%
Cofinanciamento 2022 (Apenas Gestão Própria): R$ 2.985.642,000
Cofinanciamento 2025 (Apenas Gestão Própria): R$ 3.597.132,000
Repasse (OS) em 2025: -
Principais avanços nessa gestão: Inauguração do Bloco Cirúrgico - 2025; Implantação de 4 leitos de SRPA; Criação de farmácias satélites; Requalificação do espaço de convivência; Aquisição de 01 (um) Raio-X Digital,  Requalificação da sala do raio-x; Aquisição de autoclave; Aquisição de ventiladores pulmonares; Aquisição de eletrocardiógrafo; Ampliação de  9 leitos de saúde mental; Requalificação do CME (em andamento);  Incremento de recursos humanos; Substituição de todas as camas da unidade; Implantação de 31 cargos de liderança para servidores-FSUS.
</v>
      </c>
      <c r="G9" s="55" t="s">
        <v>49</v>
      </c>
      <c r="H9" s="38" t="s">
        <v>50</v>
      </c>
      <c r="I9" s="267">
        <f t="array" ref="I9">_xlfn.XLOOKUP(E9, 'Hospitais Regionais e OSS'!B:B, 'Hospitais Regionais e OSS'!G:G)</f>
        <v>77</v>
      </c>
      <c r="J9" s="194" t="str">
        <f t="array" ref="J9">_xlfn.XLOOKUP(E9, 'Hospitais Regionais e OSS'!B:B, 'Hospitais Regionais e OSS'!K:K)</f>
        <v>Urgência pediátrica, adulta e odontológica, clínica médica e cirúrgica.</v>
      </c>
      <c r="K9" s="268">
        <f t="array" ref="K9">_xlfn.XLOOKUP(E9, 'Hospitais Regionais e OSS'!B:B, 'Hospitais Regionais e OSS'!L:L)</f>
        <v>525</v>
      </c>
      <c r="L9" s="267">
        <f t="array" ref="L9">_xlfn.XLOOKUP(E9, 'Hospitais Regionais e OSS'!B:B, 'Hospitais Regionais e OSS'!M:M)</f>
        <v>192</v>
      </c>
      <c r="M9" s="269">
        <f t="array" ref="M9">_xlfn.XLOOKUP(E9, 'Hospitais Regionais e OSS'!B:B, 'Hospitais Regionais e OSS'!N:N)</f>
        <v>4162937.89</v>
      </c>
      <c r="N9" s="270">
        <f t="array" ref="N9">_xlfn.XLOOKUP(E9, 'Hospitais Regionais e OSS'!B:B, 'Hospitais Regionais e OSS'!O:O)</f>
        <v>13588193.83</v>
      </c>
      <c r="O9" s="270">
        <f t="array" ref="O9">_xlfn.XLOOKUP(E9, 'Hospitais Regionais e OSS'!B:B, 'Hospitais Regionais e OSS'!P:P)</f>
        <v>2985642</v>
      </c>
      <c r="P9" s="270">
        <f t="array" ref="P9">_xlfn.XLOOKUP(E9, 'Hospitais Regionais e OSS'!B:B, 'Hospitais Regionais e OSS'!Q:Q)</f>
        <v>3597132</v>
      </c>
      <c r="Q9" s="271">
        <f t="array" ref="Q9">_xlfn.XLOOKUP(E9, 'Hospitais Regionais e OSS'!B:B, 'Hospitais Regionais e OSS'!R:R)</f>
        <v>0.2048102217</v>
      </c>
      <c r="R9" s="270" t="str">
        <f t="array" ref="R9">_xlfn.XLOOKUP(E9, 'Hospitais Regionais e OSS'!B:B, 'Hospitais Regionais e OSS'!S:S)</f>
        <v>-</v>
      </c>
      <c r="S9" s="272"/>
      <c r="T9" s="273" t="str">
        <f t="array" ref="T9">_xlfn.XLOOKUP(E9, 'Hospitais Regionais e OSS'!B:B, 'Hospitais Regionais e OSS'!T:T)</f>
        <v>Inauguração do Bloco Cirúrgico - 2025; Implantação de 4 leitos de SRPA; Criação de farmácias satélites; Requalificação do espaço de convivência; Aquisição de 01 (um) Raio-X Digital,  Requalificação da sala do raio-x; Aquisição de autoclave; Aquisição de ventiladores pulmonares; Aquisição de eletrocardiógrafo; Ampliação de  9 leitos de saúde mental; Requalificação do CME (em andamento);  Incremento de recursos humanos; Substituição de todas as camas da unidade; Implantação de 31 cargos de liderança para servidores-FSUS.
</v>
      </c>
      <c r="U9" s="267"/>
    </row>
    <row r="10" ht="137.25" customHeight="1">
      <c r="A10" s="274">
        <v>2611606.0</v>
      </c>
      <c r="B10" s="264" t="s">
        <v>356</v>
      </c>
      <c r="C10" s="265" t="s">
        <v>419</v>
      </c>
      <c r="D10" s="125" t="s">
        <v>1</v>
      </c>
      <c r="E10" s="138" t="s">
        <v>96</v>
      </c>
      <c r="F10" s="266" t="str">
        <f t="array" ref="F10">TEXTJOIN(CHAR(10), TRUE, 
  "*" &amp; E10 &amp; "*", 
  "Tipo de Gestão: " &amp; _xlfn.XLOOKUP(E10, 'Hospitais Regionais e OSS'!B:B, 'Hospitais Regionais e OSS'!D:D, "Não encontrado"), 
  "OSS: " &amp; _xlfn.XLOOKUP(E10, 'Hospitais Regionais e OSS'!B:B, 'Hospitais Regionais e OSS'!C:C, "Não encontrado"), 
  "Geres: " &amp; _xlfn.XLOOKUP(E10, 'Hospitais Regionais e OSS'!B:B, 'Hospitais Regionais e OSS'!E:E, "Não encontrado"), 
  "Localização: " &amp; _xlfn.XLOOKUP(E10, 'Hospitais Regionais e OSS'!B:B, 'Hospitais Regionais e OSS'!F:F, "Não encontrado"), 
  "Nº de Leitos: " &amp; _xlfn.XLOOKUP(E10, 'Hospitais Regionais e OSS'!B:B, 'Hospitais Regionais e OSS'!G:G, "Não encontrado"), 
  "Perfil: " &amp; _xlfn.XLOOKUP(E10, 'Hospitais Regionais e OSS'!B:B, 'Hospitais Regionais e OSS'!K:K, "Não encontrado"), 
  "Nº Profissionais Total: " &amp; _xlfn.XLOOKUP(E10, 'Hospitais Regionais e OSS'!B:B, 'Hospitais Regionais e OSS'!L:L, "Não encontrado"), 
  "Nº Profissionais convocados nesta gestão: " &amp; _xlfn.XLOOKUP(E10, 'Hospitais Regionais e OSS'!B:B, 'Hospitais Regionais e OSS'!M:M, "Não encontrado"), 
  "Valor do contrato de manutenção predial (anual): " &amp; _xlfn.XLOOKUP(E10, 'Hospitais Regionais e OSS'!B:B, 'Hospitais Regionais e OSS'!N:N, "Não encontrado"), 
  "Investimento nesta gestão: " &amp; TEXT(_xlfn.XLOOKUP(E10, 'Hospitais Regionais e OSS'!B:B, 'Hospitais Regionais e OSS'!O:O, 0), "R$ #.##0,00"), 
  "Aumento do cofinanciamento (Gestão Própria) - de 2023 a 2026: " &amp; TEXT(_xlfn.XLOOKUP(E10, 'Hospitais Regionais e OSS'!B:B, 'Hospitais Regionais e OSS'!R:R, 0), "0,00%"), 
  "Cofinanciamento 2022 (Apenas Gestão Própria): " &amp; TEXT(_xlfn.XLOOKUP(E10, 'Hospitais Regionais e OSS'!B:B, 'Hospitais Regionais e OSS'!P:P, 0), "R$ #.##0,00"), 
  "Cofinanciamento 2025 (Apenas Gestão Própria): " &amp; TEXT(_xlfn.XLOOKUP(E10, 'Hospitais Regionais e OSS'!B:B, 'Hospitais Regionais e OSS'!Q:Q, 0), "R$ #.##0,00"), 
  "Repasse (OS) em 2025: " &amp; TEXT(_xlfn.XLOOKUP(E10, 'Hospitais Regionais e OSS'!B:B, 'Hospitais Regionais e OSS'!S:S, 0), "R$ #.##0,00"), 
  "Principais avanços nessa gestão: " &amp; _xlfn.XLOOKUP(E10, 'Hospitais Regionais e OSS'!B:B, 'Hospitais Regionais e OSS'!T:T, "Não encontrado")
)</f>
        <v>*Hospital Nossa Senhora das Graças/Alfa*
Tipo de Gestão: OSS
OSS: FGH
Geres: I
Localização: Av. Visc. de Jequitinhonha, 1144 - Boa Viagem, CEP 51030-020
Nº de Leitos: 290
Perfil: Assistência clínica, cirúrgica e intensiva, com especialidades como Cardiologia Clínica, Cirurgia Geral, Cirurgia Torácica, Geriatria, Cuidados Paliativos, Urologia, Clínica Médica, Neurologia e Pneumologia, além de UTI Adulto, Centro Cirúrgico, Recuperação Pós-Anestésica e serviços de apoio diagnóstico e terapêutico.
Nº Profissionais Total: 1791
Nº Profissionais convocados nesta gestão: -
Valor do contrato de manutenção predial (anual): -
Investimento nesta gestão: R$ 20.954.523,53000
Aumento do cofinanciamento (Gestão Própria) - de 2023 a 2026: -
Cofinanciamento 2022 (Apenas Gestão Própria): -
Cofinanciamento 2025 (Apenas Gestão Própria): -
Repasse (OS) em 2025: R$ 159.982.486,39000
Principais avanços nessa gestão: Ampliação da capacidade assistencial, com 290 leitos SUS, incluindo 100 leitos de UTI; crescimento de 68,2% das internações entre 2023 e 2024; expansão da produção para 67,2 mil procedimentos em 2024; aquisição de novos equipamentos e mobiliários por meio de Plano de Investimento (R$20.436.525,53); e fortalecimento do custeio e da assistência de média e alta complexidade, climatização da UTI 4 para habilitação de 20 leitos (R$518.000,00).</v>
      </c>
      <c r="G10" s="55" t="s">
        <v>7</v>
      </c>
      <c r="H10" s="38" t="s">
        <v>50</v>
      </c>
      <c r="I10" s="267">
        <f t="array" ref="I10">_xlfn.XLOOKUP(E10, 'Hospitais Regionais e OSS'!B:B, 'Hospitais Regionais e OSS'!G:G)</f>
        <v>290</v>
      </c>
      <c r="J10" s="194" t="str">
        <f t="array" ref="J10">_xlfn.XLOOKUP(E10, 'Hospitais Regionais e OSS'!B:B, 'Hospitais Regionais e OSS'!K:K)</f>
        <v>Assistência clínica, cirúrgica e intensiva, com especialidades como Cardiologia Clínica, Cirurgia Geral, Cirurgia Torácica, Geriatria, Cuidados Paliativos, Urologia, Clínica Médica, Neurologia e Pneumologia, além de UTI Adulto, Centro Cirúrgico, Recuperação Pós-Anestésica e serviços de apoio diagnóstico e terapêutico.</v>
      </c>
      <c r="K10" s="268">
        <f t="array" ref="K10">_xlfn.XLOOKUP(E10, 'Hospitais Regionais e OSS'!B:B, 'Hospitais Regionais e OSS'!L:L)</f>
        <v>1791</v>
      </c>
      <c r="L10" s="267" t="str">
        <f t="array" ref="L10">_xlfn.XLOOKUP(E10, 'Hospitais Regionais e OSS'!B:B, 'Hospitais Regionais e OSS'!M:M)</f>
        <v>-</v>
      </c>
      <c r="M10" s="269" t="str">
        <f t="array" ref="M10">_xlfn.XLOOKUP(E10, 'Hospitais Regionais e OSS'!B:B, 'Hospitais Regionais e OSS'!N:N)</f>
        <v>-</v>
      </c>
      <c r="N10" s="270">
        <f t="array" ref="N10">_xlfn.XLOOKUP(E10, 'Hospitais Regionais e OSS'!B:B, 'Hospitais Regionais e OSS'!O:O)</f>
        <v>20954523.53</v>
      </c>
      <c r="O10" s="270" t="str">
        <f t="array" ref="O10">_xlfn.XLOOKUP(E10, 'Hospitais Regionais e OSS'!B:B, 'Hospitais Regionais e OSS'!P:P)</f>
        <v>-</v>
      </c>
      <c r="P10" s="270" t="str">
        <f t="array" ref="P10">_xlfn.XLOOKUP(E10, 'Hospitais Regionais e OSS'!B:B, 'Hospitais Regionais e OSS'!Q:Q)</f>
        <v>-</v>
      </c>
      <c r="Q10" s="267" t="str">
        <f t="array" ref="Q10">_xlfn.XLOOKUP(E10, 'Hospitais Regionais e OSS'!B:B, 'Hospitais Regionais e OSS'!R:R)</f>
        <v>-</v>
      </c>
      <c r="R10" s="270">
        <f t="array" ref="R10">_xlfn.XLOOKUP(E10, 'Hospitais Regionais e OSS'!B:B, 'Hospitais Regionais e OSS'!S:S)</f>
        <v>159982486.4</v>
      </c>
      <c r="S10" s="272"/>
      <c r="T10" s="273" t="str">
        <f t="array" ref="T10">_xlfn.XLOOKUP(E10, 'Hospitais Regionais e OSS'!B:B, 'Hospitais Regionais e OSS'!T:T)</f>
        <v>Ampliação da capacidade assistencial, com 290 leitos SUS, incluindo 100 leitos de UTI; crescimento de 68,2% das internações entre 2023 e 2024; expansão da produção para 67,2 mil procedimentos em 2024; aquisição de novos equipamentos e mobiliários por meio de Plano de Investimento (R$20.436.525,53); e fortalecimento do custeio e da assistência de média e alta complexidade, climatização da UTI 4 para habilitação de 20 leitos (R$518.000,00).</v>
      </c>
      <c r="U10" s="267"/>
    </row>
    <row r="11" ht="137.25" customHeight="1">
      <c r="A11" s="280">
        <v>2609600.0</v>
      </c>
      <c r="B11" s="281" t="s">
        <v>370</v>
      </c>
      <c r="C11" s="282" t="s">
        <v>419</v>
      </c>
      <c r="D11" s="125" t="s">
        <v>1</v>
      </c>
      <c r="E11" s="92" t="s">
        <v>105</v>
      </c>
      <c r="F11" s="266" t="str">
        <f t="array" ref="F11">TEXTJOIN(CHAR(10), TRUE, 
  "*" &amp; E11 &amp; "*", 
  "Tipo de Gestão: " &amp; _xlfn.XLOOKUP(E11, 'Hospitais Regionais e OSS'!B:B, 'Hospitais Regionais e OSS'!D:D, "Não encontrado"), 
  "OSS: " &amp; _xlfn.XLOOKUP(E11, 'Hospitais Regionais e OSS'!B:B, 'Hospitais Regionais e OSS'!C:C, "Não encontrado"), 
  "Geres: " &amp; _xlfn.XLOOKUP(E11, 'Hospitais Regionais e OSS'!B:B, 'Hospitais Regionais e OSS'!E:E, "Não encontrado"), 
  "Localização: " &amp; _xlfn.XLOOKUP(E11, 'Hospitais Regionais e OSS'!B:B, 'Hospitais Regionais e OSS'!F:F, "Não encontrado"), 
  "Nº de Leitos: " &amp; _xlfn.XLOOKUP(E11, 'Hospitais Regionais e OSS'!B:B, 'Hospitais Regionais e OSS'!G:G, "Não encontrado"), 
  "Perfil: " &amp; _xlfn.XLOOKUP(E11, 'Hospitais Regionais e OSS'!B:B, 'Hospitais Regionais e OSS'!K:K, "Não encontrado"), 
  "Nº Profissionais Total: " &amp; _xlfn.XLOOKUP(E11, 'Hospitais Regionais e OSS'!B:B, 'Hospitais Regionais e OSS'!L:L, "Não encontrado"), 
  "Nº Profissionais convocados nesta gestão: " &amp; _xlfn.XLOOKUP(E11, 'Hospitais Regionais e OSS'!B:B, 'Hospitais Regionais e OSS'!M:M, "Não encontrado"), 
  "Valor do contrato de manutenção predial (anual): " &amp; _xlfn.XLOOKUP(E11, 'Hospitais Regionais e OSS'!B:B, 'Hospitais Regionais e OSS'!N:N, "Não encontrado"), 
  "Investimento nesta gestão: " &amp; TEXT(_xlfn.XLOOKUP(E11, 'Hospitais Regionais e OSS'!B:B, 'Hospitais Regionais e OSS'!O:O, 0), "R$ #.##0,00"), 
  "Aumento do cofinanciamento (Gestão Própria) - de 2023 a 2026: " &amp; TEXT(_xlfn.XLOOKUP(E11, 'Hospitais Regionais e OSS'!B:B, 'Hospitais Regionais e OSS'!R:R, 0), "0,00%"), 
  "Cofinanciamento 2022 (Apenas Gestão Própria): " &amp; TEXT(_xlfn.XLOOKUP(E11, 'Hospitais Regionais e OSS'!B:B, 'Hospitais Regionais e OSS'!P:P, 0), "R$ #.##0,00"), 
  "Cofinanciamento 2025 (Apenas Gestão Própria): " &amp; TEXT(_xlfn.XLOOKUP(E11, 'Hospitais Regionais e OSS'!B:B, 'Hospitais Regionais e OSS'!Q:Q, 0), "R$ #.##0,00"), 
  "Repasse (OS) em 2025: " &amp; TEXT(_xlfn.XLOOKUP(E11, 'Hospitais Regionais e OSS'!B:B, 'Hospitais Regionais e OSS'!S:S, 0), "R$ #.##0,00"), 
  "Principais avanços nessa gestão: " &amp; _xlfn.XLOOKUP(E11, 'Hospitais Regionais e OSS'!B:B, 'Hospitais Regionais e OSS'!T:T, "Não encontrado")
)</f>
        <v>*Hospital Brites de Albuquerque*
Tipo de Gestão: OSS
OSS: HTRI
Geres: I
Localização: Avenida Pan Nordestina, 4215, PE-015, SN - Tabajara, Olinda
Nº de Leitos: 150
Perfil: Clínica Médica e Pediatria e suporte de Terapia Intensiva Adulto e Pediátrica
Nº Profissionais Total: 780
Nº Profissionais convocados nesta gestão: -
Valor do contrato de manutenção predial (anual): -
Investimento nesta gestão: R$ 1.238.197,74000
Aumento do cofinanciamento (Gestão Própria) - de 2023 a 2026: -
Cofinanciamento 2022 (Apenas Gestão Própria): -
Cofinanciamento 2025 (Apenas Gestão Própria): -
Repasse (OS) em 2025: R$ 62.645.434,42000
Principais avanços nessa gestão: Recuperação e ampliação da capacidade assistencial, com crescimento de 127,5% das internações entre 2023 e 2024; manutenção de 150 leitos SUS, incluindo 90 leitos de UTI adulta e pediátrica; fortalecimento da assistência em Clínica Médica, Pediatria e Terapia Intensiva; ampliação do financiamento da unidade; Plano de investimento para aquisição de equipamentos médico-hospitalares destinados à implantação de 10 (dez) leitos de Unidade de Terapia Intensiva Pediátrica (Cardioversor, BIPAP com Monitor Gráfico , Bomba de Infusão, Eletrocardiógrafo, Marcapasso Cardíaco Externo, Monitor Multiparâmetros para UTI, Ultrassom Diagnóstico sem Aplicação Transesofágica , Ventilador Pulmonar Pressométrico e Volumétrico, Carro de Emergência , Oftalmoscópio, Transdutor linear, Medidor de cuff) no valor de R$ R$1.238.197,74e consolidação do hospital como referência de média e alta complexidade na Rede Estadual de Saúde</v>
      </c>
      <c r="G11" s="55" t="s">
        <v>7</v>
      </c>
      <c r="H11" s="38" t="s">
        <v>50</v>
      </c>
      <c r="I11" s="267">
        <f t="array" ref="I11">_xlfn.XLOOKUP(E11, 'Hospitais Regionais e OSS'!B:B, 'Hospitais Regionais e OSS'!G:G)</f>
        <v>150</v>
      </c>
      <c r="J11" s="194" t="str">
        <f t="array" ref="J11">_xlfn.XLOOKUP(E11, 'Hospitais Regionais e OSS'!B:B, 'Hospitais Regionais e OSS'!K:K)</f>
        <v>Clínica Médica e Pediatria e suporte de Terapia Intensiva Adulto e Pediátrica</v>
      </c>
      <c r="K11" s="268">
        <f t="array" ref="K11">_xlfn.XLOOKUP(E11, 'Hospitais Regionais e OSS'!B:B, 'Hospitais Regionais e OSS'!L:L)</f>
        <v>780</v>
      </c>
      <c r="L11" s="267" t="str">
        <f t="array" ref="L11">_xlfn.XLOOKUP(E11, 'Hospitais Regionais e OSS'!B:B, 'Hospitais Regionais e OSS'!M:M)</f>
        <v>-</v>
      </c>
      <c r="M11" s="269" t="str">
        <f t="array" ref="M11">_xlfn.XLOOKUP(E11, 'Hospitais Regionais e OSS'!B:B, 'Hospitais Regionais e OSS'!N:N)</f>
        <v>-</v>
      </c>
      <c r="N11" s="270">
        <f t="array" ref="N11">_xlfn.XLOOKUP(E11, 'Hospitais Regionais e OSS'!B:B, 'Hospitais Regionais e OSS'!O:O)</f>
        <v>1238197.74</v>
      </c>
      <c r="O11" s="267" t="str">
        <f t="array" ref="O11">_xlfn.XLOOKUP(E11, 'Hospitais Regionais e OSS'!B:B, 'Hospitais Regionais e OSS'!P:P)</f>
        <v>-</v>
      </c>
      <c r="P11" s="267" t="str">
        <f t="array" ref="P11">_xlfn.XLOOKUP(E11, 'Hospitais Regionais e OSS'!B:B, 'Hospitais Regionais e OSS'!Q:Q)</f>
        <v>-</v>
      </c>
      <c r="Q11" s="267" t="str">
        <f t="array" ref="Q11">_xlfn.XLOOKUP(E11, 'Hospitais Regionais e OSS'!B:B, 'Hospitais Regionais e OSS'!R:R)</f>
        <v>-</v>
      </c>
      <c r="R11" s="270">
        <f t="array" ref="R11">_xlfn.XLOOKUP(E11, 'Hospitais Regionais e OSS'!B:B, 'Hospitais Regionais e OSS'!S:S)</f>
        <v>62645434.42</v>
      </c>
      <c r="S11" s="272"/>
      <c r="T11" s="273" t="str">
        <f t="array" ref="T11">_xlfn.XLOOKUP(E11, 'Hospitais Regionais e OSS'!B:B, 'Hospitais Regionais e OSS'!T:T)</f>
        <v>Recuperação e ampliação da capacidade assistencial, com crescimento de 127,5% das internações entre 2023 e 2024; manutenção de 150 leitos SUS, incluindo 90 leitos de UTI adulta e pediátrica; fortalecimento da assistência em Clínica Médica, Pediatria e Terapia Intensiva; ampliação do financiamento da unidade; Plano de investimento para aquisição de equipamentos médico-hospitalares destinados à implantação de 10 (dez) leitos de Unidade de Terapia Intensiva Pediátrica (Cardioversor, BIPAP com Monitor Gráfico , Bomba de Infusão, Eletrocardiógrafo, Marcapasso Cardíaco Externo, Monitor Multiparâmetros para UTI, Ultrassom Diagnóstico sem Aplicação Transesofágica , Ventilador Pulmonar Pressométrico e Volumétrico, Carro de Emergência , Oftalmoscópio, Transdutor linear, Medidor de cuff) no valor de R$ R$1.238.197,74e consolidação do hospital como referência de média e alta complexidade na Rede Estadual de Saúde</v>
      </c>
      <c r="U11" s="267"/>
    </row>
    <row r="12" ht="137.25" customHeight="1">
      <c r="A12" s="280">
        <v>2602902.0</v>
      </c>
      <c r="B12" s="281" t="s">
        <v>422</v>
      </c>
      <c r="C12" s="282" t="s">
        <v>419</v>
      </c>
      <c r="D12" s="125" t="s">
        <v>1</v>
      </c>
      <c r="E12" s="138" t="s">
        <v>116</v>
      </c>
      <c r="F12" s="266" t="str">
        <f t="array" ref="F12">TEXTJOIN(CHAR(10), TRUE, 
  "*" &amp; E12 &amp; "*", 
  "Tipo de Gestão: " &amp; _xlfn.XLOOKUP(E12, 'Hospitais Regionais e OSS'!B:B, 'Hospitais Regionais e OSS'!D:D, "Não encontrado"), 
  "OSS: " &amp; _xlfn.XLOOKUP(E12, 'Hospitais Regionais e OSS'!B:B, 'Hospitais Regionais e OSS'!C:C, "Não encontrado"), 
  "Geres: " &amp; _xlfn.XLOOKUP(E12, 'Hospitais Regionais e OSS'!B:B, 'Hospitais Regionais e OSS'!E:E, "Não encontrado"), 
  "Localização: " &amp; _xlfn.XLOOKUP(E12, 'Hospitais Regionais e OSS'!B:B, 'Hospitais Regionais e OSS'!F:F, "Não encontrado"), 
  "Nº de Leitos: " &amp; _xlfn.XLOOKUP(E12, 'Hospitais Regionais e OSS'!B:B, 'Hospitais Regionais e OSS'!G:G, "Não encontrado"), 
  "Perfil: " &amp; _xlfn.XLOOKUP(E12, 'Hospitais Regionais e OSS'!B:B, 'Hospitais Regionais e OSS'!K:K, "Não encontrado"), 
  "Nº Profissionais Total: " &amp; _xlfn.XLOOKUP(E12, 'Hospitais Regionais e OSS'!B:B, 'Hospitais Regionais e OSS'!L:L, "Não encontrado"), 
  "Nº Profissionais convocados nesta gestão: " &amp; _xlfn.XLOOKUP(E12, 'Hospitais Regionais e OSS'!B:B, 'Hospitais Regionais e OSS'!M:M, "Não encontrado"), 
  "Valor do contrato de manutenção predial (anual): " &amp; _xlfn.XLOOKUP(E12, 'Hospitais Regionais e OSS'!B:B, 'Hospitais Regionais e OSS'!N:N, "Não encontrado"), 
  "Investimento nesta gestão: " &amp; TEXT(_xlfn.XLOOKUP(E12, 'Hospitais Regionais e OSS'!B:B, 'Hospitais Regionais e OSS'!O:O, 0), "R$ #.##0,00"), 
  "Aumento do cofinanciamento (Gestão Própria) - de 2023 a 2026: " &amp; TEXT(_xlfn.XLOOKUP(E12, 'Hospitais Regionais e OSS'!B:B, 'Hospitais Regionais e OSS'!R:R, 0), "0,00%"), 
  "Cofinanciamento 2022 (Apenas Gestão Própria): " &amp; TEXT(_xlfn.XLOOKUP(E12, 'Hospitais Regionais e OSS'!B:B, 'Hospitais Regionais e OSS'!P:P, 0), "R$ #.##0,00"), 
  "Cofinanciamento 2025 (Apenas Gestão Própria): " &amp; TEXT(_xlfn.XLOOKUP(E12, 'Hospitais Regionais e OSS'!B:B, 'Hospitais Regionais e OSS'!Q:Q, 0), "R$ #.##0,00"), 
  "Repasse (OS) em 2025: " &amp; TEXT(_xlfn.XLOOKUP(E12, 'Hospitais Regionais e OSS'!B:B, 'Hospitais Regionais e OSS'!S:S, 0), "R$ #.##0,00"), 
  "Principais avanços nessa gestão: " &amp; _xlfn.XLOOKUP(E12, 'Hospitais Regionais e OSS'!B:B, 'Hospitais Regionais e OSS'!T:T, "Não encontrado")
)</f>
        <v>*Hospital Metropolitano Sul Dom Helder Câmara*
Tipo de Gestão: OSS
OSS: FGH
Geres: I
Localização: Rodovia BR 101 Sul, km 28, s/nº, Centro, Cabo de Santo Agostinho, CEP: 54.510-000
Nº de Leitos: 157
Perfil: Clínica Médica, Cirurgia Geral, Traumato-ortopedia, Cirurgia Cardíaca, Cardiologia Intervencionista e Cirurgia Vascular, além dos serviços não médicos de Enfermagem, Serviço Social, Fisioterapia, Fonoaudiologia, Nutrição, Psicologia e SAD.
Nº Profissionais Total: 1205
Nº Profissionais convocados nesta gestão: -
Valor do contrato de manutenção predial (anual): -
Investimento nesta gestão: R$ 14.511.533,85000
Aumento do cofinanciamento (Gestão Própria) - de 2023 a 2026: -
Cofinanciamento 2022 (Apenas Gestão Própria): -
Cofinanciamento 2025 (Apenas Gestão Própria): -
Repasse (OS) em 2025: R$ 116.445.445,71000
Principais avanços nessa gestão: Modernização da capacidade diagnóstica com aquisição de equipamentos através de plano de investimento, no valor de R$ 14.511.533,85: motor cirúrgico, camas tipo Fowler, tomógrafo e sistema de infusão para contraste, mesa cirúrgica elétrica , arco cirúrgico, autoclaves hospitalar horizontal, Máquina hemodinâmica, perfurador ósseo, raio-X digital, secador de traquéias, foco cirúrgico de teto, lavadora de endoscópio, elevador para transposição de leitos, Ventilador Pulmonar, Citocentrífuga, Ventilômetro, Ultrassom Diagnóstico; fortalecimento da assistência cardiovascular de alta complexidade, incluindo Cardiologia Intervencionista/Hemodinâmica e Cirurgia Cardíaca; manutenção de 169 leitos; qualificação dos atendimentos de urgência e emergência; e fortalecimento do hospital como referência para aproximadamente 1,2 milhão de habitantes da Região Metropolitana e Litoral Sul. </v>
      </c>
      <c r="G12" s="55" t="s">
        <v>7</v>
      </c>
      <c r="H12" s="38" t="s">
        <v>50</v>
      </c>
      <c r="I12" s="267">
        <f t="array" ref="I12">_xlfn.XLOOKUP(E12, 'Hospitais Regionais e OSS'!B:B, 'Hospitais Regionais e OSS'!G:G)</f>
        <v>157</v>
      </c>
      <c r="J12" s="194" t="str">
        <f t="array" ref="J12">_xlfn.XLOOKUP(E12, 'Hospitais Regionais e OSS'!B:B, 'Hospitais Regionais e OSS'!K:K)</f>
        <v>Clínica Médica, Cirurgia Geral, Traumato-ortopedia, Cirurgia Cardíaca, Cardiologia Intervencionista e Cirurgia Vascular, além dos serviços não médicos de Enfermagem, Serviço Social, Fisioterapia, Fonoaudiologia, Nutrição, Psicologia e SAD.
</v>
      </c>
      <c r="K12" s="268">
        <f t="array" ref="K12">_xlfn.XLOOKUP(E12, 'Hospitais Regionais e OSS'!B:B, 'Hospitais Regionais e OSS'!L:L)</f>
        <v>1205</v>
      </c>
      <c r="L12" s="267" t="str">
        <f t="array" ref="L12">_xlfn.XLOOKUP(E12, 'Hospitais Regionais e OSS'!B:B, 'Hospitais Regionais e OSS'!M:M)</f>
        <v>-</v>
      </c>
      <c r="M12" s="269" t="str">
        <f t="array" ref="M12">_xlfn.XLOOKUP(E12, 'Hospitais Regionais e OSS'!B:B, 'Hospitais Regionais e OSS'!N:N)</f>
        <v>-</v>
      </c>
      <c r="N12" s="270">
        <f t="array" ref="N12">_xlfn.XLOOKUP(E12, 'Hospitais Regionais e OSS'!B:B, 'Hospitais Regionais e OSS'!O:O)</f>
        <v>14511533.85</v>
      </c>
      <c r="O12" s="270" t="str">
        <f t="array" ref="O12">_xlfn.XLOOKUP(E12, 'Hospitais Regionais e OSS'!B:B, 'Hospitais Regionais e OSS'!P:P)</f>
        <v>-</v>
      </c>
      <c r="P12" s="270" t="str">
        <f t="array" ref="P12">_xlfn.XLOOKUP(E12, 'Hospitais Regionais e OSS'!B:B, 'Hospitais Regionais e OSS'!Q:Q)</f>
        <v>-</v>
      </c>
      <c r="Q12" s="267" t="str">
        <f t="array" ref="Q12">_xlfn.XLOOKUP(E12, 'Hospitais Regionais e OSS'!B:B, 'Hospitais Regionais e OSS'!R:R)</f>
        <v>-</v>
      </c>
      <c r="R12" s="270">
        <f t="array" ref="R12">_xlfn.XLOOKUP(E12, 'Hospitais Regionais e OSS'!B:B, 'Hospitais Regionais e OSS'!S:S)</f>
        <v>116445445.7</v>
      </c>
      <c r="S12" s="272"/>
      <c r="T12" s="273" t="str">
        <f t="array" ref="T12">_xlfn.XLOOKUP(E12, 'Hospitais Regionais e OSS'!B:B, 'Hospitais Regionais e OSS'!T:T)</f>
        <v>Modernização da capacidade diagnóstica com aquisição de equipamentos através de plano de investimento, no valor de R$ 14.511.533,85: motor cirúrgico, camas tipo Fowler, tomógrafo e sistema de infusão para contraste, mesa cirúrgica elétrica , arco cirúrgico, autoclaves hospitalar horizontal, Máquina hemodinâmica, perfurador ósseo, raio-X digital, secador de traquéias, foco cirúrgico de teto, lavadora de endoscópio, elevador para transposição de leitos, Ventilador Pulmonar, Citocentrífuga, Ventilômetro, Ultrassom Diagnóstico; fortalecimento da assistência cardiovascular de alta complexidade, incluindo Cardiologia Intervencionista/Hemodinâmica e Cirurgia Cardíaca; manutenção de 169 leitos; qualificação dos atendimentos de urgência e emergência; e fortalecimento do hospital como referência para aproximadamente 1,2 milhão de habitantes da Região Metropolitana e Litoral Sul. </v>
      </c>
      <c r="U12" s="267"/>
    </row>
    <row r="13" ht="137.25" customHeight="1">
      <c r="A13" s="263" t="s">
        <v>417</v>
      </c>
      <c r="B13" s="264" t="s">
        <v>418</v>
      </c>
      <c r="C13" s="265" t="s">
        <v>419</v>
      </c>
      <c r="D13" s="125" t="s">
        <v>1</v>
      </c>
      <c r="E13" s="138" t="s">
        <v>132</v>
      </c>
      <c r="F13" s="266" t="str">
        <f t="array" ref="F13">TEXTJOIN(CHAR(10), TRUE, 
  "*" &amp; E13 &amp; "*", 
  "Tipo de Gestão: " &amp; _xlfn.XLOOKUP(E13, 'Hospitais Regionais e OSS'!B:B, 'Hospitais Regionais e OSS'!D:D, "Não encontrado"), 
  "OSS: " &amp; _xlfn.XLOOKUP(E13, 'Hospitais Regionais e OSS'!B:B, 'Hospitais Regionais e OSS'!C:C, "Não encontrado"), 
  "Geres: " &amp; _xlfn.XLOOKUP(E13, 'Hospitais Regionais e OSS'!B:B, 'Hospitais Regionais e OSS'!E:E, "Não encontrado"), 
  "Localização: " &amp; _xlfn.XLOOKUP(E13, 'Hospitais Regionais e OSS'!B:B, 'Hospitais Regionais e OSS'!F:F, "Não encontrado"), 
  "Nº de Leitos: " &amp; _xlfn.XLOOKUP(E13, 'Hospitais Regionais e OSS'!B:B, 'Hospitais Regionais e OSS'!G:G, "Não encontrado"), 
  "Perfil: " &amp; _xlfn.XLOOKUP(E13, 'Hospitais Regionais e OSS'!B:B, 'Hospitais Regionais e OSS'!K:K, "Não encontrado"), 
  "Nº Profissionais Total: " &amp; _xlfn.XLOOKUP(E13, 'Hospitais Regionais e OSS'!B:B, 'Hospitais Regionais e OSS'!L:L, "Não encontrado"), 
  "Nº Profissionais convocados nesta gestão: " &amp; _xlfn.XLOOKUP(E13, 'Hospitais Regionais e OSS'!B:B, 'Hospitais Regionais e OSS'!M:M, "Não encontrado"), 
  "Valor do contrato de manutenção predial (anual): " &amp; _xlfn.XLOOKUP(E13, 'Hospitais Regionais e OSS'!B:B, 'Hospitais Regionais e OSS'!N:N, "Não encontrado"), 
  "Investimento nesta gestão: " &amp; TEXT(_xlfn.XLOOKUP(E13, 'Hospitais Regionais e OSS'!B:B, 'Hospitais Regionais e OSS'!O:O, 0), "R$ #.##0,00"), 
  "Aumento do cofinanciamento (Gestão Própria) - de 2023 a 2026: " &amp; TEXT(_xlfn.XLOOKUP(E13, 'Hospitais Regionais e OSS'!B:B, 'Hospitais Regionais e OSS'!R:R, 0), "0,00%"), 
  "Cofinanciamento 2022 (Apenas Gestão Própria): " &amp; TEXT(_xlfn.XLOOKUP(E13, 'Hospitais Regionais e OSS'!B:B, 'Hospitais Regionais e OSS'!P:P, 0), "R$ #.##0,00"), 
  "Cofinanciamento 2025 (Apenas Gestão Própria): " &amp; TEXT(_xlfn.XLOOKUP(E13, 'Hospitais Regionais e OSS'!B:B, 'Hospitais Regionais e OSS'!Q:Q, 0), "R$ #.##0,00"), 
  "Repasse (OS) em 2025: " &amp; TEXT(_xlfn.XLOOKUP(E13, 'Hospitais Regionais e OSS'!B:B, 'Hospitais Regionais e OSS'!S:S, 0), "R$ #.##0,00"), 
  "Principais avanços nessa gestão: " &amp; _xlfn.XLOOKUP(E13, 'Hospitais Regionais e OSS'!B:B, 'Hospitais Regionais e OSS'!T:T, "Não encontrado")
)</f>
        <v>*Hospital Metropolitano Norte Miguel Arraes*
Tipo de Gestão: OSS
OSS: FGH
Geres: I
Localização: Estrada da Fazendinha, s/nº, Jaguaribe
Nº de Leitos: 181
Perfil: Clínica Médica, Clínica Cirúrgica, Traumato-Ortopedia e Urologia
Nº Profissionais Total: 1254
Nº Profissionais convocados nesta gestão: -
Valor do contrato de manutenção predial (anual): -
Investimento nesta gestão: R$ 10.262.149,66000
Aumento do cofinanciamento (Gestão Própria) - de 2023 a 2026: -
Cofinanciamento 2022 (Apenas Gestão Própria): -
Cofinanciamento 2025 (Apenas Gestão Própria): -
Repasse (OS) em 2025: R$ 102.110.737,89000
Principais avanços nessa gestão: Implantação de plano de investimento para modernização do serviço de R$ 10,2 milhões, com aquisição de equipamentos como tomógrafo, arco cirúrgico, respiradores e monitores; readequação de setores e fortalecimento da urgência/emergência e da capacidade diagnóstica e cirúrgica; manutenção de 180 leitos; e consolidação da unidade como referência para mais de 1 milhão de habitantes da Região Metropolitana Norte e Zona da Mata Norte.</v>
      </c>
      <c r="G13" s="55" t="s">
        <v>7</v>
      </c>
      <c r="H13" s="38" t="s">
        <v>50</v>
      </c>
      <c r="I13" s="267">
        <f t="array" ref="I13">_xlfn.XLOOKUP(E13, 'Hospitais Regionais e OSS'!B:B, 'Hospitais Regionais e OSS'!G:G)</f>
        <v>181</v>
      </c>
      <c r="J13" s="194" t="str">
        <f t="array" ref="J13">_xlfn.XLOOKUP(E13, 'Hospitais Regionais e OSS'!B:B, 'Hospitais Regionais e OSS'!K:K)</f>
        <v>Clínica Médica, Clínica Cirúrgica, Traumato-Ortopedia e Urologia</v>
      </c>
      <c r="K13" s="268">
        <f t="array" ref="K13">_xlfn.XLOOKUP(E13, 'Hospitais Regionais e OSS'!B:B, 'Hospitais Regionais e OSS'!L:L)</f>
        <v>1254</v>
      </c>
      <c r="L13" s="267" t="str">
        <f t="array" ref="L13">_xlfn.XLOOKUP(E13, 'Hospitais Regionais e OSS'!B:B, 'Hospitais Regionais e OSS'!M:M)</f>
        <v>-</v>
      </c>
      <c r="M13" s="269" t="str">
        <f t="array" ref="M13">_xlfn.XLOOKUP(E13, 'Hospitais Regionais e OSS'!B:B, 'Hospitais Regionais e OSS'!N:N)</f>
        <v>-</v>
      </c>
      <c r="N13" s="270">
        <f t="array" ref="N13">_xlfn.XLOOKUP(E13, 'Hospitais Regionais e OSS'!B:B, 'Hospitais Regionais e OSS'!O:O)</f>
        <v>10262149.66</v>
      </c>
      <c r="O13" s="270" t="str">
        <f t="array" ref="O13">_xlfn.XLOOKUP(E13, 'Hospitais Regionais e OSS'!B:B, 'Hospitais Regionais e OSS'!P:P)</f>
        <v>-</v>
      </c>
      <c r="P13" s="270" t="str">
        <f t="array" ref="P13">_xlfn.XLOOKUP(E13, 'Hospitais Regionais e OSS'!B:B, 'Hospitais Regionais e OSS'!Q:Q)</f>
        <v>-</v>
      </c>
      <c r="Q13" s="267" t="str">
        <f t="array" ref="Q13">_xlfn.XLOOKUP(E13, 'Hospitais Regionais e OSS'!B:B, 'Hospitais Regionais e OSS'!R:R)</f>
        <v>-</v>
      </c>
      <c r="R13" s="270">
        <f t="array" ref="R13">_xlfn.XLOOKUP(E13, 'Hospitais Regionais e OSS'!B:B, 'Hospitais Regionais e OSS'!S:S)</f>
        <v>102110737.9</v>
      </c>
      <c r="S13" s="272"/>
      <c r="T13" s="273" t="str">
        <f t="array" ref="T13">_xlfn.XLOOKUP(E13, 'Hospitais Regionais e OSS'!B:B, 'Hospitais Regionais e OSS'!T:T)</f>
        <v>Implantação de plano de investimento para modernização do serviço de R$ 10,2 milhões, com aquisição de equipamentos como tomógrafo, arco cirúrgico, respiradores e monitores; readequação de setores e fortalecimento da urgência/emergência e da capacidade diagnóstica e cirúrgica; manutenção de 180 leitos; e consolidação da unidade como referência para mais de 1 milhão de habitantes da Região Metropolitana Norte e Zona da Mata Norte.</v>
      </c>
      <c r="U13" s="267"/>
    </row>
    <row r="14" ht="137.25" customHeight="1">
      <c r="A14" s="274">
        <v>2611606.0</v>
      </c>
      <c r="B14" s="264" t="s">
        <v>356</v>
      </c>
      <c r="C14" s="265" t="s">
        <v>419</v>
      </c>
      <c r="D14" s="125" t="s">
        <v>1</v>
      </c>
      <c r="E14" s="138" t="s">
        <v>143</v>
      </c>
      <c r="F14" s="266" t="str">
        <f t="array" ref="F14">TEXTJOIN(CHAR(10), TRUE, 
  "*" &amp; E14 &amp; "*", 
  "Tipo de Gestão: " &amp; _xlfn.XLOOKUP(E14, 'Hospitais Regionais e OSS'!B:B, 'Hospitais Regionais e OSS'!D:D, "Não encontrado"), 
  "OSS: " &amp; _xlfn.XLOOKUP(E14, 'Hospitais Regionais e OSS'!B:B, 'Hospitais Regionais e OSS'!C:C, "Não encontrado"), 
  "Geres: " &amp; _xlfn.XLOOKUP(E14, 'Hospitais Regionais e OSS'!B:B, 'Hospitais Regionais e OSS'!E:E, "Não encontrado"), 
  "Localização: " &amp; _xlfn.XLOOKUP(E14, 'Hospitais Regionais e OSS'!B:B, 'Hospitais Regionais e OSS'!F:F, "Não encontrado"), 
  "Nº de Leitos: " &amp; _xlfn.XLOOKUP(E14, 'Hospitais Regionais e OSS'!B:B, 'Hospitais Regionais e OSS'!G:G, "Não encontrado"), 
  "Perfil: " &amp; _xlfn.XLOOKUP(E14, 'Hospitais Regionais e OSS'!B:B, 'Hospitais Regionais e OSS'!K:K, "Não encontrado"), 
  "Nº Profissionais Total: " &amp; _xlfn.XLOOKUP(E14, 'Hospitais Regionais e OSS'!B:B, 'Hospitais Regionais e OSS'!L:L, "Não encontrado"), 
  "Nº Profissionais convocados nesta gestão: " &amp; _xlfn.XLOOKUP(E14, 'Hospitais Regionais e OSS'!B:B, 'Hospitais Regionais e OSS'!M:M, "Não encontrado"), 
  "Valor do contrato de manutenção predial (anual): " &amp; _xlfn.XLOOKUP(E14, 'Hospitais Regionais e OSS'!B:B, 'Hospitais Regionais e OSS'!N:N, "Não encontrado"), 
  "Investimento nesta gestão: " &amp; TEXT(_xlfn.XLOOKUP(E14, 'Hospitais Regionais e OSS'!B:B, 'Hospitais Regionais e OSS'!O:O, 0), "R$ #.##0,00"), 
  "Aumento do cofinanciamento (Gestão Própria) - de 2023 a 2026: " &amp; TEXT(_xlfn.XLOOKUP(E14, 'Hospitais Regionais e OSS'!B:B, 'Hospitais Regionais e OSS'!R:R, 0), "0,00%"), 
  "Cofinanciamento 2022 (Apenas Gestão Própria): " &amp; TEXT(_xlfn.XLOOKUP(E14, 'Hospitais Regionais e OSS'!B:B, 'Hospitais Regionais e OSS'!P:P, 0), "R$ #.##0,00"), 
  "Cofinanciamento 2025 (Apenas Gestão Própria): " &amp; TEXT(_xlfn.XLOOKUP(E14, 'Hospitais Regionais e OSS'!B:B, 'Hospitais Regionais e OSS'!Q:Q, 0), "R$ #.##0,00"), 
  "Repasse (OS) em 2025: " &amp; TEXT(_xlfn.XLOOKUP(E14, 'Hospitais Regionais e OSS'!B:B, 'Hospitais Regionais e OSS'!S:S, 0), "R$ #.##0,00"), 
  "Principais avanços nessa gestão: " &amp; _xlfn.XLOOKUP(E14, 'Hospitais Regionais e OSS'!B:B, 'Hospitais Regionais e OSS'!T:T, "Não encontrado")
)</f>
        <v>*Hospital Metropolitano Oeste Pelópidas Silveira*
Tipo de Gestão: OSS
OSS: FGH
Geres: I
Localização: Rodovia BR-232, Km 06 - Curado
Nº de Leitos: 150
Perfil: Clínica Médica, Cardiologia, Neurologia, Neurocirurgia, Cardio Intervencionista e Neurointervencionista
Nº Profissionais Total: 1546
Nº Profissionais convocados nesta gestão: -
Valor do contrato de manutenção predial (anual): -
Investimento nesta gestão: R$ 8.675.544,46000
Aumento do cofinanciamento (Gestão Própria) - de 2023 a 2026: -
Cofinanciamento 2022 (Apenas Gestão Própria): -
Cofinanciamento 2025 (Apenas Gestão Própria): -
Repasse (OS) em 2025: R$ 107.316.856,79000
Principais avanços nessa gestão: Modernização do parque tecnológico e estrutural, com mais de R$ 8,3 milhões em plano de investimento (Aparelho de tomografia computadorizada, Ecocardiógrafo, Ultrassom com transdutor doppler colorido, Ventiladores pulmonares, Aparelho  de anestesia, Autoclave , Cardioversor, Microscópio cirúrgico, Mesa cirúrgica elétrica, Foco cirúrgico de teto) e Emenda Parlamentar para aquisição de microcomputadores no valor de R$ R$297.230,84; fortalecimento da assistência de alta complexidade em Cardiologia, Neurologia e Neurocirurgia; manutenção de 180 leitos, incluindo 30 de UTI; fortalecimento da hemodinâmica e dos serviços diagnósticos especializados; e consolidação do hospital como referência estadual para casos cardiovasculares e neurológicos de alta complexidade.</v>
      </c>
      <c r="G14" s="55" t="s">
        <v>7</v>
      </c>
      <c r="H14" s="38" t="s">
        <v>50</v>
      </c>
      <c r="I14" s="267">
        <f t="array" ref="I14">_xlfn.XLOOKUP(E14, 'Hospitais Regionais e OSS'!B:B, 'Hospitais Regionais e OSS'!G:G)</f>
        <v>150</v>
      </c>
      <c r="J14" s="194" t="str">
        <f t="array" ref="J14">_xlfn.XLOOKUP(E14, 'Hospitais Regionais e OSS'!B:B, 'Hospitais Regionais e OSS'!K:K)</f>
        <v>Clínica Médica, Cardiologia, Neurologia, Neurocirurgia, Cardio Intervencionista e Neurointervencionista</v>
      </c>
      <c r="K14" s="268">
        <f t="array" ref="K14">_xlfn.XLOOKUP(E14, 'Hospitais Regionais e OSS'!B:B, 'Hospitais Regionais e OSS'!L:L)</f>
        <v>1546</v>
      </c>
      <c r="L14" s="267" t="str">
        <f t="array" ref="L14">_xlfn.XLOOKUP(E14, 'Hospitais Regionais e OSS'!B:B, 'Hospitais Regionais e OSS'!M:M)</f>
        <v>-</v>
      </c>
      <c r="M14" s="269" t="str">
        <f t="array" ref="M14">_xlfn.XLOOKUP(E14, 'Hospitais Regionais e OSS'!B:B, 'Hospitais Regionais e OSS'!N:N)</f>
        <v>-</v>
      </c>
      <c r="N14" s="270">
        <f t="array" ref="N14">_xlfn.XLOOKUP(E14, 'Hospitais Regionais e OSS'!B:B, 'Hospitais Regionais e OSS'!O:O)</f>
        <v>8675544.46</v>
      </c>
      <c r="O14" s="270" t="str">
        <f t="array" ref="O14">_xlfn.XLOOKUP(E14, 'Hospitais Regionais e OSS'!B:B, 'Hospitais Regionais e OSS'!P:P)</f>
        <v>-</v>
      </c>
      <c r="P14" s="270" t="str">
        <f t="array" ref="P14">_xlfn.XLOOKUP(E14, 'Hospitais Regionais e OSS'!B:B, 'Hospitais Regionais e OSS'!Q:Q)</f>
        <v>-</v>
      </c>
      <c r="Q14" s="267" t="str">
        <f t="array" ref="Q14">_xlfn.XLOOKUP(E14, 'Hospitais Regionais e OSS'!B:B, 'Hospitais Regionais e OSS'!R:R)</f>
        <v>-</v>
      </c>
      <c r="R14" s="270">
        <f t="array" ref="R14">_xlfn.XLOOKUP(E14, 'Hospitais Regionais e OSS'!B:B, 'Hospitais Regionais e OSS'!S:S)</f>
        <v>107316856.8</v>
      </c>
      <c r="S14" s="272"/>
      <c r="T14" s="273" t="str">
        <f t="array" ref="T14">_xlfn.XLOOKUP(E14, 'Hospitais Regionais e OSS'!B:B, 'Hospitais Regionais e OSS'!T:T)</f>
        <v>Modernização do parque tecnológico e estrutural, com mais de R$ 8,3 milhões em plano de investimento (Aparelho de tomografia computadorizada, Ecocardiógrafo, Ultrassom com transdutor doppler colorido, Ventiladores pulmonares, Aparelho  de anestesia, Autoclave , Cardioversor, Microscópio cirúrgico, Mesa cirúrgica elétrica, Foco cirúrgico de teto) e Emenda Parlamentar para aquisição de microcomputadores no valor de R$ R$297.230,84; fortalecimento da assistência de alta complexidade em Cardiologia, Neurologia e Neurocirurgia; manutenção de 180 leitos, incluindo 30 de UTI; fortalecimento da hemodinâmica e dos serviços diagnósticos especializados; e consolidação do hospital como referência estadual para casos cardiovasculares e neurológicos de alta complexidade.</v>
      </c>
      <c r="U14" s="267"/>
    </row>
    <row r="15" ht="137.25" customHeight="1">
      <c r="A15" s="275">
        <v>2606200.0</v>
      </c>
      <c r="B15" s="283" t="s">
        <v>389</v>
      </c>
      <c r="C15" s="57" t="s">
        <v>423</v>
      </c>
      <c r="D15" s="125" t="s">
        <v>1</v>
      </c>
      <c r="E15" s="138" t="s">
        <v>159</v>
      </c>
      <c r="F15" s="266" t="str">
        <f t="array" ref="F15">TEXTJOIN(CHAR(10), TRUE, 
  "*" &amp; E15 &amp; "*", 
  "Tipo de Gestão: " &amp; _xlfn.XLOOKUP(E15, 'Hospitais Regionais e OSS'!B:B, 'Hospitais Regionais e OSS'!D:D, "Não encontrado"), 
  "OSS: " &amp; _xlfn.XLOOKUP(E15, 'Hospitais Regionais e OSS'!B:B, 'Hospitais Regionais e OSS'!C:C, "Não encontrado"), 
  "Geres: " &amp; _xlfn.XLOOKUP(E15, 'Hospitais Regionais e OSS'!B:B, 'Hospitais Regionais e OSS'!E:E, "Não encontrado"), 
  "Localização: " &amp; _xlfn.XLOOKUP(E15, 'Hospitais Regionais e OSS'!B:B, 'Hospitais Regionais e OSS'!F:F, "Não encontrado"), 
  "Nº de Leitos: " &amp; _xlfn.XLOOKUP(E15, 'Hospitais Regionais e OSS'!B:B, 'Hospitais Regionais e OSS'!G:G, "Não encontrado"), 
  "Perfil: " &amp; _xlfn.XLOOKUP(E15, 'Hospitais Regionais e OSS'!B:B, 'Hospitais Regionais e OSS'!K:K, "Não encontrado"), 
  "Nº Profissionais Total: " &amp; _xlfn.XLOOKUP(E15, 'Hospitais Regionais e OSS'!B:B, 'Hospitais Regionais e OSS'!L:L, "Não encontrado"), 
  "Nº Profissionais convocados nesta gestão: " &amp; _xlfn.XLOOKUP(E15, 'Hospitais Regionais e OSS'!B:B, 'Hospitais Regionais e OSS'!M:M, "Não encontrado"), 
  "Valor do contrato de manutenção predial (anual): " &amp; _xlfn.XLOOKUP(E15, 'Hospitais Regionais e OSS'!B:B, 'Hospitais Regionais e OSS'!N:N, "Não encontrado"), 
  "Investimento nesta gestão: " &amp; TEXT(_xlfn.XLOOKUP(E15, 'Hospitais Regionais e OSS'!B:B, 'Hospitais Regionais e OSS'!O:O, 0), "R$ #.##0,00"), 
  "Aumento do cofinanciamento (Gestão Própria) - de 2023 a 2026: " &amp; TEXT(_xlfn.XLOOKUP(E15, 'Hospitais Regionais e OSS'!B:B, 'Hospitais Regionais e OSS'!R:R, 0), "0,00%"), 
  "Cofinanciamento 2022 (Apenas Gestão Própria): " &amp; TEXT(_xlfn.XLOOKUP(E15, 'Hospitais Regionais e OSS'!B:B, 'Hospitais Regionais e OSS'!P:P, 0), "R$ #.##0,00"), 
  "Cofinanciamento 2025 (Apenas Gestão Própria): " &amp; TEXT(_xlfn.XLOOKUP(E15, 'Hospitais Regionais e OSS'!B:B, 'Hospitais Regionais e OSS'!Q:Q, 0), "R$ #.##0,00"), 
  "Repasse (OS) em 2025: " &amp; TEXT(_xlfn.XLOOKUP(E15, 'Hospitais Regionais e OSS'!B:B, 'Hospitais Regionais e OSS'!S:S, 0), "R$ #.##0,00"), 
  "Principais avanços nessa gestão: " &amp; _xlfn.XLOOKUP(E15, 'Hospitais Regionais e OSS'!B:B, 'Hospitais Regionais e OSS'!T:T, "Não encontrado")
)</f>
        <v>*Hospital Belarmino Correia*
Tipo de Gestão: Gestão própria
OSS: -
Geres: XII
Localização: Praça Correia Picanço, s/n - Centro, Goiana - PE
Nº de Leitos: 69
Perfil: Urgência: Clínica Médica, Pediatria, Ortopedia, Cirurgia Geral, Obstetrícia. Ambulatório: cardiologista, cirurgia geral, ortopedia, obstetrícia, pré natal de alto risco, ginecologia cirúrgico, ginecologia, pediatria, planejamento familiar, dermatologia, endocrinologia, gastroenterologia, oftalmologia, neonatologia, pediatria, pneumologia geral, mastologia, vascular, urologia, psiquiatria, psicologia, neurologia, nutrição, fisioterapia, clínica médica e programa pé diabético.
Nº Profissionais Total: 655
Nº Profissionais convocados nesta gestão: 68
Valor do contrato de manutenção predial (anual): 4184442,93
Investimento nesta gestão: R$ 13.358.895,08000
Aumento do cofinanciamento (Gestão Própria) - de 2023 a 2026: 348%
Cofinanciamento 2022 (Apenas Gestão Própria): R$ 2.828.257,2000
Cofinanciamento 2025 (Apenas Gestão Própria): R$ 12.679.519,6000
Repasse (OS) em 2025: -
Principais avanços nessa gestão: Criação sala teste do Pezinho; Requalificação da emergência da Pediátrica; Requalificação da sala do Raio x; Aquisição de um raio -x digital;  troca de todas as camas;  Aquisição de 02 (duas) ambulâncias avançadas; Requalificação do berçário com aquisição de novas incubadoras; Requalificação da Clínica da Pediátrica; Aquisição de mobílias; Estruturação do Centro cirúrgico com aquisição de novos equipamentos; Aquisição de instrumentais;   Incremento de recursos humanos; Implantação do Serviço de Gestão de Transporte - SETRANS; Implantação do Núcleo Interno de Regulação-NIR; Implantação de 31 cargos de liderança para servidores-FSUS.
</v>
      </c>
      <c r="G15" s="55" t="s">
        <v>49</v>
      </c>
      <c r="H15" s="38" t="s">
        <v>65</v>
      </c>
      <c r="I15" s="267">
        <f t="array" ref="I15">_xlfn.XLOOKUP(E15, 'Hospitais Regionais e OSS'!B:B, 'Hospitais Regionais e OSS'!G:G)</f>
        <v>69</v>
      </c>
      <c r="J15" s="194" t="str">
        <f t="array" ref="J15">_xlfn.XLOOKUP(E15, 'Hospitais Regionais e OSS'!B:B, 'Hospitais Regionais e OSS'!K:K)</f>
        <v>Urgência: Clínica Médica, Pediatria, Ortopedia, Cirurgia Geral, Obstetrícia. Ambulatório: cardiologista, cirurgia geral, ortopedia, obstetrícia, pré natal de alto risco, ginecologia cirúrgico, ginecologia, pediatria, planejamento familiar, dermatologia, endocrinologia, gastroenterologia, oftalmologia, neonatologia, pediatria, pneumologia geral, mastologia, vascular, urologia, psiquiatria, psicologia, neurologia, nutrição, fisioterapia, clínica médica e programa pé diabético.</v>
      </c>
      <c r="K15" s="268">
        <f t="array" ref="K15">_xlfn.XLOOKUP(E15, 'Hospitais Regionais e OSS'!B:B, 'Hospitais Regionais e OSS'!L:L)</f>
        <v>655</v>
      </c>
      <c r="L15" s="267">
        <f t="array" ref="L15">_xlfn.XLOOKUP(E15, 'Hospitais Regionais e OSS'!B:B, 'Hospitais Regionais e OSS'!M:M)</f>
        <v>68</v>
      </c>
      <c r="M15" s="269">
        <f t="array" ref="M15">_xlfn.XLOOKUP(E15, 'Hospitais Regionais e OSS'!B:B, 'Hospitais Regionais e OSS'!N:N)</f>
        <v>4184442.93</v>
      </c>
      <c r="N15" s="270">
        <f t="array" ref="N15">_xlfn.XLOOKUP(E15, 'Hospitais Regionais e OSS'!B:B, 'Hospitais Regionais e OSS'!O:O)</f>
        <v>13358895.08</v>
      </c>
      <c r="O15" s="270">
        <f t="array" ref="O15">_xlfn.XLOOKUP(E15, 'Hospitais Regionais e OSS'!B:B, 'Hospitais Regionais e OSS'!P:P)</f>
        <v>2828257.2</v>
      </c>
      <c r="P15" s="270">
        <f t="array" ref="P15">_xlfn.XLOOKUP(E15, 'Hospitais Regionais e OSS'!B:B, 'Hospitais Regionais e OSS'!Q:Q)</f>
        <v>12679519.6</v>
      </c>
      <c r="Q15" s="271">
        <f t="array" ref="Q15">_xlfn.XLOOKUP(E15, 'Hospitais Regionais e OSS'!B:B, 'Hospitais Regionais e OSS'!R:R)</f>
        <v>3.483156482</v>
      </c>
      <c r="R15" s="270" t="str">
        <f t="array" ref="R15">_xlfn.XLOOKUP(E15, 'Hospitais Regionais e OSS'!B:B, 'Hospitais Regionais e OSS'!S:S)</f>
        <v>-</v>
      </c>
      <c r="S15" s="272"/>
      <c r="T15" s="273" t="str">
        <f t="array" ref="T15">_xlfn.XLOOKUP(E15, 'Hospitais Regionais e OSS'!B:B, 'Hospitais Regionais e OSS'!T:T)</f>
        <v>Criação sala teste do Pezinho; Requalificação da emergência da Pediátrica; Requalificação da sala do Raio x; Aquisição de um raio -x digital;  troca de todas as camas;  Aquisição de 02 (duas) ambulâncias avançadas; Requalificação do berçário com aquisição de novas incubadoras; Requalificação da Clínica da Pediátrica; Aquisição de mobílias; Estruturação do Centro cirúrgico com aquisição de novos equipamentos; Aquisição de instrumentais;   Incremento de recursos humanos; Implantação do Serviço de Gestão de Transporte - SETRANS; Implantação do Núcleo Interno de Regulação-NIR; Implantação de 31 cargos de liderança para servidores-FSUS.
</v>
      </c>
      <c r="U15" s="267"/>
    </row>
    <row r="16" ht="137.25" customHeight="1">
      <c r="A16" s="277">
        <v>2609501.0</v>
      </c>
      <c r="B16" s="278" t="s">
        <v>424</v>
      </c>
      <c r="C16" s="279" t="s">
        <v>423</v>
      </c>
      <c r="D16" s="125" t="s">
        <v>1</v>
      </c>
      <c r="E16" s="138" t="s">
        <v>176</v>
      </c>
      <c r="F16" s="266" t="str">
        <f t="array" ref="F16">TEXTJOIN(CHAR(10), TRUE, 
  "*" &amp; E16 &amp; "*", 
  "Tipo de Gestão: " &amp; _xlfn.XLOOKUP(E16, 'Hospitais Regionais e OSS'!B:B, 'Hospitais Regionais e OSS'!D:D, "Não encontrado"), 
  "OSS: " &amp; _xlfn.XLOOKUP(E16, 'Hospitais Regionais e OSS'!B:B, 'Hospitais Regionais e OSS'!C:C, "Não encontrado"), 
  "Geres: " &amp; _xlfn.XLOOKUP(E16, 'Hospitais Regionais e OSS'!B:B, 'Hospitais Regionais e OSS'!E:E, "Não encontrado"), 
  "Localização: " &amp; _xlfn.XLOOKUP(E16, 'Hospitais Regionais e OSS'!B:B, 'Hospitais Regionais e OSS'!F:F, "Não encontrado"), 
  "Nº de Leitos: " &amp; _xlfn.XLOOKUP(E16, 'Hospitais Regionais e OSS'!B:B, 'Hospitais Regionais e OSS'!G:G, "Não encontrado"), 
  "Perfil: " &amp; _xlfn.XLOOKUP(E16, 'Hospitais Regionais e OSS'!B:B, 'Hospitais Regionais e OSS'!K:K, "Não encontrado"), 
  "Nº Profissionais Total: " &amp; _xlfn.XLOOKUP(E16, 'Hospitais Regionais e OSS'!B:B, 'Hospitais Regionais e OSS'!L:L, "Não encontrado"), 
  "Nº Profissionais convocados nesta gestão: " &amp; _xlfn.XLOOKUP(E16, 'Hospitais Regionais e OSS'!B:B, 'Hospitais Regionais e OSS'!M:M, "Não encontrado"), 
  "Valor do contrato de manutenção predial (anual): " &amp; _xlfn.XLOOKUP(E16, 'Hospitais Regionais e OSS'!B:B, 'Hospitais Regionais e OSS'!N:N, "Não encontrado"), 
  "Investimento nesta gestão: " &amp; TEXT(_xlfn.XLOOKUP(E16, 'Hospitais Regionais e OSS'!B:B, 'Hospitais Regionais e OSS'!O:O, 0), "R$ #.##0,00"), 
  "Aumento do cofinanciamento (Gestão Própria) - de 2023 a 2026: " &amp; TEXT(_xlfn.XLOOKUP(E16, 'Hospitais Regionais e OSS'!B:B, 'Hospitais Regionais e OSS'!R:R, 0), "0,00%"), 
  "Cofinanciamento 2022 (Apenas Gestão Própria): " &amp; TEXT(_xlfn.XLOOKUP(E16, 'Hospitais Regionais e OSS'!B:B, 'Hospitais Regionais e OSS'!P:P, 0), "R$ #.##0,00"), 
  "Cofinanciamento 2025 (Apenas Gestão Própria): " &amp; TEXT(_xlfn.XLOOKUP(E16, 'Hospitais Regionais e OSS'!B:B, 'Hospitais Regionais e OSS'!Q:Q, 0), "R$ #.##0,00"), 
  "Repasse (OS) em 2025: " &amp; TEXT(_xlfn.XLOOKUP(E16, 'Hospitais Regionais e OSS'!B:B, 'Hospitais Regionais e OSS'!S:S, 0), "R$ #.##0,00"), 
  "Principais avanços nessa gestão: " &amp; _xlfn.XLOOKUP(E16, 'Hospitais Regionais e OSS'!B:B, 'Hospitais Regionais e OSS'!T:T, "Não encontrado")
)</f>
        <v>*Hospital Ermírio Coutinho*
Tipo de Gestão: OSS
OSS: FMSA
Geres: II
Localização: Trav. Bancário Leopoldino V. de Melo, Centro, Nazaré da Mata, CEP: 55.800-000
Nº de Leitos: 57
Perfil: Atenção materno-infantil de baixa e média complexidade; obstetrícia, pediatria, internação, ambulatório e apoio diagnóstico
Nº Profissionais Total: 473
Nº Profissionais convocados nesta gestão: -
Valor do contrato de manutenção predial (anual): -
Investimento nesta gestão: R$ 2.670.011,77000
Aumento do cofinanciamento (Gestão Própria) - de 2023 a 2026: -
Cofinanciamento 2022 (Apenas Gestão Própria): -
Cofinanciamento 2025 (Apenas Gestão Própria): -
Repasse (OS) em 2025: R$ 31.416.979,37000
Principais avanços nessa gestão: Expansão da assistência pediátrica de alta complexidade com abertura de 10 novos leitos de UTI Pediátrica em 2025; Aquisição de equipamentos através de plano de investimento, no valor de R$R$ 876.821,53 (monitor cardíaco, oxímetro, carro de parada com desfibrilador e microscópio biológico trinocular), R$1.516.227,45 investidos em obras e R$133.050,00 através de Emenda parlamentar; fortalecimento da assistência materno-infantil e obstétrica; manutenção da maternidade com cerca de 200 nascimentos/mês; fortalecimento da urgência/emergência 24h, ambulatórios especializados e serviços diagnósticos; e ampliação da capacidade de resposta regional para os 20 municípios da II GERES.</v>
      </c>
      <c r="G16" s="55" t="s">
        <v>7</v>
      </c>
      <c r="H16" s="38" t="s">
        <v>50</v>
      </c>
      <c r="I16" s="267">
        <f t="array" ref="I16">_xlfn.XLOOKUP(E16, 'Hospitais Regionais e OSS'!B:B, 'Hospitais Regionais e OSS'!G:G)</f>
        <v>57</v>
      </c>
      <c r="J16" s="194" t="str">
        <f t="array" ref="J16">_xlfn.XLOOKUP(E16, 'Hospitais Regionais e OSS'!B:B, 'Hospitais Regionais e OSS'!K:K)</f>
        <v>Atenção materno-infantil de baixa e média complexidade; obstetrícia, pediatria, internação, ambulatório e apoio diagnóstico
</v>
      </c>
      <c r="K16" s="268">
        <f t="array" ref="K16">_xlfn.XLOOKUP(E16, 'Hospitais Regionais e OSS'!B:B, 'Hospitais Regionais e OSS'!L:L)</f>
        <v>473</v>
      </c>
      <c r="L16" s="267" t="str">
        <f t="array" ref="L16">_xlfn.XLOOKUP(E16, 'Hospitais Regionais e OSS'!B:B, 'Hospitais Regionais e OSS'!M:M)</f>
        <v>-</v>
      </c>
      <c r="M16" s="269" t="str">
        <f t="array" ref="M16">_xlfn.XLOOKUP(E16, 'Hospitais Regionais e OSS'!B:B, 'Hospitais Regionais e OSS'!N:N)</f>
        <v>-</v>
      </c>
      <c r="N16" s="270">
        <f t="array" ref="N16">_xlfn.XLOOKUP(E16, 'Hospitais Regionais e OSS'!B:B, 'Hospitais Regionais e OSS'!O:O)</f>
        <v>2670011.77</v>
      </c>
      <c r="O16" s="270" t="str">
        <f t="array" ref="O16">_xlfn.XLOOKUP(E16, 'Hospitais Regionais e OSS'!B:B, 'Hospitais Regionais e OSS'!P:P)</f>
        <v>-</v>
      </c>
      <c r="P16" s="270" t="str">
        <f t="array" ref="P16">_xlfn.XLOOKUP(E16, 'Hospitais Regionais e OSS'!B:B, 'Hospitais Regionais e OSS'!Q:Q)</f>
        <v>-</v>
      </c>
      <c r="Q16" s="267" t="str">
        <f t="array" ref="Q16">_xlfn.XLOOKUP(E16, 'Hospitais Regionais e OSS'!B:B, 'Hospitais Regionais e OSS'!R:R)</f>
        <v>-</v>
      </c>
      <c r="R16" s="270">
        <f t="array" ref="R16">_xlfn.XLOOKUP(E16, 'Hospitais Regionais e OSS'!B:B, 'Hospitais Regionais e OSS'!S:S)</f>
        <v>31416979.37</v>
      </c>
      <c r="S16" s="272"/>
      <c r="T16" s="273" t="str">
        <f t="array" ref="T16">_xlfn.XLOOKUP(E16, 'Hospitais Regionais e OSS'!B:B, 'Hospitais Regionais e OSS'!T:T)</f>
        <v>Expansão da assistência pediátrica de alta complexidade com abertura de 10 novos leitos de UTI Pediátrica em 2025; Aquisição de equipamentos através de plano de investimento, no valor de R$R$ 876.821,53 (monitor cardíaco, oxímetro, carro de parada com desfibrilador e microscópio biológico trinocular), R$1.516.227,45 investidos em obras e R$133.050,00 através de Emenda parlamentar; fortalecimento da assistência materno-infantil e obstétrica; manutenção da maternidade com cerca de 200 nascimentos/mês; fortalecimento da urgência/emergência 24h, ambulatórios especializados e serviços diagnósticos; e ampliação da capacidade de resposta regional para os 20 municípios da II GERES.</v>
      </c>
      <c r="U16" s="267"/>
    </row>
    <row r="17" ht="137.25" customHeight="1">
      <c r="A17" s="274">
        <v>2616407.0</v>
      </c>
      <c r="B17" s="264" t="s">
        <v>373</v>
      </c>
      <c r="C17" s="265" t="s">
        <v>425</v>
      </c>
      <c r="D17" s="125" t="s">
        <v>1</v>
      </c>
      <c r="E17" s="138" t="s">
        <v>193</v>
      </c>
      <c r="F17" s="266" t="str">
        <f t="array" ref="F17">TEXTJOIN(CHAR(10), TRUE, 
  "*" &amp; E17 &amp; "*", 
  "Tipo de Gestão: " &amp; _xlfn.XLOOKUP(E17, 'Hospitais Regionais e OSS'!B:B, 'Hospitais Regionais e OSS'!D:D, "Não encontrado"), 
  "OSS: " &amp; _xlfn.XLOOKUP(E17, 'Hospitais Regionais e OSS'!B:B, 'Hospitais Regionais e OSS'!C:C, "Não encontrado"), 
  "Geres: " &amp; _xlfn.XLOOKUP(E17, 'Hospitais Regionais e OSS'!B:B, 'Hospitais Regionais e OSS'!E:E, "Não encontrado"), 
  "Localização: " &amp; _xlfn.XLOOKUP(E17, 'Hospitais Regionais e OSS'!B:B, 'Hospitais Regionais e OSS'!F:F, "Não encontrado"), 
  "Nº de Leitos: " &amp; _xlfn.XLOOKUP(E17, 'Hospitais Regionais e OSS'!B:B, 'Hospitais Regionais e OSS'!G:G, "Não encontrado"), 
  "Perfil: " &amp; _xlfn.XLOOKUP(E17, 'Hospitais Regionais e OSS'!B:B, 'Hospitais Regionais e OSS'!K:K, "Não encontrado"), 
  "Nº Profissionais Total: " &amp; _xlfn.XLOOKUP(E17, 'Hospitais Regionais e OSS'!B:B, 'Hospitais Regionais e OSS'!L:L, "Não encontrado"), 
  "Nº Profissionais convocados nesta gestão: " &amp; _xlfn.XLOOKUP(E17, 'Hospitais Regionais e OSS'!B:B, 'Hospitais Regionais e OSS'!M:M, "Não encontrado"), 
  "Valor do contrato de manutenção predial (anual): " &amp; _xlfn.XLOOKUP(E17, 'Hospitais Regionais e OSS'!B:B, 'Hospitais Regionais e OSS'!N:N, "Não encontrado"), 
  "Investimento nesta gestão: " &amp; TEXT(_xlfn.XLOOKUP(E17, 'Hospitais Regionais e OSS'!B:B, 'Hospitais Regionais e OSS'!O:O, 0), "R$ #.##0,00"), 
  "Aumento do cofinanciamento (Gestão Própria) - de 2023 a 2026: " &amp; TEXT(_xlfn.XLOOKUP(E17, 'Hospitais Regionais e OSS'!B:B, 'Hospitais Regionais e OSS'!R:R, 0), "0,00%"), 
  "Cofinanciamento 2022 (Apenas Gestão Própria): " &amp; TEXT(_xlfn.XLOOKUP(E17, 'Hospitais Regionais e OSS'!B:B, 'Hospitais Regionais e OSS'!P:P, 0), "R$ #.##0,00"), 
  "Cofinanciamento 2025 (Apenas Gestão Própria): " &amp; TEXT(_xlfn.XLOOKUP(E17, 'Hospitais Regionais e OSS'!B:B, 'Hospitais Regionais e OSS'!Q:Q, 0), "R$ #.##0,00"), 
  "Repasse (OS) em 2025: " &amp; TEXT(_xlfn.XLOOKUP(E17, 'Hospitais Regionais e OSS'!B:B, 'Hospitais Regionais e OSS'!S:S, 0), "R$ #.##0,00"), 
  "Principais avanços nessa gestão: " &amp; _xlfn.XLOOKUP(E17, 'Hospitais Regionais e OSS'!B:B, 'Hospitais Regionais e OSS'!T:T, "Não encontrado")
)</f>
        <v>*Hospital João Murilo de Oliveira*
Tipo de Gestão: OSS
OSS: HTRI
Geres: I
Localização: Av. Henrique de Holanda, 87 - Casa - Matriz, Vitória de Santo Antão -PE
Nº de Leitos: 129
Perfil: Hospital geral de referência regional, com atendimento de urgência/emergência 24h e assistência em Clínica Médica, Pediatria, Ortopedia e Obstetrícia, além de serviços ambulatoriais e assistência materno-infantil.
Nº Profissionais Total: 965
Nº Profissionais convocados nesta gestão: -
Valor do contrato de manutenção predial (anual): -
Investimento nesta gestão: R$ 1.754.469,05000
Aumento do cofinanciamento (Gestão Própria) - de 2023 a 2026: -
Cofinanciamento 2022 (Apenas Gestão Própria): -
Cofinanciamento 2025 (Apenas Gestão Própria): -
Repasse (OS) em 2025: R$ 59.386.905,57000
Principais avanços nessa gestão: Modernização e fortalecimento da estrutura assistencial; plano de investimentos em equipamentos no valor de R$ 1.281.419,05, comteplando a aquisição de Aparelho de Anestesia com Monitor Multiparâmetros, Incubadora Neonatal (estacionária), Ventilador Pulmonar Pressométrico e Volumétrico, Bilirrubinômetro, Berço aquecido, Cardioversor, Mesa de Mayo, Berço Hospitalar com Grades, Emenda parlamentar para reforma e ampliação de nfermaria no valor de R$233.050,00 e Emenda parlamentar para aquisição de ambulância de grande porte no valor de R$240.000,00; qualificação da assistência materno-infantil; fortalecimento da urgência e emergência; manutenção e qualificação dos serviços de Clínica Médica, Pediatria, Ortopedia e Obstetrícia; e consolidação da unidade como referência regional para Vitória de Santo Antão e municípios do entorno.</v>
      </c>
      <c r="G17" s="55" t="s">
        <v>7</v>
      </c>
      <c r="H17" s="38" t="s">
        <v>114</v>
      </c>
      <c r="I17" s="267">
        <f t="array" ref="I17">_xlfn.XLOOKUP(E17, 'Hospitais Regionais e OSS'!B:B, 'Hospitais Regionais e OSS'!G:G)</f>
        <v>129</v>
      </c>
      <c r="J17" s="194" t="str">
        <f t="array" ref="J17">_xlfn.XLOOKUP(E17, 'Hospitais Regionais e OSS'!B:B, 'Hospitais Regionais e OSS'!K:K)</f>
        <v>Hospital geral de referência regional, com atendimento de urgência/emergência 24h e assistência em Clínica Médica, Pediatria, Ortopedia e Obstetrícia, além de serviços ambulatoriais e assistência materno-infantil.</v>
      </c>
      <c r="K17" s="268">
        <f t="array" ref="K17">_xlfn.XLOOKUP(E17, 'Hospitais Regionais e OSS'!B:B, 'Hospitais Regionais e OSS'!L:L)</f>
        <v>965</v>
      </c>
      <c r="L17" s="267" t="str">
        <f t="array" ref="L17">_xlfn.XLOOKUP(E17, 'Hospitais Regionais e OSS'!B:B, 'Hospitais Regionais e OSS'!M:M)</f>
        <v>-</v>
      </c>
      <c r="M17" s="269" t="str">
        <f t="array" ref="M17">_xlfn.XLOOKUP(E17, 'Hospitais Regionais e OSS'!B:B, 'Hospitais Regionais e OSS'!N:N)</f>
        <v>-</v>
      </c>
      <c r="N17" s="270">
        <f t="array" ref="N17">_xlfn.XLOOKUP(E17, 'Hospitais Regionais e OSS'!B:B, 'Hospitais Regionais e OSS'!O:O)</f>
        <v>1754469.05</v>
      </c>
      <c r="O17" s="270" t="str">
        <f t="array" ref="O17">_xlfn.XLOOKUP(E17, 'Hospitais Regionais e OSS'!B:B, 'Hospitais Regionais e OSS'!P:P)</f>
        <v>-</v>
      </c>
      <c r="P17" s="270" t="str">
        <f t="array" ref="P17">_xlfn.XLOOKUP(E17, 'Hospitais Regionais e OSS'!B:B, 'Hospitais Regionais e OSS'!Q:Q)</f>
        <v>-</v>
      </c>
      <c r="Q17" s="267" t="str">
        <f t="array" ref="Q17">_xlfn.XLOOKUP(E17, 'Hospitais Regionais e OSS'!B:B, 'Hospitais Regionais e OSS'!R:R)</f>
        <v>-</v>
      </c>
      <c r="R17" s="270">
        <f t="array" ref="R17">_xlfn.XLOOKUP(E17, 'Hospitais Regionais e OSS'!B:B, 'Hospitais Regionais e OSS'!S:S)</f>
        <v>59386905.57</v>
      </c>
      <c r="S17" s="272"/>
      <c r="T17" s="273" t="str">
        <f t="array" ref="T17">_xlfn.XLOOKUP(E17, 'Hospitais Regionais e OSS'!B:B, 'Hospitais Regionais e OSS'!T:T)</f>
        <v>Modernização e fortalecimento da estrutura assistencial; plano de investimentos em equipamentos no valor de R$ 1.281.419,05, comteplando a aquisição de Aparelho de Anestesia com Monitor Multiparâmetros, Incubadora Neonatal (estacionária), Ventilador Pulmonar Pressométrico e Volumétrico, Bilirrubinômetro, Berço aquecido, Cardioversor, Mesa de Mayo, Berço Hospitalar com Grades, Emenda parlamentar para reforma e ampliação de nfermaria no valor de R$233.050,00 e Emenda parlamentar para aquisição de ambulância de grande porte no valor de R$240.000,00; qualificação da assistência materno-infantil; fortalecimento da urgência e emergência; manutenção e qualificação dos serviços de Clínica Médica, Pediatria, Ortopedia e Obstetrícia; e consolidação da unidade como referência regional para Vitória de Santo Antão e municípios do entorno.</v>
      </c>
      <c r="U17" s="267"/>
    </row>
    <row r="18" ht="137.25" customHeight="1">
      <c r="A18" s="280">
        <v>2610004.0</v>
      </c>
      <c r="B18" s="281" t="s">
        <v>383</v>
      </c>
      <c r="C18" s="282" t="s">
        <v>425</v>
      </c>
      <c r="D18" s="125" t="s">
        <v>1</v>
      </c>
      <c r="E18" s="138" t="s">
        <v>210</v>
      </c>
      <c r="F18" s="266" t="str">
        <f t="array" ref="F18">TEXTJOIN(CHAR(10), TRUE, 
  "*" &amp; E18 &amp; "*", 
  "Tipo de Gestão: " &amp; _xlfn.XLOOKUP(E18, 'Hospitais Regionais e OSS'!B:B, 'Hospitais Regionais e OSS'!D:D, "Não encontrado"), 
  "OSS: " &amp; _xlfn.XLOOKUP(E18, 'Hospitais Regionais e OSS'!B:B, 'Hospitais Regionais e OSS'!C:C, "Não encontrado"), 
  "Geres: " &amp; _xlfn.XLOOKUP(E18, 'Hospitais Regionais e OSS'!B:B, 'Hospitais Regionais e OSS'!E:E, "Não encontrado"), 
  "Localização: " &amp; _xlfn.XLOOKUP(E18, 'Hospitais Regionais e OSS'!B:B, 'Hospitais Regionais e OSS'!F:F, "Não encontrado"), 
  "Nº de Leitos: " &amp; _xlfn.XLOOKUP(E18, 'Hospitais Regionais e OSS'!B:B, 'Hospitais Regionais e OSS'!G:G, "Não encontrado"), 
  "Perfil: " &amp; _xlfn.XLOOKUP(E18, 'Hospitais Regionais e OSS'!B:B, 'Hospitais Regionais e OSS'!K:K, "Não encontrado"), 
  "Nº Profissionais Total: " &amp; _xlfn.XLOOKUP(E18, 'Hospitais Regionais e OSS'!B:B, 'Hospitais Regionais e OSS'!L:L, "Não encontrado"), 
  "Nº Profissionais convocados nesta gestão: " &amp; _xlfn.XLOOKUP(E18, 'Hospitais Regionais e OSS'!B:B, 'Hospitais Regionais e OSS'!M:M, "Não encontrado"), 
  "Valor do contrato de manutenção predial (anual): " &amp; _xlfn.XLOOKUP(E18, 'Hospitais Regionais e OSS'!B:B, 'Hospitais Regionais e OSS'!N:N, "Não encontrado"), 
  "Investimento nesta gestão: " &amp; TEXT(_xlfn.XLOOKUP(E18, 'Hospitais Regionais e OSS'!B:B, 'Hospitais Regionais e OSS'!O:O, 0), "R$ #.##0,00"), 
  "Aumento do cofinanciamento (Gestão Própria) - de 2023 a 2026: " &amp; TEXT(_xlfn.XLOOKUP(E18, 'Hospitais Regionais e OSS'!B:B, 'Hospitais Regionais e OSS'!R:R, 0), "0,00%"), 
  "Cofinanciamento 2022 (Apenas Gestão Própria): " &amp; TEXT(_xlfn.XLOOKUP(E18, 'Hospitais Regionais e OSS'!B:B, 'Hospitais Regionais e OSS'!P:P, 0), "R$ #.##0,00"), 
  "Cofinanciamento 2025 (Apenas Gestão Própria): " &amp; TEXT(_xlfn.XLOOKUP(E18, 'Hospitais Regionais e OSS'!B:B, 'Hospitais Regionais e OSS'!Q:Q, 0), "R$ #.##0,00"), 
  "Repasse (OS) em 2025: " &amp; TEXT(_xlfn.XLOOKUP(E18, 'Hospitais Regionais e OSS'!B:B, 'Hospitais Regionais e OSS'!S:S, 0), "R$ #.##0,00"), 
  "Principais avanços nessa gestão: " &amp; _xlfn.XLOOKUP(E18, 'Hospitais Regionais e OSS'!B:B, 'Hospitais Regionais e OSS'!T:T, "Não encontrado")
)</f>
        <v>*Hospital Regional Sílvio Magalhães Palmares*
Tipo de Gestão: OSS
OSS: FMSA
Geres: III
Localização: Br 101, Km 185, s/n Engenho Quilombo dos, Palmares - PE
Nº de Leitos: 184
Perfil: Hospital regional de média e alta complexidade, referência para a Mata Sul. Atua em urgência/emergência, internação e ambulatório, com Clínica Médica, Cirurgia Geral, Traumato-Ortopedia, Pediatria, Obstetrícia, UTI Adulto e Neopediátrica, além de serviços diagnósticos e terapêuticos. É também referência para pacientes com microcefalia.
Nº Profissionais Total: 1400
Nº Profissionais convocados nesta gestão: -
Valor do contrato de manutenção predial (anual): -
Investimento nesta gestão: R$ 6.740.221,74000
Aumento do cofinanciamento (Gestão Própria) - de 2023 a 2026: -
Cofinanciamento 2022 (Apenas Gestão Própria): -
Cofinanciamento 2025 (Apenas Gestão Própria): -
Repasse (OS) em 2025: R$ 63.214.523,66000
Principais avanços nessa gestão: Modernização do parque tecnológico com aquisição de equipamentos e mobiliários, através de plano de investimento no valor de pouco mais de R$2,5 milhões para a aquisição de Tomógrafo Computadorizado (Acima de 16 canais até 80 canais), Aparelho de Anestesia, Cama PPP; R$3.752.080,02 investidos para revitalização do hospital e R$408.405,22 através de emendas parlamentares para aquisição de equipamentos e insumos; fortalecimento da capacidade cirúrgica, inclusive com cirurgias por videolaparoscopia; manutenção e qualificação da assistência de média e alta complexidade; fortalecimento das UTIs adulta e neopediátrica; e consolidação do hospital como referência para a população da Mata Sul.</v>
      </c>
      <c r="G18" s="55" t="s">
        <v>7</v>
      </c>
      <c r="H18" s="38" t="s">
        <v>114</v>
      </c>
      <c r="I18" s="267">
        <f t="array" ref="I18">_xlfn.XLOOKUP(E18, 'Hospitais Regionais e OSS'!B:B, 'Hospitais Regionais e OSS'!G:G)</f>
        <v>184</v>
      </c>
      <c r="J18" s="194" t="str">
        <f t="array" ref="J18">_xlfn.XLOOKUP(E18, 'Hospitais Regionais e OSS'!B:B, 'Hospitais Regionais e OSS'!K:K)</f>
        <v>Hospital regional de média e alta complexidade, referência para a Mata Sul. Atua em urgência/emergência, internação e ambulatório, com Clínica Médica, Cirurgia Geral, Traumato-Ortopedia, Pediatria, Obstetrícia, UTI Adulto e Neopediátrica, além de serviços diagnósticos e terapêuticos. É também referência para pacientes com microcefalia.</v>
      </c>
      <c r="K18" s="268">
        <f t="array" ref="K18">_xlfn.XLOOKUP(E18, 'Hospitais Regionais e OSS'!B:B, 'Hospitais Regionais e OSS'!L:L)</f>
        <v>1400</v>
      </c>
      <c r="L18" s="267" t="str">
        <f t="array" ref="L18">_xlfn.XLOOKUP(E18, 'Hospitais Regionais e OSS'!B:B, 'Hospitais Regionais e OSS'!M:M)</f>
        <v>-</v>
      </c>
      <c r="M18" s="269" t="str">
        <f t="array" ref="M18">_xlfn.XLOOKUP(E18, 'Hospitais Regionais e OSS'!B:B, 'Hospitais Regionais e OSS'!N:N)</f>
        <v>-</v>
      </c>
      <c r="N18" s="270">
        <f t="array" ref="N18">_xlfn.XLOOKUP(E18, 'Hospitais Regionais e OSS'!B:B, 'Hospitais Regionais e OSS'!O:O)</f>
        <v>6740221.74</v>
      </c>
      <c r="O18" s="270" t="str">
        <f t="array" ref="O18">_xlfn.XLOOKUP(E18, 'Hospitais Regionais e OSS'!B:B, 'Hospitais Regionais e OSS'!P:P)</f>
        <v>-</v>
      </c>
      <c r="P18" s="270" t="str">
        <f t="array" ref="P18">_xlfn.XLOOKUP(E18, 'Hospitais Regionais e OSS'!B:B, 'Hospitais Regionais e OSS'!Q:Q)</f>
        <v>-</v>
      </c>
      <c r="Q18" s="267" t="str">
        <f t="array" ref="Q18">_xlfn.XLOOKUP(E18, 'Hospitais Regionais e OSS'!B:B, 'Hospitais Regionais e OSS'!R:R)</f>
        <v>-</v>
      </c>
      <c r="R18" s="270">
        <f t="array" ref="R18">_xlfn.XLOOKUP(E18, 'Hospitais Regionais e OSS'!B:B, 'Hospitais Regionais e OSS'!S:S)</f>
        <v>63214523.66</v>
      </c>
      <c r="S18" s="272"/>
      <c r="T18" s="273" t="str">
        <f t="array" ref="T18">_xlfn.XLOOKUP(E18, 'Hospitais Regionais e OSS'!B:B, 'Hospitais Regionais e OSS'!T:T)</f>
        <v>Modernização do parque tecnológico com aquisição de equipamentos e mobiliários, através de plano de investimento no valor de pouco mais de R$2,5 milhões para a aquisição de Tomógrafo Computadorizado (Acima de 16 canais até 80 canais), Aparelho de Anestesia, Cama PPP; R$3.752.080,02 investidos para revitalização do hospital e R$408.405,22 através de emendas parlamentares para aquisição de equipamentos e insumos; fortalecimento da capacidade cirúrgica, inclusive com cirurgias por videolaparoscopia; manutenção e qualificação da assistência de média e alta complexidade; fortalecimento das UTIs adulta e neopediátrica; e consolidação do hospital como referência para a população da Mata Sul.</v>
      </c>
      <c r="U18" s="267"/>
    </row>
    <row r="19" ht="137.25" customHeight="1">
      <c r="A19" s="275">
        <v>2604106.0</v>
      </c>
      <c r="B19" s="283" t="s">
        <v>392</v>
      </c>
      <c r="C19" s="57" t="s">
        <v>431</v>
      </c>
      <c r="D19" s="125" t="s">
        <v>1</v>
      </c>
      <c r="E19" s="138" t="s">
        <v>227</v>
      </c>
      <c r="F19" s="266" t="str">
        <f t="array" ref="F19">TEXTJOIN(CHAR(10), TRUE, 
  "*" &amp; E19 &amp; "*", 
  "Tipo de Gestão: " &amp; _xlfn.XLOOKUP(E19, 'Hospitais Regionais e OSS'!B:B, 'Hospitais Regionais e OSS'!D:D, "Não encontrado"), 
  "OSS: " &amp; _xlfn.XLOOKUP(E19, 'Hospitais Regionais e OSS'!B:B, 'Hospitais Regionais e OSS'!C:C, "Não encontrado"), 
  "Geres: " &amp; _xlfn.XLOOKUP(E19, 'Hospitais Regionais e OSS'!B:B, 'Hospitais Regionais e OSS'!E:E, "Não encontrado"), 
  "Localização: " &amp; _xlfn.XLOOKUP(E19, 'Hospitais Regionais e OSS'!B:B, 'Hospitais Regionais e OSS'!F:F, "Não encontrado"), 
  "Nº de Leitos: " &amp; _xlfn.XLOOKUP(E19, 'Hospitais Regionais e OSS'!B:B, 'Hospitais Regionais e OSS'!G:G, "Não encontrado"), 
  "Perfil: " &amp; _xlfn.XLOOKUP(E19, 'Hospitais Regionais e OSS'!B:B, 'Hospitais Regionais e OSS'!K:K, "Não encontrado"), 
  "Nº Profissionais Total: " &amp; _xlfn.XLOOKUP(E19, 'Hospitais Regionais e OSS'!B:B, 'Hospitais Regionais e OSS'!L:L, "Não encontrado"), 
  "Nº Profissionais convocados nesta gestão: " &amp; _xlfn.XLOOKUP(E19, 'Hospitais Regionais e OSS'!B:B, 'Hospitais Regionais e OSS'!M:M, "Não encontrado"), 
  "Valor do contrato de manutenção predial (anual): " &amp; _xlfn.XLOOKUP(E19, 'Hospitais Regionais e OSS'!B:B, 'Hospitais Regionais e OSS'!N:N, "Não encontrado"), 
  "Investimento nesta gestão: " &amp; TEXT(_xlfn.XLOOKUP(E19, 'Hospitais Regionais e OSS'!B:B, 'Hospitais Regionais e OSS'!O:O, 0), "R$ #.##0,00"), 
  "Aumento do cofinanciamento (Gestão Própria) - de 2023 a 2026: " &amp; TEXT(_xlfn.XLOOKUP(E19, 'Hospitais Regionais e OSS'!B:B, 'Hospitais Regionais e OSS'!R:R, 0), "0,00%"), 
  "Cofinanciamento 2022 (Apenas Gestão Própria): " &amp; TEXT(_xlfn.XLOOKUP(E19, 'Hospitais Regionais e OSS'!B:B, 'Hospitais Regionais e OSS'!P:P, 0), "R$ #.##0,00"), 
  "Cofinanciamento 2025 (Apenas Gestão Própria): " &amp; TEXT(_xlfn.XLOOKUP(E19, 'Hospitais Regionais e OSS'!B:B, 'Hospitais Regionais e OSS'!Q:Q, 0), "R$ #.##0,00"), 
  "Repasse (OS) em 2025: " &amp; TEXT(_xlfn.XLOOKUP(E19, 'Hospitais Regionais e OSS'!B:B, 'Hospitais Regionais e OSS'!S:S, 0), "R$ #.##0,00"), 
  "Principais avanços nessa gestão: " &amp; _xlfn.XLOOKUP(E19, 'Hospitais Regionais e OSS'!B:B, 'Hospitais Regionais e OSS'!T:T, "Não encontrado")
)</f>
        <v>*Hospital Mestre Vitalino*
Tipo de Gestão: OSS
OSS: HTRI
Geres: IV
Localização: BR-104, 756 - Luiz Gonzaga, Caruaru - PE
Nº de Leitos: 207
Perfil: Hospital de grande porte, referência em média e alta complexidade para o Agreste. Atua em urgência e emergência, internação e atendimento especializado, com destaque para Clínica Médica, Clínica/Cirurgia Geral, Cardiologia, Neurologia e Pediatria. Possui ainda serviços especializados em Oncologia, Nefrologia, Cirurgia Cardíaca, Urologia, Arritmologia e especialidades pediátricas.
Nº Profissionais Total: 2710
Nº Profissionais convocados nesta gestão: -
Valor do contrato de manutenção predial (anual): -
Investimento nesta gestão: R$ 19.943.747,38000
Aumento do cofinanciamento (Gestão Própria) - de 2023 a 2026: -
Cofinanciamento 2022 (Apenas Gestão Própria): -
Cofinanciamento 2025 (Apenas Gestão Própria): -
Repasse (OS) em 2025: R$ 243.376.261,68000
Principais avanços nessa gestão: Fortalecimento da assistência de média e alta complexidade no Agreste; manutenção e qualificação dos serviços de Cardiologia, Neurologia, Pediatria, Cirurgia, Oncologia e Nefrologia; investimentos por meio de emendas parlamentares e termos aditivos para aquisição de materiais e equipamentos, no valor de R$18.649.747,38 e R$1.294.000,00 em Emendas parlamentares para aquisição de materiais médicos e requalificações; fortalecimento da capacidade operacional e manutenção do HMV como uma das principais referências hospitalares do interior de Pernambuco.</v>
      </c>
      <c r="G19" s="55" t="s">
        <v>7</v>
      </c>
      <c r="H19" s="38" t="s">
        <v>138</v>
      </c>
      <c r="I19" s="267">
        <f t="array" ref="I19">_xlfn.XLOOKUP(E19, 'Hospitais Regionais e OSS'!B:B, 'Hospitais Regionais e OSS'!G:G)</f>
        <v>207</v>
      </c>
      <c r="J19" s="194" t="str">
        <f t="array" ref="J19">_xlfn.XLOOKUP(E19, 'Hospitais Regionais e OSS'!B:B, 'Hospitais Regionais e OSS'!K:K)</f>
        <v>Hospital de grande porte, referência em média e alta complexidade para o Agreste. Atua em urgência e emergência, internação e atendimento especializado, com destaque para Clínica Médica, Clínica/Cirurgia Geral, Cardiologia, Neurologia e Pediatria. Possui ainda serviços especializados em Oncologia, Nefrologia, Cirurgia Cardíaca, Urologia, Arritmologia e especialidades pediátricas.</v>
      </c>
      <c r="K19" s="268">
        <f t="array" ref="K19">_xlfn.XLOOKUP(E19, 'Hospitais Regionais e OSS'!B:B, 'Hospitais Regionais e OSS'!L:L)</f>
        <v>2710</v>
      </c>
      <c r="L19" s="267" t="str">
        <f t="array" ref="L19">_xlfn.XLOOKUP(E19, 'Hospitais Regionais e OSS'!B:B, 'Hospitais Regionais e OSS'!M:M)</f>
        <v>-</v>
      </c>
      <c r="M19" s="269" t="str">
        <f t="array" ref="M19">_xlfn.XLOOKUP(E19, 'Hospitais Regionais e OSS'!B:B, 'Hospitais Regionais e OSS'!N:N)</f>
        <v>-</v>
      </c>
      <c r="N19" s="270">
        <f t="array" ref="N19">_xlfn.XLOOKUP(E19, 'Hospitais Regionais e OSS'!B:B, 'Hospitais Regionais e OSS'!O:O)</f>
        <v>19943747.38</v>
      </c>
      <c r="O19" s="270" t="str">
        <f t="array" ref="O19">_xlfn.XLOOKUP(E19, 'Hospitais Regionais e OSS'!B:B, 'Hospitais Regionais e OSS'!P:P)</f>
        <v>-</v>
      </c>
      <c r="P19" s="270" t="str">
        <f t="array" ref="P19">_xlfn.XLOOKUP(E19, 'Hospitais Regionais e OSS'!B:B, 'Hospitais Regionais e OSS'!Q:Q)</f>
        <v>-</v>
      </c>
      <c r="Q19" s="267" t="str">
        <f t="array" ref="Q19">_xlfn.XLOOKUP(E19, 'Hospitais Regionais e OSS'!B:B, 'Hospitais Regionais e OSS'!R:R)</f>
        <v>-</v>
      </c>
      <c r="R19" s="270">
        <f t="array" ref="R19">_xlfn.XLOOKUP(E19, 'Hospitais Regionais e OSS'!B:B, 'Hospitais Regionais e OSS'!S:S)</f>
        <v>243376261.7</v>
      </c>
      <c r="S19" s="272"/>
      <c r="T19" s="273" t="str">
        <f t="array" ref="T19">_xlfn.XLOOKUP(E19, 'Hospitais Regionais e OSS'!B:B, 'Hospitais Regionais e OSS'!T:T)</f>
        <v>Fortalecimento da assistência de média e alta complexidade no Agreste; manutenção e qualificação dos serviços de Cardiologia, Neurologia, Pediatria, Cirurgia, Oncologia e Nefrologia; investimentos por meio de emendas parlamentares e termos aditivos para aquisição de materiais e equipamentos, no valor de R$18.649.747,38 e R$1.294.000,00 em Emendas parlamentares para aquisição de materiais médicos e requalificações; fortalecimento da capacidade operacional e manutenção do HMV como uma das principais referências hospitalares do interior de Pernambuco.</v>
      </c>
      <c r="U19" s="267"/>
    </row>
    <row r="20" ht="137.25" customHeight="1">
      <c r="A20" s="275">
        <v>2604106.0</v>
      </c>
      <c r="B20" s="283" t="s">
        <v>392</v>
      </c>
      <c r="C20" s="57" t="s">
        <v>431</v>
      </c>
      <c r="D20" s="125" t="s">
        <v>1</v>
      </c>
      <c r="E20" s="138" t="s">
        <v>238</v>
      </c>
      <c r="F20" s="266" t="str">
        <f t="array" ref="F20">TEXTJOIN(CHAR(10), TRUE, 
  "*" &amp; E20 &amp; "*", 
  "Tipo de Gestão: " &amp; _xlfn.XLOOKUP(E20, 'Hospitais Regionais e OSS'!B:B, 'Hospitais Regionais e OSS'!D:D, "Não encontrado"), 
  "OSS: " &amp; _xlfn.XLOOKUP(E20, 'Hospitais Regionais e OSS'!B:B, 'Hospitais Regionais e OSS'!C:C, "Não encontrado"), 
  "Geres: " &amp; _xlfn.XLOOKUP(E20, 'Hospitais Regionais e OSS'!B:B, 'Hospitais Regionais e OSS'!E:E, "Não encontrado"), 
  "Localização: " &amp; _xlfn.XLOOKUP(E20, 'Hospitais Regionais e OSS'!B:B, 'Hospitais Regionais e OSS'!F:F, "Não encontrado"), 
  "Nº de Leitos: " &amp; _xlfn.XLOOKUP(E20, 'Hospitais Regionais e OSS'!B:B, 'Hospitais Regionais e OSS'!G:G, "Não encontrado"), 
  "Perfil: " &amp; _xlfn.XLOOKUP(E20, 'Hospitais Regionais e OSS'!B:B, 'Hospitais Regionais e OSS'!K:K, "Não encontrado"), 
  "Nº Profissionais Total: " &amp; _xlfn.XLOOKUP(E20, 'Hospitais Regionais e OSS'!B:B, 'Hospitais Regionais e OSS'!L:L, "Não encontrado"), 
  "Nº Profissionais convocados nesta gestão: " &amp; _xlfn.XLOOKUP(E20, 'Hospitais Regionais e OSS'!B:B, 'Hospitais Regionais e OSS'!M:M, "Não encontrado"), 
  "Valor do contrato de manutenção predial (anual): " &amp; _xlfn.XLOOKUP(E20, 'Hospitais Regionais e OSS'!B:B, 'Hospitais Regionais e OSS'!N:N, "Não encontrado"), 
  "Investimento nesta gestão: " &amp; TEXT(_xlfn.XLOOKUP(E20, 'Hospitais Regionais e OSS'!B:B, 'Hospitais Regionais e OSS'!O:O, 0), "R$ #.##0,00"), 
  "Aumento do cofinanciamento (Gestão Própria) - de 2023 a 2026: " &amp; TEXT(_xlfn.XLOOKUP(E20, 'Hospitais Regionais e OSS'!B:B, 'Hospitais Regionais e OSS'!R:R, 0), "0,00%"), 
  "Cofinanciamento 2022 (Apenas Gestão Própria): " &amp; TEXT(_xlfn.XLOOKUP(E20, 'Hospitais Regionais e OSS'!B:B, 'Hospitais Regionais e OSS'!P:P, 0), "R$ #.##0,00"), 
  "Cofinanciamento 2025 (Apenas Gestão Própria): " &amp; TEXT(_xlfn.XLOOKUP(E20, 'Hospitais Regionais e OSS'!B:B, 'Hospitais Regionais e OSS'!Q:Q, 0), "R$ #.##0,00"), 
  "Repasse (OS) em 2025: " &amp; TEXT(_xlfn.XLOOKUP(E20, 'Hospitais Regionais e OSS'!B:B, 'Hospitais Regionais e OSS'!S:S, 0), "R$ #.##0,00"), 
  "Principais avanços nessa gestão: " &amp; _xlfn.XLOOKUP(E20, 'Hospitais Regionais e OSS'!B:B, 'Hospitais Regionais e OSS'!T:T, "Não encontrado")
)</f>
        <v>*Hospital São Sebastião*
Tipo de Gestão: OSS
OSS: HCP
Geres: IV
Localização: Avenida Agamenom Magalhães, s/n - Maurício de Nassau, Caruaru 
Nº de Leitos: 60
Perfil: Hospital de retaguarda de baixa e média complexidade, com atendimento 24h em Clínica Médica. Dá suporte às unidades de referência da Rede de Urgência e Emergência da II Macrorregião e dispõe de serviços de apoio diagnóstico e terapêutico, incluindo laboratório, radiologia, ultrassonografia, eletrocardiograma, ecocardiograma, endoscopia, colonoscopia e hemodiálise para pacientes internados.
Nº Profissionais Total: 217
Nº Profissionais convocados nesta gestão: -
Valor do contrato de manutenção predial (anual): -
Investimento nesta gestão: R$ 4.922.953,63000
Aumento do cofinanciamento (Gestão Própria) - de 2023 a 2026: -
Cofinanciamento 2022 (Apenas Gestão Própria): -
Cofinanciamento 2025 (Apenas Gestão Própria): -
Repasse (OS) em 2025: R$ 17.226.056,32000
Principais avanços nessa gestão: Modernização do parque tecnológico com aquisição de equipamentos hospitalares através de plano de investimento, no valor de R$922.953,63, com aquisição de Condicionador de ar 60.000 BTUS, ventilador pulmonar, carro térmico para transporte, câmara fria para 2 óbitos, balança antropométrica digital - adulto e Emenda parlamentar federal incremento do Teto MAC para fortalecimento da capacidade assistencial da unidade no valor de R$4.000.000,00; manutenção de 60 leitos de retaguarda; fortalecimento dos serviços de apoio diagnóstico e terapêutico; oferta de hemodiálise a pacientes internados; e fortalecimento do papel do hospital como unidade de retaguarda da rede de urgência e emergência da II Macrorregião.</v>
      </c>
      <c r="G20" s="55" t="s">
        <v>7</v>
      </c>
      <c r="H20" s="38" t="s">
        <v>138</v>
      </c>
      <c r="I20" s="267">
        <f t="array" ref="I20">_xlfn.XLOOKUP(E20, 'Hospitais Regionais e OSS'!B:B, 'Hospitais Regionais e OSS'!G:G)</f>
        <v>60</v>
      </c>
      <c r="J20" s="194" t="str">
        <f t="array" ref="J20">_xlfn.XLOOKUP(E20, 'Hospitais Regionais e OSS'!B:B, 'Hospitais Regionais e OSS'!K:K)</f>
        <v>Hospital de retaguarda de baixa e média complexidade, com atendimento 24h em Clínica Médica. Dá suporte às unidades de referência da Rede de Urgência e Emergência da II Macrorregião e dispõe de serviços de apoio diagnóstico e terapêutico, incluindo laboratório, radiologia, ultrassonografia, eletrocardiograma, ecocardiograma, endoscopia, colonoscopia e hemodiálise para pacientes internados.</v>
      </c>
      <c r="K20" s="268">
        <f t="array" ref="K20">_xlfn.XLOOKUP(E20, 'Hospitais Regionais e OSS'!B:B, 'Hospitais Regionais e OSS'!L:L)</f>
        <v>217</v>
      </c>
      <c r="L20" s="267" t="str">
        <f t="array" ref="L20">_xlfn.XLOOKUP(E20, 'Hospitais Regionais e OSS'!B:B, 'Hospitais Regionais e OSS'!M:M)</f>
        <v>-</v>
      </c>
      <c r="M20" s="269" t="str">
        <f t="array" ref="M20">_xlfn.XLOOKUP(E20, 'Hospitais Regionais e OSS'!B:B, 'Hospitais Regionais e OSS'!N:N)</f>
        <v>-</v>
      </c>
      <c r="N20" s="270">
        <f t="array" ref="N20">_xlfn.XLOOKUP(E20, 'Hospitais Regionais e OSS'!B:B, 'Hospitais Regionais e OSS'!O:O)</f>
        <v>4922953.63</v>
      </c>
      <c r="O20" s="270" t="str">
        <f t="array" ref="O20">_xlfn.XLOOKUP(E20, 'Hospitais Regionais e OSS'!B:B, 'Hospitais Regionais e OSS'!P:P)</f>
        <v>-</v>
      </c>
      <c r="P20" s="270" t="str">
        <f t="array" ref="P20">_xlfn.XLOOKUP(E20, 'Hospitais Regionais e OSS'!B:B, 'Hospitais Regionais e OSS'!Q:Q)</f>
        <v>-</v>
      </c>
      <c r="Q20" s="267" t="str">
        <f t="array" ref="Q20">_xlfn.XLOOKUP(E20, 'Hospitais Regionais e OSS'!B:B, 'Hospitais Regionais e OSS'!R:R)</f>
        <v>-</v>
      </c>
      <c r="R20" s="270">
        <f t="array" ref="R20">_xlfn.XLOOKUP(E20, 'Hospitais Regionais e OSS'!B:B, 'Hospitais Regionais e OSS'!S:S)</f>
        <v>17226056.32</v>
      </c>
      <c r="S20" s="272"/>
      <c r="T20" s="273" t="str">
        <f t="array" ref="T20">_xlfn.XLOOKUP(E20, 'Hospitais Regionais e OSS'!B:B, 'Hospitais Regionais e OSS'!T:T)</f>
        <v>Modernização do parque tecnológico com aquisição de equipamentos hospitalares através de plano de investimento, no valor de R$922.953,63, com aquisição de Condicionador de ar 60.000 BTUS, ventilador pulmonar, carro térmico para transporte, câmara fria para 2 óbitos, balança antropométrica digital - adulto e Emenda parlamentar federal incremento do Teto MAC para fortalecimento da capacidade assistencial da unidade no valor de R$4.000.000,00; manutenção de 60 leitos de retaguarda; fortalecimento dos serviços de apoio diagnóstico e terapêutico; oferta de hemodiálise a pacientes internados; e fortalecimento do papel do hospital como unidade de retaguarda da rede de urgência e emergência da II Macrorregião.</v>
      </c>
      <c r="U20" s="267"/>
    </row>
    <row r="21" ht="137.25" customHeight="1">
      <c r="A21" s="280">
        <v>2606002.0</v>
      </c>
      <c r="B21" s="281" t="s">
        <v>144</v>
      </c>
      <c r="C21" s="282" t="s">
        <v>433</v>
      </c>
      <c r="D21" s="125" t="s">
        <v>1</v>
      </c>
      <c r="E21" s="138" t="s">
        <v>248</v>
      </c>
      <c r="F21" s="266" t="str">
        <f t="array" ref="F21">TEXTJOIN(CHAR(10), TRUE, 
  "*" &amp; E21 &amp; "*", 
  "Tipo de Gestão: " &amp; _xlfn.XLOOKUP(E21, 'Hospitais Regionais e OSS'!B:B, 'Hospitais Regionais e OSS'!D:D, "Não encontrado"), 
  "OSS: " &amp; _xlfn.XLOOKUP(E21, 'Hospitais Regionais e OSS'!B:B, 'Hospitais Regionais e OSS'!C:C, "Não encontrado"), 
  "Geres: " &amp; _xlfn.XLOOKUP(E21, 'Hospitais Regionais e OSS'!B:B, 'Hospitais Regionais e OSS'!E:E, "Não encontrado"), 
  "Localização: " &amp; _xlfn.XLOOKUP(E21, 'Hospitais Regionais e OSS'!B:B, 'Hospitais Regionais e OSS'!F:F, "Não encontrado"), 
  "Nº de Leitos: " &amp; _xlfn.XLOOKUP(E21, 'Hospitais Regionais e OSS'!B:B, 'Hospitais Regionais e OSS'!G:G, "Não encontrado"), 
  "Perfil: " &amp; _xlfn.XLOOKUP(E21, 'Hospitais Regionais e OSS'!B:B, 'Hospitais Regionais e OSS'!K:K, "Não encontrado"), 
  "Nº Profissionais Total: " &amp; _xlfn.XLOOKUP(E21, 'Hospitais Regionais e OSS'!B:B, 'Hospitais Regionais e OSS'!L:L, "Não encontrado"), 
  "Nº Profissionais convocados nesta gestão: " &amp; _xlfn.XLOOKUP(E21, 'Hospitais Regionais e OSS'!B:B, 'Hospitais Regionais e OSS'!M:M, "Não encontrado"), 
  "Valor do contrato de manutenção predial (anual): " &amp; _xlfn.XLOOKUP(E21, 'Hospitais Regionais e OSS'!B:B, 'Hospitais Regionais e OSS'!N:N, "Não encontrado"), 
  "Investimento nesta gestão: " &amp; TEXT(_xlfn.XLOOKUP(E21, 'Hospitais Regionais e OSS'!B:B, 'Hospitais Regionais e OSS'!O:O, 0), "R$ #.##0,00"), 
  "Aumento do cofinanciamento (Gestão Própria) - de 2023 a 2026: " &amp; TEXT(_xlfn.XLOOKUP(E21, 'Hospitais Regionais e OSS'!B:B, 'Hospitais Regionais e OSS'!R:R, 0), "0,00%"), 
  "Cofinanciamento 2022 (Apenas Gestão Própria): " &amp; TEXT(_xlfn.XLOOKUP(E21, 'Hospitais Regionais e OSS'!B:B, 'Hospitais Regionais e OSS'!P:P, 0), "R$ #.##0,00"), 
  "Cofinanciamento 2025 (Apenas Gestão Própria): " &amp; TEXT(_xlfn.XLOOKUP(E21, 'Hospitais Regionais e OSS'!B:B, 'Hospitais Regionais e OSS'!Q:Q, 0), "R$ #.##0,00"), 
  "Repasse (OS) em 2025: " &amp; TEXT(_xlfn.XLOOKUP(E21, 'Hospitais Regionais e OSS'!B:B, 'Hospitais Regionais e OSS'!S:S, 0), "R$ #.##0,00"), 
  "Principais avanços nessa gestão: " &amp; _xlfn.XLOOKUP(E21, 'Hospitais Regionais e OSS'!B:B, 'Hospitais Regionais e OSS'!T:T, "Não encontrado")
)</f>
        <v>*Hospital Regional Dom Moura*
Tipo de Gestão: Gestão própria
OSS: -
Geres: V
Localização: Avenida Simoa Gomes, s/n - Heliópolis, Garanhuns.
Nº de Leitos: 156
Perfil: Urgência: cirurgia geral, clínica médica, clínica cirúrgica, obstetrícia, pediatria e traumatologia. Ambulatório: cardiologia, ginecologista, dermatologista, neurologista, neuropediatria, psiquiatria, pediátria, geriatria, mastologia, proctologista, traumatologia, urologia, angiologia, CAF e cirurgia geral.
Nº Profissionais Total: 596
Nº Profissionais convocados nesta gestão: 386
Valor do contrato de manutenção predial (anual): 5359937,89
Investimento nesta gestão: R$ 21.869.869,14000
Aumento do cofinanciamento (Gestão Própria) - de 2023 a 2026: 058%
Cofinanciamento 2022 (Apenas Gestão Própria): R$ 8.807.953,09000
Cofinanciamento 2025 (Apenas Gestão Própria): R$ 13.917.889,95000
Repasse (OS) em 2025: -
Principais avanços nessa gestão: Implantação do Centro de Imagem, Implantação da UTI pediátrica (5 leitos), Implantação do Serviço de Gestão de Transporte (SETRANS),  Aquisição de 01 ambulância de suporte avançado, Revitalização da residência multiprofissional; Implantação do sistema de classificação de risco obstétrico; Criação do Espaço Acolher; Aquisição de 151 camas hospitalares;  Reforma do Central de Material e Esterilização - CME, em andamento; Incremento de recursos humanos; Requalificação do setor da ortopedia, em andamento;  Aquisição de mobílias; Aquisição de instrumentais cirúrgicos; Aquisição de autoclave; Aquisição de equipamentos médico-hospitalar; Implantação de 31 cargos de liderança para servidores-FSUS; </v>
      </c>
      <c r="G21" s="55" t="s">
        <v>49</v>
      </c>
      <c r="H21" s="38" t="s">
        <v>37</v>
      </c>
      <c r="I21" s="267">
        <f t="array" ref="I21">_xlfn.XLOOKUP(E21, 'Hospitais Regionais e OSS'!B:B, 'Hospitais Regionais e OSS'!G:G)</f>
        <v>156</v>
      </c>
      <c r="J21" s="194" t="str">
        <f t="array" ref="J21">_xlfn.XLOOKUP(E21, 'Hospitais Regionais e OSS'!B:B, 'Hospitais Regionais e OSS'!K:K)</f>
        <v>Urgência: cirurgia geral, clínica médica, clínica cirúrgica, obstetrícia, pediatria e traumatologia. Ambulatório: cardiologia, ginecologista, dermatologista, neurologista, neuropediatria, psiquiatria, pediátria, geriatria, mastologia, proctologista, traumatologia, urologia, angiologia, CAF e cirurgia geral.</v>
      </c>
      <c r="K21" s="268">
        <f t="array" ref="K21">_xlfn.XLOOKUP(E21, 'Hospitais Regionais e OSS'!B:B, 'Hospitais Regionais e OSS'!L:L)</f>
        <v>596</v>
      </c>
      <c r="L21" s="267">
        <f t="array" ref="L21">_xlfn.XLOOKUP(E21, 'Hospitais Regionais e OSS'!B:B, 'Hospitais Regionais e OSS'!M:M)</f>
        <v>386</v>
      </c>
      <c r="M21" s="269">
        <f t="array" ref="M21">_xlfn.XLOOKUP(E21, 'Hospitais Regionais e OSS'!B:B, 'Hospitais Regionais e OSS'!N:N)</f>
        <v>5359937.89</v>
      </c>
      <c r="N21" s="270">
        <f t="array" ref="N21">_xlfn.XLOOKUP(E21, 'Hospitais Regionais e OSS'!B:B, 'Hospitais Regionais e OSS'!O:O)</f>
        <v>21869869.14</v>
      </c>
      <c r="O21" s="270">
        <f t="array" ref="O21">_xlfn.XLOOKUP(E21, 'Hospitais Regionais e OSS'!B:B, 'Hospitais Regionais e OSS'!P:P)</f>
        <v>8807953.09</v>
      </c>
      <c r="P21" s="270">
        <f t="array" ref="P21">_xlfn.XLOOKUP(E21, 'Hospitais Regionais e OSS'!B:B, 'Hospitais Regionais e OSS'!Q:Q)</f>
        <v>13917889.95</v>
      </c>
      <c r="Q21" s="271">
        <f t="array" ref="Q21">_xlfn.XLOOKUP(E21, 'Hospitais Regionais e OSS'!B:B, 'Hospitais Regionais e OSS'!R:R)</f>
        <v>0.5801503264</v>
      </c>
      <c r="R21" s="270" t="str">
        <f t="array" ref="R21">_xlfn.XLOOKUP(E21, 'Hospitais Regionais e OSS'!B:B, 'Hospitais Regionais e OSS'!S:S)</f>
        <v>-</v>
      </c>
      <c r="S21" s="272"/>
      <c r="T21" s="273" t="str">
        <f t="array" ref="T21">_xlfn.XLOOKUP(E21, 'Hospitais Regionais e OSS'!B:B, 'Hospitais Regionais e OSS'!T:T)</f>
        <v>Implantação do Centro de Imagem, Implantação da UTI pediátrica (5 leitos), Implantação do Serviço de Gestão de Transporte (SETRANS),  Aquisição de 01 ambulância de suporte avançado, Revitalização da residência multiprofissional; Implantação do sistema de classificação de risco obstétrico; Criação do Espaço Acolher; Aquisição de 151 camas hospitalares;  Reforma do Central de Material e Esterilização - CME, em andamento; Incremento de recursos humanos; Requalificação do setor da ortopedia, em andamento;  Aquisição de mobílias; Aquisição de instrumentais cirúrgicos; Aquisição de autoclave; Aquisição de equipamentos médico-hospitalar; Implantação de 31 cargos de liderança para servidores-FSUS; </v>
      </c>
      <c r="U21" s="267"/>
    </row>
    <row r="22" ht="137.25" customHeight="1">
      <c r="A22" s="275">
        <v>2612208.0</v>
      </c>
      <c r="B22" s="283" t="s">
        <v>447</v>
      </c>
      <c r="C22" s="57" t="s">
        <v>435</v>
      </c>
      <c r="D22" s="125" t="s">
        <v>1</v>
      </c>
      <c r="E22" s="138" t="s">
        <v>265</v>
      </c>
      <c r="F22" s="266" t="str">
        <f t="array" ref="F22">TEXTJOIN(CHAR(10), TRUE, 
  "*" &amp; E22 &amp; "*", 
  "Tipo de Gestão: " &amp; _xlfn.XLOOKUP(E22, 'Hospitais Regionais e OSS'!B:B, 'Hospitais Regionais e OSS'!D:D, "Não encontrado"), 
  "OSS: " &amp; _xlfn.XLOOKUP(E22, 'Hospitais Regionais e OSS'!B:B, 'Hospitais Regionais e OSS'!C:C, "Não encontrado"), 
  "Geres: " &amp; _xlfn.XLOOKUP(E22, 'Hospitais Regionais e OSS'!B:B, 'Hospitais Regionais e OSS'!E:E, "Não encontrado"), 
  "Localização: " &amp; _xlfn.XLOOKUP(E22, 'Hospitais Regionais e OSS'!B:B, 'Hospitais Regionais e OSS'!F:F, "Não encontrado"), 
  "Nº de Leitos: " &amp; _xlfn.XLOOKUP(E22, 'Hospitais Regionais e OSS'!B:B, 'Hospitais Regionais e OSS'!G:G, "Não encontrado"), 
  "Perfil: " &amp; _xlfn.XLOOKUP(E22, 'Hospitais Regionais e OSS'!B:B, 'Hospitais Regionais e OSS'!K:K, "Não encontrado"), 
  "Nº Profissionais Total: " &amp; _xlfn.XLOOKUP(E22, 'Hospitais Regionais e OSS'!B:B, 'Hospitais Regionais e OSS'!L:L, "Não encontrado"), 
  "Nº Profissionais convocados nesta gestão: " &amp; _xlfn.XLOOKUP(E22, 'Hospitais Regionais e OSS'!B:B, 'Hospitais Regionais e OSS'!M:M, "Não encontrado"), 
  "Valor do contrato de manutenção predial (anual): " &amp; _xlfn.XLOOKUP(E22, 'Hospitais Regionais e OSS'!B:B, 'Hospitais Regionais e OSS'!N:N, "Não encontrado"), 
  "Investimento nesta gestão: " &amp; TEXT(_xlfn.XLOOKUP(E22, 'Hospitais Regionais e OSS'!B:B, 'Hospitais Regionais e OSS'!O:O, 0), "R$ #.##0,00"), 
  "Aumento do cofinanciamento (Gestão Própria) - de 2023 a 2026: " &amp; TEXT(_xlfn.XLOOKUP(E22, 'Hospitais Regionais e OSS'!B:B, 'Hospitais Regionais e OSS'!R:R, 0), "0,00%"), 
  "Cofinanciamento 2022 (Apenas Gestão Própria): " &amp; TEXT(_xlfn.XLOOKUP(E22, 'Hospitais Regionais e OSS'!B:B, 'Hospitais Regionais e OSS'!P:P, 0), "R$ #.##0,00"), 
  "Cofinanciamento 2025 (Apenas Gestão Própria): " &amp; TEXT(_xlfn.XLOOKUP(E22, 'Hospitais Regionais e OSS'!B:B, 'Hospitais Regionais e OSS'!Q:Q, 0), "R$ #.##0,00"), 
  "Repasse (OS) em 2025: " &amp; TEXT(_xlfn.XLOOKUP(E22, 'Hospitais Regionais e OSS'!B:B, 'Hospitais Regionais e OSS'!S:S, 0), "R$ #.##0,00"), 
  "Principais avanços nessa gestão: " &amp; _xlfn.XLOOKUP(E22, 'Hospitais Regionais e OSS'!B:B, 'Hospitais Regionais e OSS'!T:T, "Não encontrado")
)</f>
        <v>*Hospital Regional Inácio de Sá*
Tipo de Gestão: Gestão própria
OSS: -
Geres: VII
Localização: Antônio Alençar Sampaio, 346 - Planalto, Salgueiro - PE
Nº de Leitos: 159
Perfil: Rua Antônio Alençar Sampaio, 346, Planalto, Salgueiro.
Nº Profissionais Total: 998
Nº Profissionais convocados nesta gestão: 472
Valor do contrato de manutenção predial (anual): 5716381,14
Investimento nesta gestão: R$ 15.239.603,22000
Aumento do cofinanciamento (Gestão Própria) - de 2023 a 2026: 107%
Cofinanciamento 2022 (Apenas Gestão Própria): R$ 7.496.505,37000
Cofinanciamento 2025 (Apenas Gestão Própria): R$ 15.519.608,95000
Repasse (OS) em 2025: -
Principais avanços nessa gestão: Infraestrutura e modernização: Requalificação da lavanderia hospitalar; Aquisição de 61 computadores; Aquisição de 14 aparelhos de ar-condicionado; Aquisição de 05 refrigeradores duplex; Aquisição de novas camas hospitalares;  Aquisição de instrumentais cirúrgicos;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Implantação do Ambulatório de Inserção de DIU, Criação de Farmácias Satélites, Implantação da realização de cirurgias bucomaxilofaciais, Implantação da realização de ecocardiograma, Aquisição de 01 ambulância UTI; Aquisição de instrumentais; Aquisição de 02 ambulâncias básicas; Implantação de 31 cargos de liderança para servidores-FSUS
</v>
      </c>
      <c r="G22" s="55" t="s">
        <v>49</v>
      </c>
      <c r="H22" s="38" t="s">
        <v>188</v>
      </c>
      <c r="I22" s="267">
        <f t="array" ref="I22">_xlfn.XLOOKUP(E22, 'Hospitais Regionais e OSS'!B:B, 'Hospitais Regionais e OSS'!G:G)</f>
        <v>159</v>
      </c>
      <c r="J22" s="194" t="str">
        <f t="array" ref="J22">_xlfn.XLOOKUP(E22, 'Hospitais Regionais e OSS'!B:B, 'Hospitais Regionais e OSS'!K:K)</f>
        <v>Rua Antônio Alençar Sampaio, 346, Planalto, Salgueiro.</v>
      </c>
      <c r="K22" s="268">
        <f t="array" ref="K22">_xlfn.XLOOKUP(E22, 'Hospitais Regionais e OSS'!B:B, 'Hospitais Regionais e OSS'!L:L)</f>
        <v>998</v>
      </c>
      <c r="L22" s="267">
        <f t="array" ref="L22">_xlfn.XLOOKUP(E22, 'Hospitais Regionais e OSS'!B:B, 'Hospitais Regionais e OSS'!M:M)</f>
        <v>472</v>
      </c>
      <c r="M22" s="269">
        <f t="array" ref="M22">_xlfn.XLOOKUP(E22, 'Hospitais Regionais e OSS'!B:B, 'Hospitais Regionais e OSS'!N:N)</f>
        <v>5716381.14</v>
      </c>
      <c r="N22" s="270">
        <f t="array" ref="N22">_xlfn.XLOOKUP(E22, 'Hospitais Regionais e OSS'!B:B, 'Hospitais Regionais e OSS'!O:O)</f>
        <v>15239603.22</v>
      </c>
      <c r="O22" s="270">
        <f t="array" ref="O22">_xlfn.XLOOKUP(E22, 'Hospitais Regionais e OSS'!B:B, 'Hospitais Regionais e OSS'!P:P)</f>
        <v>7496505.37</v>
      </c>
      <c r="P22" s="270">
        <f t="array" ref="P22">_xlfn.XLOOKUP(E22, 'Hospitais Regionais e OSS'!B:B, 'Hospitais Regionais e OSS'!Q:Q)</f>
        <v>15519608.95</v>
      </c>
      <c r="Q22" s="271">
        <f t="array" ref="Q22">_xlfn.XLOOKUP(E22, 'Hospitais Regionais e OSS'!B:B, 'Hospitais Regionais e OSS'!R:R)</f>
        <v>1.070245826</v>
      </c>
      <c r="R22" s="270" t="str">
        <f t="array" ref="R22">_xlfn.XLOOKUP(E22, 'Hospitais Regionais e OSS'!B:B, 'Hospitais Regionais e OSS'!S:S)</f>
        <v>-</v>
      </c>
      <c r="S22" s="272"/>
      <c r="T22" s="273" t="str">
        <f t="array" ref="T22">_xlfn.XLOOKUP(E22, 'Hospitais Regionais e OSS'!B:B, 'Hospitais Regionais e OSS'!T:T)</f>
        <v>Infraestrutura e modernização: Requalificação da lavanderia hospitalar; Aquisição de 61 computadores; Aquisição de 14 aparelhos de ar-condicionado; Aquisição de 05 refrigeradores duplex; Aquisição de novas camas hospitalares;  Aquisição de instrumentais cirúrgicos;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Implantação do Ambulatório de Inserção de DIU, Criação de Farmácias Satélites, Implantação da realização de cirurgias bucomaxilofaciais, Implantação da realização de ecocardiograma, Aquisição de 01 ambulância UTI; Aquisição de instrumentais; Aquisição de 02 ambulâncias básicas; Implantação de 31 cargos de liderança para servidores-FSUS
</v>
      </c>
      <c r="U22" s="267"/>
    </row>
    <row r="23" ht="137.25" customHeight="1">
      <c r="A23" s="275">
        <v>2601201.0</v>
      </c>
      <c r="B23" s="283" t="s">
        <v>454</v>
      </c>
      <c r="C23" s="57" t="s">
        <v>438</v>
      </c>
      <c r="D23" s="125" t="s">
        <v>1</v>
      </c>
      <c r="E23" s="138" t="s">
        <v>274</v>
      </c>
      <c r="F23" s="266" t="str">
        <f t="array" ref="F23">TEXTJOIN(CHAR(10), TRUE, 
  "*" &amp; E23 &amp; "*", 
  "Tipo de Gestão: " &amp; _xlfn.XLOOKUP(E23, 'Hospitais Regionais e OSS'!B:B, 'Hospitais Regionais e OSS'!D:D, "Não encontrado"), 
  "OSS: " &amp; _xlfn.XLOOKUP(E23, 'Hospitais Regionais e OSS'!B:B, 'Hospitais Regionais e OSS'!C:C, "Não encontrado"), 
  "Geres: " &amp; _xlfn.XLOOKUP(E23, 'Hospitais Regionais e OSS'!B:B, 'Hospitais Regionais e OSS'!E:E, "Não encontrado"), 
  "Localização: " &amp; _xlfn.XLOOKUP(E23, 'Hospitais Regionais e OSS'!B:B, 'Hospitais Regionais e OSS'!F:F, "Não encontrado"), 
  "Nº de Leitos: " &amp; _xlfn.XLOOKUP(E23, 'Hospitais Regionais e OSS'!B:B, 'Hospitais Regionais e OSS'!G:G, "Não encontrado"), 
  "Perfil: " &amp; _xlfn.XLOOKUP(E23, 'Hospitais Regionais e OSS'!B:B, 'Hospitais Regionais e OSS'!K:K, "Não encontrado"), 
  "Nº Profissionais Total: " &amp; _xlfn.XLOOKUP(E23, 'Hospitais Regionais e OSS'!B:B, 'Hospitais Regionais e OSS'!L:L, "Não encontrado"), 
  "Nº Profissionais convocados nesta gestão: " &amp; _xlfn.XLOOKUP(E23, 'Hospitais Regionais e OSS'!B:B, 'Hospitais Regionais e OSS'!M:M, "Não encontrado"), 
  "Valor do contrato de manutenção predial (anual): " &amp; _xlfn.XLOOKUP(E23, 'Hospitais Regionais e OSS'!B:B, 'Hospitais Regionais e OSS'!N:N, "Não encontrado"), 
  "Investimento nesta gestão: " &amp; TEXT(_xlfn.XLOOKUP(E23, 'Hospitais Regionais e OSS'!B:B, 'Hospitais Regionais e OSS'!O:O, 0), "R$ #.##0,00"), 
  "Aumento do cofinanciamento (Gestão Própria) - de 2023 a 2026: " &amp; TEXT(_xlfn.XLOOKUP(E23, 'Hospitais Regionais e OSS'!B:B, 'Hospitais Regionais e OSS'!R:R, 0), "0,00%"), 
  "Cofinanciamento 2022 (Apenas Gestão Própria): " &amp; TEXT(_xlfn.XLOOKUP(E23, 'Hospitais Regionais e OSS'!B:B, 'Hospitais Regionais e OSS'!P:P, 0), "R$ #.##0,00"), 
  "Cofinanciamento 2025 (Apenas Gestão Própria): " &amp; TEXT(_xlfn.XLOOKUP(E23, 'Hospitais Regionais e OSS'!B:B, 'Hospitais Regionais e OSS'!Q:Q, 0), "R$ #.##0,00"), 
  "Repasse (OS) em 2025: " &amp; TEXT(_xlfn.XLOOKUP(E23, 'Hospitais Regionais e OSS'!B:B, 'Hospitais Regionais e OSS'!S:S, 0), "R$ #.##0,00"), 
  "Principais avanços nessa gestão: " &amp; _xlfn.XLOOKUP(E23, 'Hospitais Regionais e OSS'!B:B, 'Hospitais Regionais e OSS'!T:T, "Não encontrado")
)</f>
        <v>*Hospital Regional Ruy de Barros Correia*
Tipo de Gestão: OSS
OSS: HTRI
Geres: VI
Localização: Av. Dr. Agamenon Magalhães, s/n - Centro, Arcoverde - PE
Nº de Leitos: 165
Perfil: Unidade de média complexidade e referência para os 13 municípios da VI Gerência Regional de Saúde. Destaca-se na assistência materno-infantil e oferece urgência, internação e atendimento ambulatorial em especialidades como Cardiologia, Cirurgia Geral, Clínica Médica, Pediatria, Ginecologia, Obstetrícia, Traumato-ortopedia, Neurologia, Urologia e Cirurgia Vascular, além de pré-natal de alto risco e serviços multiprofissionais. 
Nº Profissionais Total: 1378
Nº Profissionais convocados nesta gestão: -
Valor do contrato de manutenção predial (anual): -
Investimento nesta gestão: R$ 5.769.003,71000
Aumento do cofinanciamento (Gestão Própria) - de 2023 a 2026: -
Cofinanciamento 2022 (Apenas Gestão Própria): -
Cofinanciamento 2025 (Apenas Gestão Própria): -
Repasse (OS) em 2025: R$ 69.648.653,69000
Principais avanços nessa gestão: • Modernização da infraestrutura em 2025, com aquisição de equipamentos e mobiliários e implementação do do Plano de Investimento no valor de R$2.991.567,24; Plano de Investimento – Prevenção e Combate a Incêndio no valor de R$R$ 1.011.334,01 e plano de investimento no valor de R$R$766 102,46 para reforma no setor de urgência e emergência.
• Estrutura assistencial com 165 leitos SUS, incluindo Clínica Médica, Pediatria, Cirurgia, Obstetrícia, Traumatologia, UTI Adulto, recuperação anestésica e atenção psicossocial.
• Captação de recurso federal: R$ 1.000.000,00 em 2023, via Emenda Parlamentar – Incremento do Teto MAC.
• Crescimento da produção assistencial: 33.301 internações entre 2022 e 2024; em 2024 foram 11.582 internações e 551.194 procedimentos.
• Crescimento do custeio direto: aumento de R$ 31.823.143,65 no repasse anual (+84,1%), passando de R$ 37.825.510,04 em 2022 para R$ 69.648.653,69 em 2025.
</v>
      </c>
      <c r="G23" s="55" t="s">
        <v>7</v>
      </c>
      <c r="H23" s="55" t="str">
        <f t="array" ref="H23">_xlfn.XLOOKUP(E23, 'Hospitais Regionais e OSS'!B:B, 'Hospitais Regionais e OSS'!E:E)</f>
        <v>VI</v>
      </c>
      <c r="I23" s="267">
        <f t="array" ref="I23">_xlfn.XLOOKUP(E23, 'Hospitais Regionais e OSS'!B:B, 'Hospitais Regionais e OSS'!G:G)</f>
        <v>165</v>
      </c>
      <c r="J23" s="194" t="str">
        <f t="array" ref="J23">_xlfn.XLOOKUP(E23, 'Hospitais Regionais e OSS'!B:B, 'Hospitais Regionais e OSS'!K:K)</f>
        <v>Unidade de média complexidade e referência para os 13 municípios da VI Gerência Regional de Saúde. Destaca-se na assistência materno-infantil e oferece urgência, internação e atendimento ambulatorial em especialidades como Cardiologia, Cirurgia Geral, Clínica Médica, Pediatria, Ginecologia, Obstetrícia, Traumato-ortopedia, Neurologia, Urologia e Cirurgia Vascular, além de pré-natal de alto risco e serviços multiprofissionais. </v>
      </c>
      <c r="K23" s="268">
        <f t="array" ref="K23">_xlfn.XLOOKUP(E23, 'Hospitais Regionais e OSS'!B:B, 'Hospitais Regionais e OSS'!L:L)</f>
        <v>1378</v>
      </c>
      <c r="L23" s="267" t="str">
        <f t="array" ref="L23">_xlfn.XLOOKUP(E23, 'Hospitais Regionais e OSS'!B:B, 'Hospitais Regionais e OSS'!M:M)</f>
        <v>-</v>
      </c>
      <c r="M23" s="269" t="str">
        <f t="array" ref="M23">_xlfn.XLOOKUP(E23, 'Hospitais Regionais e OSS'!B:B, 'Hospitais Regionais e OSS'!N:N)</f>
        <v>-</v>
      </c>
      <c r="N23" s="270">
        <f t="array" ref="N23">_xlfn.XLOOKUP(E23, 'Hospitais Regionais e OSS'!B:B, 'Hospitais Regionais e OSS'!O:O)</f>
        <v>5769003.71</v>
      </c>
      <c r="O23" s="325" t="str">
        <f t="array" ref="O23">_xlfn.XLOOKUP(E23, 'Hospitais Regionais e OSS'!B:B, 'Hospitais Regionais e OSS'!P:P)</f>
        <v>-</v>
      </c>
      <c r="P23" s="325" t="str">
        <f t="array" ref="P23">_xlfn.XLOOKUP(E23, 'Hospitais Regionais e OSS'!B:B, 'Hospitais Regionais e OSS'!Q:Q)</f>
        <v>-</v>
      </c>
      <c r="Q23" s="267" t="str">
        <f t="array" ref="Q23">_xlfn.XLOOKUP(E23, 'Hospitais Regionais e OSS'!B:B, 'Hospitais Regionais e OSS'!R:R)</f>
        <v>-</v>
      </c>
      <c r="R23" s="270">
        <f t="array" ref="R23">_xlfn.XLOOKUP(E23, 'Hospitais Regionais e OSS'!B:B, 'Hospitais Regionais e OSS'!S:S)</f>
        <v>69648653.69</v>
      </c>
      <c r="S23" s="272"/>
      <c r="T23" s="273" t="str">
        <f t="array" ref="T23">_xlfn.XLOOKUP(E23, 'Hospitais Regionais e OSS'!B:B, 'Hospitais Regionais e OSS'!T:T)</f>
        <v>• Modernização da infraestrutura em 2025, com aquisição de equipamentos e mobiliários e implementação do do Plano de Investimento no valor de R$2.991.567,24; Plano de Investimento – Prevenção e Combate a Incêndio no valor de R$R$ 1.011.334,01 e plano de investimento no valor de R$R$766 102,46 para reforma no setor de urgência e emergência.
• Estrutura assistencial com 165 leitos SUS, incluindo Clínica Médica, Pediatria, Cirurgia, Obstetrícia, Traumatologia, UTI Adulto, recuperação anestésica e atenção psicossocial.
• Captação de recurso federal: R$ 1.000.000,00 em 2023, via Emenda Parlamentar – Incremento do Teto MAC.
• Crescimento da produção assistencial: 33.301 internações entre 2022 e 2024; em 2024 foram 11.582 internações e 551.194 procedimentos.
• Crescimento do custeio direto: aumento de R$ 31.823.143,65 no repasse anual (+84,1%), passando de R$ 37.825.510,04 em 2022 para R$ 69.648.653,69 em 2025.
</v>
      </c>
      <c r="U23" s="267"/>
    </row>
    <row r="24" ht="137.25" customHeight="1">
      <c r="A24" s="275">
        <v>2609907.0</v>
      </c>
      <c r="B24" s="283" t="s">
        <v>470</v>
      </c>
      <c r="C24" s="57" t="s">
        <v>437</v>
      </c>
      <c r="D24" s="125" t="s">
        <v>1</v>
      </c>
      <c r="E24" s="138" t="s">
        <v>284</v>
      </c>
      <c r="F24" s="266" t="str">
        <f t="array" ref="F24">TEXTJOIN(CHAR(10), TRUE, 
  "*" &amp; E24 &amp; "*", 
  "Tipo de Gestão: " &amp; _xlfn.XLOOKUP(E24, 'Hospitais Regionais e OSS'!B:B, 'Hospitais Regionais e OSS'!D:D, "Não encontrado"), 
  "OSS: " &amp; _xlfn.XLOOKUP(E24, 'Hospitais Regionais e OSS'!B:B, 'Hospitais Regionais e OSS'!C:C, "Não encontrado"), 
  "Geres: " &amp; _xlfn.XLOOKUP(E24, 'Hospitais Regionais e OSS'!B:B, 'Hospitais Regionais e OSS'!E:E, "Não encontrado"), 
  "Localização: " &amp; _xlfn.XLOOKUP(E24, 'Hospitais Regionais e OSS'!B:B, 'Hospitais Regionais e OSS'!F:F, "Não encontrado"), 
  "Nº de Leitos: " &amp; _xlfn.XLOOKUP(E24, 'Hospitais Regionais e OSS'!B:B, 'Hospitais Regionais e OSS'!G:G, "Não encontrado"), 
  "Perfil: " &amp; _xlfn.XLOOKUP(E24, 'Hospitais Regionais e OSS'!B:B, 'Hospitais Regionais e OSS'!K:K, "Não encontrado"), 
  "Nº Profissionais Total: " &amp; _xlfn.XLOOKUP(E24, 'Hospitais Regionais e OSS'!B:B, 'Hospitais Regionais e OSS'!L:L, "Não encontrado"), 
  "Nº Profissionais convocados nesta gestão: " &amp; _xlfn.XLOOKUP(E24, 'Hospitais Regionais e OSS'!B:B, 'Hospitais Regionais e OSS'!M:M, "Não encontrado"), 
  "Valor do contrato de manutenção predial (anual): " &amp; _xlfn.XLOOKUP(E24, 'Hospitais Regionais e OSS'!B:B, 'Hospitais Regionais e OSS'!N:N, "Não encontrado"), 
  "Investimento nesta gestão: " &amp; TEXT(_xlfn.XLOOKUP(E24, 'Hospitais Regionais e OSS'!B:B, 'Hospitais Regionais e OSS'!O:O, 0), "R$ #.##0,00"), 
  "Aumento do cofinanciamento (Gestão Própria) - de 2023 a 2026: " &amp; TEXT(_xlfn.XLOOKUP(E24, 'Hospitais Regionais e OSS'!B:B, 'Hospitais Regionais e OSS'!R:R, 0), "0,00%"), 
  "Cofinanciamento 2022 (Apenas Gestão Própria): " &amp; TEXT(_xlfn.XLOOKUP(E24, 'Hospitais Regionais e OSS'!B:B, 'Hospitais Regionais e OSS'!P:P, 0), "R$ #.##0,00"), 
  "Cofinanciamento 2025 (Apenas Gestão Própria): " &amp; TEXT(_xlfn.XLOOKUP(E24, 'Hospitais Regionais e OSS'!B:B, 'Hospitais Regionais e OSS'!Q:Q, 0), "R$ #.##0,00"), 
  "Repasse (OS) em 2025: " &amp; TEXT(_xlfn.XLOOKUP(E24, 'Hospitais Regionais e OSS'!B:B, 'Hospitais Regionais e OSS'!S:S, 0), "R$ #.##0,00"), 
  "Principais avanços nessa gestão: " &amp; _xlfn.XLOOKUP(E24, 'Hospitais Regionais e OSS'!B:B, 'Hospitais Regionais e OSS'!T:T, "Não encontrado")
)</f>
        <v>*Hospital Regional Fernando Bezerra*
Tipo de Gestão: OSS
OSS: ISMEP
Geres: IX
Localização: R. Teobaldo Gomes Torres, 510 - Centro, Ouricuri - PE
Nº de Leitos: 53
Perfil: Hospital regional de média complexidade, referência para os 11 municípios da IX GERES/Sertão do Araripe. Presta atendimento de urgência e emergência, internação, ambulatório e assistência em especialidades como Clínica Médica, Cirurgia Geral, Ginecologia/Obstetrícia, Pediatria e Traumato-Ortopedia, além de outras especialidades ambulatoriais.
Nº Profissionais Total: 794
Nº Profissionais convocados nesta gestão: -
Valor do contrato de manutenção predial (anual): -
Investimento nesta gestão: R$ 7.128.698,26000
Aumento do cofinanciamento (Gestão Própria) - de 2023 a 2026: -
Cofinanciamento 2022 (Apenas Gestão Própria): -
Cofinanciamento 2025 (Apenas Gestão Própria): -
Repasse (OS) em 2025: R$ 31.990.404,32
Principais avanços nessa gestão: Profunda modernização estrutural e tecnológica, viabilizada por diversos termos aditivos que permitiram a implantação de UTIs Pediátrica, Neonatal e Adulto, a introdução do serviço de tomografia computadorizada, a criação de assistência especializada para o pé diabético e o aporte de milhões de reais em equipamentos e mobiliários através de Planos de investimento (R$5.132.298,00) e Emendas parlamentares (R$ 1.996.400,00). Do ponto de vista assistencial, o hospital demonstra alta resolutividade, superando consistentemente as metas de saídas hospitalares e produção cirúrgica, além de manter índices de satisfação do usuário acima de 90%.</v>
      </c>
      <c r="G24" s="55" t="s">
        <v>7</v>
      </c>
      <c r="H24" s="38" t="s">
        <v>94</v>
      </c>
      <c r="I24" s="267">
        <f t="array" ref="I24">_xlfn.XLOOKUP(E24, 'Hospitais Regionais e OSS'!B:B, 'Hospitais Regionais e OSS'!G:G)</f>
        <v>53</v>
      </c>
      <c r="J24" s="194" t="str">
        <f t="array" ref="J24">_xlfn.XLOOKUP(E24, 'Hospitais Regionais e OSS'!B:B, 'Hospitais Regionais e OSS'!K:K)</f>
        <v>Hospital regional de média complexidade, referência para os 11 municípios da IX GERES/Sertão do Araripe. Presta atendimento de urgência e emergência, internação, ambulatório e assistência em especialidades como Clínica Médica, Cirurgia Geral, Ginecologia/Obstetrícia, Pediatria e Traumato-Ortopedia, além de outras especialidades ambulatoriais.</v>
      </c>
      <c r="K24" s="268">
        <f t="array" ref="K24">_xlfn.XLOOKUP(E24, 'Hospitais Regionais e OSS'!B:B, 'Hospitais Regionais e OSS'!L:L)</f>
        <v>794</v>
      </c>
      <c r="L24" s="267" t="str">
        <f t="array" ref="L24">_xlfn.XLOOKUP(E24, 'Hospitais Regionais e OSS'!B:B, 'Hospitais Regionais e OSS'!M:M)</f>
        <v>-</v>
      </c>
      <c r="M24" s="269" t="str">
        <f t="array" ref="M24">_xlfn.XLOOKUP(E24, 'Hospitais Regionais e OSS'!B:B, 'Hospitais Regionais e OSS'!N:N)</f>
        <v>-</v>
      </c>
      <c r="N24" s="270">
        <f t="array" ref="N24">_xlfn.XLOOKUP(E24, 'Hospitais Regionais e OSS'!B:B, 'Hospitais Regionais e OSS'!O:O)</f>
        <v>7128698.26</v>
      </c>
      <c r="O24" s="267" t="str">
        <f t="array" ref="O24">_xlfn.XLOOKUP(E24, 'Hospitais Regionais e OSS'!B:B, 'Hospitais Regionais e OSS'!P:P)</f>
        <v>-</v>
      </c>
      <c r="P24" s="267" t="str">
        <f t="array" ref="P24">_xlfn.XLOOKUP(E24, 'Hospitais Regionais e OSS'!B:B, 'Hospitais Regionais e OSS'!Q:Q)</f>
        <v>-</v>
      </c>
      <c r="Q24" s="267" t="str">
        <f t="array" ref="Q24">_xlfn.XLOOKUP(E24, 'Hospitais Regionais e OSS'!B:B, 'Hospitais Regionais e OSS'!R:R)</f>
        <v>-</v>
      </c>
      <c r="R24" s="270" t="str">
        <f t="array" ref="R24">_xlfn.XLOOKUP(E24, 'Hospitais Regionais e OSS'!B:B, 'Hospitais Regionais e OSS'!S:S)</f>
        <v>R$ 31.990.404,32</v>
      </c>
      <c r="S24" s="272"/>
      <c r="T24" s="273" t="str">
        <f t="array" ref="T24">_xlfn.XLOOKUP(E24, 'Hospitais Regionais e OSS'!B:B, 'Hospitais Regionais e OSS'!T:T)</f>
        <v>Profunda modernização estrutural e tecnológica, viabilizada por diversos termos aditivos que permitiram a implantação de UTIs Pediátrica, Neonatal e Adulto, a introdução do serviço de tomografia computadorizada, a criação de assistência especializada para o pé diabético e o aporte de milhões de reais em equipamentos e mobiliários através de Planos de investimento (R$5.132.298,00) e Emendas parlamentares (R$ 1.996.400,00). Do ponto de vista assistencial, o hospital demonstra alta resolutividade, superando consistentemente as metas de saídas hospitalares e produção cirúrgica, além de manter índices de satisfação do usuário acima de 90%.</v>
      </c>
      <c r="U24" s="267"/>
    </row>
    <row r="25" ht="137.25" customHeight="1">
      <c r="A25" s="275">
        <v>2613909.0</v>
      </c>
      <c r="B25" s="283" t="s">
        <v>483</v>
      </c>
      <c r="C25" s="57" t="s">
        <v>439</v>
      </c>
      <c r="D25" s="125" t="s">
        <v>1</v>
      </c>
      <c r="E25" s="138" t="s">
        <v>484</v>
      </c>
      <c r="F25" s="266" t="str">
        <f t="array" ref="F25">TEXTJOIN(CHAR(10), TRUE, 
  "*" &amp; E25 &amp; "*", 
  "Tipo de Gestão: " &amp; _xlfn.XLOOKUP(E25, 'Hospitais Regionais e OSS'!B:B, 'Hospitais Regionais e OSS'!D:D, "Não encontrado"), 
  "OSS: " &amp; _xlfn.XLOOKUP(E25, 'Hospitais Regionais e OSS'!B:B, 'Hospitais Regionais e OSS'!C:C, "Não encontrado"), 
  "Geres: " &amp; _xlfn.XLOOKUP(E25, 'Hospitais Regionais e OSS'!B:B, 'Hospitais Regionais e OSS'!E:E, "Não encontrado"), 
  "Localização: " &amp; _xlfn.XLOOKUP(E25, 'Hospitais Regionais e OSS'!B:B, 'Hospitais Regionais e OSS'!F:F, "Não encontrado"), 
  "Nº de Leitos: " &amp; _xlfn.XLOOKUP(E25, 'Hospitais Regionais e OSS'!B:B, 'Hospitais Regionais e OSS'!G:G, "Não encontrado"), 
  "Perfil: " &amp; _xlfn.XLOOKUP(E25, 'Hospitais Regionais e OSS'!B:B, 'Hospitais Regionais e OSS'!K:K, "Não encontrado"), 
  "Nº Profissionais Total: " &amp; _xlfn.XLOOKUP(E25, 'Hospitais Regionais e OSS'!B:B, 'Hospitais Regionais e OSS'!L:L, "Não encontrado"), 
  "Nº Profissionais convocados nesta gestão: " &amp; _xlfn.XLOOKUP(E25, 'Hospitais Regionais e OSS'!B:B, 'Hospitais Regionais e OSS'!M:M, "Não encontrado"), 
  "Valor do contrato de manutenção predial (anual): " &amp; _xlfn.XLOOKUP(E25, 'Hospitais Regionais e OSS'!B:B, 'Hospitais Regionais e OSS'!N:N, "Não encontrado"), 
  "Investimento nesta gestão: " &amp; TEXT(_xlfn.XLOOKUP(E25, 'Hospitais Regionais e OSS'!B:B, 'Hospitais Regionais e OSS'!O:O, 0), "R$ #.##0,00"), 
  "Aumento do cofinanciamento (Gestão Própria) - de 2023 a 2026: " &amp; TEXT(_xlfn.XLOOKUP(E25, 'Hospitais Regionais e OSS'!B:B, 'Hospitais Regionais e OSS'!R:R, 0), "0,00%"), 
  "Cofinanciamento 2022 (Apenas Gestão Própria): " &amp; TEXT(_xlfn.XLOOKUP(E25, 'Hospitais Regionais e OSS'!B:B, 'Hospitais Regionais e OSS'!P:P, 0), "R$ #.##0,00"), 
  "Cofinanciamento 2025 (Apenas Gestão Própria): " &amp; TEXT(_xlfn.XLOOKUP(E25, 'Hospitais Regionais e OSS'!B:B, 'Hospitais Regionais e OSS'!Q:Q, 0), "R$ #.##0,00"), 
  "Repasse (OS) em 2025: " &amp; TEXT(_xlfn.XLOOKUP(E25, 'Hospitais Regionais e OSS'!B:B, 'Hospitais Regionais e OSS'!S:S, 0), "R$ #.##0,00"), 
  "Principais avanços nessa gestão: " &amp; _xlfn.XLOOKUP(E25, 'Hospitais Regionais e OSS'!B:B, 'Hospitais Regionais e OSS'!T:T, "Não encontrado")
)</f>
        <v>*Hospital Prof. Agamenon Magalhães*
Tipo de Gestão: Não encontrado
OSS: Não encontrado
Geres: Não encontrado
Localização: Não encontrado
Nº de Leitos: Não encontrado
Perfil: Não encontrado
Nº Profissionais Total: Não encontrado
Nº Profissionais convocados nesta gestão: Não encontrado
Valor do contrato de manutenção predial (anual): Não encontrado
Investimento nesta gestão: R$ ,000
Aumento do cofinanciamento (Gestão Própria) - de 2023 a 2026: 000%
Cofinanciamento 2022 (Apenas Gestão Própria): R$ ,000
Cofinanciamento 2025 (Apenas Gestão Própria): R$ ,000
Repasse (OS) em 2025: R$ ,000
Principais avanços nessa gestão: Não encontrado</v>
      </c>
      <c r="G25" s="55" t="s">
        <v>49</v>
      </c>
      <c r="H25" s="38" t="s">
        <v>50</v>
      </c>
      <c r="I25" s="267" t="str">
        <f t="array" ref="I25">_xlfn.XLOOKUP(E25, 'Hospitais Regionais e OSS'!B:B, 'Hospitais Regionais e OSS'!G:G)</f>
        <v>#N/A</v>
      </c>
      <c r="J25" s="194" t="str">
        <f t="array" ref="J25">_xlfn.XLOOKUP(E25, 'Hospitais Regionais e OSS'!B:B, 'Hospitais Regionais e OSS'!K:K)</f>
        <v>#N/A</v>
      </c>
      <c r="K25" s="194" t="str">
        <f t="array" ref="K25">_xlfn.XLOOKUP(E25, 'Hospitais Regionais e OSS'!B:B, 'Hospitais Regionais e OSS'!L:L)</f>
        <v>#N/A</v>
      </c>
      <c r="L25" s="267" t="str">
        <f t="array" ref="L25">_xlfn.XLOOKUP(E25, 'Hospitais Regionais e OSS'!B:B, 'Hospitais Regionais e OSS'!M:M)</f>
        <v>#N/A</v>
      </c>
      <c r="M25" s="272" t="str">
        <f t="array" ref="M25">_xlfn.XLOOKUP(E25, 'Hospitais Regionais e OSS'!B:B, 'Hospitais Regionais e OSS'!N:N)</f>
        <v>#N/A</v>
      </c>
      <c r="N25" s="267" t="str">
        <f t="array" ref="N25">_xlfn.XLOOKUP(E25, 'Hospitais Regionais e OSS'!B:B, 'Hospitais Regionais e OSS'!O:O)</f>
        <v>#N/A</v>
      </c>
      <c r="O25" s="267" t="str">
        <f t="array" ref="O25">_xlfn.XLOOKUP(E25, 'Hospitais Regionais e OSS'!B:B, 'Hospitais Regionais e OSS'!P:P)</f>
        <v>#N/A</v>
      </c>
      <c r="P25" s="267" t="str">
        <f t="array" ref="P25">_xlfn.XLOOKUP(E25, 'Hospitais Regionais e OSS'!B:B, 'Hospitais Regionais e OSS'!Q:Q)</f>
        <v>#N/A</v>
      </c>
      <c r="Q25" s="267" t="str">
        <f t="array" ref="Q25">_xlfn.XLOOKUP(E25, 'Hospitais Regionais e OSS'!B:B, 'Hospitais Regionais e OSS'!R:R)</f>
        <v>#N/A</v>
      </c>
      <c r="R25" s="267" t="str">
        <f t="array" ref="R25">_xlfn.XLOOKUP(E25, 'Hospitais Regionais e OSS'!B:B, 'Hospitais Regionais e OSS'!S:S)</f>
        <v>#N/A</v>
      </c>
      <c r="S25" s="272"/>
      <c r="T25" s="273" t="str">
        <f t="array" ref="T25">_xlfn.XLOOKUP(E25, 'Hospitais Regionais e OSS'!B:B, 'Hospitais Regionais e OSS'!T:T)</f>
        <v>#N/A</v>
      </c>
      <c r="U25" s="267"/>
    </row>
    <row r="26" ht="137.25" customHeight="1">
      <c r="A26" s="275">
        <v>2613909.0</v>
      </c>
      <c r="B26" s="283" t="s">
        <v>483</v>
      </c>
      <c r="C26" s="57" t="s">
        <v>439</v>
      </c>
      <c r="D26" s="125" t="s">
        <v>1</v>
      </c>
      <c r="E26" s="138" t="s">
        <v>317</v>
      </c>
      <c r="F26" s="266" t="str">
        <f t="array" ref="F26">TEXTJOIN(CHAR(10), TRUE, 
  "*" &amp; E26 &amp; "*", 
  "Tipo de Gestão: " &amp; _xlfn.XLOOKUP(E26, 'Hospitais Regionais e OSS'!B:B, 'Hospitais Regionais e OSS'!D:D, "Não encontrado"), 
  "OSS: " &amp; _xlfn.XLOOKUP(E26, 'Hospitais Regionais e OSS'!B:B, 'Hospitais Regionais e OSS'!C:C, "Não encontrado"), 
  "Geres: " &amp; _xlfn.XLOOKUP(E26, 'Hospitais Regionais e OSS'!B:B, 'Hospitais Regionais e OSS'!E:E, "Não encontrado"), 
  "Localização: " &amp; _xlfn.XLOOKUP(E26, 'Hospitais Regionais e OSS'!B:B, 'Hospitais Regionais e OSS'!F:F, "Não encontrado"), 
  "Nº de Leitos: " &amp; _xlfn.XLOOKUP(E26, 'Hospitais Regionais e OSS'!B:B, 'Hospitais Regionais e OSS'!G:G, "Não encontrado"), 
  "Perfil: " &amp; _xlfn.XLOOKUP(E26, 'Hospitais Regionais e OSS'!B:B, 'Hospitais Regionais e OSS'!K:K, "Não encontrado"), 
  "Nº Profissionais Total: " &amp; _xlfn.XLOOKUP(E26, 'Hospitais Regionais e OSS'!B:B, 'Hospitais Regionais e OSS'!L:L, "Não encontrado"), 
  "Nº Profissionais convocados nesta gestão: " &amp; _xlfn.XLOOKUP(E26, 'Hospitais Regionais e OSS'!B:B, 'Hospitais Regionais e OSS'!M:M, "Não encontrado"), 
  "Valor do contrato de manutenção predial (anual): " &amp; _xlfn.XLOOKUP(E26, 'Hospitais Regionais e OSS'!B:B, 'Hospitais Regionais e OSS'!N:N, "Não encontrado"), 
  "Investimento nesta gestão: " &amp; TEXT(_xlfn.XLOOKUP(E26, 'Hospitais Regionais e OSS'!B:B, 'Hospitais Regionais e OSS'!O:O, 0), "R$ #.##0,00"), 
  "Aumento do cofinanciamento (Gestão Própria) - de 2023 a 2026: " &amp; TEXT(_xlfn.XLOOKUP(E26, 'Hospitais Regionais e OSS'!B:B, 'Hospitais Regionais e OSS'!R:R, 0), "0,00%"), 
  "Cofinanciamento 2022 (Apenas Gestão Própria): " &amp; TEXT(_xlfn.XLOOKUP(E26, 'Hospitais Regionais e OSS'!B:B, 'Hospitais Regionais e OSS'!P:P, 0), "R$ #.##0,00"), 
  "Cofinanciamento 2025 (Apenas Gestão Própria): " &amp; TEXT(_xlfn.XLOOKUP(E26, 'Hospitais Regionais e OSS'!B:B, 'Hospitais Regionais e OSS'!Q:Q, 0), "R$ #.##0,00"), 
  "Repasse (OS) em 2025: " &amp; TEXT(_xlfn.XLOOKUP(E26, 'Hospitais Regionais e OSS'!B:B, 'Hospitais Regionais e OSS'!S:S, 0), "R$ #.##0,00"), 
  "Principais avanços nessa gestão: " &amp; _xlfn.XLOOKUP(E26, 'Hospitais Regionais e OSS'!B:B, 'Hospitais Regionais e OSS'!T:T, "Não encontrado")
)</f>
        <v>*Hospital do Sertão Governador Eduardo Campos*
Tipo de Gestão: OSS
OSS: HTRI
Geres: XI
Localização: BR-232 - Serra Talhada, PE
Nº de Leitos: 222
Perfil: Hospital regional de média e alta complexidade, referência para o Sertão, com assistência em Clínica Médica, Cirurgia Geral, Cirurgia Vascular, Pediatria, Traumato-Ortopedia, Neurologia, Cardiologia e Anestesiologia, além de cuidados intensivos e suporte diagnóstico.
Nº Profissionais Total: 1154
Nº Profissionais convocados nesta gestão: -
Valor do contrato de manutenção predial (anual): -
Investimento nesta gestão: R$ 5.715.620,47000
Aumento do cofinanciamento (Gestão Própria) - de 2023 a 2026: -
Cofinanciamento 2022 (Apenas Gestão Própria): -
Cofinanciamento 2025 (Apenas Gestão Própria): -
Repasse (OS) em 2025: R$ 67.158.947,59000
Principais avanços nessa gestão: Ampliação expressiva da produção hospitalar; implantação/fortalecimento da Hemodinâmica; aquisição de equipamentos, mobiliários, equipamentos de monitoramento e estruturação da Hemodinâmica, com R$5.715.620,47 investidos e R$217.389,00 em Emendas parlamentares; fortalecimento da assistência de média e alta complexidade no Sertão; crescimento das internações e manutenção de 40 leitos de UTI.</v>
      </c>
      <c r="G26" s="55" t="s">
        <v>7</v>
      </c>
      <c r="H26" s="55" t="str">
        <f t="array" ref="H26">_xlfn.XLOOKUP(E26, 'Hospitais Regionais e OSS'!B:B, 'Hospitais Regionais e OSS'!E:E)</f>
        <v>XI</v>
      </c>
      <c r="I26" s="267">
        <f t="array" ref="I26">_xlfn.XLOOKUP(E26, 'Hospitais Regionais e OSS'!B:B, 'Hospitais Regionais e OSS'!G:G)</f>
        <v>222</v>
      </c>
      <c r="J26" s="194" t="str">
        <f t="array" ref="J26">_xlfn.XLOOKUP(E26, 'Hospitais Regionais e OSS'!B:B, 'Hospitais Regionais e OSS'!K:K)</f>
        <v>Hospital regional de média e alta complexidade, referência para o Sertão, com assistência em Clínica Médica, Cirurgia Geral, Cirurgia Vascular, Pediatria, Traumato-Ortopedia, Neurologia, Cardiologia e Anestesiologia, além de cuidados intensivos e suporte diagnóstico.</v>
      </c>
      <c r="K26" s="268">
        <f t="array" ref="K26">_xlfn.XLOOKUP(E26, 'Hospitais Regionais e OSS'!B:B, 'Hospitais Regionais e OSS'!L:L)</f>
        <v>1154</v>
      </c>
      <c r="L26" s="267" t="str">
        <f t="array" ref="L26">_xlfn.XLOOKUP(E26, 'Hospitais Regionais e OSS'!B:B, 'Hospitais Regionais e OSS'!M:M)</f>
        <v>-</v>
      </c>
      <c r="M26" s="269" t="str">
        <f t="array" ref="M26">_xlfn.XLOOKUP(E26, 'Hospitais Regionais e OSS'!B:B, 'Hospitais Regionais e OSS'!N:N)</f>
        <v>-</v>
      </c>
      <c r="N26" s="270">
        <f t="array" ref="N26">_xlfn.XLOOKUP(E26, 'Hospitais Regionais e OSS'!B:B, 'Hospitais Regionais e OSS'!O:O)</f>
        <v>5715620.47</v>
      </c>
      <c r="O26" s="270" t="str">
        <f t="array" ref="O26">_xlfn.XLOOKUP(E26, 'Hospitais Regionais e OSS'!B:B, 'Hospitais Regionais e OSS'!P:P)</f>
        <v>-</v>
      </c>
      <c r="P26" s="270" t="str">
        <f t="array" ref="P26">_xlfn.XLOOKUP(E26, 'Hospitais Regionais e OSS'!B:B, 'Hospitais Regionais e OSS'!Q:Q)</f>
        <v>-</v>
      </c>
      <c r="Q26" s="267" t="str">
        <f t="array" ref="Q26">_xlfn.XLOOKUP(E26, 'Hospitais Regionais e OSS'!B:B, 'Hospitais Regionais e OSS'!R:R)</f>
        <v>-</v>
      </c>
      <c r="R26" s="270">
        <f t="array" ref="R26">_xlfn.XLOOKUP(E26, 'Hospitais Regionais e OSS'!B:B, 'Hospitais Regionais e OSS'!S:S)</f>
        <v>67158947.59</v>
      </c>
      <c r="S26" s="272"/>
      <c r="T26" s="273" t="str">
        <f t="array" ref="T26">_xlfn.XLOOKUP(E26, 'Hospitais Regionais e OSS'!B:B, 'Hospitais Regionais e OSS'!T:T)</f>
        <v>Ampliação expressiva da produção hospitalar; implantação/fortalecimento da Hemodinâmica; aquisição de equipamentos, mobiliários, equipamentos de monitoramento e estruturação da Hemodinâmica, com R$5.715.620,47 investidos e R$217.389,00 em Emendas parlamentares; fortalecimento da assistência de média e alta complexidade no Sertão; crescimento das internações e manutenção de 40 leitos de UTI.</v>
      </c>
      <c r="U26" s="267"/>
    </row>
    <row r="27" ht="137.25" customHeight="1">
      <c r="A27" s="275">
        <v>2600104.0</v>
      </c>
      <c r="B27" s="283" t="s">
        <v>442</v>
      </c>
      <c r="C27" s="57" t="s">
        <v>439</v>
      </c>
      <c r="D27" s="125" t="s">
        <v>1</v>
      </c>
      <c r="E27" s="138" t="s">
        <v>326</v>
      </c>
      <c r="F27" s="266" t="str">
        <f t="array" ref="F27">TEXTJOIN(CHAR(10), TRUE, 
  "*" &amp; E27 &amp; "*", 
  "Tipo de Gestão: " &amp; _xlfn.XLOOKUP(E27, 'Hospitais Regionais e OSS'!B:B, 'Hospitais Regionais e OSS'!D:D, "Não encontrado"), 
  "OSS: " &amp; _xlfn.XLOOKUP(E27, 'Hospitais Regionais e OSS'!B:B, 'Hospitais Regionais e OSS'!C:C, "Não encontrado"), 
  "Geres: " &amp; _xlfn.XLOOKUP(E27, 'Hospitais Regionais e OSS'!B:B, 'Hospitais Regionais e OSS'!E:E, "Não encontrado"), 
  "Localização: " &amp; _xlfn.XLOOKUP(E27, 'Hospitais Regionais e OSS'!B:B, 'Hospitais Regionais e OSS'!F:F, "Não encontrado"), 
  "Nº de Leitos: " &amp; _xlfn.XLOOKUP(E27, 'Hospitais Regionais e OSS'!B:B, 'Hospitais Regionais e OSS'!G:G, "Não encontrado"), 
  "Perfil: " &amp; _xlfn.XLOOKUP(E27, 'Hospitais Regionais e OSS'!B:B, 'Hospitais Regionais e OSS'!K:K, "Não encontrado"), 
  "Nº Profissionais Total: " &amp; _xlfn.XLOOKUP(E27, 'Hospitais Regionais e OSS'!B:B, 'Hospitais Regionais e OSS'!L:L, "Não encontrado"), 
  "Nº Profissionais convocados nesta gestão: " &amp; _xlfn.XLOOKUP(E27, 'Hospitais Regionais e OSS'!B:B, 'Hospitais Regionais e OSS'!M:M, "Não encontrado"), 
  "Valor do contrato de manutenção predial (anual): " &amp; _xlfn.XLOOKUP(E27, 'Hospitais Regionais e OSS'!B:B, 'Hospitais Regionais e OSS'!N:N, "Não encontrado"), 
  "Investimento nesta gestão: " &amp; TEXT(_xlfn.XLOOKUP(E27, 'Hospitais Regionais e OSS'!B:B, 'Hospitais Regionais e OSS'!O:O, 0), "R$ #.##0,00"), 
  "Aumento do cofinanciamento (Gestão Própria) - de 2023 a 2026: " &amp; TEXT(_xlfn.XLOOKUP(E27, 'Hospitais Regionais e OSS'!B:B, 'Hospitais Regionais e OSS'!R:R, 0), "0,00%"), 
  "Cofinanciamento 2022 (Apenas Gestão Própria): " &amp; TEXT(_xlfn.XLOOKUP(E27, 'Hospitais Regionais e OSS'!B:B, 'Hospitais Regionais e OSS'!P:P, 0), "R$ #.##0,00"), 
  "Cofinanciamento 2025 (Apenas Gestão Própria): " &amp; TEXT(_xlfn.XLOOKUP(E27, 'Hospitais Regionais e OSS'!B:B, 'Hospitais Regionais e OSS'!Q:Q, 0), "R$ #.##0,00"), 
  "Repasse (OS) em 2025: " &amp; TEXT(_xlfn.XLOOKUP(E27, 'Hospitais Regionais e OSS'!B:B, 'Hospitais Regionais e OSS'!S:S, 0), "R$ #.##0,00"), 
  "Principais avanços nessa gestão: " &amp; _xlfn.XLOOKUP(E27, 'Hospitais Regionais e OSS'!B:B, 'Hospitais Regionais e OSS'!T:T, "Não encontrado")
)</f>
        <v>*Hospital Regional Emília Câmara*
Tipo de Gestão: OSS
OSS: HTRI
Geres: X
Localização: R. Manoel Virgínio Sobrinho, 156-238, Afogados da Ingazeira - PE
Nº de Leitos: 125
Perfil: Hospital regional do SUS de média e alta complexidade, referência para os 12 municípios da X GERES. Atua nas áreas materno-infantil e em Cardiologia, Cirurgia Geral, Clínica Médica, emergência dialítica, Ginecologia/Obstetrícia, Ortopedia, Pediatria, Psiquiatria e Traumato-Ortopedia.
Nº Profissionais Total: 688
Nº Profissionais convocados nesta gestão: -
Valor do contrato de manutenção predial (anual): -
Investimento nesta gestão: R$ 5.665.366,95000
Aumento do cofinanciamento (Gestão Própria) - de 2023 a 2026: -
Cofinanciamento 2022 (Apenas Gestão Própria): -
Cofinanciamento 2025 (Apenas Gestão Própria): -
Repasse (OS) em 2025: R$ 41.536.109,67000
Principais avanços nessa gestão: Modernização e qualificação da estrutura diagnóstica e assistencial; aquisição de equipamentos através de Plano de investimento como: tomógrado, ultrassom, arco cirúrgico, equipamentos cirúrgicos, cardioversor, incubadora e ventilador pulmonar, no valor de R$ 4.989.152,95 e Emendas parlamentares para aquisição de ambulâncias e arco cirúrgico, no valor de R$676.214,00; fortalecimento da assistência materno-infantil e da atuação como referência regional para os 12 municípios da X GERES; e ampliação do financiamento da unidade.</v>
      </c>
      <c r="G27" s="55" t="s">
        <v>7</v>
      </c>
      <c r="H27" s="38" t="s">
        <v>209</v>
      </c>
      <c r="I27" s="267">
        <f t="array" ref="I27">_xlfn.XLOOKUP(E27, 'Hospitais Regionais e OSS'!B:B, 'Hospitais Regionais e OSS'!G:G)</f>
        <v>125</v>
      </c>
      <c r="J27" s="194" t="str">
        <f t="array" ref="J27">_xlfn.XLOOKUP(E27, 'Hospitais Regionais e OSS'!B:B, 'Hospitais Regionais e OSS'!K:K)</f>
        <v>Hospital regional do SUS de média e alta complexidade, referência para os 12 municípios da X GERES. Atua nas áreas materno-infantil e em Cardiologia, Cirurgia Geral, Clínica Médica, emergência dialítica, Ginecologia/Obstetrícia, Ortopedia, Pediatria, Psiquiatria e Traumato-Ortopedia.</v>
      </c>
      <c r="K27" s="268">
        <f t="array" ref="K27">_xlfn.XLOOKUP(E27, 'Hospitais Regionais e OSS'!B:B, 'Hospitais Regionais e OSS'!L:L)</f>
        <v>688</v>
      </c>
      <c r="L27" s="267" t="str">
        <f t="array" ref="L27">_xlfn.XLOOKUP(E27, 'Hospitais Regionais e OSS'!B:B, 'Hospitais Regionais e OSS'!M:M)</f>
        <v>-</v>
      </c>
      <c r="M27" s="269" t="str">
        <f t="array" ref="M27">_xlfn.XLOOKUP(E27, 'Hospitais Regionais e OSS'!B:B, 'Hospitais Regionais e OSS'!N:N)</f>
        <v>-</v>
      </c>
      <c r="N27" s="270">
        <f t="array" ref="N27">_xlfn.XLOOKUP(E27, 'Hospitais Regionais e OSS'!B:B, 'Hospitais Regionais e OSS'!O:O)</f>
        <v>5665366.95</v>
      </c>
      <c r="O27" s="270" t="str">
        <f t="array" ref="O27">_xlfn.XLOOKUP(E27, 'Hospitais Regionais e OSS'!B:B, 'Hospitais Regionais e OSS'!P:P)</f>
        <v>-</v>
      </c>
      <c r="P27" s="270" t="str">
        <f t="array" ref="P27">_xlfn.XLOOKUP(E27, 'Hospitais Regionais e OSS'!B:B, 'Hospitais Regionais e OSS'!Q:Q)</f>
        <v>-</v>
      </c>
      <c r="Q27" s="267" t="str">
        <f t="array" ref="Q27">_xlfn.XLOOKUP(E27, 'Hospitais Regionais e OSS'!B:B, 'Hospitais Regionais e OSS'!R:R)</f>
        <v>-</v>
      </c>
      <c r="R27" s="270">
        <f t="array" ref="R27">_xlfn.XLOOKUP(E27, 'Hospitais Regionais e OSS'!B:B, 'Hospitais Regionais e OSS'!S:S)</f>
        <v>41536109.67</v>
      </c>
      <c r="S27" s="272"/>
      <c r="T27" s="273" t="str">
        <f t="array" ref="T27">_xlfn.XLOOKUP(E27, 'Hospitais Regionais e OSS'!B:B, 'Hospitais Regionais e OSS'!T:T)</f>
        <v>Modernização e qualificação da estrutura diagnóstica e assistencial; aquisição de equipamentos através de Plano de investimento como: tomógrado, ultrassom, arco cirúrgico, equipamentos cirúrgicos, cardioversor, incubadora e ventilador pulmonar, no valor de R$ 4.989.152,95 e Emendas parlamentares para aquisição de ambulâncias e arco cirúrgico, no valor de R$676.214,00; fortalecimento da assistência materno-infantil e da atuação como referência regional para os 12 municípios da X GERES; e ampliação do financiamento da unidade.</v>
      </c>
      <c r="U27" s="267"/>
    </row>
    <row r="28" ht="137.25" customHeight="1">
      <c r="A28" s="275">
        <v>2611002.0</v>
      </c>
      <c r="B28" s="283" t="s">
        <v>403</v>
      </c>
      <c r="C28" s="57" t="s">
        <v>436</v>
      </c>
      <c r="D28" s="125" t="s">
        <v>1</v>
      </c>
      <c r="E28" s="138" t="s">
        <v>331</v>
      </c>
      <c r="F28" s="266" t="str">
        <f t="array" ref="F28">TEXTJOIN(CHAR(10), TRUE, 
  "*" &amp; E28 &amp; "*", 
  "Tipo de Gestão: " &amp; _xlfn.XLOOKUP(E28, 'Hospitais Regionais e OSS'!B:B, 'Hospitais Regionais e OSS'!D:D, "Não encontrado"), 
  "OSS: " &amp; _xlfn.XLOOKUP(E28, 'Hospitais Regionais e OSS'!B:B, 'Hospitais Regionais e OSS'!C:C, "Não encontrado"), 
  "Geres: " &amp; _xlfn.XLOOKUP(E28, 'Hospitais Regionais e OSS'!B:B, 'Hospitais Regionais e OSS'!E:E, "Não encontrado"), 
  "Localização: " &amp; _xlfn.XLOOKUP(E28, 'Hospitais Regionais e OSS'!B:B, 'Hospitais Regionais e OSS'!F:F, "Não encontrado"), 
  "Nº de Leitos: " &amp; _xlfn.XLOOKUP(E28, 'Hospitais Regionais e OSS'!B:B, 'Hospitais Regionais e OSS'!G:G, "Não encontrado"), 
  "Perfil: " &amp; _xlfn.XLOOKUP(E28, 'Hospitais Regionais e OSS'!B:B, 'Hospitais Regionais e OSS'!K:K, "Não encontrado"), 
  "Nº Profissionais Total: " &amp; _xlfn.XLOOKUP(E28, 'Hospitais Regionais e OSS'!B:B, 'Hospitais Regionais e OSS'!L:L, "Não encontrado"), 
  "Nº Profissionais convocados nesta gestão: " &amp; _xlfn.XLOOKUP(E28, 'Hospitais Regionais e OSS'!B:B, 'Hospitais Regionais e OSS'!M:M, "Não encontrado"), 
  "Valor do contrato de manutenção predial (anual): " &amp; _xlfn.XLOOKUP(E28, 'Hospitais Regionais e OSS'!B:B, 'Hospitais Regionais e OSS'!N:N, "Não encontrado"), 
  "Investimento nesta gestão: " &amp; TEXT(_xlfn.XLOOKUP(E28, 'Hospitais Regionais e OSS'!B:B, 'Hospitais Regionais e OSS'!O:O, 0), "R$ #.##0,00"), 
  "Aumento do cofinanciamento (Gestão Própria) - de 2023 a 2026: " &amp; TEXT(_xlfn.XLOOKUP(E28, 'Hospitais Regionais e OSS'!B:B, 'Hospitais Regionais e OSS'!R:R, 0), "0,00%"), 
  "Cofinanciamento 2022 (Apenas Gestão Própria): " &amp; TEXT(_xlfn.XLOOKUP(E28, 'Hospitais Regionais e OSS'!B:B, 'Hospitais Regionais e OSS'!P:P, 0), "R$ #.##0,00"), 
  "Cofinanciamento 2025 (Apenas Gestão Própria): " &amp; TEXT(_xlfn.XLOOKUP(E28, 'Hospitais Regionais e OSS'!B:B, 'Hospitais Regionais e OSS'!Q:Q, 0), "R$ #.##0,00"), 
  "Repasse (OS) em 2025: " &amp; TEXT(_xlfn.XLOOKUP(E28, 'Hospitais Regionais e OSS'!B:B, 'Hospitais Regionais e OSS'!S:S, 0), "R$ #.##0,00"), 
  "Principais avanços nessa gestão: " &amp; _xlfn.XLOOKUP(E28, 'Hospitais Regionais e OSS'!B:B, 'Hospitais Regionais e OSS'!T:T, "Não encontrado")
)</f>
        <v>*Hospital Dom Malan*
Tipo de Gestão: OSS
OSS: ISMEP
Geres: VIII
Localização: R. Joaquim Nabuco, s/n - Centro, Petrolina - PE
Nº de Leitos: 239
Perfil: Hospital de alta complexidade especializado na assistência materno-infantil, referência regional em Pediatria, Ginecologia e Obstetrícia, gestação de alto risco e cuidados intensivos neonatais e pediátricos. Possui emergência pediátrica e obstétrica 24h, ambulatórios especializados, Banco de Leite Humano e alojamento Canguru.
Nº Profissionais Total: 1464
Nº Profissionais convocados nesta gestão: -
Valor do contrato de manutenção predial (anual): -
Investimento nesta gestão: R$ 6.126.105,76000
Aumento do cofinanciamento (Gestão Própria) - de 2023 a 2026: -
Cofinanciamento 2022 (Apenas Gestão Própria): -
Cofinanciamento 2025 (Apenas Gestão Própria): -
Repasse (OS) em 2025: R$ 100.419.517,08000
Principais avanços nessa gestão: Ampliação e qualificação da assistência materno-infantil; aquisição de 170 poltronas hospitalares e mobiliário em 2024, através de Plano de investimento, no valor de R$2.591.398,33; Equipagem do Centro de Estudos em 2025, no valor de R$87.711,53; captação de recursos por emendas parlamentares para aquisição de equipamentos e insumos, no valor de R$3.446.995,90; crescimento das internações e manutenção da unidade como referência regional em alta complexidade materno-infantil.</v>
      </c>
      <c r="G28" s="55" t="s">
        <v>7</v>
      </c>
      <c r="H28" s="38" t="s">
        <v>127</v>
      </c>
      <c r="I28" s="267">
        <f t="array" ref="I28">_xlfn.XLOOKUP(E28, 'Hospitais Regionais e OSS'!B:B, 'Hospitais Regionais e OSS'!G:G)</f>
        <v>239</v>
      </c>
      <c r="J28" s="194" t="str">
        <f t="array" ref="J28">_xlfn.XLOOKUP(E28, 'Hospitais Regionais e OSS'!B:B, 'Hospitais Regionais e OSS'!K:K)</f>
        <v>Hospital de alta complexidade especializado na assistência materno-infantil, referência regional em Pediatria, Ginecologia e Obstetrícia, gestação de alto risco e cuidados intensivos neonatais e pediátricos. Possui emergência pediátrica e obstétrica 24h, ambulatórios especializados, Banco de Leite Humano e alojamento Canguru.</v>
      </c>
      <c r="K28" s="268">
        <f t="array" ref="K28">_xlfn.XLOOKUP(E28, 'Hospitais Regionais e OSS'!B:B, 'Hospitais Regionais e OSS'!L:L)</f>
        <v>1464</v>
      </c>
      <c r="L28" s="267" t="str">
        <f t="array" ref="L28">_xlfn.XLOOKUP(E28, 'Hospitais Regionais e OSS'!B:B, 'Hospitais Regionais e OSS'!M:M)</f>
        <v>-</v>
      </c>
      <c r="M28" s="269" t="str">
        <f t="array" ref="M28">_xlfn.XLOOKUP(E28, 'Hospitais Regionais e OSS'!B:B, 'Hospitais Regionais e OSS'!N:N)</f>
        <v>-</v>
      </c>
      <c r="N28" s="270">
        <f t="array" ref="N28">_xlfn.XLOOKUP(E28, 'Hospitais Regionais e OSS'!B:B, 'Hospitais Regionais e OSS'!O:O)</f>
        <v>6126105.76</v>
      </c>
      <c r="O28" s="270" t="str">
        <f t="array" ref="O28">_xlfn.XLOOKUP(E28, 'Hospitais Regionais e OSS'!B:B, 'Hospitais Regionais e OSS'!P:P)</f>
        <v>-</v>
      </c>
      <c r="P28" s="270" t="str">
        <f t="array" ref="P28">_xlfn.XLOOKUP(E28, 'Hospitais Regionais e OSS'!B:B, 'Hospitais Regionais e OSS'!Q:Q)</f>
        <v>-</v>
      </c>
      <c r="Q28" s="267" t="str">
        <f t="array" ref="Q28">_xlfn.XLOOKUP(E28, 'Hospitais Regionais e OSS'!B:B, 'Hospitais Regionais e OSS'!R:R)</f>
        <v>-</v>
      </c>
      <c r="R28" s="270">
        <f t="array" ref="R28">_xlfn.XLOOKUP(E28, 'Hospitais Regionais e OSS'!B:B, 'Hospitais Regionais e OSS'!S:S)</f>
        <v>100419517.1</v>
      </c>
      <c r="S28" s="272"/>
      <c r="T28" s="273" t="str">
        <f t="array" ref="T28">_xlfn.XLOOKUP(E28, 'Hospitais Regionais e OSS'!B:B, 'Hospitais Regionais e OSS'!T:T)</f>
        <v>Ampliação e qualificação da assistência materno-infantil; aquisição de 170 poltronas hospitalares e mobiliário em 2024, através de Plano de investimento, no valor de R$2.591.398,33; Equipagem do Centro de Estudos em 2025, no valor de R$87.711,53; captação de recursos por emendas parlamentares para aquisição de equipamentos e insumos, no valor de R$3.446.995,90; crescimento das internações e manutenção da unidade como referência regional em alta complexidade materno-infantil.</v>
      </c>
      <c r="U28" s="267"/>
    </row>
    <row r="29" ht="137.25" customHeight="1">
      <c r="A29" s="275">
        <v>2604106.0</v>
      </c>
      <c r="B29" s="283" t="s">
        <v>392</v>
      </c>
      <c r="C29" s="57" t="s">
        <v>431</v>
      </c>
      <c r="D29" s="125" t="s">
        <v>1</v>
      </c>
      <c r="E29" s="138" t="s">
        <v>336</v>
      </c>
      <c r="F29" s="266" t="str">
        <f t="array" ref="F29">TEXTJOIN(CHAR(10), TRUE, 
  "*" &amp; E29 &amp; "*", 
  "Tipo de Gestão: " &amp; _xlfn.XLOOKUP(E29, 'Hospitais Regionais e OSS'!B:B, 'Hospitais Regionais e OSS'!D:D, "Não encontrado"), 
  "OSS: " &amp; _xlfn.XLOOKUP(E29, 'Hospitais Regionais e OSS'!B:B, 'Hospitais Regionais e OSS'!C:C, "Não encontrado"), 
  "Geres: " &amp; _xlfn.XLOOKUP(E29, 'Hospitais Regionais e OSS'!B:B, 'Hospitais Regionais e OSS'!E:E, "Não encontrado"), 
  "Localização: " &amp; _xlfn.XLOOKUP(E29, 'Hospitais Regionais e OSS'!B:B, 'Hospitais Regionais e OSS'!F:F, "Não encontrado"), 
  "Nº de Leitos: " &amp; _xlfn.XLOOKUP(E29, 'Hospitais Regionais e OSS'!B:B, 'Hospitais Regionais e OSS'!G:G, "Não encontrado"), 
  "Perfil: " &amp; _xlfn.XLOOKUP(E29, 'Hospitais Regionais e OSS'!B:B, 'Hospitais Regionais e OSS'!K:K, "Não encontrado"), 
  "Nº Profissionais Total: " &amp; _xlfn.XLOOKUP(E29, 'Hospitais Regionais e OSS'!B:B, 'Hospitais Regionais e OSS'!L:L, "Não encontrado"), 
  "Nº Profissionais convocados nesta gestão: " &amp; _xlfn.XLOOKUP(E29, 'Hospitais Regionais e OSS'!B:B, 'Hospitais Regionais e OSS'!M:M, "Não encontrado"), 
  "Valor do contrato de manutenção predial (anual): " &amp; _xlfn.XLOOKUP(E29, 'Hospitais Regionais e OSS'!B:B, 'Hospitais Regionais e OSS'!N:N, "Não encontrado"), 
  "Investimento nesta gestão: " &amp; TEXT(_xlfn.XLOOKUP(E29, 'Hospitais Regionais e OSS'!B:B, 'Hospitais Regionais e OSS'!O:O, 0), "R$ #.##0,00"), 
  "Aumento do cofinanciamento (Gestão Própria) - de 2023 a 2026: " &amp; TEXT(_xlfn.XLOOKUP(E29, 'Hospitais Regionais e OSS'!B:B, 'Hospitais Regionais e OSS'!R:R, 0), "0,00%"), 
  "Cofinanciamento 2022 (Apenas Gestão Própria): " &amp; TEXT(_xlfn.XLOOKUP(E29, 'Hospitais Regionais e OSS'!B:B, 'Hospitais Regionais e OSS'!P:P, 0), "R$ #.##0,00"), 
  "Cofinanciamento 2025 (Apenas Gestão Própria): " &amp; TEXT(_xlfn.XLOOKUP(E29, 'Hospitais Regionais e OSS'!B:B, 'Hospitais Regionais e OSS'!Q:Q, 0), "R$ #.##0,00"), 
  "Repasse (OS) em 2025: " &amp; TEXT(_xlfn.XLOOKUP(E29, 'Hospitais Regionais e OSS'!B:B, 'Hospitais Regionais e OSS'!S:S, 0), "R$ #.##0,00"), 
  "Principais avanços nessa gestão: " &amp; _xlfn.XLOOKUP(E29, 'Hospitais Regionais e OSS'!B:B, 'Hospitais Regionais e OSS'!T:T, "Não encontrado")
)</f>
        <v>*Hospital da Mulher do Agreste*
Tipo de Gestão: OSS
OSS: HCP
Geres: IV
Localização: Av. José Rodrigues de Jesus - Santa Rosa, Caruaru - PE
Nº de Leitos: 198
Perfil: Hospital especializado em saúde da mulher e atenção materno-infantil, de média e alta complexidade, com foco em obstetrícia e ginecologia; gestação de alto risco, UTI adulta e neonatal, bloco cirúrgico, Centro de Parto Normal, Casa da Gestante/Bebê/Puérpera e ambulatórios especializados.
Nº Profissionais Total: 1031
Nº Profissionais convocados nesta gestão: -
Valor do contrato de manutenção predial (anual): -
Investimento nesta gestão: R$ 5.845.658,18000
Aumento do cofinanciamento (Gestão Própria) - de 2023 a 2026: -
Cofinanciamento 2022 (Apenas Gestão Própria): -
Cofinanciamento 2025 (Apenas Gestão Própria): -
Repasse (OS) em 2025: R$ 44.712.253,07000
Principais avanços nessa gestão: Conclusão e inauguração do hospital em maio de 2025; implantação da assistência materno-infantil de alta complexidade no Agreste; estruturação de 198 leitos; atendimento a gestantes de alto risco de 53 municípios; implantação de UTI adulta e neonatal, bloco cirúrgico com 5 salas, Casa da Gestante, Bebê e Puérpera, espaço Canguru e ambulatórios especializados; fortalecimento da regionalização da assistência à saúde da mulher.</v>
      </c>
      <c r="G29" s="55" t="s">
        <v>7</v>
      </c>
      <c r="H29" s="38" t="s">
        <v>138</v>
      </c>
      <c r="I29" s="267">
        <f t="array" ref="I29">_xlfn.XLOOKUP(E29, 'Hospitais Regionais e OSS'!B:B, 'Hospitais Regionais e OSS'!G:G)</f>
        <v>198</v>
      </c>
      <c r="J29" s="194" t="str">
        <f t="array" ref="J29">_xlfn.XLOOKUP(E29, 'Hospitais Regionais e OSS'!B:B, 'Hospitais Regionais e OSS'!K:K)</f>
        <v>Hospital especializado em saúde da mulher e atenção materno-infantil, de média e alta complexidade, com foco em obstetrícia e ginecologia; gestação de alto risco, UTI adulta e neonatal, bloco cirúrgico, Centro de Parto Normal, Casa da Gestante/Bebê/Puérpera e ambulatórios especializados.</v>
      </c>
      <c r="K29" s="268">
        <f t="array" ref="K29">_xlfn.XLOOKUP(E29, 'Hospitais Regionais e OSS'!B:B, 'Hospitais Regionais e OSS'!L:L)</f>
        <v>1031</v>
      </c>
      <c r="L29" s="267" t="str">
        <f t="array" ref="L29">_xlfn.XLOOKUP(E29, 'Hospitais Regionais e OSS'!B:B, 'Hospitais Regionais e OSS'!M:M)</f>
        <v>-</v>
      </c>
      <c r="M29" s="269" t="str">
        <f t="array" ref="M29">_xlfn.XLOOKUP(E29, 'Hospitais Regionais e OSS'!B:B, 'Hospitais Regionais e OSS'!N:N)</f>
        <v>-</v>
      </c>
      <c r="N29" s="270">
        <f t="array" ref="N29">_xlfn.XLOOKUP(E29, 'Hospitais Regionais e OSS'!B:B, 'Hospitais Regionais e OSS'!O:O)</f>
        <v>5845658.18</v>
      </c>
      <c r="O29" s="270" t="str">
        <f t="array" ref="O29">_xlfn.XLOOKUP(E29, 'Hospitais Regionais e OSS'!B:B, 'Hospitais Regionais e OSS'!P:P)</f>
        <v>-</v>
      </c>
      <c r="P29" s="270" t="str">
        <f t="array" ref="P29">_xlfn.XLOOKUP(E29, 'Hospitais Regionais e OSS'!B:B, 'Hospitais Regionais e OSS'!Q:Q)</f>
        <v>-</v>
      </c>
      <c r="Q29" s="267" t="str">
        <f t="array" ref="Q29">_xlfn.XLOOKUP(E29, 'Hospitais Regionais e OSS'!B:B, 'Hospitais Regionais e OSS'!R:R)</f>
        <v>-</v>
      </c>
      <c r="R29" s="270">
        <f t="array" ref="R29">_xlfn.XLOOKUP(E29, 'Hospitais Regionais e OSS'!B:B, 'Hospitais Regionais e OSS'!S:S)</f>
        <v>44712253.07</v>
      </c>
      <c r="S29" s="272"/>
      <c r="T29" s="273" t="str">
        <f t="array" ref="T29">_xlfn.XLOOKUP(E29, 'Hospitais Regionais e OSS'!B:B, 'Hospitais Regionais e OSS'!T:T)</f>
        <v>Conclusão e inauguração do hospital em maio de 2025; implantação da assistência materno-infantil de alta complexidade no Agreste; estruturação de 198 leitos; atendimento a gestantes de alto risco de 53 municípios; implantação de UTI adulta e neonatal, bloco cirúrgico com 5 salas, Casa da Gestante, Bebê e Puérpera, espaço Canguru e ambulatórios especializados; fortalecimento da regionalização da assistência à saúde da mulher.</v>
      </c>
      <c r="U29" s="267"/>
    </row>
    <row r="30" ht="137.25" customHeight="1">
      <c r="A30" s="274">
        <v>2611606.0</v>
      </c>
      <c r="B30" s="264" t="s">
        <v>356</v>
      </c>
      <c r="C30" s="265" t="s">
        <v>419</v>
      </c>
      <c r="D30" s="125" t="s">
        <v>1</v>
      </c>
      <c r="E30" s="163" t="s">
        <v>341</v>
      </c>
      <c r="F30" s="266" t="str">
        <f t="array" ref="F30">TEXTJOIN(CHAR(10), TRUE, 
  "*" &amp; E30 &amp; "*", 
  "Tipo de Gestão: " &amp; _xlfn.XLOOKUP(E30, 'Hospitais Regionais e OSS'!B:B, 'Hospitais Regionais e OSS'!D:D, "Não encontrado"), 
  "OSS: " &amp; _xlfn.XLOOKUP(E30, 'Hospitais Regionais e OSS'!B:B, 'Hospitais Regionais e OSS'!C:C, "Não encontrado"), 
  "Geres: " &amp; _xlfn.XLOOKUP(E30, 'Hospitais Regionais e OSS'!B:B, 'Hospitais Regionais e OSS'!E:E, "Não encontrado"), 
  "Localização: " &amp; _xlfn.XLOOKUP(E30, 'Hospitais Regionais e OSS'!B:B, 'Hospitais Regionais e OSS'!F:F, "Não encontrado"), 
  "Nº de Leitos: " &amp; _xlfn.XLOOKUP(E30, 'Hospitais Regionais e OSS'!B:B, 'Hospitais Regionais e OSS'!G:G, "Não encontrado"), 
  "Perfil: " &amp; _xlfn.XLOOKUP(E30, 'Hospitais Regionais e OSS'!B:B, 'Hospitais Regionais e OSS'!K:K, "Não encontrado"), 
  "Nº Profissionais Total: " &amp; _xlfn.XLOOKUP(E30, 'Hospitais Regionais e OSS'!B:B, 'Hospitais Regionais e OSS'!L:L, "Não encontrado"), 
  "Nº Profissionais convocados nesta gestão: " &amp; _xlfn.XLOOKUP(E30, 'Hospitais Regionais e OSS'!B:B, 'Hospitais Regionais e OSS'!M:M, "Não encontrado"), 
  "Valor do contrato de manutenção predial (anual): " &amp; _xlfn.XLOOKUP(E30, 'Hospitais Regionais e OSS'!B:B, 'Hospitais Regionais e OSS'!N:N, "Não encontrado"), 
  "Investimento nesta gestão: " &amp; TEXT(_xlfn.XLOOKUP(E30, 'Hospitais Regionais e OSS'!B:B, 'Hospitais Regionais e OSS'!O:O, 0), "R$ #.##0,00"), 
  "Aumento do cofinanciamento (Gestão Própria) - de 2023 a 2026: " &amp; TEXT(_xlfn.XLOOKUP(E30, 'Hospitais Regionais e OSS'!B:B, 'Hospitais Regionais e OSS'!R:R, 0), "0,00%"), 
  "Cofinanciamento 2022 (Apenas Gestão Própria): " &amp; TEXT(_xlfn.XLOOKUP(E30, 'Hospitais Regionais e OSS'!B:B, 'Hospitais Regionais e OSS'!P:P, 0), "R$ #.##0,00"), 
  "Cofinanciamento 2025 (Apenas Gestão Própria): " &amp; TEXT(_xlfn.XLOOKUP(E30, 'Hospitais Regionais e OSS'!B:B, 'Hospitais Regionais e OSS'!Q:Q, 0), "R$ #.##0,00"), 
  "Repasse (OS) em 2025: " &amp; TEXT(_xlfn.XLOOKUP(E30, 'Hospitais Regionais e OSS'!B:B, 'Hospitais Regionais e OSS'!S:S, 0), "R$ #.##0,00"), 
  "Principais avanços nessa gestão: " &amp; _xlfn.XLOOKUP(E30, 'Hospitais Regionais e OSS'!B:B, 'Hospitais Regionais e OSS'!T:T, "Não encontrado")
)</f>
        <v>*Hemope *
Tipo de Gestão: Especializado
OSS: -
Geres: I
Localização: Rua Joaquim Nabuco, 171, Graças, Recife. 
Nº de Leitos: 62
Perfil: Hematologia urgência e pediátria. Ambulatório: cardiologia, ortopedia, endocrinologia, neurologia, hematologia pediátrico, hematologia adulto, psicologia, terapia ocupacional, fisioterapia, nutrição e odontologia. 
Nº Profissionais Total: 194
Nº Profissionais convocados nesta gestão: -
Valor do contrato de manutenção predial (anual): 
Investimento nesta gestão: R$ 15.344.768,17000
Aumento do cofinanciamento (Gestão Própria) - de 2023 a 2026: - 
Cofinanciamento 2022 (Apenas Gestão Própria): -
Cofinanciamento 2025 (Apenas Gestão Própria): -
Repasse (OS) em 2025: -
Principais avanços nessa gestão: Criação do setor de imunohematologia do doador, inauguração do serviço de pronto atendimento SPA-Adulto, implantação do núcleo interno de regulação-NIR; </v>
      </c>
      <c r="G30" s="55" t="s">
        <v>342</v>
      </c>
      <c r="H30" s="38" t="s">
        <v>50</v>
      </c>
      <c r="I30" s="267">
        <f t="array" ref="I30">_xlfn.XLOOKUP(E30, 'Hospitais Regionais e OSS'!B:B, 'Hospitais Regionais e OSS'!G:G)</f>
        <v>62</v>
      </c>
      <c r="J30" s="194" t="str">
        <f t="array" ref="J30">_xlfn.XLOOKUP(E30, 'Hospitais Regionais e OSS'!B:B, 'Hospitais Regionais e OSS'!K:K)</f>
        <v>Hematologia urgência e pediátria. Ambulatório: cardiologia, ortopedia, endocrinologia, neurologia, hematologia pediátrico, hematologia adulto, psicologia, terapia ocupacional, fisioterapia, nutrição e odontologia. </v>
      </c>
      <c r="K30" s="268">
        <f t="array" ref="K30">_xlfn.XLOOKUP(E30, 'Hospitais Regionais e OSS'!B:B, 'Hospitais Regionais e OSS'!L:L)</f>
        <v>194</v>
      </c>
      <c r="L30" s="267" t="str">
        <f t="array" ref="L30">_xlfn.XLOOKUP(E30, 'Hospitais Regionais e OSS'!B:B, 'Hospitais Regionais e OSS'!M:M)</f>
        <v>-</v>
      </c>
      <c r="M30" s="269" t="str">
        <f t="array" ref="M30">_xlfn.XLOOKUP(E30, 'Hospitais Regionais e OSS'!B:B, 'Hospitais Regionais e OSS'!N:N)</f>
        <v/>
      </c>
      <c r="N30" s="270">
        <f t="array" ref="N30">_xlfn.XLOOKUP(E30, 'Hospitais Regionais e OSS'!B:B, 'Hospitais Regionais e OSS'!O:O)</f>
        <v>15344768.17</v>
      </c>
      <c r="O30" s="270" t="str">
        <f t="array" ref="O30">_xlfn.XLOOKUP(E30, 'Hospitais Regionais e OSS'!B:B, 'Hospitais Regionais e OSS'!P:P)</f>
        <v>-</v>
      </c>
      <c r="P30" s="270" t="str">
        <f t="array" ref="P30">_xlfn.XLOOKUP(E30, 'Hospitais Regionais e OSS'!B:B, 'Hospitais Regionais e OSS'!Q:Q)</f>
        <v>-</v>
      </c>
      <c r="Q30" s="267" t="str">
        <f t="array" ref="Q30">_xlfn.XLOOKUP(E30, 'Hospitais Regionais e OSS'!B:B, 'Hospitais Regionais e OSS'!R:R)</f>
        <v>- 
</v>
      </c>
      <c r="R30" s="270" t="str">
        <f t="array" ref="R30">_xlfn.XLOOKUP(E30, 'Hospitais Regionais e OSS'!B:B, 'Hospitais Regionais e OSS'!S:S)</f>
        <v>-</v>
      </c>
      <c r="S30" s="272"/>
      <c r="T30" s="273" t="str">
        <f t="array" ref="T30">_xlfn.XLOOKUP(E30, 'Hospitais Regionais e OSS'!B:B, 'Hospitais Regionais e OSS'!T:T)</f>
        <v>Criação do setor de imunohematologia do doador, inauguração do serviço de pronto atendimento SPA-Adulto, implantação do núcleo interno de regulação-NIR; </v>
      </c>
      <c r="U30" s="267"/>
    </row>
    <row r="31" ht="137.25" customHeight="1">
      <c r="A31" s="275">
        <v>2608909.0</v>
      </c>
      <c r="B31" s="283" t="s">
        <v>378</v>
      </c>
      <c r="C31" s="57" t="s">
        <v>434</v>
      </c>
      <c r="D31" s="125" t="s">
        <v>1</v>
      </c>
      <c r="E31" s="163" t="s">
        <v>348</v>
      </c>
      <c r="F31" s="266" t="str">
        <f t="array" ref="F31">TEXTJOIN(CHAR(10), TRUE, 
  "*" &amp; E31 &amp; "*", 
  "Tipo de Gestão: " &amp; _xlfn.XLOOKUP(E31, 'Hospitais Regionais e OSS'!B:B, 'Hospitais Regionais e OSS'!D:D, "Não encontrado"), 
  "OSS: " &amp; _xlfn.XLOOKUP(E31, 'Hospitais Regionais e OSS'!B:B, 'Hospitais Regionais e OSS'!C:C, "Não encontrado"), 
  "Geres: " &amp; _xlfn.XLOOKUP(E31, 'Hospitais Regionais e OSS'!B:B, 'Hospitais Regionais e OSS'!E:E, "Não encontrado"), 
  "Localização: " &amp; _xlfn.XLOOKUP(E31, 'Hospitais Regionais e OSS'!B:B, 'Hospitais Regionais e OSS'!F:F, "Não encontrado"), 
  "Nº de Leitos: " &amp; _xlfn.XLOOKUP(E31, 'Hospitais Regionais e OSS'!B:B, 'Hospitais Regionais e OSS'!G:G, "Não encontrado"), 
  "Perfil: " &amp; _xlfn.XLOOKUP(E31, 'Hospitais Regionais e OSS'!B:B, 'Hospitais Regionais e OSS'!K:K, "Não encontrado"), 
  "Nº Profissionais Total: " &amp; _xlfn.XLOOKUP(E31, 'Hospitais Regionais e OSS'!B:B, 'Hospitais Regionais e OSS'!L:L, "Não encontrado"), 
  "Nº Profissionais convocados nesta gestão: " &amp; _xlfn.XLOOKUP(E31, 'Hospitais Regionais e OSS'!B:B, 'Hospitais Regionais e OSS'!M:M, "Não encontrado"), 
  "Valor do contrato de manutenção predial (anual): " &amp; _xlfn.XLOOKUP(E31, 'Hospitais Regionais e OSS'!B:B, 'Hospitais Regionais e OSS'!N:N, "Não encontrado"), 
  "Investimento nesta gestão: " &amp; TEXT(_xlfn.XLOOKUP(E31, 'Hospitais Regionais e OSS'!B:B, 'Hospitais Regionais e OSS'!O:O, 0), "R$ #.##0,00"), 
  "Aumento do cofinanciamento (Gestão Própria) - de 2023 a 2026: " &amp; TEXT(_xlfn.XLOOKUP(E31, 'Hospitais Regionais e OSS'!B:B, 'Hospitais Regionais e OSS'!R:R, 0), "0,00%"), 
  "Cofinanciamento 2022 (Apenas Gestão Própria): " &amp; TEXT(_xlfn.XLOOKUP(E31, 'Hospitais Regionais e OSS'!B:B, 'Hospitais Regionais e OSS'!P:P, 0), "R$ #.##0,00"), 
  "Cofinanciamento 2025 (Apenas Gestão Própria): " &amp; TEXT(_xlfn.XLOOKUP(E31, 'Hospitais Regionais e OSS'!B:B, 'Hospitais Regionais e OSS'!Q:Q, 0), "R$ #.##0,00"), 
  "Repasse (OS) em 2025: " &amp; TEXT(_xlfn.XLOOKUP(E31, 'Hospitais Regionais e OSS'!B:B, 'Hospitais Regionais e OSS'!S:S, 0), "R$ #.##0,00"), 
  "Principais avanços nessa gestão: " &amp; _xlfn.XLOOKUP(E31, 'Hospitais Regionais e OSS'!B:B, 'Hospitais Regionais e OSS'!T:T, "Não encontrado")
)</f>
        <v>*Hospital Regional José Fernandes Salsa*
Tipo de Gestão: Gestão própria
OSS: -
Geres: II
Localização: R. Padre Nicolau Pímentel, 244 - José Fernades Salsa, Limoeiro - PE, 55700-000
Nº de Leitos: 79
Perfil: Traumatologia, Obstetrícia, Pediatria, Odontologia, Cirurgia Geral e Clínica Médica.
Nº Profissionais Total: 841
Nº Profissionais convocados nesta gestão: 319
Valor do contrato de manutenção predial (anual): 3600000
Investimento nesta gestão: R$ 32.722.233,26000
Aumento do cofinanciamento (Gestão Própria) - de 2023 a 2026: 011%
Cofinanciamento 2022 (Apenas Gestão Própria): R$ 4.876.623,35000
Cofinanciamento 2025 (Apenas Gestão Própria): R$ 5.433.963,22000
Repasse (OS) em 2025: R$ ,000
Principais avanços nessa gestão: Aquisição de nova autoclave e compressor para funcionamento do CME; Aquisição de dois aparelhos para realização de exames de endoscopia; Aquisição de 02 ambulâncias;; Aquisição de equipamentos médico-hospitalares, incluindo bisturi elétrico, aparelho de ultrassonografia com doppler, analisador de gases sanguíneos, perfuradores cirúrgicos para ortopedia, incubadora de transporte, bilirrubinômetro e ressuscitador pulmonar infantil e otoscópio, aparelho de raio-x portátil digital e fixo, Incubadora neonatal, incubadora de transporte, eletrocardiógrafo,  12 kits instrumentais básico menor, 04 kits instrumentais básico médio, 02 kits de instrumentais básico maior, aparelho de ultrassom portátil+ecocardiograma, compressor 4D; Aquisição de mobiliário hospitalar, como camas hospitalares manuais e elétricas (21 unidades), macas para consultório, cadeiras de rodas, mesas de cabeceira, mesas auxiliares, poltronas, longarinas,  armário alto, armários baixos, mesas estação de trabalho , guarda-roupas em aço, escadas hospitalares e carrinhos auxiliares, poltrona para obeso, carros macas, estante aramadas; Aquisição de equipamentos de apoio e eletrodomésticos para a unidade, incluindo micro-ondas, refrigeradores e freezer, aparelho de tv, bebedouro; Aquisição de instrumentais; Aquisição de 60 computadores; Criação de farmácia satélite na emergência;
</v>
      </c>
      <c r="G31" s="55" t="s">
        <v>49</v>
      </c>
      <c r="H31" s="38" t="s">
        <v>58</v>
      </c>
      <c r="I31" s="267">
        <f t="array" ref="I31">_xlfn.XLOOKUP(E31, 'Hospitais Regionais e OSS'!B:B, 'Hospitais Regionais e OSS'!G:G)</f>
        <v>79</v>
      </c>
      <c r="J31" s="194" t="str">
        <f t="array" ref="J31">_xlfn.XLOOKUP(E31, 'Hospitais Regionais e OSS'!B:B, 'Hospitais Regionais e OSS'!K:K)</f>
        <v>Traumatologia, Obstetrícia, Pediatria, Odontologia, Cirurgia Geral e Clínica Médica.
</v>
      </c>
      <c r="K31" s="268">
        <f t="array" ref="K31">_xlfn.XLOOKUP(E31, 'Hospitais Regionais e OSS'!B:B, 'Hospitais Regionais e OSS'!L:L)</f>
        <v>841</v>
      </c>
      <c r="L31" s="267">
        <f t="array" ref="L31">_xlfn.XLOOKUP(E31, 'Hospitais Regionais e OSS'!B:B, 'Hospitais Regionais e OSS'!M:M)</f>
        <v>319</v>
      </c>
      <c r="M31" s="269">
        <f t="array" ref="M31">_xlfn.XLOOKUP(E31, 'Hospitais Regionais e OSS'!B:B, 'Hospitais Regionais e OSS'!N:N)</f>
        <v>3600000</v>
      </c>
      <c r="N31" s="270">
        <f t="array" ref="N31">_xlfn.XLOOKUP(E31, 'Hospitais Regionais e OSS'!B:B, 'Hospitais Regionais e OSS'!O:O)</f>
        <v>32722233.26</v>
      </c>
      <c r="O31" s="270">
        <f t="array" ref="O31">_xlfn.XLOOKUP(E31, 'Hospitais Regionais e OSS'!B:B, 'Hospitais Regionais e OSS'!P:P)</f>
        <v>4876623.35</v>
      </c>
      <c r="P31" s="270">
        <f t="array" ref="P31">_xlfn.XLOOKUP(E31, 'Hospitais Regionais e OSS'!B:B, 'Hospitais Regionais e OSS'!Q:Q)</f>
        <v>5433963.22</v>
      </c>
      <c r="Q31" s="271">
        <f t="array" ref="Q31">_xlfn.XLOOKUP(E31, 'Hospitais Regionais e OSS'!B:B, 'Hospitais Regionais e OSS'!R:R)</f>
        <v>0.1142880698</v>
      </c>
      <c r="R31" s="270" t="str">
        <f t="array" ref="R31">_xlfn.XLOOKUP(E31, 'Hospitais Regionais e OSS'!B:B, 'Hospitais Regionais e OSS'!S:S)</f>
        <v/>
      </c>
      <c r="S31" s="272"/>
      <c r="T31" s="273" t="str">
        <f t="array" ref="T31">_xlfn.XLOOKUP(E31, 'Hospitais Regionais e OSS'!B:B, 'Hospitais Regionais e OSS'!T:T)</f>
        <v>Aquisição de nova autoclave e compressor para funcionamento do CME; Aquisição de dois aparelhos para realização de exames de endoscopia; Aquisição de 02 ambulâncias;; Aquisição de equipamentos médico-hospitalares, incluindo bisturi elétrico, aparelho de ultrassonografia com doppler, analisador de gases sanguíneos, perfuradores cirúrgicos para ortopedia, incubadora de transporte, bilirrubinômetro e ressuscitador pulmonar infantil e otoscópio, aparelho de raio-x portátil digital e fixo, Incubadora neonatal, incubadora de transporte, eletrocardiógrafo,  12 kits instrumentais básico menor, 04 kits instrumentais básico médio, 02 kits de instrumentais básico maior, aparelho de ultrassom portátil+ecocardiograma, compressor 4D; Aquisição de mobiliário hospitalar, como camas hospitalares manuais e elétricas (21 unidades), macas para consultório, cadeiras de rodas, mesas de cabeceira, mesas auxiliares, poltronas, longarinas,  armário alto, armários baixos, mesas estação de trabalho , guarda-roupas em aço, escadas hospitalares e carrinhos auxiliares, poltrona para obeso, carros macas, estante aramadas; Aquisição de equipamentos de apoio e eletrodomésticos para a unidade, incluindo micro-ondas, refrigeradores e freezer, aparelho de tv, bebedouro; Aquisição de instrumentais; Aquisição de 60 computadores; Criação de farmácia satélite na emergência;
</v>
      </c>
      <c r="U31" s="267"/>
    </row>
    <row r="32" ht="137.25" customHeight="1">
      <c r="A32" s="274">
        <v>2611606.0</v>
      </c>
      <c r="B32" s="264" t="s">
        <v>356</v>
      </c>
      <c r="C32" s="265" t="s">
        <v>419</v>
      </c>
      <c r="D32" s="125" t="s">
        <v>1</v>
      </c>
      <c r="E32" s="121" t="s">
        <v>47</v>
      </c>
      <c r="F32" s="266" t="str">
        <f t="array" ref="F32">TEXTJOIN(CHAR(10), TRUE, 
  "*" &amp; E32 &amp; "*", 
 "Tipo de Gestão: " &amp; _xlfn.XLOOKUP(E32, 'Os Seis Grandes'!B:B, 'Os Seis Grandes'!C:C, "Não encontrado"),
"Localização: " &amp; _xlfn.XLOOKUP(E32, 'Os Seis Grandes'!B:B, 'Os Seis Grandes'!D:D, "Não encontrado"), 
"Número de leitos: " &amp; _xlfn.XLOOKUP(E32, 'Os Seis Grandes'!B:B, 'Os Seis Grandes'!E:E, "Não encontrado"),
"Leitos abertos nesta gestão: " &amp; _xlfn.XLOOKUP(E32, 'Os Seis Grandes'!B:B, 'Os Seis Grandes'!F:F, "Não encontrado"),
"Tipos de leitos abertos nesta gestão: " &amp; _xlfn.XLOOKUP(E32, 'Os Seis Grandes'!B:B, 'Os Seis Grandes'!G:G, "Não encontrado"),
"Leitos a abrir com o fim das reformas : " &amp; _xlfn.XLOOKUP(E32, 'Os Seis Grandes'!B:B, 'Os Seis Grandes'!H:H, "Não encontrado"),
"Perfil: " &amp; _xlfn.XLOOKUP(E32, 'Os Seis Grandes'!B:B, 'Os Seis Grandes'!I:I, "Não encontrado"), 
"Nº Profissionais Total: " &amp; _xlfn.XLOOKUP(E32, 'Os Seis Grandes'!B:B, 'Os Seis Grandes'!J:J, "Não encontrado"), 
"Nº Profissionais convocados nesta gestão: " &amp; _xlfn.XLOOKUP(E32, 'Os Seis Grandes'!B:B, 'Os Seis Grandes'!K:K, "Não encontrado"), 
"Valor do contrato de manutenção predial (anual): " &amp; TEXT(_xlfn.XLOOKUP(E32, 'Os Seis Grandes'!B:B, 'Os Seis Grandes'!L:L, 0), "R$ #.##0,0"),
"Cofinanciamento 2022: " &amp; TEXT(_xlfn.XLOOKUP(E32, 'Os Seis Grandes'!B:B, 'Os Seis Grandes'!M:M, 0), "R$ #.##0,0"),
"Cofinanciamento 2025: " &amp; TEXT(_xlfn.XLOOKUP(E32, 'Os Seis Grandes'!B:B, 'Os Seis Grandes'!N:N, 0), "R$ #.##0,0"),
"Aumento Cofinanciamento  (2022 a 2025) %: " &amp; TEXT(_xlfn.XLOOKUP(E32, 'Os Seis Grandes'!B:B, 'Os Seis Grandes'!O:O, 0), "00.00%"), 
"Investimento nesta gestão: " &amp; TEXT(_xlfn.XLOOKUP(E32, 'Os Seis Grandes'!B:B, 'Os Seis Grandes'!P:P, 0), "R$ #.##0,0"), 
"Nova equipagem: " &amp; _xlfn.XLOOKUP(E32, 'Os Seis Grandes'!B:B, 'Os Seis Grandes'!Q:Q, "Não encontrado"), 
"Obras de infraestrutura: " &amp; _xlfn.XLOOKUP(E32, 'Os Seis Grandes'!B:B, 'Os Seis Grandes'!R:R, "Não encontrado"),)</f>
        <v>*Hospital Agamenon Magalhães (HAM)*
Tipo de Gestão: Gestão própria
Localização: Estrada do Arraial, 2723, Casa Amarela - Recife
Número de leitos: 382
Leitos abertos nesta gestão: -
Tipos de leitos abertos nesta gestão: -
Leitos a abrir com o fim das reformas : 38
Perfil: Urgência: Cardiologia, Clínica Médica, Cirurgia Geral, Ginecologia, Obstetrícia de alto risco, Otorrinolaringologia. Ambulatorial: Cardiologia, cirurgia bariátrica, cirurgia geral, cirurgia plástica, cirurgia vascular, clínica médica, endocrinologia, ginecologia, obstetrícia de alto risco e otorrinolaringologia. 
Nº Profissionais Total: 3408
Nº Profissionais convocados nesta gestão: 968
Valor do contrato de manutenção predial (anual): R$ 10.638.677,0300
Cofinanciamento 2022: R$ 51.693.313,9100
Cofinanciamento 2025: R$ 67.660.504,2900
Aumento Cofinanciamento  (2022 a 2025) %: 30,89%
Investimento nesta gestão: R$ 103.190.055,3300
Nova equipagem: Estamos fazendo: Aquisição de 1 nova hemodinâmica. Já entregamos: 1 mamógrafo; 5 aparelhos de ultrassom; 5 microscópios binoculares; 7 aparelhos de anestesia; 1 cadeira ginecológica; 1 aparelho de emissão otoacústica; 1 serra cardíaca; 1 fibroscópio; 40 monitores multiparamétricos; berço aquecido; incubadora neonatal; biliberço; instrumentais cirúrgicos; camas elétricas.
Obras de infraestrutura: Estamos fazendo: Aquisição e instaçação de 6 elevadores, dos quais 2 já foram entregues; requalificação do bloco cirúrgico ambulatorial; requalificação de 6 salas cirúrgicas, das quais 2 já foram entregues; emergência cardiológica; requalificação da fachada; requalificação das enfermarias. Já entregamos: requalificação da cozinha e do refeitório; requalificação do Wilma Lessa; requalificação das enfermarias do alojamento conjunto; requalificação da UTI geral; requalificação das enfermarias de clínica médica.</v>
      </c>
      <c r="G32" s="55" t="s">
        <v>49</v>
      </c>
      <c r="H32" s="55"/>
      <c r="I32" s="267">
        <f t="array" ref="I32">_xlfn.XLOOKUP(E32, 'Os Seis Grandes'!B:B, 'Os Seis Grandes'!E:E)</f>
        <v>382</v>
      </c>
      <c r="J32" s="194" t="str">
        <f t="array" ref="J32">_xlfn.XLOOKUP(E32, 'Os Seis Grandes'!B:B, 'Os Seis Grandes'!I:I)</f>
        <v>Urgência: Cardiologia, Clínica Médica, Cirurgia Geral, Ginecologia, Obstetrícia de alto risco, Otorrinolaringologia. Ambulatorial: Cardiologia, cirurgia bariátrica, cirurgia geral, cirurgia plástica, cirurgia vascular, clínica médica, endocrinologia, ginecologia, obstetrícia de alto risco e otorrinolaringologia. 
</v>
      </c>
      <c r="K32" s="268">
        <f t="array" ref="K32">_xlfn.XLOOKUP(E32, 'Os Seis Grandes'!B:B, 'Os Seis Grandes'!J:J)</f>
        <v>3408</v>
      </c>
      <c r="L32" s="326">
        <f t="array" ref="L32">_xlfn.XLOOKUP(E32, 'Os Seis Grandes'!B:B, 'Os Seis Grandes'!K:K)</f>
        <v>968</v>
      </c>
      <c r="M32" s="269">
        <f t="array" ref="M32">_xlfn.XLOOKUP(E32, 'Os Seis Grandes'!B:B, 'Os Seis Grandes'!L:L)</f>
        <v>10638677.03</v>
      </c>
      <c r="N32" s="270">
        <f t="array" ref="N32">_xlfn.XLOOKUP(E32, 'Os Seis Grandes'!B:B, 'Os Seis Grandes'!P:P)</f>
        <v>103190055.3</v>
      </c>
      <c r="O32" s="270">
        <f t="array" ref="O32">_xlfn.XLOOKUP(E32, 'Os Seis Grandes'!B:B, 'Os Seis Grandes'!M:M)</f>
        <v>51693313.91</v>
      </c>
      <c r="P32" s="270">
        <f t="array" ref="P32">_xlfn.XLOOKUP(E32, 'Os Seis Grandes'!B:B, 'Os Seis Grandes'!N:N)</f>
        <v>67660504.29</v>
      </c>
      <c r="Q32" s="271">
        <f t="array" ref="Q32">_xlfn.XLOOKUP(E32, 'Os Seis Grandes'!B:B, 'Os Seis Grandes'!O:O)</f>
        <v>0.308883087</v>
      </c>
      <c r="R32" s="267"/>
      <c r="S32" s="272"/>
      <c r="T32" s="273" t="str">
        <f t="array" ref="T32">_xlfn.XLOOKUP(E32, 'Os Seis Grandes'!B:B, 'Os Seis Grandes'!Q:Q)</f>
        <v>Estamos fazendo: Aquisição de 1 nova hemodinâmica. Já entregamos: 1 mamógrafo; 5 aparelhos de ultrassom; 5 microscópios binoculares; 7 aparelhos de anestesia; 1 cadeira ginecológica; 1 aparelho de emissão otoacústica; 1 serra cardíaca; 1 fibroscópio; 40 monitores multiparamétricos; berço aquecido; incubadora neonatal; biliberço; instrumentais cirúrgicos; camas elétricas.</v>
      </c>
      <c r="U32" s="267"/>
    </row>
    <row r="33" ht="137.25" customHeight="1">
      <c r="A33" s="274">
        <v>2611606.0</v>
      </c>
      <c r="B33" s="264" t="s">
        <v>356</v>
      </c>
      <c r="C33" s="265" t="s">
        <v>419</v>
      </c>
      <c r="D33" s="125" t="s">
        <v>1</v>
      </c>
      <c r="E33" s="121" t="s">
        <v>136</v>
      </c>
      <c r="F33" s="266" t="str">
        <f t="array" ref="F33">TEXTJOIN(CHAR(10), TRUE, 
  "*" &amp; E33 &amp; "*", 
 "Tipo de Gestão: " &amp; _xlfn.XLOOKUP(E33, 'Os Seis Grandes'!B:B, 'Os Seis Grandes'!C:C, "Não encontrado"),
"Localização: " &amp; _xlfn.XLOOKUP(E33, 'Os Seis Grandes'!B:B, 'Os Seis Grandes'!D:D, "Não encontrado"), 
"Número de leitos: " &amp; _xlfn.XLOOKUP(E33, 'Os Seis Grandes'!B:B, 'Os Seis Grandes'!E:E, "Não encontrado"),
"Leitos abertos nesta gestão: " &amp; _xlfn.XLOOKUP(E33, 'Os Seis Grandes'!B:B, 'Os Seis Grandes'!F:F, "Não encontrado"),
"Tipos de leitos abertos nesta gestão: " &amp; _xlfn.XLOOKUP(E33, 'Os Seis Grandes'!B:B, 'Os Seis Grandes'!G:G, "Não encontrado"),
"Leitos a abrir com o fim das reformas : " &amp; _xlfn.XLOOKUP(E33, 'Os Seis Grandes'!B:B, 'Os Seis Grandes'!H:H, "Não encontrado"),
"Perfil: " &amp; _xlfn.XLOOKUP(E33, 'Os Seis Grandes'!B:B, 'Os Seis Grandes'!I:I, "Não encontrado"), 
"Nº Profissionais Total: " &amp; _xlfn.XLOOKUP(E33, 'Os Seis Grandes'!B:B, 'Os Seis Grandes'!J:J, "Não encontrado"), 
"Nº Profissionais convocados nesta gestão: " &amp; _xlfn.XLOOKUP(E33, 'Os Seis Grandes'!B:B, 'Os Seis Grandes'!K:K, "Não encontrado"), 
"Valor do contrato de manutenção predial (anual): " &amp; TEXT(_xlfn.XLOOKUP(E33, 'Os Seis Grandes'!B:B, 'Os Seis Grandes'!L:L, 0), "R$ #.##0,0"),
"Cofinanciamento 2022: " &amp; TEXT(_xlfn.XLOOKUP(E33, 'Os Seis Grandes'!B:B, 'Os Seis Grandes'!M:M, 0), "R$ #.##0,0"),
"Cofinanciamento 2025: " &amp; TEXT(_xlfn.XLOOKUP(E33, 'Os Seis Grandes'!B:B, 'Os Seis Grandes'!N:N, 0), "R$ #.##0,0"),
"Aumento Cofinanciamento  (2022 a 2025) %: " &amp; TEXT(_xlfn.XLOOKUP(E33, 'Os Seis Grandes'!B:B, 'Os Seis Grandes'!O:O, 0), "00.00%"), 
"Investimento nesta gestão: " &amp; TEXT(_xlfn.XLOOKUP(E33, 'Os Seis Grandes'!B:B, 'Os Seis Grandes'!P:P, 0), "R$ #.##0,0"), 
"Nova equipagem: " &amp; _xlfn.XLOOKUP(E33, 'Os Seis Grandes'!B:B, 'Os Seis Grandes'!Q:Q, "Não encontrado"), 
"Obras de infraestrutura: " &amp; _xlfn.XLOOKUP(E33, 'Os Seis Grandes'!B:B, 'Os Seis Grandes'!R:R, "Não encontrado"),)</f>
        <v>*Hospital da Restauração (HR)*
Tipo de Gestão: Gestão própria
Localização: Av. Gov. Agamenon Magalhães, s/n - Derby, Recife - PE
Número de leitos: 830
Leitos abertos nesta gestão: -
Tipos de leitos abertos nesta gestão: -
Leitos a abrir com o fim das reformas : -
Perfil: Urgência: Ortopedia e Traumatologia, queimados, neurocirurgia, neurologia, clínica médica, vascular e emergência pediátrica;                                                                       Referência Ambulatorial: Bucomaxilofacial adulto e pediátrica, cirurgia geral, cirurgia vascular, clínica médica, hemodinâmica, neurocirurgia, neurocirurgia  pediátrica, ortopedia e traumatologia adulto e pediátrica, ortopedia adulto e pediátrica, queimados e reumatologia.
Nº Profissionais Total: 5510
Nº Profissionais convocados nesta gestão: 2206
Valor do contrato de manutenção predial (anual): R$ 13.020.624,2300
Cofinanciamento 2022: R$ 122.153.944,7900
Cofinanciamento 2025: R$ 155.927.763,4600
Aumento Cofinanciamento  (2022 a 2025) %: 27,65%
Investimento nesta gestão: R$ 176.573.825,3400
Nova equipagem: Aparelhos de ultrassom móvel; aparelho de hemodinâmica; tomógrafo; 1 ressonância magnética; aparelho de raio-x panorâmico; mesas cirúrgicas; microcópio cirúrgico; bisturi elétrico; cardioversor; carro de emergência; aparelhos de anestesia; arcos cirúrgicos móveis; camas elétricas; instrumentais cirúrgicos; coagulador por plasma de argônio.
Obras de infraestrutura: Estamos fazendo: instalação de 02 novos elevadores; requalificação da emergência pediátrica; requalificação das UTIs A e B; requalificação do 4º andar; requalificação do refeitório e da cozinha; reestruturação do estacionamento; requalificação do setor de hemodiálise. Já entregamos: Instalação de 1 tomógrafo; requalificação do setor de imagem; instalação da central de laudos; requalificação do setor de patologia; requalificação da biblioteca; requalificação da unidade de tratamento de queimados; requalificação do setor de endoscopia; requalificação da sala vermelha do trauma; requalificação do 6º andar; requalificação do 8º andar; requalificação da UTI pediátrica; requalificação da sala laranja do trauma; requalificação da fachada; requalificação da USAN - Unidade de Suporte Avançado em Neurocirurgia com ampliação de 09 leitos.</v>
      </c>
      <c r="G33" s="55" t="s">
        <v>49</v>
      </c>
      <c r="H33" s="55"/>
      <c r="I33" s="267">
        <f t="array" ref="I33">_xlfn.XLOOKUP(E33, 'Os Seis Grandes'!B:B, 'Os Seis Grandes'!E:E)</f>
        <v>830</v>
      </c>
      <c r="J33" s="194" t="str">
        <f t="array" ref="J33">_xlfn.XLOOKUP(E33, 'Os Seis Grandes'!B:B, 'Os Seis Grandes'!I:I)</f>
        <v>Urgência: Ortopedia e Traumatologia, queimados, neurocirurgia, neurologia, clínica médica, vascular e emergência pediátrica;                                                                       Referência Ambulatorial: Bucomaxilofacial adulto e pediátrica, cirurgia geral, cirurgia vascular, clínica médica, hemodinâmica, neurocirurgia, neurocirurgia  pediátrica, ortopedia e traumatologia adulto e pediátrica, ortopedia adulto e pediátrica, queimados e reumatologia.
</v>
      </c>
      <c r="K33" s="268">
        <f t="array" ref="K33">_xlfn.XLOOKUP(E33, 'Os Seis Grandes'!B:B, 'Os Seis Grandes'!J:J)</f>
        <v>5510</v>
      </c>
      <c r="L33" s="326">
        <f t="array" ref="L33">_xlfn.XLOOKUP(E33, 'Os Seis Grandes'!B:B, 'Os Seis Grandes'!K:K)</f>
        <v>2206</v>
      </c>
      <c r="M33" s="269">
        <f t="array" ref="M33">_xlfn.XLOOKUP(E33, 'Os Seis Grandes'!B:B, 'Os Seis Grandes'!L:L)</f>
        <v>13020624.23</v>
      </c>
      <c r="N33" s="270">
        <f t="array" ref="N33">_xlfn.XLOOKUP(E33, 'Os Seis Grandes'!B:B, 'Os Seis Grandes'!P:P)</f>
        <v>176573825.3</v>
      </c>
      <c r="O33" s="270">
        <f t="array" ref="O33">_xlfn.XLOOKUP(E33, 'Os Seis Grandes'!B:B, 'Os Seis Grandes'!M:M)</f>
        <v>122153944.8</v>
      </c>
      <c r="P33" s="270">
        <f t="array" ref="P33">_xlfn.XLOOKUP(E33, 'Os Seis Grandes'!B:B, 'Os Seis Grandes'!N:N)</f>
        <v>155927763.5</v>
      </c>
      <c r="Q33" s="271">
        <f t="array" ref="Q33">_xlfn.XLOOKUP(E33, 'Os Seis Grandes'!B:B, 'Os Seis Grandes'!O:O)</f>
        <v>0.2764856978</v>
      </c>
      <c r="R33" s="267"/>
      <c r="S33" s="272"/>
      <c r="T33" s="273" t="str">
        <f t="array" ref="T33">_xlfn.XLOOKUP(E33, 'Os Seis Grandes'!B:B, 'Os Seis Grandes'!Q:Q)</f>
        <v>Aparelhos de ultrassom móvel; aparelho de hemodinâmica; tomógrafo; 1 ressonância magnética; aparelho de raio-x panorâmico; mesas cirúrgicas; microcópio cirúrgico; bisturi elétrico; cardioversor; carro de emergência; aparelhos de anestesia; arcos cirúrgicos móveis; camas elétricas; instrumentais cirúrgicos; coagulador por plasma de argônio.</v>
      </c>
      <c r="U33" s="267"/>
    </row>
    <row r="34" ht="137.25" customHeight="1">
      <c r="A34" s="274">
        <v>2611606.0</v>
      </c>
      <c r="B34" s="264" t="s">
        <v>356</v>
      </c>
      <c r="C34" s="265" t="s">
        <v>419</v>
      </c>
      <c r="D34" s="125" t="s">
        <v>1</v>
      </c>
      <c r="E34" s="121" t="s">
        <v>167</v>
      </c>
      <c r="F34" s="266" t="str">
        <f t="array" ref="F34">TEXTJOIN(CHAR(10), TRUE, 
  "*" &amp; E34 &amp; "*", 
 "Tipo de Gestão: " &amp; _xlfn.XLOOKUP(E34, 'Os Seis Grandes'!B:B, 'Os Seis Grandes'!C:C, "Não encontrado"),
"Localização: " &amp; _xlfn.XLOOKUP(E34, 'Os Seis Grandes'!B:B, 'Os Seis Grandes'!D:D, "Não encontrado"), 
"Número de leitos: " &amp; _xlfn.XLOOKUP(E34, 'Os Seis Grandes'!B:B, 'Os Seis Grandes'!E:E, "Não encontrado"),
"Leitos abertos nesta gestão: " &amp; _xlfn.XLOOKUP(E34, 'Os Seis Grandes'!B:B, 'Os Seis Grandes'!F:F, "Não encontrado"),
"Tipos de leitos abertos nesta gestão: " &amp; _xlfn.XLOOKUP(E34, 'Os Seis Grandes'!B:B, 'Os Seis Grandes'!G:G, "Não encontrado"),
"Leitos a abrir com o fim das reformas : " &amp; _xlfn.XLOOKUP(E34, 'Os Seis Grandes'!B:B, 'Os Seis Grandes'!H:H, "Não encontrado"),
"Perfil: " &amp; _xlfn.XLOOKUP(E34, 'Os Seis Grandes'!B:B, 'Os Seis Grandes'!I:I, "Não encontrado"), 
"Nº Profissionais Total: " &amp; _xlfn.XLOOKUP(E34, 'Os Seis Grandes'!B:B, 'Os Seis Grandes'!J:J, "Não encontrado"), 
"Nº Profissionais convocados nesta gestão: " &amp; _xlfn.XLOOKUP(E34, 'Os Seis Grandes'!B:B, 'Os Seis Grandes'!K:K, "Não encontrado"), 
"Valor do contrato de manutenção predial (anual): " &amp; TEXT(_xlfn.XLOOKUP(E34, 'Os Seis Grandes'!B:B, 'Os Seis Grandes'!L:L, 0), "R$ #.##0,0"),
"Cofinanciamento 2022: " &amp; TEXT(_xlfn.XLOOKUP(E34, 'Os Seis Grandes'!B:B, 'Os Seis Grandes'!M:M, 0), "R$ #.##0,0"),
"Cofinanciamento 2025: " &amp; TEXT(_xlfn.XLOOKUP(E34, 'Os Seis Grandes'!B:B, 'Os Seis Grandes'!N:N, 0), "R$ #.##0,0"),
"Aumento Cofinanciamento  (2022 a 2025) %: " &amp; TEXT(_xlfn.XLOOKUP(E34, 'Os Seis Grandes'!B:B, 'Os Seis Grandes'!O:O, 0), "00.00%"), 
"Investimento nesta gestão: " &amp; TEXT(_xlfn.XLOOKUP(E34, 'Os Seis Grandes'!B:B, 'Os Seis Grandes'!P:P, 0), "R$ #.##0,0"), 
"Nova equipagem: " &amp; _xlfn.XLOOKUP(E34, 'Os Seis Grandes'!B:B, 'Os Seis Grandes'!Q:Q, "Não encontrado"), 
"Obras de infraestrutura: " &amp; _xlfn.XLOOKUP(E34, 'Os Seis Grandes'!B:B, 'Os Seis Grandes'!R:R, "Não encontrado"),)</f>
        <v>*Hospital Barão de Lucena (HBL)*
Tipo de Gestão: Gestão própria
Localização: Av. Caxangá, 3860 - Iputinga, Recife - PE
Número de leitos: 311
Leitos abertos nesta gestão: 10
Tipos de leitos abertos nesta gestão: UTI Pediátrica
Leitos a abrir com o fim das reformas : 71
Perfil: Urgência: Obstetrícia de alto risco, emergência pediátrica. Ambulatório: Dermatologia, obstetrícia de alto risco, oncologia, nefrologia adulto e pediátrico, clínicas cirúrgicas (vascular, geral, proctologia, torácica, ginecologia e mastologia), endocrinologia, neuropediatria e programa de ostomizados, SAE (Serviço de Atenção Especializada em HIV/Aids)
Nº Profissionais Total: 3154
Nº Profissionais convocados nesta gestão: 1272
Valor do contrato de manutenção predial (anual): R$ 7.677.188,1600
Cofinanciamento 2022: R$ 45.346.764,2700
Cofinanciamento 2025: R$ 84.855.255,1900
Aumento Cofinanciamento  (2022 a 2025) %: 87,13%
Investimento nesta gestão: R$ 134.761.184,9900
Nova equipagem: Aquisição de 1 mamógrafo; sistema de videolaparoscopia; 01 sistema de ultrassonografia digital; 1 micrótomo de rotação; 1 mesa cirúrgica elétrica; 2 videogastroscópio; 1 videolaringoscópio; aparelho de fototerapia; aparelho de banho histológico; incubadora neonatal; aparelho de fototerapia direta; bilirrubinômetro; 9 aparelhos de anestesia; instrumentais cirúrgicos; camas elétricas. 
Obras de infraestrutura: Estamos fazendo: Requalificação das enfermarias do 3ª andar; requalificação da fachada; reforma do setor de quimioterapia, hemodiálise, laboratório, CME - Central de Material e Esterilização, SAME - Serviço de Arquivo Médico; instalação do novo setor de hemodiálise. Já entregamos: Requalificação da UTI adulto; requalificação da UTI pediátrica; Requalificação da UTI neonatal; instalação de 02 novos elevadores. </v>
      </c>
      <c r="G34" s="55" t="s">
        <v>49</v>
      </c>
      <c r="H34" s="55"/>
      <c r="I34" s="267">
        <f t="array" ref="I34">_xlfn.XLOOKUP(E34, 'Os Seis Grandes'!B:B, 'Os Seis Grandes'!E:E)</f>
        <v>311</v>
      </c>
      <c r="J34" s="194" t="str">
        <f t="array" ref="J34">_xlfn.XLOOKUP(E34, 'Os Seis Grandes'!B:B, 'Os Seis Grandes'!I:I)</f>
        <v>Urgência: Obstetrícia de alto risco, emergência pediátrica. Ambulatório: Dermatologia, obstetrícia de alto risco, oncologia, nefrologia adulto e pediátrico, clínicas cirúrgicas (vascular, geral, proctologia, torácica, ginecologia e mastologia), endocrinologia, neuropediatria e programa de ostomizados, SAE (Serviço de Atenção Especializada em HIV/Aids)</v>
      </c>
      <c r="K34" s="268">
        <f t="array" ref="K34">_xlfn.XLOOKUP(E34, 'Os Seis Grandes'!B:B, 'Os Seis Grandes'!J:J)</f>
        <v>3154</v>
      </c>
      <c r="L34" s="326">
        <f t="array" ref="L34">_xlfn.XLOOKUP(E34, 'Os Seis Grandes'!B:B, 'Os Seis Grandes'!K:K)</f>
        <v>1272</v>
      </c>
      <c r="M34" s="269">
        <f t="array" ref="M34">_xlfn.XLOOKUP(E34, 'Os Seis Grandes'!B:B, 'Os Seis Grandes'!L:L)</f>
        <v>7677188.16</v>
      </c>
      <c r="N34" s="270">
        <f t="array" ref="N34">_xlfn.XLOOKUP(E34, 'Os Seis Grandes'!B:B, 'Os Seis Grandes'!P:P)</f>
        <v>134761185</v>
      </c>
      <c r="O34" s="270">
        <f t="array" ref="O34">_xlfn.XLOOKUP(E34, 'Os Seis Grandes'!B:B, 'Os Seis Grandes'!M:M)</f>
        <v>45346764.27</v>
      </c>
      <c r="P34" s="270">
        <f t="array" ref="P34">_xlfn.XLOOKUP(E34, 'Os Seis Grandes'!B:B, 'Os Seis Grandes'!N:N)</f>
        <v>84855255.19</v>
      </c>
      <c r="Q34" s="271">
        <f t="array" ref="Q34">_xlfn.XLOOKUP(E34, 'Os Seis Grandes'!B:B, 'Os Seis Grandes'!O:O)</f>
        <v>0.8712527025</v>
      </c>
      <c r="R34" s="267"/>
      <c r="S34" s="272"/>
      <c r="T34" s="273" t="str">
        <f t="array" ref="T34">_xlfn.XLOOKUP(E34, 'Os Seis Grandes'!B:B, 'Os Seis Grandes'!Q:Q)</f>
        <v>Aquisição de 1 mamógrafo; sistema de videolaparoscopia; 01 sistema de ultrassonografia digital; 1 micrótomo de rotação; 1 mesa cirúrgica elétrica; 2 videogastroscópio; 1 videolaringoscópio; aparelho de fototerapia; aparelho de banho histológico; incubadora neonatal; aparelho de fototerapia direta; bilirrubinômetro; 9 aparelhos de anestesia; instrumentais cirúrgicos; camas elétricas. </v>
      </c>
      <c r="U34" s="267"/>
    </row>
    <row r="35" ht="137.25" customHeight="1">
      <c r="A35" s="274">
        <v>2611606.0</v>
      </c>
      <c r="B35" s="264" t="s">
        <v>356</v>
      </c>
      <c r="C35" s="265" t="s">
        <v>419</v>
      </c>
      <c r="D35" s="125" t="s">
        <v>1</v>
      </c>
      <c r="E35" s="121" t="s">
        <v>182</v>
      </c>
      <c r="F35" s="266" t="str">
        <f t="array" ref="F35">TEXTJOIN(CHAR(10), TRUE, 
  "*" &amp; E35 &amp; "*", 
 "Tipo de Gestão: " &amp; _xlfn.XLOOKUP(E35, 'Os Seis Grandes'!B:B, 'Os Seis Grandes'!C:C, "Não encontrado"),
"Localização: " &amp; _xlfn.XLOOKUP(E35, 'Os Seis Grandes'!B:B, 'Os Seis Grandes'!D:D, "Não encontrado"), 
"Número de leitos: " &amp; _xlfn.XLOOKUP(E35, 'Os Seis Grandes'!B:B, 'Os Seis Grandes'!E:E, "Não encontrado"),
"Leitos abertos nesta gestão: " &amp; _xlfn.XLOOKUP(E35, 'Os Seis Grandes'!B:B, 'Os Seis Grandes'!F:F, "Não encontrado"),
"Tipos de leitos abertos nesta gestão: " &amp; _xlfn.XLOOKUP(E35, 'Os Seis Grandes'!B:B, 'Os Seis Grandes'!G:G, "Não encontrado"),
"Leitos a abrir com o fim das reformas : " &amp; _xlfn.XLOOKUP(E35, 'Os Seis Grandes'!B:B, 'Os Seis Grandes'!H:H, "Não encontrado"),
"Perfil: " &amp; _xlfn.XLOOKUP(E35, 'Os Seis Grandes'!B:B, 'Os Seis Grandes'!I:I, "Não encontrado"), 
"Nº Profissionais Total: " &amp; _xlfn.XLOOKUP(E35, 'Os Seis Grandes'!B:B, 'Os Seis Grandes'!J:J, "Não encontrado"), 
"Nº Profissionais convocados nesta gestão: " &amp; _xlfn.XLOOKUP(E35, 'Os Seis Grandes'!B:B, 'Os Seis Grandes'!K:K, "Não encontrado"), 
"Valor do contrato de manutenção predial (anual): " &amp; TEXT(_xlfn.XLOOKUP(E35, 'Os Seis Grandes'!B:B, 'Os Seis Grandes'!L:L, 0), "R$ #.##0,0"),
"Cofinanciamento 2022: " &amp; TEXT(_xlfn.XLOOKUP(E35, 'Os Seis Grandes'!B:B, 'Os Seis Grandes'!M:M, 0), "R$ #.##0,0"),
"Cofinanciamento 2025: " &amp; TEXT(_xlfn.XLOOKUP(E35, 'Os Seis Grandes'!B:B, 'Os Seis Grandes'!N:N, 0), "R$ #.##0,0"),
"Aumento Cofinanciamento  (2022 a 2025) %: " &amp; TEXT(_xlfn.XLOOKUP(E35, 'Os Seis Grandes'!B:B, 'Os Seis Grandes'!O:O, 0), "00.00%"), 
"Investimento nesta gestão: " &amp; TEXT(_xlfn.XLOOKUP(E35, 'Os Seis Grandes'!B:B, 'Os Seis Grandes'!P:P, 0), "R$ #.##0,0"), 
"Nova equipagem: " &amp; _xlfn.XLOOKUP(E35, 'Os Seis Grandes'!B:B, 'Os Seis Grandes'!Q:Q, "Não encontrado"), 
"Obras de infraestrutura: " &amp; _xlfn.XLOOKUP(E35, 'Os Seis Grandes'!B:B, 'Os Seis Grandes'!R:R, "Não encontrado"),)</f>
        <v>*Hospital Getúlio Vargas (HGV)*
Tipo de Gestão: Gestão própria
Localização: Av. Gen. San Martin, s/n - Cordeiro, Recife - PE
Número de leitos: 415
Leitos abertos nesta gestão: -
Tipos de leitos abertos nesta gestão: -
Leitos a abrir com o fim das reformas : -
Perfil: Urgência: Clínica Médica, Ortopedia e Traumatologia, Bucomaxilofacial, Cirurgia Geral e Cirurgia Vascular. Ambulatorial: Clínica Médica, cirurgia geral, cirurgia vascular, dermatologia, endocrinologia, gastroenterologia, geriatria, neurologia, neurocirurgia, nutrição, acupuntura, ortopedia e traumatologia, ortopedia e traumatologia pediátrica especializada em pé torto, proctologia e urologia.
Nº Profissionais Total: 2853
Nº Profissionais convocados nesta gestão: 925
Valor do contrato de manutenção predial (anual): R$ 6.804.023,7400
Cofinanciamento 2022: R$ 58.396.640,2300
Cofinanciamento 2025: R$ 71.547.860,1600
Aumento Cofinanciamento  (2022 a 2025) %: 22,52%
Investimento nesta gestão: R$ 77.938.404,200
Nova equipagem: Aparelho de hemodinâmica; aparelho de raio-x odontológico; ventiladores pulmonares; aparelhos de anestesia; foco cirúrgico fixo; foco cirúrgico móvel; umidificador aquecido; bomba injetora de contraste; instrumentais cirúrgicos; carro de emergência; mesa cirúrgica; aparelho de anestesia; ventilador pulmonar de transporte; arco cirúrgico; sistema de videolaparoscopia; eletrocardiógrafo; aparelho de ultrassom móvel; perfurador ósseo; camas elétricas.
Obras de infraestrutura: Estamos fazendo: requalificação das enfermarias; instalação de 2 novos elevadores; requalificação do bloco cirúrgico ambulatorial. Já entregamos: implantação do novo bloco cirúrgicom com 8 salas; implantação da  hemodinâmica;  requalificação do setor de raio-x; requalificação do castelo d'água.</v>
      </c>
      <c r="G35" s="55" t="s">
        <v>49</v>
      </c>
      <c r="H35" s="55"/>
      <c r="I35" s="267">
        <f t="array" ref="I35">_xlfn.XLOOKUP(E35, 'Os Seis Grandes'!B:B, 'Os Seis Grandes'!E:E)</f>
        <v>415</v>
      </c>
      <c r="J35" s="194" t="str">
        <f t="array" ref="J35">_xlfn.XLOOKUP(E35, 'Os Seis Grandes'!B:B, 'Os Seis Grandes'!I:I)</f>
        <v>Urgência: Clínica Médica, Ortopedia e Traumatologia, Bucomaxilofacial, Cirurgia Geral e Cirurgia Vascular. Ambulatorial: Clínica Médica, cirurgia geral, cirurgia vascular, dermatologia, endocrinologia, gastroenterologia, geriatria, neurologia, neurocirurgia, nutrição, acupuntura, ortopedia e traumatologia, ortopedia e traumatologia pediátrica especializada em pé torto, proctologia e urologia.</v>
      </c>
      <c r="K35" s="268">
        <f t="array" ref="K35">_xlfn.XLOOKUP(E35, 'Os Seis Grandes'!B:B, 'Os Seis Grandes'!J:J)</f>
        <v>2853</v>
      </c>
      <c r="L35" s="326">
        <f t="array" ref="L35">_xlfn.XLOOKUP(E35, 'Os Seis Grandes'!B:B, 'Os Seis Grandes'!K:K)</f>
        <v>925</v>
      </c>
      <c r="M35" s="269">
        <f t="array" ref="M35">_xlfn.XLOOKUP(E35, 'Os Seis Grandes'!B:B, 'Os Seis Grandes'!L:L)</f>
        <v>6804023.74</v>
      </c>
      <c r="N35" s="270">
        <f t="array" ref="N35">_xlfn.XLOOKUP(E35, 'Os Seis Grandes'!B:B, 'Os Seis Grandes'!P:P)</f>
        <v>77938404.2</v>
      </c>
      <c r="O35" s="270">
        <f t="array" ref="O35">_xlfn.XLOOKUP(E35, 'Os Seis Grandes'!B:B, 'Os Seis Grandes'!M:M)</f>
        <v>58396640.23</v>
      </c>
      <c r="P35" s="270">
        <f t="array" ref="P35">_xlfn.XLOOKUP(E35, 'Os Seis Grandes'!B:B, 'Os Seis Grandes'!N:N)</f>
        <v>71547860.16</v>
      </c>
      <c r="Q35" s="271">
        <f t="array" ref="Q35">_xlfn.XLOOKUP(E35, 'Os Seis Grandes'!B:B, 'Os Seis Grandes'!O:O)</f>
        <v>0.2252050782</v>
      </c>
      <c r="R35" s="267"/>
      <c r="S35" s="272"/>
      <c r="T35" s="273" t="str">
        <f t="array" ref="T35">_xlfn.XLOOKUP(E35, 'Os Seis Grandes'!B:B, 'Os Seis Grandes'!Q:Q)</f>
        <v>Aparelho de hemodinâmica; aparelho de raio-x odontológico; ventiladores pulmonares; aparelhos de anestesia; foco cirúrgico fixo; foco cirúrgico móvel; umidificador aquecido; bomba injetora de contraste; instrumentais cirúrgicos; carro de emergência; mesa cirúrgica; aparelho de anestesia; ventilador pulmonar de transporte; arco cirúrgico; sistema de videolaparoscopia; eletrocardiógrafo; aparelho de ultrassom móvel; perfurador ósseo; camas elétricas.</v>
      </c>
      <c r="U35" s="267"/>
    </row>
    <row r="36" ht="137.25" customHeight="1">
      <c r="A36" s="274">
        <v>2611606.0</v>
      </c>
      <c r="B36" s="264" t="s">
        <v>356</v>
      </c>
      <c r="C36" s="265" t="s">
        <v>419</v>
      </c>
      <c r="D36" s="125" t="s">
        <v>1</v>
      </c>
      <c r="E36" s="121" t="s">
        <v>197</v>
      </c>
      <c r="F36" s="266" t="str">
        <f t="array" ref="F36">TEXTJOIN(CHAR(10), TRUE, 
  "*" &amp; E36 &amp; "*", 
 "Tipo de Gestão: " &amp; _xlfn.XLOOKUP(E36, 'Os Seis Grandes'!B:B, 'Os Seis Grandes'!C:C, "Não encontrado"),
"Localização: " &amp; _xlfn.XLOOKUP(E36, 'Os Seis Grandes'!B:B, 'Os Seis Grandes'!D:D, "Não encontrado"), 
"Número de leitos: " &amp; _xlfn.XLOOKUP(E36, 'Os Seis Grandes'!B:B, 'Os Seis Grandes'!E:E, "Não encontrado"),
"Leitos abertos nesta gestão: " &amp; _xlfn.XLOOKUP(E36, 'Os Seis Grandes'!B:B, 'Os Seis Grandes'!F:F, "Não encontrado"),
"Tipos de leitos abertos nesta gestão: " &amp; _xlfn.XLOOKUP(E36, 'Os Seis Grandes'!B:B, 'Os Seis Grandes'!G:G, "Não encontrado"),
"Leitos a abrir com o fim das reformas : " &amp; _xlfn.XLOOKUP(E36, 'Os Seis Grandes'!B:B, 'Os Seis Grandes'!H:H, "Não encontrado"),
"Perfil: " &amp; _xlfn.XLOOKUP(E36, 'Os Seis Grandes'!B:B, 'Os Seis Grandes'!I:I, "Não encontrado"), 
"Nº Profissionais Total: " &amp; _xlfn.XLOOKUP(E36, 'Os Seis Grandes'!B:B, 'Os Seis Grandes'!J:J, "Não encontrado"), 
"Nº Profissionais convocados nesta gestão: " &amp; _xlfn.XLOOKUP(E36, 'Os Seis Grandes'!B:B, 'Os Seis Grandes'!K:K, "Não encontrado"), 
"Valor do contrato de manutenção predial (anual): " &amp; TEXT(_xlfn.XLOOKUP(E36, 'Os Seis Grandes'!B:B, 'Os Seis Grandes'!L:L, 0), "R$ #.##0,0"),
"Cofinanciamento 2022: " &amp; TEXT(_xlfn.XLOOKUP(E36, 'Os Seis Grandes'!B:B, 'Os Seis Grandes'!M:M, 0), "R$ #.##0,0"),
"Cofinanciamento 2025: " &amp; TEXT(_xlfn.XLOOKUP(E36, 'Os Seis Grandes'!B:B, 'Os Seis Grandes'!N:N, 0), "R$ #.##0,0"),
"Aumento Cofinanciamento  (2022 a 2025) %: " &amp; TEXT(_xlfn.XLOOKUP(E36, 'Os Seis Grandes'!B:B, 'Os Seis Grandes'!O:O, 0), "00.00%"), 
"Investimento nesta gestão: " &amp; TEXT(_xlfn.XLOOKUP(E36, 'Os Seis Grandes'!B:B, 'Os Seis Grandes'!P:P, 0), "R$ #.##0,0"), 
"Nova equipagem: " &amp; _xlfn.XLOOKUP(E36, 'Os Seis Grandes'!B:B, 'Os Seis Grandes'!Q:Q, "Não encontrado"), 
"Obras de infraestrutura: " &amp; _xlfn.XLOOKUP(E36, 'Os Seis Grandes'!B:B, 'Os Seis Grandes'!R:R, "Não encontrado"),)</f>
        <v>*Hospital Otávio de Freitas (HOF)*
Tipo de Gestão: Gestão própria
Localização: R. Aprígio Guimarães, 600 - Tejipio, Recife - PE
Número de leitos: 564
Leitos abertos nesta gestão: 20
Tipos de leitos abertos nesta gestão: UTI Pediátrica Crônica e Unidade de Cuidados Pronlongados (UCP)
Leitos a abrir com o fim das reformas : 146
Perfil: Urgência: Clínica Médica, Cirurgia Geral, Endoscopia, Urgência Dialítica, Ortopedia e Traumatologia, Urologia, Urologia Pediátrica, Tisiologia, Pneumologia e Cirurgia Torácica. Ambulatorial: Clínica Médica, Cirurgia Geral, Clínicas Cirúrgicas (geral, urologia, traumatologia e ortopedia), Dermatologia, Ambulatório do Sono, Programa de Bexiga Neurogênica, Oxigenioterapia, Tuberculose, Hanseníase, Serviço de Atendimento Especializado IST/Aids.
Nº Profissionais Total: 3275
Nº Profissionais convocados nesta gestão: 1221
Valor do contrato de manutenção predial (anual): R$ 10.899.713,4300
Cofinanciamento 2022: R$ 57.666.779,3400
Cofinanciamento 2025: R$ 118.453.263,5700
Aumento Cofinanciamento  (2022 a 2025) %: 105,41%
Investimento nesta gestão: R$ 166.576.349,1400
Nova equipagem: Sistema de videolaparoscopia; ventiladores pulmonares; aparelhos de anestesia; foco cirúrgico fixo; carro de emergência; mesa cirúrgica; aparelho de anestesia; ventilador pulmonar de transporte; arco cirúrgico; sistema de videolaparoscopia; eletrocardiógrafo; aparelho de ultrassom móvel; perfurador ósseo; camas elétricas; instrumentais cirúrgicos; aparelho de radio-x móvel e fixo.
Obras de infraestrutura: Estamos fazendo: Requalificação da emergência pediátrica; requalificação da UTI pediátrica. Já entregamos: requalificação da cozinha e refeitório; requalificação do SAME - Serviço de Arquivo Médico e Estatística; requalificação e ampliação dos leitos de tisiologia;  requalificação do bloco cirúrgico ambulatorial; requalificação da caixa d'água;  requalificação do setor de endoscopia; requalificação da administração geral; requalificação do setor de imagem; requalificação da UTI respiratória.</v>
      </c>
      <c r="G36" s="55" t="s">
        <v>49</v>
      </c>
      <c r="H36" s="55"/>
      <c r="I36" s="267">
        <f t="array" ref="I36">_xlfn.XLOOKUP(E36, 'Os Seis Grandes'!B:B, 'Os Seis Grandes'!E:E)</f>
        <v>564</v>
      </c>
      <c r="J36" s="194" t="str">
        <f t="array" ref="J36">_xlfn.XLOOKUP(E36, 'Os Seis Grandes'!B:B, 'Os Seis Grandes'!I:I)</f>
        <v>Urgência: Clínica Médica, Cirurgia Geral, Endoscopia, Urgência Dialítica, Ortopedia e Traumatologia, Urologia, Urologia Pediátrica, Tisiologia, Pneumologia e Cirurgia Torácica. Ambulatorial: Clínica Médica, Cirurgia Geral, Clínicas Cirúrgicas (geral, urologia, traumatologia e ortopedia), Dermatologia, Ambulatório do Sono, Programa de Bexiga Neurogênica, Oxigenioterapia, Tuberculose, Hanseníase, Serviço de Atendimento Especializado IST/Aids.
</v>
      </c>
      <c r="K36" s="268">
        <f t="array" ref="K36">_xlfn.XLOOKUP(E36, 'Os Seis Grandes'!B:B, 'Os Seis Grandes'!J:J)</f>
        <v>3275</v>
      </c>
      <c r="L36" s="326">
        <f t="array" ref="L36">_xlfn.XLOOKUP(E36, 'Os Seis Grandes'!B:B, 'Os Seis Grandes'!K:K)</f>
        <v>1221</v>
      </c>
      <c r="M36" s="269">
        <f t="array" ref="M36">_xlfn.XLOOKUP(E36, 'Os Seis Grandes'!B:B, 'Os Seis Grandes'!L:L)</f>
        <v>10899713.43</v>
      </c>
      <c r="N36" s="270">
        <f t="array" ref="N36">_xlfn.XLOOKUP(E36, 'Os Seis Grandes'!B:B, 'Os Seis Grandes'!P:P)</f>
        <v>166576349.1</v>
      </c>
      <c r="O36" s="270">
        <f t="array" ref="O36">_xlfn.XLOOKUP(E36, 'Os Seis Grandes'!B:B, 'Os Seis Grandes'!M:M)</f>
        <v>57666779.34</v>
      </c>
      <c r="P36" s="270">
        <f t="array" ref="P36">_xlfn.XLOOKUP(E36, 'Os Seis Grandes'!B:B, 'Os Seis Grandes'!N:N)</f>
        <v>118453263.6</v>
      </c>
      <c r="Q36" s="271">
        <f t="array" ref="Q36">_xlfn.XLOOKUP(E36, 'Os Seis Grandes'!B:B, 'Os Seis Grandes'!O:O)</f>
        <v>1.054098823</v>
      </c>
      <c r="R36" s="267"/>
      <c r="S36" s="272"/>
      <c r="T36" s="273" t="str">
        <f t="array" ref="T36">_xlfn.XLOOKUP(E36, 'Os Seis Grandes'!B:B, 'Os Seis Grandes'!Q:Q)</f>
        <v>Sistema de videolaparoscopia; ventiladores pulmonares; aparelhos de anestesia; foco cirúrgico fixo; carro de emergência; mesa cirúrgica; aparelho de anestesia; ventilador pulmonar de transporte; arco cirúrgico; sistema de videolaparoscopia; eletrocardiógrafo; aparelho de ultrassom móvel; perfurador ósseo; camas elétricas; instrumentais cirúrgicos; aparelho de radio-x móvel e fixo.</v>
      </c>
      <c r="U36" s="267"/>
    </row>
    <row r="37" ht="137.25" customHeight="1">
      <c r="A37" s="275">
        <v>2604106.0</v>
      </c>
      <c r="B37" s="283" t="s">
        <v>392</v>
      </c>
      <c r="C37" s="57" t="s">
        <v>431</v>
      </c>
      <c r="D37" s="125" t="s">
        <v>1</v>
      </c>
      <c r="E37" s="121" t="s">
        <v>212</v>
      </c>
      <c r="F37" s="266" t="str">
        <f t="array" ref="F37">TEXTJOIN(CHAR(10), TRUE, 
  "*" &amp; E37 &amp; "*", 
 "Tipo de Gestão: " &amp; _xlfn.XLOOKUP(E37, 'Os Seis Grandes'!B:B, 'Os Seis Grandes'!C:C, "Não encontrado"),
"Localização: " &amp; _xlfn.XLOOKUP(E37, 'Os Seis Grandes'!B:B, 'Os Seis Grandes'!D:D, "Não encontrado"), 
"Número de leitos: " &amp; _xlfn.XLOOKUP(E37, 'Os Seis Grandes'!B:B, 'Os Seis Grandes'!E:E, "Não encontrado"),
"Leitos abertos nesta gestão: " &amp; _xlfn.XLOOKUP(E37, 'Os Seis Grandes'!B:B, 'Os Seis Grandes'!F:F, "Não encontrado"),
"Tipos de leitos abertos nesta gestão: " &amp; _xlfn.XLOOKUP(E37, 'Os Seis Grandes'!B:B, 'Os Seis Grandes'!G:G, "Não encontrado"),
"Leitos a abrir com o fim das reformas : " &amp; _xlfn.XLOOKUP(E37, 'Os Seis Grandes'!B:B, 'Os Seis Grandes'!H:H, "Não encontrado"),
"Perfil: " &amp; _xlfn.XLOOKUP(E37, 'Os Seis Grandes'!B:B, 'Os Seis Grandes'!I:I, "Não encontrado"), 
"Nº Profissionais Total: " &amp; _xlfn.XLOOKUP(E37, 'Os Seis Grandes'!B:B, 'Os Seis Grandes'!J:J, "Não encontrado"), 
"Nº Profissionais convocados nesta gestão: " &amp; _xlfn.XLOOKUP(E37, 'Os Seis Grandes'!B:B, 'Os Seis Grandes'!K:K, "Não encontrado"), 
"Valor do contrato de manutenção predial (anual): " &amp; TEXT(_xlfn.XLOOKUP(E37, 'Os Seis Grandes'!B:B, 'Os Seis Grandes'!L:L, 0), "R$ #.##0,0"),
"Cofinanciamento 2022: " &amp; TEXT(_xlfn.XLOOKUP(E37, 'Os Seis Grandes'!B:B, 'Os Seis Grandes'!M:M, 0), "R$ #.##0,0"),
"Cofinanciamento 2025: " &amp; TEXT(_xlfn.XLOOKUP(E37, 'Os Seis Grandes'!B:B, 'Os Seis Grandes'!N:N, 0), "R$ #.##0,0"),
"Aumento Cofinanciamento  (2022 a 2025) %: " &amp; TEXT(_xlfn.XLOOKUP(E37, 'Os Seis Grandes'!B:B, 'Os Seis Grandes'!O:O, 0), "00.00%"), 
"Investimento nesta gestão: " &amp; TEXT(_xlfn.XLOOKUP(E37, 'Os Seis Grandes'!B:B, 'Os Seis Grandes'!P:P, 0), "R$ #.##0,0"), 
"Nova equipagem: " &amp; _xlfn.XLOOKUP(E37, 'Os Seis Grandes'!B:B, 'Os Seis Grandes'!Q:Q, "Não encontrado"), 
"Obras de infraestrutura: " &amp; _xlfn.XLOOKUP(E37, 'Os Seis Grandes'!B:B, 'Os Seis Grandes'!R:R, "Não encontrado"),)</f>
        <v>*Hospital Regional do Agreste (HRA)*
Tipo de Gestão: Gestão própria
Localização: Rodovia BR-232, Km 130 - s/n - Indianópolis, Caruaru - PE
Número de leitos: 250
Leitos abertos nesta gestão: -
Tipos de leitos abertos nesta gestão: -
Leitos a abrir com o fim das reformas : 288
Perfil: Urgência: Clínica Médica, Endoscopia, Urgência dialítica, Ortopedia e Traumatologia, Bucomaxilofacial,  Cirurgia Geral e Vascular. Ambulatorial: Cirurgia Geral, Clínica Médica, Ortopedia e Traumatologia, Bucomaxilofacial, Neurocirurgia e Cabeça e Pescoço. 
Nº Profissionais Total: 1786
Nº Profissionais convocados nesta gestão: 367
Valor do contrato de manutenção predial (anual): R$ 8.509.986,3700
Cofinanciamento 2022: R$ 47.149.321,4900
Cofinanciamento 2025: R$ 52.205.813,0400
Aumento Cofinanciamento  (2022 a 2025) %: 10,72%
Investimento nesta gestão: R$ 153.412.732,3700
Nova equipagem: Aparelho de ultrassom fixo; aparelho de ultrassom portátil; aparelho de anestesia; arco cirúrgico móvel; autoclave; cardioversor; eletrocardiógrafo; mesa cirúrgica ortopédica; monitores multiparâmetros; refrigerador científico; instrumentais cirúrgicos; sistema de videolaparoscopia; videoendoscópio; videogastroscópio; videocolonoscópio; ventilador de transporte; perfurador pneumático; camas elétricas.
Obras de infraestrutura: Estamos fazendo: requalificação da fachada; contrução do novo Hospital Regional do Agreste. Já entregamos: Requalificação do setor de endoscopia; requalificação do setor de hemodiálise; abertura de novos 14 leitos de clínica médica; requalificação do setor de tomografia; requalificação da recepção geral; requalificação da capela; requalificação da sala vermelha.</v>
      </c>
      <c r="G37" s="55" t="s">
        <v>49</v>
      </c>
      <c r="H37" s="55"/>
      <c r="I37" s="267">
        <f t="array" ref="I37">_xlfn.XLOOKUP(E37, 'Os Seis Grandes'!B:B, 'Os Seis Grandes'!E:E)</f>
        <v>250</v>
      </c>
      <c r="J37" s="194" t="str">
        <f t="array" ref="J37">_xlfn.XLOOKUP(E37, 'Os Seis Grandes'!B:B, 'Os Seis Grandes'!I:I)</f>
        <v>Urgência: Clínica Médica, Endoscopia, Urgência dialítica, Ortopedia e Traumatologia, Bucomaxilofacial,  Cirurgia Geral e Vascular. Ambulatorial: Cirurgia Geral, Clínica Médica, Ortopedia e Traumatologia, Bucomaxilofacial, Neurocirurgia e Cabeça e Pescoço. </v>
      </c>
      <c r="K37" s="268">
        <f t="array" ref="K37">_xlfn.XLOOKUP(E37, 'Os Seis Grandes'!B:B, 'Os Seis Grandes'!J:J)</f>
        <v>1786</v>
      </c>
      <c r="L37" s="327">
        <f t="array" ref="L37">_xlfn.XLOOKUP(E37, 'Os Seis Grandes'!B:B, 'Os Seis Grandes'!K:K)</f>
        <v>367</v>
      </c>
      <c r="M37" s="269">
        <f t="array" ref="M37">_xlfn.XLOOKUP(E37, 'Os Seis Grandes'!B:B, 'Os Seis Grandes'!L:L)</f>
        <v>8509986.37</v>
      </c>
      <c r="N37" s="270">
        <f t="array" ref="N37">_xlfn.XLOOKUP(E37, 'Os Seis Grandes'!B:B, 'Os Seis Grandes'!P:P)</f>
        <v>153412732.4</v>
      </c>
      <c r="O37" s="270">
        <f t="array" ref="O37">_xlfn.XLOOKUP(E37, 'Os Seis Grandes'!B:B, 'Os Seis Grandes'!M:M)</f>
        <v>47149321.49</v>
      </c>
      <c r="P37" s="270">
        <f t="array" ref="P37">_xlfn.XLOOKUP(E37, 'Os Seis Grandes'!B:B, 'Os Seis Grandes'!N:N)</f>
        <v>52205813.04</v>
      </c>
      <c r="Q37" s="271">
        <f t="array" ref="Q37">_xlfn.XLOOKUP(E37, 'Os Seis Grandes'!B:B, 'Os Seis Grandes'!O:O)</f>
        <v>0.1072442061</v>
      </c>
      <c r="R37" s="267"/>
      <c r="S37" s="272"/>
      <c r="T37" s="273" t="str">
        <f t="array" ref="T37">_xlfn.XLOOKUP(E37, 'Os Seis Grandes'!B:B, 'Os Seis Grandes'!Q:Q)</f>
        <v>Aparelho de ultrassom fixo; aparelho de ultrassom portátil; aparelho de anestesia; arco cirúrgico móvel; autoclave; cardioversor; eletrocardiógrafo; mesa cirúrgica ortopédica; monitores multiparâmetros; refrigerador científico; instrumentais cirúrgicos; sistema de videolaparoscopia; videoendoscópio; videogastroscópio; videocolonoscópio; ventilador de transporte; perfurador pneumático; camas elétricas.</v>
      </c>
      <c r="U37" s="267"/>
    </row>
    <row r="38" ht="137.25" customHeight="1">
      <c r="A38" s="280">
        <v>2606002.0</v>
      </c>
      <c r="B38" s="281" t="s">
        <v>144</v>
      </c>
      <c r="C38" s="282" t="s">
        <v>433</v>
      </c>
      <c r="D38" s="125" t="s">
        <v>605</v>
      </c>
      <c r="E38" s="328" t="s">
        <v>30</v>
      </c>
      <c r="F38" s="266" t="str">
        <f t="array" ref="F38">TEXTJOIN(CHAR(10), TRUE, 
  "*" &amp; E38 &amp; "*", 
 "Tipo de Gestão: " &amp; _xlfn.XLOOKUP(E38, 'Os Seis Grandes'!B:B, 'Os Seis Grandes'!C:C, "Não encontrado"),
"Localização: " &amp; _xlfn.XLOOKUP(E38, 'Os Seis Grandes'!B:B, 'Os Seis Grandes'!D:D, "Não encontrado"), 
"Número de leitos: " &amp; _xlfn.XLOOKUP(E38, 'Os Seis Grandes'!B:B, 'Os Seis Grandes'!E:E, "Não encontrado"), 
"Perfil: " &amp; _xlfn.XLOOKUP(E38, 'Os Seis Grandes'!B:B, 'Os Seis Grandes'!I:I, "Não encontrado"), 
"Nº Profissionais Total: " &amp; _xlfn.XLOOKUP(E38, 'Os Seis Grandes'!B:B, 'Os Seis Grandes'!J:J, "Não encontrado"), 
"Nº Profissionais convocados nesta gestão: " &amp; _xlfn.XLOOKUP(E38, 'Os Seis Grandes'!B:B, 'Os Seis Grandes'!K:K, "Não encontrado"), 
"Valor do contrato de manutenção predial (anual): " &amp; _xlfn.XLOOKUP(E38, 'Os Seis Grandes'!B:B, 'Os Seis Grandes'!L:L, "Não encontrado"), 
"Cofinanciamento 2022: " &amp; TEXT(_xlfn.XLOOKUP(E38, 'Os Seis Grandes'!B:B, 'Os Seis Grandes'!M:M, 0), "R$ #.##0,0"),
"Cofinanciamento 2025: " &amp; TEXT(_xlfn.XLOOKUP(E38, 'Os Seis Grandes'!B:B, 'Os Seis Grandes'!N:N, 0), "R$ #.##0,0"),
"Aumento Cofinanciamento  (2022 a 2025) %: " &amp; TEXT(_xlfn.XLOOKUP(E38, 'Os Seis Grandes'!B:B, 'Os Seis Grandes'!O:O, 0), "00.00%"), 
"Investimento nesta gestão: " &amp; _xlfn.XLOOKUP(E38, 'Os Seis Grandes'!B:B, 'Os Seis Grandes'!P:P, "Não encontrado"), 
"Principais avanços nessa gestão: " &amp; _xlfn.XLOOKUP(E38, 'Os Seis Grandes'!B:B, 'Os Seis Grandes'!Q:Q, "Não encontrado"), 
)</f>
        <v>*Maternidade de Garanhuns*
Tipo de Gestão: Não encontrado
Localização: Não encontrado
Número de leitos: Não encontrado
Perfil: Não encontrado
Nº Profissionais Total: Não encontrado
Nº Profissionais convocados nesta gestão: Não encontrado
Valor do contrato de manutenção predial (anual): Não encontrado
Cofinanciamento 2022: R$ ,00
Cofinanciamento 2025: R$ ,00
Aumento Cofinanciamento  (2022 a 2025) %: 00,00%
Investimento nesta gestão: Não encontrado
Principais avanços nessa gestão: Não encontrado</v>
      </c>
      <c r="G38" s="272"/>
      <c r="H38" s="38" t="s">
        <v>37</v>
      </c>
      <c r="I38" s="267" t="str">
        <f t="array" ref="I38">_xlfn.XLOOKUP(E38, 'UNIDADES EM CONSTRUÇÃO'!B:B, 'UNIDADES EM CONSTRUÇÃO'!E:E, "Não encontrado") &amp; " (previsto)"</f>
        <v>165 (previsto)</v>
      </c>
      <c r="J38" s="212" t="str">
        <f t="array" ref="J38">_xlfn.XLOOKUP(E38, 'UNIDADES EM CONSTRUÇÃO'!B:B, 'UNIDADES EM CONSTRUÇÃO'!F:F)</f>
        <v>Maternidade de alto risco: Centro de parto normal; unidade de cuidados intermediários; UCI Neonatal convencional; UTI Neonatal; UTI Materna; Suíte PPP (parto, pós-parto e puerpério); 4 salas cirúrgicas; Enfermaria de alto risco; Enfermaria de ginecologia; Enfermaria de Alojamento Conjunto</v>
      </c>
      <c r="K38" s="149"/>
      <c r="L38" s="150"/>
      <c r="M38" s="272"/>
      <c r="N38" s="272"/>
      <c r="O38" s="267"/>
      <c r="P38" s="267"/>
      <c r="Q38" s="267"/>
      <c r="R38" s="267"/>
      <c r="S38" s="272" t="str">
        <f t="array" ref="S38">_xlfn.XLOOKUP(E38, 'UNIDADES EM CONSTRUÇÃO'!B:B, 'UNIDADES EM CONSTRUÇÃO'!G:G)</f>
        <v>Aguardando informação</v>
      </c>
      <c r="T38" s="273"/>
      <c r="U38" s="155"/>
    </row>
    <row r="39" ht="137.25" customHeight="1">
      <c r="A39" s="275">
        <v>2609907.0</v>
      </c>
      <c r="B39" s="283" t="s">
        <v>470</v>
      </c>
      <c r="C39" s="57" t="s">
        <v>437</v>
      </c>
      <c r="D39" s="125" t="s">
        <v>605</v>
      </c>
      <c r="E39" s="329" t="s">
        <v>88</v>
      </c>
      <c r="F39" s="266" t="str">
        <f t="array" ref="F39">TEXTJOIN(CHAR(10), TRUE, 
  "*" &amp; E39 &amp; "*", 
 "Localização: " &amp; _xlfn.XLOOKUP(E39, 'UNIDADES EM CONSTRUÇÃO'!B:B, 'UNIDADES EM CONSTRUÇÃO'!C:C, "Não encontrado"),
 "Geres: " &amp; _xlfn.XLOOKUP(E39, 'UNIDADES EM CONSTRUÇÃO'!B:B, 'UNIDADES EM CONSTRUÇÃO'!D:D, "Não encontrado"),
 "Leitos previstos: " &amp; _xlfn.XLOOKUP(E39, 'UNIDADES EM CONSTRUÇÃO'!B:B, 'UNIDADES EM CONSTRUÇÃO'!E:E, "Não encontrado"),
 "Perfil: " &amp; _xlfn.XLOOKUP(E39, 'UNIDADES EM CONSTRUÇÃO'!B:B, 'UNIDADES EM CONSTRUÇÃO'!F:F, "Não encontrado"),
 "Investimento para obra e equipagem: " &amp; _xlfn.XLOOKUP(E39, 'UNIDADES EM CONSTRUÇÃO'!B:B, 'UNIDADES EM CONSTRUÇÃO'!G:G, "Não encontrado"),
)</f>
        <v>*Maternidade de Ouricuri*
Localização: -
Geres: IX
Leitos previstos: 120
Perfil: Aguardando informação
Investimento para obra e equipagem: Aguardando informação</v>
      </c>
      <c r="G39" s="272"/>
      <c r="H39" s="38" t="s">
        <v>94</v>
      </c>
      <c r="I39" s="267" t="str">
        <f t="array" ref="I39">_xlfn.XLOOKUP(E39, 'UNIDADES EM CONSTRUÇÃO'!B:B, 'UNIDADES EM CONSTRUÇÃO'!E:E, "Não encontrado") &amp; " (previsto)"</f>
        <v>120 (previsto)</v>
      </c>
      <c r="J39" s="212" t="str">
        <f t="array" ref="J39">_xlfn.XLOOKUP(E39, 'UNIDADES EM CONSTRUÇÃO'!B:B, 'UNIDADES EM CONSTRUÇÃO'!F:F)</f>
        <v>Aguardando informação</v>
      </c>
      <c r="K39" s="149"/>
      <c r="L39" s="150"/>
      <c r="M39" s="272"/>
      <c r="N39" s="272"/>
      <c r="O39" s="267"/>
      <c r="P39" s="267"/>
      <c r="Q39" s="267"/>
      <c r="R39" s="267"/>
      <c r="S39" s="272" t="str">
        <f t="array" ref="S39">_xlfn.XLOOKUP(E39, 'UNIDADES EM CONSTRUÇÃO'!B:B, 'UNIDADES EM CONSTRUÇÃO'!G:G)</f>
        <v>Aguardando informação</v>
      </c>
      <c r="T39" s="273"/>
      <c r="U39" s="155"/>
    </row>
    <row r="40" ht="137.25" customHeight="1">
      <c r="A40" s="275">
        <v>2606804.0</v>
      </c>
      <c r="B40" s="283" t="s">
        <v>511</v>
      </c>
      <c r="C40" s="57" t="s">
        <v>419</v>
      </c>
      <c r="D40" s="125" t="s">
        <v>605</v>
      </c>
      <c r="E40" s="330" t="s">
        <v>110</v>
      </c>
      <c r="F40" s="266" t="str">
        <f t="array" ref="F40">TEXTJOIN(CHAR(10), TRUE, 
  "*" &amp; E40 &amp; "*", 
 "Localização: " &amp; _xlfn.XLOOKUP(E40, 'UNIDADES EM CONSTRUÇÃO'!B:B, 'UNIDADES EM CONSTRUÇÃO'!C:C, "Não encontrado"),
 "Geres: " &amp; _xlfn.XLOOKUP(E40, 'UNIDADES EM CONSTRUÇÃO'!B:B, 'UNIDADES EM CONSTRUÇÃO'!D:D, "Não encontrado"),
 "Leitos previstos: " &amp; _xlfn.XLOOKUP(E40, 'UNIDADES EM CONSTRUÇÃO'!B:B, 'UNIDADES EM CONSTRUÇÃO'!E:E, "Não encontrado"),
 "Perfil: " &amp; _xlfn.XLOOKUP(E40, 'UNIDADES EM CONSTRUÇÃO'!B:B, 'UNIDADES EM CONSTRUÇÃO'!F:F, "Não encontrado"),
 "Investimento para obra e equipagem: " &amp; _xlfn.XLOOKUP(E40, 'UNIDADES EM CONSTRUÇÃO'!B:B, 'UNIDADES EM CONSTRUÇÃO'!G:G, "Não encontrado"),
)</f>
        <v>*Maternidade de Igarassu*
Localização: -
Geres: I
Leitos previstos: 165
Perfil: Maternidade de alto risco: Centro de parto normal; unidade de cuidados intermediários; UCI Neonatal convencional; UTI Neonatal; UTI Materna; Suíte PPP (parto, pós-parto e puerpério); 4 salas cirúrgicas; Enfermaria de alto risco; Enfermaria de ginecologia; Enfermaria de Alojamento Conjunto
Investimento para obra e equipagem: Aguardando informação</v>
      </c>
      <c r="G40" s="272"/>
      <c r="H40" s="38" t="s">
        <v>50</v>
      </c>
      <c r="I40" s="267" t="str">
        <f t="array" ref="I40">_xlfn.XLOOKUP(E40, 'UNIDADES EM CONSTRUÇÃO'!B:B, 'UNIDADES EM CONSTRUÇÃO'!E:E, "Não encontrado") &amp; " (previsto)"</f>
        <v>165 (previsto)</v>
      </c>
      <c r="J40" s="212" t="str">
        <f t="array" ref="J40">_xlfn.XLOOKUP(E40, 'UNIDADES EM CONSTRUÇÃO'!B:B, 'UNIDADES EM CONSTRUÇÃO'!F:F)</f>
        <v>Maternidade de alto risco: Centro de parto normal; unidade de cuidados intermediários; UCI Neonatal convencional; UTI Neonatal; UTI Materna; Suíte PPP (parto, pós-parto e puerpério); 4 salas cirúrgicas; Enfermaria de alto risco; Enfermaria de ginecologia; Enfermaria de Alojamento Conjunto</v>
      </c>
      <c r="K40" s="149"/>
      <c r="L40" s="150"/>
      <c r="M40" s="272"/>
      <c r="N40" s="272"/>
      <c r="O40" s="267"/>
      <c r="P40" s="267"/>
      <c r="Q40" s="267"/>
      <c r="R40" s="267"/>
      <c r="S40" s="272" t="str">
        <f t="array" ref="S40">_xlfn.XLOOKUP(E40, 'UNIDADES EM CONSTRUÇÃO'!B:B, 'UNIDADES EM CONSTRUÇÃO'!G:G)</f>
        <v>Aguardando informação</v>
      </c>
      <c r="T40" s="273"/>
      <c r="U40" s="155"/>
    </row>
    <row r="41" ht="137.25" customHeight="1">
      <c r="A41" s="275">
        <v>2613909.0</v>
      </c>
      <c r="B41" s="283" t="s">
        <v>483</v>
      </c>
      <c r="C41" s="57" t="s">
        <v>439</v>
      </c>
      <c r="D41" s="125" t="s">
        <v>605</v>
      </c>
      <c r="E41" s="329" t="s">
        <v>118</v>
      </c>
      <c r="F41" s="266" t="str">
        <f t="array" ref="F41">TEXTJOIN(CHAR(10), TRUE, 
  "*" &amp; E41 &amp; "*", 
 "Localização: " &amp; _xlfn.XLOOKUP(E41, 'UNIDADES EM CONSTRUÇÃO'!B:B, 'UNIDADES EM CONSTRUÇÃO'!C:C, "Não encontrado"),
 "Geres: " &amp; _xlfn.XLOOKUP(E41, 'UNIDADES EM CONSTRUÇÃO'!B:B, 'UNIDADES EM CONSTRUÇÃO'!D:D, "Não encontrado"),
 "Leitos previstos: " &amp; _xlfn.XLOOKUP(E41, 'UNIDADES EM CONSTRUÇÃO'!B:B, 'UNIDADES EM CONSTRUÇÃO'!E:E, "Não encontrado"),
 "Perfil: " &amp; _xlfn.XLOOKUP(E41, 'UNIDADES EM CONSTRUÇÃO'!B:B, 'UNIDADES EM CONSTRUÇÃO'!F:F, "Não encontrado"),
 "Investimento para obra e equipagem: " &amp; _xlfn.XLOOKUP(E41, 'UNIDADES EM CONSTRUÇÃO'!B:B, 'UNIDADES EM CONSTRUÇÃO'!G:G, "Não encontrado"),
)</f>
        <v>*Maternidade de Serra Talhada*
Localização: -
Geres: XI
Leitos previstos: 165
Perfil: Maternidade de alto risco: Centro de parto normal; unidade de cuidados intermediários; UCI Neonatal convencional; UTI Neonatal; UTI Materna; Suíte PPP (parto, pós-parto e puerpério); 4 salas cirúrgicas; Enfermaria de alto risco; Enfermaria de ginecologia; Enfermaria de Alojamento Conjunto
Investimento para obra e equipagem: Aguardando informação</v>
      </c>
      <c r="G41" s="272"/>
      <c r="H41" s="38" t="s">
        <v>119</v>
      </c>
      <c r="I41" s="267" t="str">
        <f t="array" ref="I41">_xlfn.XLOOKUP(E41, 'UNIDADES EM CONSTRUÇÃO'!B:B, 'UNIDADES EM CONSTRUÇÃO'!E:E, "Não encontrado") &amp; " (previsto)"</f>
        <v>165 (previsto)</v>
      </c>
      <c r="J41" s="212" t="str">
        <f t="array" ref="J41">_xlfn.XLOOKUP(E41, 'UNIDADES EM CONSTRUÇÃO'!B:B, 'UNIDADES EM CONSTRUÇÃO'!F:F)</f>
        <v>Maternidade de alto risco: Centro de parto normal; unidade de cuidados intermediários; UCI Neonatal convencional; UTI Neonatal; UTI Materna; Suíte PPP (parto, pós-parto e puerpério); 4 salas cirúrgicas; Enfermaria de alto risco; Enfermaria de ginecologia; Enfermaria de Alojamento Conjunto</v>
      </c>
      <c r="K41" s="149"/>
      <c r="L41" s="150"/>
      <c r="M41" s="272"/>
      <c r="N41" s="272"/>
      <c r="O41" s="267"/>
      <c r="P41" s="267"/>
      <c r="Q41" s="267"/>
      <c r="R41" s="267"/>
      <c r="S41" s="272" t="str">
        <f t="array" ref="S41">_xlfn.XLOOKUP(E41, 'UNIDADES EM CONSTRUÇÃO'!B:B, 'UNIDADES EM CONSTRUÇÃO'!G:G)</f>
        <v>Aguardando informação</v>
      </c>
      <c r="T41" s="273"/>
      <c r="U41" s="155"/>
    </row>
    <row r="42" ht="137.25" customHeight="1">
      <c r="A42" s="275">
        <v>2611101.0</v>
      </c>
      <c r="B42" s="283" t="s">
        <v>552</v>
      </c>
      <c r="C42" s="57" t="s">
        <v>440</v>
      </c>
      <c r="D42" s="125" t="s">
        <v>605</v>
      </c>
      <c r="E42" s="330" t="s">
        <v>123</v>
      </c>
      <c r="F42" s="266" t="str">
        <f t="array" ref="F42">TEXTJOIN(CHAR(10), TRUE, 
  "*" &amp; E42 &amp; "*", 
 "Localização: " &amp; _xlfn.XLOOKUP(E42, 'UNIDADES EM CONSTRUÇÃO'!B:B, 'UNIDADES EM CONSTRUÇÃO'!C:C, "Não encontrado"),
 "Geres: " &amp; _xlfn.XLOOKUP(E42, 'UNIDADES EM CONSTRUÇÃO'!B:B, 'UNIDADES EM CONSTRUÇÃO'!D:D, "Não encontrado"),
 "Leitos previstos: " &amp; _xlfn.XLOOKUP(E42, 'UNIDADES EM CONSTRUÇÃO'!B:B, 'UNIDADES EM CONSTRUÇÃO'!E:E, "Não encontrado"),
 "Perfil: " &amp; _xlfn.XLOOKUP(E42, 'UNIDADES EM CONSTRUÇÃO'!B:B, 'UNIDADES EM CONSTRUÇÃO'!F:F, "Não encontrado"),
 "Investimento para obra e equipagem: " &amp; _xlfn.XLOOKUP(E42, 'UNIDADES EM CONSTRUÇÃO'!B:B, 'UNIDADES EM CONSTRUÇÃO'!G:G, "Não encontrado"),
)</f>
        <v>*UPAE-R Petrolina*
Localização: -
Geres: VIII
Leitos previstos: 
Perfil: Aguardando informação
Investimento para obra e equipagem: Aguardando informação</v>
      </c>
      <c r="G42" s="272"/>
      <c r="H42" s="38" t="s">
        <v>127</v>
      </c>
      <c r="I42" s="267" t="str">
        <f t="array" ref="I42">_xlfn.XLOOKUP(E42, 'UNIDADES EM CONSTRUÇÃO'!B:B, 'UNIDADES EM CONSTRUÇÃO'!E:E, "Não encontrado") &amp; " (previsto)"</f>
        <v> (previsto)</v>
      </c>
      <c r="J42" s="212" t="str">
        <f t="array" ref="J42">_xlfn.XLOOKUP(E42, 'UNIDADES EM CONSTRUÇÃO'!B:B, 'UNIDADES EM CONSTRUÇÃO'!F:F)</f>
        <v>Aguardando informação</v>
      </c>
      <c r="K42" s="149"/>
      <c r="L42" s="150"/>
      <c r="M42" s="272"/>
      <c r="N42" s="272"/>
      <c r="O42" s="267"/>
      <c r="P42" s="267"/>
      <c r="Q42" s="267"/>
      <c r="R42" s="267"/>
      <c r="S42" s="272" t="str">
        <f t="array" ref="S42">_xlfn.XLOOKUP(E42, 'UNIDADES EM CONSTRUÇÃO'!B:B, 'UNIDADES EM CONSTRUÇÃO'!G:G)</f>
        <v>Aguardando informação</v>
      </c>
      <c r="T42" s="273"/>
      <c r="U42" s="155"/>
    </row>
    <row r="43" ht="137.25" customHeight="1">
      <c r="A43" s="275">
        <v>2613909.0</v>
      </c>
      <c r="B43" s="283" t="s">
        <v>483</v>
      </c>
      <c r="C43" s="57" t="s">
        <v>439</v>
      </c>
      <c r="D43" s="125" t="s">
        <v>605</v>
      </c>
      <c r="E43" s="329" t="s">
        <v>134</v>
      </c>
      <c r="F43" s="266" t="str">
        <f t="array" ref="F43">TEXTJOIN(CHAR(10), TRUE, 
  "*" &amp; E43 &amp; "*", 
 "Localização: " &amp; _xlfn.XLOOKUP(E43, 'UNIDADES EM CONSTRUÇÃO'!B:B, 'UNIDADES EM CONSTRUÇÃO'!C:C, "Não encontrado"),
 "Geres: " &amp; _xlfn.XLOOKUP(E43, 'UNIDADES EM CONSTRUÇÃO'!B:B, 'UNIDADES EM CONSTRUÇÃO'!D:D, "Não encontrado"),
 "Leitos previstos: " &amp; _xlfn.XLOOKUP(E43, 'UNIDADES EM CONSTRUÇÃO'!B:B, 'UNIDADES EM CONSTRUÇÃO'!E:E, "Não encontrado"),
 "Perfil: " &amp; _xlfn.XLOOKUP(E43, 'UNIDADES EM CONSTRUÇÃO'!B:B, 'UNIDADES EM CONSTRUÇÃO'!F:F, "Não encontrado"),
 "Investimento para obra e equipagem: " &amp; _xlfn.XLOOKUP(E43, 'UNIDADES EM CONSTRUÇÃO'!B:B, 'UNIDADES EM CONSTRUÇÃO'!G:G, "Não encontrado"),
)</f>
        <v>*UPAE-R Serra Talhada*
Localização: -
Geres: XI
Leitos previstos: 
Perfil: Aguardando informação
Investimento para obra e equipagem: Aguardando informação</v>
      </c>
      <c r="G43" s="272"/>
      <c r="H43" s="38" t="s">
        <v>119</v>
      </c>
      <c r="I43" s="267" t="str">
        <f t="array" ref="I43">_xlfn.XLOOKUP(E43, 'UNIDADES EM CONSTRUÇÃO'!B:B, 'UNIDADES EM CONSTRUÇÃO'!E:E, "Não encontrado") &amp; " (previsto)"</f>
        <v> (previsto)</v>
      </c>
      <c r="J43" s="212" t="str">
        <f t="array" ref="J43">_xlfn.XLOOKUP(E43, 'UNIDADES EM CONSTRUÇÃO'!B:B, 'UNIDADES EM CONSTRUÇÃO'!F:F)</f>
        <v>Aguardando informação</v>
      </c>
      <c r="K43" s="149"/>
      <c r="L43" s="150"/>
      <c r="M43" s="272"/>
      <c r="N43" s="272"/>
      <c r="O43" s="267"/>
      <c r="P43" s="267"/>
      <c r="Q43" s="267"/>
      <c r="R43" s="267"/>
      <c r="S43" s="272" t="str">
        <f t="array" ref="S43">_xlfn.XLOOKUP(E43, 'UNIDADES EM CONSTRUÇÃO'!B:B, 'UNIDADES EM CONSTRUÇÃO'!G:G)</f>
        <v>Aguardando informação</v>
      </c>
      <c r="T43" s="273"/>
      <c r="U43" s="155"/>
    </row>
    <row r="44" ht="137.25" customHeight="1">
      <c r="A44" s="275">
        <v>2604106.0</v>
      </c>
      <c r="B44" s="283" t="s">
        <v>392</v>
      </c>
      <c r="C44" s="57" t="s">
        <v>431</v>
      </c>
      <c r="D44" s="125" t="s">
        <v>605</v>
      </c>
      <c r="E44" s="330" t="s">
        <v>137</v>
      </c>
      <c r="F44" s="266" t="str">
        <f t="array" ref="F44">TEXTJOIN(CHAR(10), TRUE, 
  "*" &amp; E44 &amp; "*", 
 "Localização: " &amp; _xlfn.XLOOKUP(E44, 'UNIDADES EM CONSTRUÇÃO'!B:B, 'UNIDADES EM CONSTRUÇÃO'!C:C, "Não encontrado"),
 "Geres: " &amp; _xlfn.XLOOKUP(E44, 'UNIDADES EM CONSTRUÇÃO'!B:B, 'UNIDADES EM CONSTRUÇÃO'!D:D, "Não encontrado"),
 "Leitos previstos: " &amp; _xlfn.XLOOKUP(E44, 'UNIDADES EM CONSTRUÇÃO'!B:B, 'UNIDADES EM CONSTRUÇÃO'!E:E, "Não encontrado"),
 "Perfil: " &amp; _xlfn.XLOOKUP(E44, 'UNIDADES EM CONSTRUÇÃO'!B:B, 'UNIDADES EM CONSTRUÇÃO'!F:F, "Não encontrado"),
 "Investimento para obra e equipagem: " &amp; _xlfn.XLOOKUP(E44, 'UNIDADES EM CONSTRUÇÃO'!B:B, 'UNIDADES EM CONSTRUÇÃO'!G:G, "Não encontrado"),
)</f>
        <v>*UPAE-R Caruaru*
Localização: -
Geres: IV
Leitos previstos: 
Perfil: Aguardando informação
Investimento para obra e equipagem: Aguardando informação</v>
      </c>
      <c r="G44" s="272"/>
      <c r="H44" s="38" t="s">
        <v>138</v>
      </c>
      <c r="I44" s="267" t="str">
        <f t="array" ref="I44">_xlfn.XLOOKUP(E44, 'UNIDADES EM CONSTRUÇÃO'!B:B, 'UNIDADES EM CONSTRUÇÃO'!E:E, "Não encontrado") &amp; " (previsto)"</f>
        <v> (previsto)</v>
      </c>
      <c r="J44" s="212" t="str">
        <f t="array" ref="J44">_xlfn.XLOOKUP(E44, 'UNIDADES EM CONSTRUÇÃO'!B:B, 'UNIDADES EM CONSTRUÇÃO'!F:F)</f>
        <v>Aguardando informação</v>
      </c>
      <c r="K44" s="149"/>
      <c r="L44" s="150"/>
      <c r="M44" s="272"/>
      <c r="N44" s="272"/>
      <c r="O44" s="267"/>
      <c r="P44" s="267"/>
      <c r="Q44" s="267"/>
      <c r="R44" s="267"/>
      <c r="S44" s="272" t="str">
        <f t="array" ref="S44">_xlfn.XLOOKUP(E44, 'UNIDADES EM CONSTRUÇÃO'!B:B, 'UNIDADES EM CONSTRUÇÃO'!G:G)</f>
        <v>Aguardando informação</v>
      </c>
      <c r="T44" s="273"/>
      <c r="U44" s="155"/>
    </row>
    <row r="45" ht="137.25" customHeight="1">
      <c r="A45" s="280">
        <v>2606002.0</v>
      </c>
      <c r="B45" s="281" t="s">
        <v>144</v>
      </c>
      <c r="C45" s="282" t="s">
        <v>433</v>
      </c>
      <c r="D45" s="125" t="s">
        <v>605</v>
      </c>
      <c r="E45" s="329" t="s">
        <v>142</v>
      </c>
      <c r="F45" s="266" t="str">
        <f t="array" ref="F45">TEXTJOIN(CHAR(10), TRUE, 
  "*" &amp; E45 &amp; "*", 
 "Localização: " &amp; _xlfn.XLOOKUP(E45, 'UNIDADES EM CONSTRUÇÃO'!B:B, 'UNIDADES EM CONSTRUÇÃO'!C:C, "Não encontrado"),
 "Geres: " &amp; _xlfn.XLOOKUP(E45, 'UNIDADES EM CONSTRUÇÃO'!B:B, 'UNIDADES EM CONSTRUÇÃO'!D:D, "Não encontrado"),
 "Leitos previstos: " &amp; _xlfn.XLOOKUP(E45, 'UNIDADES EM CONSTRUÇÃO'!B:B, 'UNIDADES EM CONSTRUÇÃO'!E:E, "Não encontrado"),
 "Perfil: " &amp; _xlfn.XLOOKUP(E45, 'UNIDADES EM CONSTRUÇÃO'!B:B, 'UNIDADES EM CONSTRUÇÃO'!F:F, "Não encontrado"),
 "Investimento para obra e equipagem: " &amp; _xlfn.XLOOKUP(E45, 'UNIDADES EM CONSTRUÇÃO'!B:B, 'UNIDADES EM CONSTRUÇÃO'!G:G, "Não encontrado"),
)</f>
        <v>*Hospital Mestre Dominguinhos*
Localização: Garanhuns
Geres: V
Leitos previstos: 246
Perfil: Aguardando informação
Investimento para obra e equipagem: Aguardando informação</v>
      </c>
      <c r="G45" s="272"/>
      <c r="H45" s="38" t="s">
        <v>37</v>
      </c>
      <c r="I45" s="267" t="str">
        <f t="array" ref="I45">_xlfn.XLOOKUP(E45, 'UNIDADES EM CONSTRUÇÃO'!B:B, 'UNIDADES EM CONSTRUÇÃO'!E:E, "Não encontrado") &amp; " (previsto)"</f>
        <v>246 (previsto)</v>
      </c>
      <c r="J45" s="212" t="str">
        <f t="array" ref="J45">_xlfn.XLOOKUP(E45, 'UNIDADES EM CONSTRUÇÃO'!B:B, 'UNIDADES EM CONSTRUÇÃO'!F:F)</f>
        <v>Aguardando informação</v>
      </c>
      <c r="K45" s="149"/>
      <c r="L45" s="150"/>
      <c r="M45" s="272"/>
      <c r="N45" s="272"/>
      <c r="O45" s="267"/>
      <c r="P45" s="267"/>
      <c r="Q45" s="267"/>
      <c r="R45" s="267"/>
      <c r="S45" s="272" t="str">
        <f t="array" ref="S45">_xlfn.XLOOKUP(E45, 'UNIDADES EM CONSTRUÇÃO'!B:B, 'UNIDADES EM CONSTRUÇÃO'!G:G)</f>
        <v>Aguardando informação</v>
      </c>
      <c r="T45" s="273"/>
      <c r="U45" s="155"/>
    </row>
    <row r="46" ht="137.25" customHeight="1">
      <c r="A46" s="275">
        <v>2600054.0</v>
      </c>
      <c r="B46" s="283" t="s">
        <v>441</v>
      </c>
      <c r="C46" s="57" t="s">
        <v>419</v>
      </c>
      <c r="D46" s="125" t="s">
        <v>608</v>
      </c>
      <c r="E46" s="121" t="s">
        <v>43</v>
      </c>
      <c r="F46" s="331" t="str">
        <f t="array" ref="F46">TEXTJOIN(CHAR(10), TRUE, 
  "*" &amp; E46 &amp; "*", 
 "Localização: " &amp; _xlfn.XLOOKUP(E46, 'UPA e UPA-E'!B:B, 'UPA e UPA-E'!C:C, "Não encontrado"),
 "Geres: " &amp; _xlfn.XLOOKUP(E46, 'UPA e UPA-E'!B:B, 'UPA e UPA-E'!D:D, "Não encontrado"),
 "Leitos: " &amp; _xlfn.XLOOKUP(E46, 'UPA e UPA-E'!B:B, 'UPA e UPA-E'!E:E, "Não encontrado"),
 "Perfil: " &amp; _xlfn.XLOOKUP(E46, 'UPA e UPA-E'!B:B, 'UPA e UPA-E'!F:F, "Não encontrado"),
 "Nº Profissionais Total: " &amp; _xlfn.XLOOKUP(E46, 'UPA e UPA-E'!B:B, 'UPA e UPA-E'!G:G, "Não encontrado"),
 "Investimento nesta gestão: " &amp; _xlfn.XLOOKUP(E46, 'UPA e UPA-E'!B:B, 'UPA e UPA-E'!H:H, "Não encontrado"),
 "Principais avanços nessa gestão: " &amp; _xlfn.XLOOKUP(E46, 'UPA e UPA-E'!B:B, 'UPA e UPA-E'!I:I, "Não encontrado"),
)</f>
        <v>*UPAE Grande Recife*
Localização: Rodovia BR 101, km 47, s/n, Desterro, Abreu e Lima, CEP: 53.520-01
Geres: I
Leitos: -
Perfil: Atendimento ambulatorial especializado em Angiologia, Cardiologia, Dermatologia, Endocrinologia, Gastroenterologia, Otorrinolaringologia, Pneumologia, Reumatologia e Urologia, além de atendimento multiprofissional nas áreas de Enfermagem, Farmácia, Fisioterapia, Fonoaudiologia, Nutrição, Psicologia, Serviço Social.
Nº Profissionais Total: 53
Investimento nesta gestão: 1052154,31
Principais avanços nessa gestão: Crescimento do repasse direto: repasse cresceu 28,1% entre 2022 e 2025, de R$ 5,0 milhões para R$ 6,5 milhões.</v>
      </c>
      <c r="G46" s="272"/>
      <c r="H46" s="38" t="s">
        <v>50</v>
      </c>
      <c r="I46" s="270" t="str">
        <f t="array" ref="I46">_xlfn.XLOOKUP(E46, 'UPA e UPA-E'!B:B, 'UPA e UPA-E'!E:E)</f>
        <v>-</v>
      </c>
      <c r="J46" s="212" t="str">
        <f t="array" ref="J46">_xlfn.XLOOKUP(E46, 'UPA e UPA-E'!B:B, 'UPA e UPA-E'!F:F)</f>
        <v>Atendimento ambulatorial especializado em Angiologia, Cardiologia, Dermatologia, Endocrinologia, Gastroenterologia, Otorrinolaringologia, Pneumologia, Reumatologia e Urologia, além de atendimento multiprofissional nas áreas de Enfermagem, Farmácia, Fisioterapia, Fonoaudiologia, Nutrição, Psicologia, Serviço Social.</v>
      </c>
      <c r="K46" s="149">
        <f t="array" ref="K46">_xlfn.XLOOKUP(E46, 'UPA e UPA-E'!B:B, 'UPA e UPA-E'!G:G)</f>
        <v>53</v>
      </c>
      <c r="L46" s="150"/>
      <c r="M46" s="272"/>
      <c r="N46" s="269">
        <f t="array" ref="N46">_xlfn.XLOOKUP(E46, 'UPA e UPA-E'!B:B, 'UPA e UPA-E'!H:H)</f>
        <v>1052154.31</v>
      </c>
      <c r="O46" s="267"/>
      <c r="P46" s="267"/>
      <c r="Q46" s="267"/>
      <c r="R46" s="267"/>
      <c r="S46" s="272"/>
      <c r="T46" s="273" t="str">
        <f t="array" ref="T46">_xlfn.XLOOKUP(E46, 'UPA e UPA-E'!B:B, 'UPA e UPA-E'!I:I)</f>
        <v>Crescimento do repasse direto: repasse cresceu 28,1% entre 2022 e 2025, de R$ 5,0 milhões para R$ 6,5 milhões.</v>
      </c>
      <c r="U46" s="162"/>
    </row>
    <row r="47" ht="137.25" customHeight="1">
      <c r="A47" s="275">
        <v>2604007.0</v>
      </c>
      <c r="B47" s="283" t="s">
        <v>485</v>
      </c>
      <c r="C47" s="57" t="s">
        <v>423</v>
      </c>
      <c r="D47" s="125" t="s">
        <v>608</v>
      </c>
      <c r="E47" s="121" t="s">
        <v>56</v>
      </c>
      <c r="F47" s="331" t="str">
        <f t="array" ref="F47">TEXTJOIN(CHAR(10), TRUE, 
  "*" &amp; E47 &amp; "*", 
 "Localização: " &amp; _xlfn.XLOOKUP(E47, 'UPA e UPA-E'!B:B, 'UPA e UPA-E'!C:C, "Não encontrado"),
 "Geres: " &amp; _xlfn.XLOOKUP(E47, 'UPA e UPA-E'!B:B, 'UPA e UPA-E'!D:D, "Não encontrado"),
 "Leitos: " &amp; _xlfn.XLOOKUP(E47, 'UPA e UPA-E'!B:B, 'UPA e UPA-E'!E:E, "Não encontrado"),
 "Perfil: " &amp; _xlfn.XLOOKUP(E47, 'UPA e UPA-E'!B:B, 'UPA e UPA-E'!F:F, "Não encontrado"),
 "Nº Profissionais Total: " &amp; _xlfn.XLOOKUP(E47, 'UPA e UPA-E'!B:B, 'UPA e UPA-E'!G:G, "Não encontrado"),
 "Investimento nesta gestão: " &amp; _xlfn.XLOOKUP(E47, 'UPA e UPA-E'!B:B, 'UPA e UPA-E'!H:H, "Não encontrado"),
 "Principais avanços nessa gestão: " &amp; _xlfn.XLOOKUP(E47, 'UPA e UPA-E'!B:B, 'UPA e UPA-E'!I:I, "Não encontrado"),
)</f>
        <v>*UPAE Carpina*
Localização: R. Luís Gonzaga Amorim Ribeiro, 50 - Santa Cruz, Carpina - PE, 55811-100
Geres: II
Leitos: -
Perfil: Atendimento ambulatorial especializado em Alergologia, Angiologia/Cirurgia Vascular, Clínica Médica, Cardiologia, Dermatologia, Endocrinologia, Gastroenterologia, Ginecologia (CAF e Biópsias), Infectologia, Mastologia, Nefrologia, Otorrinolaringologia, Pneumologia, Reumatologia e Urologia, além de atendimento multiprofissional nas áreas de Enfermagem, Farmácia, Fisioterapia, Fonoaudiologia, Nutrição, Psicologia, Serviço Social.
Nº Profissionais Total: 114
Investimento nesta gestão: 475385,55
Principais avanços nessa gestão: Aquisição/execução: manutenção do telhado (R$ 47.881,01) e aquisição de 65 cadeiras tipo longarina de 3 lugares (R$ 52.000,00), entre outros itens.</v>
      </c>
      <c r="G47" s="272"/>
      <c r="H47" s="38" t="s">
        <v>58</v>
      </c>
      <c r="I47" s="270" t="str">
        <f t="array" ref="I47">_xlfn.XLOOKUP(E47, 'UPA e UPA-E'!B:B, 'UPA e UPA-E'!E:E)</f>
        <v>-</v>
      </c>
      <c r="J47" s="212" t="str">
        <f t="array" ref="J47">_xlfn.XLOOKUP(E47, 'UPA e UPA-E'!B:B, 'UPA e UPA-E'!F:F)</f>
        <v>Atendimento ambulatorial especializado em Alergologia, Angiologia/Cirurgia Vascular, Clínica Médica, Cardiologia, Dermatologia, Endocrinologia, Gastroenterologia, Ginecologia (CAF e Biópsias), Infectologia, Mastologia, Nefrologia, Otorrinolaringologia, Pneumologia, Reumatologia e Urologia, além de atendimento multiprofissional nas áreas de Enfermagem, Farmácia, Fisioterapia, Fonoaudiologia, Nutrição, Psicologia, Serviço Social.</v>
      </c>
      <c r="K47" s="149">
        <f t="array" ref="K47">_xlfn.XLOOKUP(E47, 'UPA e UPA-E'!B:B, 'UPA e UPA-E'!G:G)</f>
        <v>114</v>
      </c>
      <c r="L47" s="150"/>
      <c r="M47" s="272"/>
      <c r="N47" s="269">
        <f t="array" ref="N47">_xlfn.XLOOKUP(E47, 'UPA e UPA-E'!B:B, 'UPA e UPA-E'!H:H)</f>
        <v>475385.55</v>
      </c>
      <c r="O47" s="267"/>
      <c r="P47" s="267"/>
      <c r="Q47" s="267"/>
      <c r="R47" s="267"/>
      <c r="S47" s="272"/>
      <c r="T47" s="273" t="str">
        <f t="array" ref="T47">_xlfn.XLOOKUP(E47, 'UPA e UPA-E'!B:B, 'UPA e UPA-E'!I:I)</f>
        <v>Aquisição/execução: manutenção do telhado (R$ 47.881,01) e aquisição de 65 cadeiras tipo longarina de 3 lugares (R$ 52.000,00), entre outros itens.</v>
      </c>
      <c r="U47" s="162"/>
    </row>
    <row r="48" ht="137.25" customHeight="1">
      <c r="A48" s="275">
        <v>2606200.0</v>
      </c>
      <c r="B48" s="283" t="s">
        <v>389</v>
      </c>
      <c r="C48" s="57" t="s">
        <v>423</v>
      </c>
      <c r="D48" s="125" t="s">
        <v>608</v>
      </c>
      <c r="E48" s="121" t="s">
        <v>62</v>
      </c>
      <c r="F48" s="331" t="str">
        <f t="array" ref="F48">TEXTJOIN(CHAR(10), TRUE, 
  "*" &amp; E48 &amp; "*", 
 "Localização: " &amp; _xlfn.XLOOKUP(E48, 'UPA e UPA-E'!B:B, 'UPA e UPA-E'!C:C, "Não encontrado"),
 "Geres: " &amp; _xlfn.XLOOKUP(E48, 'UPA e UPA-E'!B:B, 'UPA e UPA-E'!D:D, "Não encontrado"),
 "Leitos: " &amp; _xlfn.XLOOKUP(E48, 'UPA e UPA-E'!B:B, 'UPA e UPA-E'!E:E, "Não encontrado"),
 "Perfil: " &amp; _xlfn.XLOOKUP(E48, 'UPA e UPA-E'!B:B, 'UPA e UPA-E'!F:F, "Não encontrado"),
 "Nº Profissionais Total: " &amp; _xlfn.XLOOKUP(E48, 'UPA e UPA-E'!B:B, 'UPA e UPA-E'!G:G, "Não encontrado"),
 "Investimento nesta gestão: " &amp; _xlfn.XLOOKUP(E48, 'UPA e UPA-E'!B:B, 'UPA e UPA-E'!H:H, "Não encontrado"),
 "Principais avanços nessa gestão: " &amp; _xlfn.XLOOKUP(E48, 'UPA e UPA-E'!B:B, 'UPA e UPA-E'!I:I, "Não encontrado"),
)</f>
        <v>*UPAE Goiana*
Localização: CNPJ n.º:  10.572.048/0001-28
Endereço: Margem da PE 75 Bela Vista Goiana PE, 55900-000
Geres: XII
Leitos: -
Perfil: Atendimentos ambulatoriais nas especialidades de Cardiologia, Mastologia, Urologia, Endocrinologia, Dermatologia, Angiologia / Vascular, Pré-natal de alto risco, Ginecologia, Otorrinolaringologia e Neurologia.
Nº Profissionais Total: 66
Investimento nesta gestão: 
Principais avanços nessa gestão: AQUISIÇÕES: DE ESFIGMOMANÔMETRO ANERÓIDE COM PEDESTAL
INDICADOR DIGITAL DE PESAGEM LIDER LD1050
MONITOR MULTIPARAMÉTRICO PROLIFE
ESFIGMOMANÔMETRO ANERÓIDE COM PEDESTAL
APARELHO DETECTOR FETAL DIGITAL
APARELHO COLPOSCÓPIO BINOCULAR
APARELHO COLPOSCÓPIO BINOCULAR
APARELHO DE ULTRASSOM ERGONÔMICO
ESFIGMOMANÔMETRO ANERÓIDE COM PEDESTAL
APARELHO ELETROTERAPIA NEORODIM
APARELHO DE ULTRASSOM TERAPÊUTICO
PAUDÁRIO (ALONGAMENTO)
PEDALINHO (EXERCÍCIOS)
ESTEIRA ERGOMÉTRICA SPEEDO
ESTEIRA ERGOMÉTRICA SPEEDO
APARELHO DE MAMOGRAFIA E ACESSÓRIOS
APARELHO DE DENSITOMETRIA ÓSSEA
CARRINHO DE EMERGÊNCIA
CAIXAS ENDOSCÓPICO/COLONOSCÓPICO
REPROCESSADORA AUTOMÁTICA DE ENDOSCÓPIO
CONCENTRADOR DE OXIGÊNIO
MONITOR MULTIPARAMÉTRICO PROLIFE
CARDIOVERSOR/DESFIBRILADOR
VENTILADOR PULMONAR MECÂNICO PORTÁTIL
CARRINHO DE EMERGÊNCIA
CAIXAS ENDOSCÓPICO/COLONOSCÓPICO
CADEIRA DE BANHO HIGIÊNICA
MONITOR MULTIPARÂMETRO
CARRINHO DE EMERGÊNCIA
APARELHO DE RAIO X
ESFIGMOMANÔMETRO ANERÓIDE COM PEDESTAL
ESFIGMOMANÔMETRO ANERÓIDE
ESTEIRA ERGOMÉTRICA
APARELHO SISTEMA DE ERGOMETRIA APEX 1000
MONITOR MULTIPARÂMETRO
TERMÔMETRO CLÍNICO DIGITAL</v>
      </c>
      <c r="G48" s="272"/>
      <c r="H48" s="38" t="s">
        <v>65</v>
      </c>
      <c r="I48" s="270" t="str">
        <f t="array" ref="I48">_xlfn.XLOOKUP(E48, 'UPA e UPA-E'!B:B, 'UPA e UPA-E'!E:E)</f>
        <v>-</v>
      </c>
      <c r="J48" s="212" t="str">
        <f t="array" ref="J48">_xlfn.XLOOKUP(E48, 'UPA e UPA-E'!B:B, 'UPA e UPA-E'!F:F)</f>
        <v>Atendimentos ambulatoriais nas especialidades de Cardiologia, Mastologia, Urologia, Endocrinologia, Dermatologia, Angiologia / Vascular, Pré-natal de alto risco, Ginecologia, Otorrinolaringologia e Neurologia.</v>
      </c>
      <c r="K48" s="149">
        <f t="array" ref="K48">_xlfn.XLOOKUP(E48, 'UPA e UPA-E'!B:B, 'UPA e UPA-E'!G:G)</f>
        <v>66</v>
      </c>
      <c r="L48" s="150"/>
      <c r="M48" s="272"/>
      <c r="N48" s="269" t="str">
        <f t="array" ref="N48">_xlfn.XLOOKUP(E48, 'UPA e UPA-E'!B:B, 'UPA e UPA-E'!H:H)</f>
        <v/>
      </c>
      <c r="O48" s="267"/>
      <c r="P48" s="267"/>
      <c r="Q48" s="267"/>
      <c r="R48" s="267"/>
      <c r="S48" s="272"/>
      <c r="T48" s="332" t="str">
        <f t="array" ref="T48">_xlfn.XLOOKUP(E48, 'UPA e UPA-E'!B:B, 'UPA e UPA-E'!I:I)</f>
        <v>AQUISIÇÕES: DE ESFIGMOMANÔMETRO ANERÓIDE COM PEDESTAL
INDICADOR DIGITAL DE PESAGEM LIDER LD1050
MONITOR MULTIPARAMÉTRICO PROLIFE
ESFIGMOMANÔMETRO ANERÓIDE COM PEDESTAL
APARELHO DETECTOR FETAL DIGITAL
APARELHO COLPOSCÓPIO BINOCULAR
APARELHO COLPOSCÓPIO BINOCULAR
APARELHO DE ULTRASSOM ERGONÔMICO
ESFIGMOMANÔMETRO ANERÓIDE COM PEDESTAL
APARELHO ELETROTERAPIA NEORODIM
APARELHO DE ULTRASSOM TERAPÊUTICO
PAUDÁRIO (ALONGAMENTO)
PEDALINHO (EXERCÍCIOS)
ESTEIRA ERGOMÉTRICA SPEEDO
ESTEIRA ERGOMÉTRICA SPEEDO
APARELHO DE MAMOGRAFIA E ACESSÓRIOS
APARELHO DE DENSITOMETRIA ÓSSEA
CARRINHO DE EMERGÊNCIA
CAIXAS ENDOSCÓPICO/COLONOSCÓPICO
REPROCESSADORA AUTOMÁTICA DE ENDOSCÓPIO
CONCENTRADOR DE OXIGÊNIO
MONITOR MULTIPARAMÉTRICO PROLIFE
CARDIOVERSOR/DESFIBRILADOR
VENTILADOR PULMONAR MECÂNICO PORTÁTIL
CARRINHO DE EMERGÊNCIA
CAIXAS ENDOSCÓPICO/COLONOSCÓPICO
CADEIRA DE BANHO HIGIÊNICA
MONITOR MULTIPARÂMETRO
CARRINHO DE EMERGÊNCIA
APARELHO DE RAIO X
ESFIGMOMANÔMETRO ANERÓIDE COM PEDESTAL
ESFIGMOMANÔMETRO ANERÓIDE
ESTEIRA ERGOMÉTRICA
APARELHO SISTEMA DE ERGOMETRIA APEX 1000
MONITOR MULTIPARÂMETRO
TERMÔMETRO CLÍNICO DIGITAL</v>
      </c>
      <c r="U48" s="162"/>
    </row>
    <row r="49" ht="137.25" customHeight="1">
      <c r="A49" s="275">
        <v>2601201.0</v>
      </c>
      <c r="B49" s="283" t="s">
        <v>454</v>
      </c>
      <c r="C49" s="57" t="s">
        <v>438</v>
      </c>
      <c r="D49" s="125" t="s">
        <v>608</v>
      </c>
      <c r="E49" s="121" t="s">
        <v>95</v>
      </c>
      <c r="F49" s="331" t="str">
        <f t="array" ref="F49">TEXTJOIN(CHAR(10), TRUE, 
  "*" &amp; E49 &amp; "*", 
 "Localização: " &amp; _xlfn.XLOOKUP(E49, 'UPA e UPA-E'!B:B, 'UPA e UPA-E'!C:C, "Não encontrado"),
 "Geres: " &amp; _xlfn.XLOOKUP(E49, 'UPA e UPA-E'!B:B, 'UPA e UPA-E'!D:D, "Não encontrado"),
 "Leitos: " &amp; _xlfn.XLOOKUP(E49, 'UPA e UPA-E'!B:B, 'UPA e UPA-E'!E:E, "Não encontrado"),
 "Perfil: " &amp; _xlfn.XLOOKUP(E49, 'UPA e UPA-E'!B:B, 'UPA e UPA-E'!F:F, "Não encontrado"),
 "Nº Profissionais Total: " &amp; _xlfn.XLOOKUP(E49, 'UPA e UPA-E'!B:B, 'UPA e UPA-E'!G:G, "Não encontrado"),
 "Investimento nesta gestão: " &amp; _xlfn.XLOOKUP(E49, 'UPA e UPA-E'!B:B, 'UPA e UPA-E'!H:H, "Não encontrado"),
 "Principais avanços nessa gestão: " &amp; _xlfn.XLOOKUP(E49, 'UPA e UPA-E'!B:B, 'UPA e UPA-E'!I:I, "Não encontrado"),
)</f>
        <v>*UPAE Arcoverde*
Localização: Av. Conselheiro João Alfredo, 491, Bairro Santa Luzia, no município de Arcoverde, CEP: 56517-100
Geres: VI
Leitos: -
Perfil: Atendimento ambulatorial especializado em Cardiologia, Dermatologia, Endocrinologia, Gastroenterologia, Ginecologia (CAF e Biópsias), Mastologia, Neurologia, Oftalmologia, Otorrinolaringologia, Pneumologia, Urologia, além de atendimento multiprofissional nas áreas de Enfermagem, Farmácia, Fisioterapia, Fonoaudiologia, Nutrição, Psicologia, Serviço Social.
Nº Profissionais Total: 84
Investimento nesta gestão: 465962,14
Principais avanços nessa gestão: Aquisição de equipamentos: cadeira de rodas, densitômetro, retinógrafo, ultrassonógrafos, aparelho de MAPA e nasofibroscópio.</v>
      </c>
      <c r="G49" s="272"/>
      <c r="H49" s="55" t="str">
        <f t="array" ref="H49">_xlfn.XLOOKUP(E49, 'UPA e UPA-E'!B:B, 'UPA e UPA-E'!D:D)</f>
        <v>VI</v>
      </c>
      <c r="I49" s="270" t="str">
        <f t="array" ref="I49">_xlfn.XLOOKUP(E49, 'UPA e UPA-E'!B:B, 'UPA e UPA-E'!E:E)</f>
        <v>-</v>
      </c>
      <c r="J49" s="212" t="str">
        <f t="array" ref="J49">_xlfn.XLOOKUP(E49, 'UPA e UPA-E'!B:B, 'UPA e UPA-E'!F:F)</f>
        <v>Atendimento ambulatorial especializado em Cardiologia, Dermatologia, Endocrinologia, Gastroenterologia, Ginecologia (CAF e Biópsias), Mastologia, Neurologia, Oftalmologia, Otorrinolaringologia, Pneumologia, Urologia, além de atendimento multiprofissional nas áreas de Enfermagem, Farmácia, Fisioterapia, Fonoaudiologia, Nutrição, Psicologia, Serviço Social.</v>
      </c>
      <c r="K49" s="149">
        <f t="array" ref="K49">_xlfn.XLOOKUP(E49, 'UPA e UPA-E'!B:B, 'UPA e UPA-E'!G:G)</f>
        <v>84</v>
      </c>
      <c r="L49" s="150"/>
      <c r="M49" s="272"/>
      <c r="N49" s="269">
        <f t="array" ref="N49">_xlfn.XLOOKUP(E49, 'UPA e UPA-E'!B:B, 'UPA e UPA-E'!H:H)</f>
        <v>465962.14</v>
      </c>
      <c r="O49" s="267"/>
      <c r="P49" s="267"/>
      <c r="Q49" s="267"/>
      <c r="R49" s="267"/>
      <c r="S49" s="272"/>
      <c r="T49" s="332" t="str">
        <f t="array" ref="T49">_xlfn.XLOOKUP(E49, 'UPA e UPA-E'!B:B, 'UPA e UPA-E'!I:I)</f>
        <v>Aquisição de equipamentos: cadeira de rodas, densitômetro, retinógrafo, ultrassonógrafos, aparelho de MAPA e nasofibroscópio.</v>
      </c>
      <c r="U49" s="162"/>
    </row>
    <row r="50" ht="137.25" customHeight="1">
      <c r="A50" s="275">
        <v>2610004.0</v>
      </c>
      <c r="B50" s="283" t="s">
        <v>383</v>
      </c>
      <c r="C50" s="57" t="s">
        <v>425</v>
      </c>
      <c r="D50" s="125" t="s">
        <v>608</v>
      </c>
      <c r="E50" s="121" t="s">
        <v>111</v>
      </c>
      <c r="F50" s="331" t="str">
        <f t="array" ref="F50">TEXTJOIN(CHAR(10), TRUE, 
  "*" &amp; E50 &amp; "*", 
 "Localização: " &amp; _xlfn.XLOOKUP(E50, 'UPA e UPA-E'!B:B, 'UPA e UPA-E'!C:C, "Não encontrado"),
 "Geres: " &amp; _xlfn.XLOOKUP(E50, 'UPA e UPA-E'!B:B, 'UPA e UPA-E'!D:D, "Não encontrado"),
 "Leitos: " &amp; _xlfn.XLOOKUP(E50, 'UPA e UPA-E'!B:B, 'UPA e UPA-E'!E:E, "Não encontrado"),
 "Perfil: " &amp; _xlfn.XLOOKUP(E50, 'UPA e UPA-E'!B:B, 'UPA e UPA-E'!F:F, "Não encontrado"),
 "Nº Profissionais Total: " &amp; _xlfn.XLOOKUP(E50, 'UPA e UPA-E'!B:B, 'UPA e UPA-E'!G:G, "Não encontrado"),
 "Investimento nesta gestão: " &amp; _xlfn.XLOOKUP(E50, 'UPA e UPA-E'!B:B, 'UPA e UPA-E'!H:H, "Não encontrado"),
 "Principais avanços nessa gestão: " &amp; _xlfn.XLOOKUP(E50, 'UPA e UPA-E'!B:B, 'UPA e UPA-E'!I:I, "Não encontrado"),
)</f>
        <v>*UPAE Palmares*
Localização: BR 101, KM 185, S/N, Bairro Newton Carneiro (Engenho Quilombo dos Palmares), em Palmares, Pernambuco
Geres: III
Leitos: -
Perfil: Atendimento ambulatorial especializado em Angiologia/Cirurgia Vascular, Clínica Médica, Cardiologia, Dermatologia, Endocrinologia, Ginecologia (CAF e Biópsias), Mastologia, Nefrologia, Neurologia, Oftalmologia, Otorrinolaringologia, Pneumologia, Pediatria, Reumatologia e Urologia, além de atendimento multiprofissional nas áreas de Enfermagem, Farmácia, Fisioterapia, Fonoaudiologia, Nutrição, Psicologia, Serviço Social.
Nº Profissionais Total: 95
Investimento nesta gestão: 330972,87
Principais avanços nessa gestão: Crescimento do repasse total anual: repasse cresceu 261,0% entre 2022 e 2025, de R$ 1,7 milhões para R$ 6,0 milhões.
Plano de investimento e modernização: R$ 287.072,87 aplicados na aquisição de equipamentos assistenciais e de diagnóstico: Audiômetro, Cadeira Otorrinológica, Mesa de Exames (maca fixa), Cadeira de Rodas para Obeso, Aparelho para Fisioterapia por Ondas Curtas.
</v>
      </c>
      <c r="G50" s="272"/>
      <c r="H50" s="38" t="s">
        <v>114</v>
      </c>
      <c r="I50" s="270" t="str">
        <f t="array" ref="I50">_xlfn.XLOOKUP(E50, 'UPA e UPA-E'!B:B, 'UPA e UPA-E'!E:E)</f>
        <v>-</v>
      </c>
      <c r="J50" s="212" t="str">
        <f t="array" ref="J50">_xlfn.XLOOKUP(E50, 'UPA e UPA-E'!B:B, 'UPA e UPA-E'!F:F)</f>
        <v>Atendimento ambulatorial especializado em Angiologia/Cirurgia Vascular, Clínica Médica, Cardiologia, Dermatologia, Endocrinologia, Ginecologia (CAF e Biópsias), Mastologia, Nefrologia, Neurologia, Oftalmologia, Otorrinolaringologia, Pneumologia, Pediatria, Reumatologia e Urologia, além de atendimento multiprofissional nas áreas de Enfermagem, Farmácia, Fisioterapia, Fonoaudiologia, Nutrição, Psicologia, Serviço Social.</v>
      </c>
      <c r="K50" s="149">
        <f t="array" ref="K50">_xlfn.XLOOKUP(E50, 'UPA e UPA-E'!B:B, 'UPA e UPA-E'!G:G)</f>
        <v>95</v>
      </c>
      <c r="L50" s="150"/>
      <c r="M50" s="272"/>
      <c r="N50" s="269">
        <f t="array" ref="N50">_xlfn.XLOOKUP(E50, 'UPA e UPA-E'!B:B, 'UPA e UPA-E'!H:H)</f>
        <v>330972.87</v>
      </c>
      <c r="O50" s="267"/>
      <c r="P50" s="267"/>
      <c r="Q50" s="267"/>
      <c r="R50" s="267"/>
      <c r="S50" s="272"/>
      <c r="T50" s="332" t="str">
        <f t="array" ref="T50">_xlfn.XLOOKUP(E50, 'UPA e UPA-E'!B:B, 'UPA e UPA-E'!I:I)</f>
        <v>Crescimento do repasse total anual: repasse cresceu 261,0% entre 2022 e 2025, de R$ 1,7 milhões para R$ 6,0 milhões.
Plano de investimento e modernização: R$ 287.072,87 aplicados na aquisição de equipamentos assistenciais e de diagnóstico: Audiômetro, Cadeira Otorrinológica, Mesa de Exames (maca fixa), Cadeira de Rodas para Obeso, Aparelho para Fisioterapia por Ondas Curtas.
</v>
      </c>
      <c r="U50" s="162"/>
    </row>
    <row r="51" ht="137.25" customHeight="1">
      <c r="A51" s="275">
        <v>2605202.0</v>
      </c>
      <c r="B51" s="283" t="s">
        <v>386</v>
      </c>
      <c r="C51" s="57" t="s">
        <v>425</v>
      </c>
      <c r="D51" s="125" t="s">
        <v>608</v>
      </c>
      <c r="E51" s="121" t="s">
        <v>121</v>
      </c>
      <c r="F51" s="331" t="str">
        <f t="array" ref="F51">TEXTJOIN(CHAR(10), TRUE, 
  "*" &amp; E51 &amp; "*", 
 "Localização: " &amp; _xlfn.XLOOKUP(E51, 'UPA e UPA-E'!B:B, 'UPA e UPA-E'!C:C, "Não encontrado"),
 "Geres: " &amp; _xlfn.XLOOKUP(E51, 'UPA e UPA-E'!B:B, 'UPA e UPA-E'!D:D, "Não encontrado"),
 "Leitos: " &amp; _xlfn.XLOOKUP(E51, 'UPA e UPA-E'!B:B, 'UPA e UPA-E'!E:E, "Não encontrado"),
 "Perfil: " &amp; _xlfn.XLOOKUP(E51, 'UPA e UPA-E'!B:B, 'UPA e UPA-E'!F:F, "Não encontrado"),
 "Nº Profissionais Total: " &amp; _xlfn.XLOOKUP(E51, 'UPA e UPA-E'!B:B, 'UPA e UPA-E'!G:G, "Não encontrado"),
 "Investimento nesta gestão: " &amp; _xlfn.XLOOKUP(E51, 'UPA e UPA-E'!B:B, 'UPA e UPA-E'!H:H, "Não encontrado"),
 "Principais avanços nessa gestão: " &amp; _xlfn.XLOOKUP(E51, 'UPA e UPA-E'!B:B, 'UPA e UPA-E'!I:I, "Não encontrado"),
)</f>
        <v>*UPAE Escada*
Localização: Avenida Engenheiro Alves de Souza, s/n, Jaguaribe, CEP: 55.500-000
Geres: III
Leitos: -
Perfil: Atendimento ambulatorial especializado em Alergologia, Angiologia, Cardiologia, Dermatologia, Endocrinologia, Gastroenterologia, Infectologia, Mastologia, Nefrologia, Oftalmologia, Otorrinolaringologia, Pneumologia, Reumatologia, Urologia, além de atendimento multiprofissional nas áreas de Enfermagem, Farmácia, Fisioterapia, Fonoaudiologia, Nutrição, Psicologia, Serviço Social.
Nº Profissionais Total: 92
Investimento nesta gestão: R$ 475.362,22
Principais avanços nessa gestão: Cadeira otorrinolaringológica, ultrassom diagnóstico sem aplicação transesofágica, desfibrilador, oxímetros de pulso e balança digital adulto.</v>
      </c>
      <c r="G51" s="272"/>
      <c r="H51" s="38" t="s">
        <v>114</v>
      </c>
      <c r="I51" s="270" t="str">
        <f t="array" ref="I51">_xlfn.XLOOKUP(E51, 'UPA e UPA-E'!B:B, 'UPA e UPA-E'!E:E)</f>
        <v>-</v>
      </c>
      <c r="J51" s="212" t="str">
        <f t="array" ref="J51">_xlfn.XLOOKUP(E51, 'UPA e UPA-E'!B:B, 'UPA e UPA-E'!F:F)</f>
        <v>Atendimento ambulatorial especializado em Alergologia, Angiologia, Cardiologia, Dermatologia, Endocrinologia, Gastroenterologia, Infectologia, Mastologia, Nefrologia, Oftalmologia, Otorrinolaringologia, Pneumologia, Reumatologia, Urologia, além de atendimento multiprofissional nas áreas de Enfermagem, Farmácia, Fisioterapia, Fonoaudiologia, Nutrição, Psicologia, Serviço Social.
</v>
      </c>
      <c r="K51" s="149">
        <f t="array" ref="K51">_xlfn.XLOOKUP(E51, 'UPA e UPA-E'!B:B, 'UPA e UPA-E'!G:G)</f>
        <v>92</v>
      </c>
      <c r="L51" s="150"/>
      <c r="M51" s="272"/>
      <c r="N51" s="269" t="str">
        <f t="array" ref="N51">_xlfn.XLOOKUP(E51, 'UPA e UPA-E'!B:B, 'UPA e UPA-E'!H:H)</f>
        <v>R$ 475.362,22</v>
      </c>
      <c r="O51" s="267"/>
      <c r="P51" s="267"/>
      <c r="Q51" s="267"/>
      <c r="R51" s="267"/>
      <c r="S51" s="272"/>
      <c r="T51" s="332" t="str">
        <f t="array" ref="T51">_xlfn.XLOOKUP(E51, 'UPA e UPA-E'!B:B, 'UPA e UPA-E'!I:I)</f>
        <v>Cadeira otorrinolaringológica, ultrassom diagnóstico sem aplicação transesofágica, desfibrilador, oxímetros de pulso e balança digital adulto.</v>
      </c>
      <c r="U51" s="162"/>
    </row>
    <row r="52" ht="137.25" customHeight="1">
      <c r="A52" s="275">
        <v>2604106.0</v>
      </c>
      <c r="B52" s="283" t="s">
        <v>392</v>
      </c>
      <c r="C52" s="57" t="s">
        <v>431</v>
      </c>
      <c r="D52" s="125" t="s">
        <v>608</v>
      </c>
      <c r="E52" s="121" t="s">
        <v>140</v>
      </c>
      <c r="F52" s="331" t="str">
        <f t="array" ref="F52">TEXTJOIN(CHAR(10), TRUE, 
  "*" &amp; E52 &amp; "*", 
 "Localização: " &amp; _xlfn.XLOOKUP(E52, 'UPA e UPA-E'!B:B, 'UPA e UPA-E'!C:C, "Não encontrado"),
 "Geres: " &amp; _xlfn.XLOOKUP(E52, 'UPA e UPA-E'!B:B, 'UPA e UPA-E'!D:D, "Não encontrado"),
 "Leitos: " &amp; _xlfn.XLOOKUP(E52, 'UPA e UPA-E'!B:B, 'UPA e UPA-E'!E:E, "Não encontrado"),
 "Perfil: " &amp; _xlfn.XLOOKUP(E52, 'UPA e UPA-E'!B:B, 'UPA e UPA-E'!F:F, "Não encontrado"),
 "Nº Profissionais Total: " &amp; _xlfn.XLOOKUP(E52, 'UPA e UPA-E'!B:B, 'UPA e UPA-E'!G:G, "Não encontrado"),
 "Investimento nesta gestão: " &amp; _xlfn.XLOOKUP(E52, 'UPA e UPA-E'!B:B, 'UPA e UPA-E'!H:H, "Não encontrado"),
 "Principais avanços nessa gestão: " &amp; _xlfn.XLOOKUP(E52, 'UPA e UPA-E'!B:B, 'UPA e UPA-E'!I:I, "Não encontrado"),
)</f>
        <v>*UPAE Caruaru*
Localização: Av. José Marques Fontes, S/N, Indianópolis
Geres: IV
Leitos: -
Perfil: Atendimento ambulatorial especializado em Alergologia, Angiologia, Cardiologia, Cirurgia Geral, Dermatologia, Endocrinologia, Gastroenterologia, Hematologia, Infectologia, Mastologia, Nefrologia, Neurologia, Oftalmologia, Otorrinolaringologia, Pneumologia, Proctologia, Reumatologia e Urologia, além de suporte anestésico para procedimentos realizados em sala cirúrgica. A unidade conta ainda com atendimento multiprofissional nas áreas de Enfermagem, Farmácia, Fisioterapia, Fonoaudiologia, Nutrição, Psicologia, Serviço Social e Terapia Ocupacional
Nº Profissionais Total: 119
Investimento nesta gestão: R$ 4.289.540,15
Principais avanços nessa gestão: Microscopio cirúrgico oftalmológico, aparelho de ultrassonografia (ultrassom), facoemulsificador, foco cirúrgico de teto, sistema de vídeo endoscopia flexível, carro de anestesia, monitor multiparamêtrico, cadeira para exames de urodinâmica.</v>
      </c>
      <c r="G52" s="272"/>
      <c r="H52" s="38" t="s">
        <v>138</v>
      </c>
      <c r="I52" s="267" t="str">
        <f t="array" ref="I52">_xlfn.XLOOKUP(E52, 'UPA e UPA-E'!B:B, 'UPA e UPA-E'!E:E)</f>
        <v>-</v>
      </c>
      <c r="J52" s="212" t="str">
        <f t="array" ref="J52">_xlfn.XLOOKUP(E52, 'UPA e UPA-E'!B:B, 'UPA e UPA-E'!F:F)</f>
        <v>Atendimento ambulatorial especializado em Alergologia, Angiologia, Cardiologia, Cirurgia Geral, Dermatologia, Endocrinologia, Gastroenterologia, Hematologia, Infectologia, Mastologia, Nefrologia, Neurologia, Oftalmologia, Otorrinolaringologia, Pneumologia, Proctologia, Reumatologia e Urologia, além de suporte anestésico para procedimentos realizados em sala cirúrgica. A unidade conta ainda com atendimento multiprofissional nas áreas de Enfermagem, Farmácia, Fisioterapia, Fonoaudiologia, Nutrição, Psicologia, Serviço Social e Terapia Ocupacional</v>
      </c>
      <c r="K52" s="149">
        <f t="array" ref="K52">_xlfn.XLOOKUP(E52, 'UPA e UPA-E'!B:B, 'UPA e UPA-E'!G:G)</f>
        <v>119</v>
      </c>
      <c r="L52" s="150"/>
      <c r="M52" s="272"/>
      <c r="N52" s="269" t="str">
        <f t="array" ref="N52">_xlfn.XLOOKUP(E52, 'UPA e UPA-E'!B:B, 'UPA e UPA-E'!H:H)</f>
        <v>R$ 4.289.540,15</v>
      </c>
      <c r="O52" s="267"/>
      <c r="P52" s="267"/>
      <c r="Q52" s="267"/>
      <c r="R52" s="267"/>
      <c r="S52" s="272"/>
      <c r="T52" s="332" t="str">
        <f t="array" ref="T52">_xlfn.XLOOKUP(E52, 'UPA e UPA-E'!B:B, 'UPA e UPA-E'!I:I)</f>
        <v>Microscopio cirúrgico oftalmológico, aparelho de ultrassonografia (ultrassom), facoemulsificador, foco cirúrgico de teto, sistema de vídeo endoscopia flexível, carro de anestesia, monitor multiparamêtrico, cadeira para exames de urodinâmica.</v>
      </c>
      <c r="U52" s="162"/>
    </row>
    <row r="53" ht="137.25" customHeight="1">
      <c r="A53" s="275">
        <v>2601706.0</v>
      </c>
      <c r="B53" s="283" t="s">
        <v>459</v>
      </c>
      <c r="C53" s="57" t="s">
        <v>431</v>
      </c>
      <c r="D53" s="125" t="s">
        <v>608</v>
      </c>
      <c r="E53" s="121" t="s">
        <v>152</v>
      </c>
      <c r="F53" s="331" t="str">
        <f t="array" ref="F53">TEXTJOIN(CHAR(10), TRUE, 
  "*" &amp; E53 &amp; "*", 
 "Localização: " &amp; _xlfn.XLOOKUP(E53, 'UPA e UPA-E'!B:B, 'UPA e UPA-E'!C:C, "Não encontrado"),
 "Geres: " &amp; _xlfn.XLOOKUP(E53, 'UPA e UPA-E'!B:B, 'UPA e UPA-E'!D:D, "Não encontrado"),
 "Leitos: " &amp; _xlfn.XLOOKUP(E53, 'UPA e UPA-E'!B:B, 'UPA e UPA-E'!E:E, "Não encontrado"),
 "Perfil: " &amp; _xlfn.XLOOKUP(E53, 'UPA e UPA-E'!B:B, 'UPA e UPA-E'!F:F, "Não encontrado"),
 "Nº Profissionais Total: " &amp; _xlfn.XLOOKUP(E53, 'UPA e UPA-E'!B:B, 'UPA e UPA-E'!G:G, "Não encontrado"),
 "Investimento nesta gestão: " &amp; _xlfn.XLOOKUP(E53, 'UPA e UPA-E'!B:B, 'UPA e UPA-E'!H:H, "Não encontrado"),
 "Principais avanços nessa gestão: " &amp; _xlfn.XLOOKUP(E53, 'UPA e UPA-E'!B:B, 'UPA e UPA-E'!I:I, "Não encontrado"),
)</f>
        <v>*UPAE Belo Jardim*
Localização: BR-232, 785, Bairro São Pedro, no município de Belo Jardim, CEP: 55158-810
Geres: IV
Leitos: -
Perfil: Atendimento especializado em Alergologia, Angiologia, Cardiologia, Clínico geral, Dermatologia, Endocrinologia, Gastroenterologia, Ginecologia, Nefrologia, neurologia, Oftalmologia, Otorrinolaringologia, Urologia, além de atendimento multiprofissional nas áreas de Enfermagem, Farmácia, Fisioterapia, Fonoaudiologia, Nutrição, Psicologia, Serviço social.
Nº Profissionais Total: 92
Investimento nesta gestão: R$ 34.816,70
Principais avanços nessa gestão: Aquisição/execução: equipamento para monitoramento ambulatorial de pressão arterial (MAPA), entre outros itens.</v>
      </c>
      <c r="G53" s="272"/>
      <c r="H53" s="38" t="s">
        <v>138</v>
      </c>
      <c r="I53" s="267" t="str">
        <f t="array" ref="I53">_xlfn.XLOOKUP(E53, 'UPA e UPA-E'!B:B, 'UPA e UPA-E'!E:E)</f>
        <v>-</v>
      </c>
      <c r="J53" s="212" t="str">
        <f t="array" ref="J53">_xlfn.XLOOKUP(E53, 'UPA e UPA-E'!B:B, 'UPA e UPA-E'!F:F)</f>
        <v>Atendimento especializado em Alergologia, Angiologia, Cardiologia, Clínico geral, Dermatologia, Endocrinologia, Gastroenterologia, Ginecologia, Nefrologia, neurologia, Oftalmologia, Otorrinolaringologia, Urologia, além de atendimento multiprofissional nas áreas de Enfermagem, Farmácia, Fisioterapia, Fonoaudiologia, Nutrição, Psicologia, Serviço social.
</v>
      </c>
      <c r="K53" s="149">
        <f t="array" ref="K53">_xlfn.XLOOKUP(E53, 'UPA e UPA-E'!B:B, 'UPA e UPA-E'!G:G)</f>
        <v>92</v>
      </c>
      <c r="L53" s="150"/>
      <c r="M53" s="272"/>
      <c r="N53" s="269" t="str">
        <f t="array" ref="N53">_xlfn.XLOOKUP(E53, 'UPA e UPA-E'!B:B, 'UPA e UPA-E'!H:H)</f>
        <v>R$ 34.816,70</v>
      </c>
      <c r="O53" s="267"/>
      <c r="P53" s="267"/>
      <c r="Q53" s="267"/>
      <c r="R53" s="267"/>
      <c r="S53" s="272"/>
      <c r="T53" s="332" t="str">
        <f t="array" ref="T53">_xlfn.XLOOKUP(E53, 'UPA e UPA-E'!B:B, 'UPA e UPA-E'!I:I)</f>
        <v>Aquisição/execução: equipamento para monitoramento ambulatorial de pressão arterial (MAPA), entre outros itens.</v>
      </c>
      <c r="U53" s="162"/>
    </row>
    <row r="54" ht="137.25" customHeight="1">
      <c r="A54" s="275">
        <v>2608909.0</v>
      </c>
      <c r="B54" s="283" t="s">
        <v>378</v>
      </c>
      <c r="C54" s="57" t="s">
        <v>434</v>
      </c>
      <c r="D54" s="125" t="s">
        <v>608</v>
      </c>
      <c r="E54" s="121" t="s">
        <v>161</v>
      </c>
      <c r="F54" s="331" t="str">
        <f t="array" ref="F54">TEXTJOIN(CHAR(10), TRUE, 
  "*" &amp; E54 &amp; "*", 
 "Localização: " &amp; _xlfn.XLOOKUP(E54, 'UPA e UPA-E'!B:B, 'UPA e UPA-E'!C:C, "Não encontrado"),
 "Geres: " &amp; _xlfn.XLOOKUP(E54, 'UPA e UPA-E'!B:B, 'UPA e UPA-E'!D:D, "Não encontrado"),
 "Leitos: " &amp; _xlfn.XLOOKUP(E54, 'UPA e UPA-E'!B:B, 'UPA e UPA-E'!E:E, "Não encontrado"),
 "Perfil: " &amp; _xlfn.XLOOKUP(E54, 'UPA e UPA-E'!B:B, 'UPA e UPA-E'!F:F, "Não encontrado"),
 "Nº Profissionais Total: " &amp; _xlfn.XLOOKUP(E54, 'UPA e UPA-E'!B:B, 'UPA e UPA-E'!G:G, "Não encontrado"),
 "Investimento nesta gestão: " &amp; _xlfn.XLOOKUP(E54, 'UPA e UPA-E'!B:B, 'UPA e UPA-E'!H:H, "Não encontrado"),
 "Principais avanços nessa gestão: " &amp; _xlfn.XLOOKUP(E54, 'UPA e UPA-E'!B:B, 'UPA e UPA-E'!I:I, "Não encontrado"),
)</f>
        <v>*UPAE Limoeiro*
Localização: Margem PE-90, S/N, Fazenda Livramento, Limoeiro - PE, 55700-000
Geres: II
Leitos: -
Perfil: Atendimento especializado em Angiologia, Cardiologia, Dermatologia, Endocrinologia, Gastroenterologia, Ginecologia, Mastologia, Nefrologia, Oftalmologia, Otorrinolaringologia, Urologia, além de atendimento multiprofissional nas áreas de Enfermagem, Farmácia, Fisioterapia, Fonoaudiologia, Nutrição, Psicologia, Serviço Social.
Nº Profissionais Total: 95
Investimento nesta gestão: 905105
Principais avanços nessa gestão: Repasse evoluiu de R$ 5,4 milhões para R$ 8,8 milhões. Aquisição de equipamentos através de Plano de investimento, no valor de R$ 905.105,00</v>
      </c>
      <c r="G54" s="272"/>
      <c r="H54" s="38" t="s">
        <v>58</v>
      </c>
      <c r="I54" s="267" t="str">
        <f t="array" ref="I54">_xlfn.XLOOKUP(E54, 'UPA e UPA-E'!B:B, 'UPA e UPA-E'!E:E)</f>
        <v>-</v>
      </c>
      <c r="J54" s="212" t="str">
        <f t="array" ref="J54">_xlfn.XLOOKUP(E54, 'UPA e UPA-E'!B:B, 'UPA e UPA-E'!F:F)</f>
        <v>Atendimento especializado em Angiologia, Cardiologia, Dermatologia, Endocrinologia, Gastroenterologia, Ginecologia, Mastologia, Nefrologia, Oftalmologia, Otorrinolaringologia, Urologia, além de atendimento multiprofissional nas áreas de Enfermagem, Farmácia, Fisioterapia, Fonoaudiologia, Nutrição, Psicologia, Serviço Social.</v>
      </c>
      <c r="K54" s="149">
        <f t="array" ref="K54">_xlfn.XLOOKUP(E54, 'UPA e UPA-E'!B:B, 'UPA e UPA-E'!G:G)</f>
        <v>95</v>
      </c>
      <c r="L54" s="150"/>
      <c r="M54" s="272"/>
      <c r="N54" s="269">
        <f t="array" ref="N54">_xlfn.XLOOKUP(E54, 'UPA e UPA-E'!B:B, 'UPA e UPA-E'!H:H)</f>
        <v>905105</v>
      </c>
      <c r="O54" s="267"/>
      <c r="P54" s="267"/>
      <c r="Q54" s="267"/>
      <c r="R54" s="267"/>
      <c r="S54" s="272"/>
      <c r="T54" s="332" t="str">
        <f t="array" ref="T54">_xlfn.XLOOKUP(E54, 'UPA e UPA-E'!B:B, 'UPA e UPA-E'!I:I)</f>
        <v>Repasse evoluiu de R$ 5,4 milhões para R$ 8,8 milhões. Aquisição de equipamentos através de Plano de investimento, no valor de R$ 905.105,00</v>
      </c>
      <c r="U54" s="162"/>
    </row>
    <row r="55" ht="137.25" customHeight="1">
      <c r="A55" s="275">
        <v>2606002.0</v>
      </c>
      <c r="B55" s="283" t="s">
        <v>144</v>
      </c>
      <c r="C55" s="57" t="s">
        <v>433</v>
      </c>
      <c r="D55" s="125" t="s">
        <v>608</v>
      </c>
      <c r="E55" s="121" t="s">
        <v>171</v>
      </c>
      <c r="F55" s="331" t="str">
        <f t="array" ref="F55">TEXTJOIN(CHAR(10), TRUE, 
  "*" &amp; E55 &amp; "*", 
 "Localização: " &amp; _xlfn.XLOOKUP(E55, 'UPA e UPA-E'!B:B, 'UPA e UPA-E'!C:C, "Não encontrado"),
 "Geres: " &amp; _xlfn.XLOOKUP(E55, 'UPA e UPA-E'!B:B, 'UPA e UPA-E'!D:D, "Não encontrado"),
 "Leitos: " &amp; _xlfn.XLOOKUP(E55, 'UPA e UPA-E'!B:B, 'UPA e UPA-E'!E:E, "Não encontrado"),
 "Perfil: " &amp; _xlfn.XLOOKUP(E55, 'UPA e UPA-E'!B:B, 'UPA e UPA-E'!F:F, "Não encontrado"),
 "Nº Profissionais Total: " &amp; _xlfn.XLOOKUP(E55, 'UPA e UPA-E'!B:B, 'UPA e UPA-E'!G:G, "Não encontrado"),
 "Investimento nesta gestão: " &amp; _xlfn.XLOOKUP(E55, 'UPA e UPA-E'!B:B, 'UPA e UPA-E'!H:H, "Não encontrado"),
 "Principais avanços nessa gestão: " &amp; _xlfn.XLOOKUP(E55, 'UPA e UPA-E'!B:B, 'UPA e UPA-E'!I:I, "Não encontrado"),
)</f>
        <v>*UPAE Garanhuns*
Localização: Rodovia BR-423,BR 423, km 96,8, Bairro São José, Garanhuns Km 90, CEP: 55.290-000
Geres: V
Leitos: -
Perfil: Atendimento ambulatorial especializado em Cardiologia, Cirurgia Geral, Dermatologia, Endocrinologia, Gastroenterologia, Geriatria, Ginecologia (CAF e Biopsia), Mastologia, Nefrologia, Neurologia, Oftalmologia, Otorrinolaringologia, Reumatologia e Urologia, além de atendimento multiprofissional nas áreas de Enfermagem, Farmácia, Fisioterapia, Fonoaudiologia, Nutrição, Psicologia, Serviço Social.
Nº Profissionais Total: 258
Investimento nesta gestão: R$ 3.162.643,06
Principais avanços nessa gestão: Aquisição de equipamento através de plano de investimento, no valor de R$3.162.643,06 contemplando: Aparelho de anestesia, cardioversor, ventilador pulmonar de transporte, ultrassonógrafo, bisturi elétrico e foco cirúrgico.</v>
      </c>
      <c r="G55" s="272"/>
      <c r="H55" s="38" t="s">
        <v>37</v>
      </c>
      <c r="I55" s="270" t="str">
        <f t="array" ref="I55">_xlfn.XLOOKUP(E55, 'UPA e UPA-E'!B:B, 'UPA e UPA-E'!E:E)</f>
        <v>-</v>
      </c>
      <c r="J55" s="212" t="str">
        <f t="array" ref="J55">_xlfn.XLOOKUP(E55, 'UPA e UPA-E'!B:B, 'UPA e UPA-E'!F:F)</f>
        <v>Atendimento ambulatorial especializado em Cardiologia, Cirurgia Geral, Dermatologia, Endocrinologia, Gastroenterologia, Geriatria, Ginecologia (CAF e Biopsia), Mastologia, Nefrologia, Neurologia, Oftalmologia, Otorrinolaringologia, Reumatologia e Urologia, além de atendimento multiprofissional nas áreas de Enfermagem, Farmácia, Fisioterapia, Fonoaudiologia, Nutrição, Psicologia, Serviço Social.</v>
      </c>
      <c r="K55" s="149">
        <f t="array" ref="K55">_xlfn.XLOOKUP(E55, 'UPA e UPA-E'!B:B, 'UPA e UPA-E'!G:G)</f>
        <v>258</v>
      </c>
      <c r="L55" s="150"/>
      <c r="M55" s="272"/>
      <c r="N55" s="269" t="str">
        <f t="array" ref="N55">_xlfn.XLOOKUP(E55, 'UPA e UPA-E'!B:B, 'UPA e UPA-E'!H:H)</f>
        <v>R$ 3.162.643,06</v>
      </c>
      <c r="O55" s="267"/>
      <c r="P55" s="267"/>
      <c r="Q55" s="267"/>
      <c r="R55" s="267"/>
      <c r="S55" s="272"/>
      <c r="T55" s="332" t="str">
        <f t="array" ref="T55">_xlfn.XLOOKUP(E55, 'UPA e UPA-E'!B:B, 'UPA e UPA-E'!I:I)</f>
        <v>Aquisição de equipamento através de plano de investimento, no valor de R$3.162.643,06 contemplando: Aparelho de anestesia, cardioversor, ventilador pulmonar de transporte, ultrassonógrafo, bisturi elétrico e foco cirúrgico.</v>
      </c>
      <c r="U55" s="162"/>
    </row>
    <row r="56" ht="137.25" customHeight="1">
      <c r="A56" s="275">
        <v>2612208.0</v>
      </c>
      <c r="B56" s="283" t="s">
        <v>447</v>
      </c>
      <c r="C56" s="57" t="s">
        <v>435</v>
      </c>
      <c r="D56" s="125" t="s">
        <v>608</v>
      </c>
      <c r="E56" s="121" t="s">
        <v>185</v>
      </c>
      <c r="F56" s="331" t="str">
        <f t="array" ref="F56">TEXTJOIN(CHAR(10), TRUE, 
  "*" &amp; E56 &amp; "*", 
 "Localização: " &amp; _xlfn.XLOOKUP(E56, 'UPA e UPA-E'!B:B, 'UPA e UPA-E'!C:C, "Não encontrado"),
 "Geres: " &amp; _xlfn.XLOOKUP(E56, 'UPA e UPA-E'!B:B, 'UPA e UPA-E'!D:D, "Não encontrado"),
 "Leitos: " &amp; _xlfn.XLOOKUP(E56, 'UPA e UPA-E'!B:B, 'UPA e UPA-E'!E:E, "Não encontrado"),
 "Perfil: " &amp; _xlfn.XLOOKUP(E56, 'UPA e UPA-E'!B:B, 'UPA e UPA-E'!F:F, "Não encontrado"),
 "Nº Profissionais Total: " &amp; _xlfn.XLOOKUP(E56, 'UPA e UPA-E'!B:B, 'UPA e UPA-E'!G:G, "Não encontrado"),
 "Investimento nesta gestão: " &amp; _xlfn.XLOOKUP(E56, 'UPA e UPA-E'!B:B, 'UPA e UPA-E'!H:H, "Não encontrado"),
 "Principais avanços nessa gestão: " &amp; _xlfn.XLOOKUP(E56, 'UPA e UPA-E'!B:B, 'UPA e UPA-E'!I:I, "Não encontrado"),
)</f>
        <v>*UPAE Salgueiro*
Localização: R. João Veras de Siqueira, s/n - Nossa Sra. Aparecida, Salgueiro - PE, 56000-000
Geres: VII
Leitos: -
Perfil: Atendimento ambulatorial especializado em Angiologia, Dermatologia, Endocrinologia, Cardiologia, Gastroenterologia,  Ginecologia, Mastologia, Otorrinolaringologia, Ortopedia, Reumatologia e Urologia, além de atendimento multiprofissional nas áreas de Enfermagem, Farmácia, Fisioterapia, Fonoaudiologia, Nutrição, Psicologia, Serviço Social.
Nº Profissionais Total: 87
Investimento nesta gestão: 233120,62
Principais avanços nessa gestão: -</v>
      </c>
      <c r="G56" s="267"/>
      <c r="H56" s="38" t="s">
        <v>188</v>
      </c>
      <c r="I56" s="270" t="str">
        <f t="array" ref="I56">_xlfn.XLOOKUP(E56, 'UPA e UPA-E'!B:B, 'UPA e UPA-E'!E:E)</f>
        <v>-</v>
      </c>
      <c r="J56" s="212" t="str">
        <f t="array" ref="J56">_xlfn.XLOOKUP(E56, 'UPA e UPA-E'!B:B, 'UPA e UPA-E'!F:F)</f>
        <v>Atendimento ambulatorial especializado em Angiologia, Dermatologia, Endocrinologia, Cardiologia, Gastroenterologia,  Ginecologia, Mastologia, Otorrinolaringologia, Ortopedia, Reumatologia e Urologia, além de atendimento multiprofissional nas áreas de Enfermagem, Farmácia, Fisioterapia, Fonoaudiologia, Nutrição, Psicologia, Serviço Social.</v>
      </c>
      <c r="K56" s="149">
        <f t="array" ref="K56">_xlfn.XLOOKUP(E56, 'UPA e UPA-E'!B:B, 'UPA e UPA-E'!G:G)</f>
        <v>87</v>
      </c>
      <c r="L56" s="150"/>
      <c r="M56" s="272"/>
      <c r="N56" s="269">
        <f t="array" ref="N56">_xlfn.XLOOKUP(E56, 'UPA e UPA-E'!B:B, 'UPA e UPA-E'!H:H)</f>
        <v>233120.62</v>
      </c>
      <c r="O56" s="267"/>
      <c r="P56" s="267"/>
      <c r="Q56" s="267"/>
      <c r="R56" s="267"/>
      <c r="S56" s="272"/>
      <c r="T56" s="332" t="str">
        <f t="array" ref="T56">_xlfn.XLOOKUP(E56, 'UPA e UPA-E'!B:B, 'UPA e UPA-E'!I:I)</f>
        <v>-</v>
      </c>
      <c r="U56" s="162"/>
    </row>
    <row r="57" ht="137.25" customHeight="1">
      <c r="A57" s="275">
        <v>2609907.0</v>
      </c>
      <c r="B57" s="283" t="s">
        <v>470</v>
      </c>
      <c r="C57" s="57" t="s">
        <v>437</v>
      </c>
      <c r="D57" s="125" t="s">
        <v>608</v>
      </c>
      <c r="E57" s="121" t="s">
        <v>194</v>
      </c>
      <c r="F57" s="331" t="str">
        <f t="array" ref="F57">TEXTJOIN(CHAR(10), TRUE, 
  "*" &amp; E57 &amp; "*", 
 "Localização: " &amp; _xlfn.XLOOKUP(E57, 'UPA e UPA-E'!B:B, 'UPA e UPA-E'!C:C, "Não encontrado"),
 "Geres: " &amp; _xlfn.XLOOKUP(E57, 'UPA e UPA-E'!B:B, 'UPA e UPA-E'!D:D, "Não encontrado"),
 "Leitos: " &amp; _xlfn.XLOOKUP(E57, 'UPA e UPA-E'!B:B, 'UPA e UPA-E'!E:E, "Não encontrado"),
 "Perfil: " &amp; _xlfn.XLOOKUP(E57, 'UPA e UPA-E'!B:B, 'UPA e UPA-E'!F:F, "Não encontrado"),
 "Nº Profissionais Total: " &amp; _xlfn.XLOOKUP(E57, 'UPA e UPA-E'!B:B, 'UPA e UPA-E'!G:G, "Não encontrado"),
 "Investimento nesta gestão: " &amp; _xlfn.XLOOKUP(E57, 'UPA e UPA-E'!B:B, 'UPA e UPA-E'!H:H, "Não encontrado"),
 "Principais avanços nessa gestão: " &amp; _xlfn.XLOOKUP(E57, 'UPA e UPA-E'!B:B, 'UPA e UPA-E'!I:I, "Não encontrado"),
)</f>
        <v>*UPAE Ouricuri*
Localização: Av Manoel Irineu Araujo - Centro, Ouricuri - PE, 56200-000
Geres: IX
Leitos: -
Perfil: Atendimento ambulatorial especializado em Alergologia, Angiologia, Cardiologia, Dermatologia, Endocrinologia, Psiquiatria e Urologia, além de atendimento multiprofissional nas áreas de Enfermagem, Farmácia, Fisioterapia, Fonoaudiologia, Nutrição, Psicologia, Serviço Social.
Nº Profissionais Total: 37
Investimento nesta gestão: 1305568,55
Principais avanços nessa gestão: Aquisição de equipamentos: mamógrafo, ultrassom, aparelho de raio-X, MAPA, dermatoscópio e ar condicionado.</v>
      </c>
      <c r="G57" s="267"/>
      <c r="H57" s="38" t="s">
        <v>94</v>
      </c>
      <c r="I57" s="270" t="str">
        <f t="array" ref="I57">_xlfn.XLOOKUP(E57, 'UPA e UPA-E'!B:B, 'UPA e UPA-E'!E:E)</f>
        <v>-</v>
      </c>
      <c r="J57" s="212" t="str">
        <f t="array" ref="J57">_xlfn.XLOOKUP(E57, 'UPA e UPA-E'!B:B, 'UPA e UPA-E'!F:F)</f>
        <v>Atendimento ambulatorial especializado em Alergologia, Angiologia, Cardiologia, Dermatologia, Endocrinologia, Psiquiatria e Urologia, além de atendimento multiprofissional nas áreas de Enfermagem, Farmácia, Fisioterapia, Fonoaudiologia, Nutrição, Psicologia, Serviço Social.</v>
      </c>
      <c r="K57" s="149">
        <f t="array" ref="K57">_xlfn.XLOOKUP(E57, 'UPA e UPA-E'!B:B, 'UPA e UPA-E'!G:G)</f>
        <v>37</v>
      </c>
      <c r="L57" s="150"/>
      <c r="M57" s="272"/>
      <c r="N57" s="269">
        <f t="array" ref="N57">_xlfn.XLOOKUP(E57, 'UPA e UPA-E'!B:B, 'UPA e UPA-E'!H:H)</f>
        <v>1305568.55</v>
      </c>
      <c r="O57" s="267"/>
      <c r="P57" s="267"/>
      <c r="Q57" s="267"/>
      <c r="R57" s="267"/>
      <c r="S57" s="272"/>
      <c r="T57" s="332" t="str">
        <f t="array" ref="T57">_xlfn.XLOOKUP(E57, 'UPA e UPA-E'!B:B, 'UPA e UPA-E'!I:I)</f>
        <v>Aquisição de equipamentos: mamógrafo, ultrassom, aparelho de raio-X, MAPA, dermatoscópio e ar condicionado.</v>
      </c>
      <c r="U57" s="162"/>
    </row>
    <row r="58" ht="137.25" customHeight="1">
      <c r="A58" s="275">
        <v>2600104.0</v>
      </c>
      <c r="B58" s="283" t="s">
        <v>442</v>
      </c>
      <c r="C58" s="57" t="s">
        <v>439</v>
      </c>
      <c r="D58" s="125" t="s">
        <v>608</v>
      </c>
      <c r="E58" s="121" t="s">
        <v>205</v>
      </c>
      <c r="F58" s="331" t="str">
        <f t="array" ref="F58">TEXTJOIN(CHAR(10), TRUE, 
  "*" &amp; E58 &amp; "*", 
 "Localização: " &amp; _xlfn.XLOOKUP(E58, 'UPA e UPA-E'!B:B, 'UPA e UPA-E'!C:C, "Não encontrado"),
 "Geres: " &amp; _xlfn.XLOOKUP(E58, 'UPA e UPA-E'!B:B, 'UPA e UPA-E'!D:D, "Não encontrado"),
 "Leitos: " &amp; _xlfn.XLOOKUP(E58, 'UPA e UPA-E'!B:B, 'UPA e UPA-E'!E:E, "Não encontrado"),
 "Perfil: " &amp; _xlfn.XLOOKUP(E58, 'UPA e UPA-E'!B:B, 'UPA e UPA-E'!F:F, "Não encontrado"),
 "Nº Profissionais Total: " &amp; _xlfn.XLOOKUP(E58, 'UPA e UPA-E'!B:B, 'UPA e UPA-E'!G:G, "Não encontrado"),
 "Investimento nesta gestão: " &amp; _xlfn.XLOOKUP(E58, 'UPA e UPA-E'!B:B, 'UPA e UPA-E'!H:H, "Não encontrado"),
 "Principais avanços nessa gestão: " &amp; _xlfn.XLOOKUP(E58, 'UPA e UPA-E'!B:B, 'UPA e UPA-E'!I:I, "Não encontrado"),
)</f>
        <v>*UPAE Afogados da Ingazeira*
Localização: Rua Antônio Alves dos Santos, S/N, Bairro Centro, no município de Afogados da Ingazeira, CEP: 56800-000
Geres: X
Leitos: -
Perfil: Atendimento ambulatorial especializado em Cardiologia, Dermatologia, Endocrinologia, Gastroenterologia, Ginecologia (CAF e Biópsias), Mastologia, Nefrologia, Oftalmologia, Otorrinolaringologia, Reumatologia, Urologia, além de atendimento multiprofissional nas áreas de Enfermagem, Farmácia, Fisioterapia, Fonoaudiologia, Nutrição, Psicologia, Serviço Social e Terapia Ocupacional.
Nº Profissionais Total: 74
Investimento nesta gestão: 128308,19
Principais avanços nessa gestão: Entre 2022 e 2025, o repasse direto à unidade cresceu 13,7%, passando de R$ 5,5 milhões para R$ 6,2 milhões.</v>
      </c>
      <c r="G58" s="267"/>
      <c r="H58" s="38" t="s">
        <v>209</v>
      </c>
      <c r="I58" s="270" t="str">
        <f t="array" ref="I58">_xlfn.XLOOKUP(E58, 'UPA e UPA-E'!B:B, 'UPA e UPA-E'!E:E)</f>
        <v>-</v>
      </c>
      <c r="J58" s="212" t="str">
        <f t="array" ref="J58">_xlfn.XLOOKUP(E58, 'UPA e UPA-E'!B:B, 'UPA e UPA-E'!F:F)</f>
        <v>Atendimento ambulatorial especializado em Cardiologia, Dermatologia, Endocrinologia, Gastroenterologia, Ginecologia (CAF e Biópsias), Mastologia, Nefrologia, Oftalmologia, Otorrinolaringologia, Reumatologia, Urologia, além de atendimento multiprofissional nas áreas de Enfermagem, Farmácia, Fisioterapia, Fonoaudiologia, Nutrição, Psicologia, Serviço Social e Terapia Ocupacional.
</v>
      </c>
      <c r="K58" s="149">
        <f t="array" ref="K58">_xlfn.XLOOKUP(E58, 'UPA e UPA-E'!B:B, 'UPA e UPA-E'!G:G)</f>
        <v>74</v>
      </c>
      <c r="L58" s="150"/>
      <c r="M58" s="272"/>
      <c r="N58" s="269">
        <f t="array" ref="N58">_xlfn.XLOOKUP(E58, 'UPA e UPA-E'!B:B, 'UPA e UPA-E'!H:H)</f>
        <v>128308.19</v>
      </c>
      <c r="O58" s="267"/>
      <c r="P58" s="267"/>
      <c r="Q58" s="267"/>
      <c r="R58" s="267"/>
      <c r="S58" s="272"/>
      <c r="T58" s="332" t="str">
        <f t="array" ref="T58">_xlfn.XLOOKUP(E58, 'UPA e UPA-E'!B:B, 'UPA e UPA-E'!I:I)</f>
        <v>Entre 2022 e 2025, o repasse direto à unidade cresceu 13,7%, passando de R$ 5,5 milhões para R$ 6,2 milhões.</v>
      </c>
      <c r="U58" s="162"/>
    </row>
    <row r="59" ht="137.25" customHeight="1">
      <c r="A59" s="275">
        <v>2613909.0</v>
      </c>
      <c r="B59" s="283" t="s">
        <v>483</v>
      </c>
      <c r="C59" s="57" t="s">
        <v>439</v>
      </c>
      <c r="D59" s="125" t="s">
        <v>608</v>
      </c>
      <c r="E59" s="121" t="s">
        <v>216</v>
      </c>
      <c r="F59" s="331" t="str">
        <f t="array" ref="F59">TEXTJOIN(CHAR(10), TRUE, 
  "*" &amp; E59 &amp; "*", 
 "Localização: " &amp; _xlfn.XLOOKUP(E59, 'UPA e UPA-E'!B:B, 'UPA e UPA-E'!C:C, "Não encontrado"),
 "Geres: " &amp; _xlfn.XLOOKUP(E59, 'UPA e UPA-E'!B:B, 'UPA e UPA-E'!D:D, "Não encontrado"),
 "Leitos: " &amp; _xlfn.XLOOKUP(E59, 'UPA e UPA-E'!B:B, 'UPA e UPA-E'!E:E, "Não encontrado"),
 "Perfil: " &amp; _xlfn.XLOOKUP(E59, 'UPA e UPA-E'!B:B, 'UPA e UPA-E'!F:F, "Não encontrado"),
 "Nº Profissionais Total: " &amp; _xlfn.XLOOKUP(E59, 'UPA e UPA-E'!B:B, 'UPA e UPA-E'!G:G, "Não encontrado"),
 "Investimento nesta gestão: " &amp; _xlfn.XLOOKUP(E59, 'UPA e UPA-E'!B:B, 'UPA e UPA-E'!H:H, "Não encontrado"),
 "Principais avanços nessa gestão: " &amp; _xlfn.XLOOKUP(E59, 'UPA e UPA-E'!B:B, 'UPA e UPA-E'!I:I, "Não encontrado"),
)</f>
        <v>*UPAE Serra Talhada*
Localização: R. Quatorze de Julho, s/n - Cagep, Serra Talhada - PE, 56909-000
Geres: XI
Leitos: -
Perfil: Atendimento ambulatorial especializado em Cardiologia, Nefrologia, Neurologia, Oftalmologia, Urologia, e Psicologia, além de atendimento multiprofissional nas áreas de Enfermagem, Farmácia, Fisioterapia, Fonoaudiologia, Nutrição, Psicologia, Serviço Social.
Nº Profissionais Total: 98
Investimento nesta gestão: 718499,64
Principais avanços nessa gestão: Repasse evoluiu de R$ 10,1 milhões para R$ 11,0 milhões.</v>
      </c>
      <c r="G59" s="267"/>
      <c r="H59" s="38" t="s">
        <v>119</v>
      </c>
      <c r="I59" s="270" t="str">
        <f t="array" ref="I59">_xlfn.XLOOKUP(E59, 'UPA e UPA-E'!B:B, 'UPA e UPA-E'!E:E)</f>
        <v>-</v>
      </c>
      <c r="J59" s="212" t="str">
        <f t="array" ref="J59">_xlfn.XLOOKUP(E59, 'UPA e UPA-E'!B:B, 'UPA e UPA-E'!F:F)</f>
        <v>Atendimento ambulatorial especializado em Cardiologia, Nefrologia, Neurologia, Oftalmologia, Urologia, e Psicologia, além de atendimento multiprofissional nas áreas de Enfermagem, Farmácia, Fisioterapia, Fonoaudiologia, Nutrição, Psicologia, Serviço Social.</v>
      </c>
      <c r="K59" s="149">
        <f t="array" ref="K59">_xlfn.XLOOKUP(E59, 'UPA e UPA-E'!B:B, 'UPA e UPA-E'!G:G)</f>
        <v>98</v>
      </c>
      <c r="L59" s="150"/>
      <c r="M59" s="272"/>
      <c r="N59" s="269">
        <f t="array" ref="N59">_xlfn.XLOOKUP(E59, 'UPA e UPA-E'!B:B, 'UPA e UPA-E'!H:H)</f>
        <v>718499.64</v>
      </c>
      <c r="O59" s="267"/>
      <c r="P59" s="267"/>
      <c r="Q59" s="267"/>
      <c r="R59" s="267"/>
      <c r="S59" s="272"/>
      <c r="T59" s="332" t="str">
        <f t="array" ref="T59">_xlfn.XLOOKUP(E59, 'UPA e UPA-E'!B:B, 'UPA e UPA-E'!I:I)</f>
        <v>Repasse evoluiu de R$ 10,1 milhões para R$ 11,0 milhões.</v>
      </c>
      <c r="U59" s="162"/>
    </row>
    <row r="60" ht="137.25" customHeight="1">
      <c r="A60" s="275">
        <v>2611101.0</v>
      </c>
      <c r="B60" s="283" t="s">
        <v>552</v>
      </c>
      <c r="C60" s="57" t="s">
        <v>440</v>
      </c>
      <c r="D60" s="125" t="s">
        <v>609</v>
      </c>
      <c r="E60" s="121" t="s">
        <v>225</v>
      </c>
      <c r="F60" s="331" t="str">
        <f t="array" ref="F60">TEXTJOIN(CHAR(10), TRUE, 
  "*" &amp; E60 &amp; "*", 
 "Localização: " &amp; _xlfn.XLOOKUP(E60, 'UPA e UPA-E'!B:B, 'UPA e UPA-E'!C:C, "Não encontrado"),
 "Geres: " &amp; _xlfn.XLOOKUP(E60, 'UPA e UPA-E'!B:B, 'UPA e UPA-E'!D:D, "Não encontrado"),
 "Leitos: " &amp; _xlfn.XLOOKUP(E60, 'UPA e UPA-E'!B:B, 'UPA e UPA-E'!E:E, "Não encontrado"),
 "Perfil: " &amp; _xlfn.XLOOKUP(E60, 'UPA e UPA-E'!B:B, 'UPA e UPA-E'!F:F, "Não encontrado"),
 "Nº Profissionais Total: " &amp; _xlfn.XLOOKUP(E60, 'UPA e UPA-E'!B:B, 'UPA e UPA-E'!G:G, "Não encontrado"),
 "Investimento nesta gestão: " &amp; _xlfn.XLOOKUP(E60, 'UPA e UPA-E'!B:B, 'UPA e UPA-E'!H:H, "Não encontrado"),
 "Principais avanços nessa gestão: " &amp; _xlfn.XLOOKUP(E60, 'UPA e UPA-E'!B:B, 'UPA e UPA-E'!I:I, "Não encontrado"),
)</f>
        <v>*UPA/UPAE Petrolina*
Localização: Avenida Coronel Honorato Viana S/N, Palhinhas, Petrolina, CEP 56.308-000
Geres: VIII
Leitos: 17
Perfil: Atendimento ambulatorial especializado em Cardiologia, Cirurgia Geral, Dermatologia, Endocrinologia, Gastroenterologia, Hematologia, Infectologia, Nefrologia, Neurologia, Oftalmologia, Otorrinolaringologia, Pneumologia, Proctologia, Reumatologia e Urologia, além de atendimento multiprofissional nas áreas de Enfermagem, Farmácia, Fisioterapia, Fonoaudiologia, Nutrição, Psicologia, Serviço Social e Terapia Ocupacional.
Nº Profissionais Total: 375
Investimento nesta gestão: R$ 2.461.752,49
Principais avanços nessa gestão: Aquisição de equipamentos: cardioversor, densitômetro ósseo, foco cirúrgico, ventilador pulmonar de transporte, videocolonoscópio e videogastroscópio.</v>
      </c>
      <c r="G60" s="267"/>
      <c r="H60" s="38" t="s">
        <v>127</v>
      </c>
      <c r="I60" s="326">
        <f t="array" ref="I60">_xlfn.XLOOKUP(E60, 'UPA e UPA-E'!B:B, 'UPA e UPA-E'!E:E)</f>
        <v>17</v>
      </c>
      <c r="J60" s="212" t="str">
        <f t="array" ref="J60">_xlfn.XLOOKUP(E60, 'UPA e UPA-E'!B:B, 'UPA e UPA-E'!F:F)</f>
        <v>Atendimento ambulatorial especializado em Cardiologia, Cirurgia Geral, Dermatologia, Endocrinologia, Gastroenterologia, Hematologia, Infectologia, Nefrologia, Neurologia, Oftalmologia, Otorrinolaringologia, Pneumologia, Proctologia, Reumatologia e Urologia, além de atendimento multiprofissional nas áreas de Enfermagem, Farmácia, Fisioterapia, Fonoaudiologia, Nutrição, Psicologia, Serviço Social e Terapia Ocupacional.</v>
      </c>
      <c r="K60" s="149">
        <f t="array" ref="K60">_xlfn.XLOOKUP(E60, 'UPA e UPA-E'!B:B, 'UPA e UPA-E'!G:G)</f>
        <v>375</v>
      </c>
      <c r="L60" s="150"/>
      <c r="M60" s="272"/>
      <c r="N60" s="269" t="str">
        <f t="array" ref="N60">_xlfn.XLOOKUP(E60, 'UPA e UPA-E'!B:B, 'UPA e UPA-E'!H:H)</f>
        <v>R$ 2.461.752,49</v>
      </c>
      <c r="O60" s="267"/>
      <c r="P60" s="267"/>
      <c r="Q60" s="267"/>
      <c r="R60" s="267"/>
      <c r="S60" s="272"/>
      <c r="T60" s="332" t="str">
        <f t="array" ref="T60">_xlfn.XLOOKUP(E60, 'UPA e UPA-E'!B:B, 'UPA e UPA-E'!I:I)</f>
        <v>Aquisição de equipamentos: cardioversor, densitômetro ósseo, foco cirúrgico, ventilador pulmonar de transporte, videocolonoscópio e videogastroscópio.</v>
      </c>
      <c r="U60" s="162"/>
    </row>
    <row r="61" ht="137.25" customHeight="1">
      <c r="A61" s="275">
        <v>2607901.0</v>
      </c>
      <c r="B61" s="283" t="s">
        <v>421</v>
      </c>
      <c r="C61" s="57" t="s">
        <v>419</v>
      </c>
      <c r="D61" s="125" t="s">
        <v>610</v>
      </c>
      <c r="E61" s="121" t="s">
        <v>232</v>
      </c>
      <c r="F61" s="331" t="str">
        <f t="array" ref="F61">TEXTJOIN(CHAR(10), TRUE, 
  "*" &amp; E61 &amp; "*", 
 "Localização: " &amp; _xlfn.XLOOKUP(E61, 'UPA e UPA-E'!B:B, 'UPA e UPA-E'!C:C, "Não encontrado"),
 "Geres: " &amp; _xlfn.XLOOKUP(E61, 'UPA e UPA-E'!B:B, 'UPA e UPA-E'!D:D, "Não encontrado"),
 "Leitos: " &amp; _xlfn.XLOOKUP(E61, 'UPA e UPA-E'!B:B, 'UPA e UPA-E'!E:E, "Não encontrado"),
 "Perfil: " &amp; _xlfn.XLOOKUP(E61, 'UPA e UPA-E'!B:B, 'UPA e UPA-E'!F:F, "Não encontrado"),
 "Nº Profissionais Total: " &amp; _xlfn.XLOOKUP(E61, 'UPA e UPA-E'!B:B, 'UPA e UPA-E'!G:G, "Não encontrado"),
 "Investimento nesta gestão: " &amp; _xlfn.XLOOKUP(E61, 'UPA e UPA-E'!B:B, 'UPA e UPA-E'!H:H, "Não encontrado"),
 "Principais avanços nessa gestão: " &amp; _xlfn.XLOOKUP(E61, 'UPA e UPA-E'!B:B, 'UPA e UPA-E'!I:I, "Não encontrado"),
)</f>
        <v>*UPA Barra de Jangada*
Localização: Barra de Jangada, Jaboatão dos Guararapes - PE, 54470-240
Geres: I
Leitos: 18
Perfil: A unidade presta atendimento de média complexidade em Clínica Médica, Pediatria e Traumatologia/Ortopedia, realizando estabilização de pacientes graves e encaminhamento aos hospitais de referência quando necessário.
Nº Profissionais Total: -
Investimento nesta gestão: 669611,94
Principais avanços nessa gestão:  Manutenção de atendimento 24 horas em Clínica Médica, Pediatria e Traumatologia/Ortopedia, fortalecendo a rede de urgência e emergência da I GERES.
Aquisição de novos equipamentos e mobiliário por meio de Plano de Investimento: Ar Condicionado 60.000 BTUS, Eletrocardiógrafo, RAIO X FIXO - DIGITAL, Monitor Multiparâmetros, Ventilador Pulmonar.
Manutenção de elevado volume de urgência e emergência.</v>
      </c>
      <c r="G61" s="267"/>
      <c r="H61" s="38" t="s">
        <v>50</v>
      </c>
      <c r="I61" s="333">
        <f t="array" ref="I61">_xlfn.XLOOKUP(E61, 'UPA e UPA-E'!B:B, 'UPA e UPA-E'!E:E)</f>
        <v>18</v>
      </c>
      <c r="J61" s="212" t="str">
        <f t="array" ref="J61">_xlfn.XLOOKUP(E61, 'UPA e UPA-E'!B:B, 'UPA e UPA-E'!F:F)</f>
        <v>A unidade presta atendimento de média complexidade em Clínica Médica, Pediatria e Traumatologia/Ortopedia, realizando estabilização de pacientes graves e encaminhamento aos hospitais de referência quando necessário.</v>
      </c>
      <c r="K61" s="149" t="str">
        <f t="array" ref="K61">_xlfn.XLOOKUP(E61, 'UPA e UPA-E'!B:B, 'UPA e UPA-E'!G:G)</f>
        <v>-</v>
      </c>
      <c r="L61" s="150"/>
      <c r="M61" s="272"/>
      <c r="N61" s="269">
        <f t="array" ref="N61">_xlfn.XLOOKUP(E61, 'UPA e UPA-E'!B:B, 'UPA e UPA-E'!H:H)</f>
        <v>669611.94</v>
      </c>
      <c r="O61" s="267"/>
      <c r="P61" s="267"/>
      <c r="Q61" s="267"/>
      <c r="R61" s="267"/>
      <c r="S61" s="272"/>
      <c r="T61" s="332" t="str">
        <f t="array" ref="T61">_xlfn.XLOOKUP(E61, 'UPA e UPA-E'!B:B, 'UPA e UPA-E'!I:I)</f>
        <v> Manutenção de atendimento 24 horas em Clínica Médica, Pediatria e Traumatologia/Ortopedia, fortalecendo a rede de urgência e emergência da I GERES.
Aquisição de novos equipamentos e mobiliário por meio de Plano de Investimento: Ar Condicionado 60.000 BTUS, Eletrocardiógrafo, RAIO X FIXO - DIGITAL, Monitor Multiparâmetros, Ventilador Pulmonar.
Manutenção de elevado volume de urgência e emergência.</v>
      </c>
      <c r="U61" s="162"/>
    </row>
    <row r="62" ht="137.25" customHeight="1">
      <c r="A62" s="275">
        <v>2602902.0</v>
      </c>
      <c r="B62" s="283" t="s">
        <v>422</v>
      </c>
      <c r="C62" s="57" t="s">
        <v>419</v>
      </c>
      <c r="D62" s="125" t="s">
        <v>610</v>
      </c>
      <c r="E62" s="121" t="s">
        <v>242</v>
      </c>
      <c r="F62" s="331" t="str">
        <f t="array" ref="F62">TEXTJOIN(CHAR(10), TRUE, 
  "*" &amp; E62 &amp; "*", 
 "Localização: " &amp; _xlfn.XLOOKUP(E62, 'UPA e UPA-E'!B:B, 'UPA e UPA-E'!C:C, "Não encontrado"),
 "Geres: " &amp; _xlfn.XLOOKUP(E62, 'UPA e UPA-E'!B:B, 'UPA e UPA-E'!D:D, "Não encontrado"),
 "Leitos: " &amp; _xlfn.XLOOKUP(E62, 'UPA e UPA-E'!B:B, 'UPA e UPA-E'!E:E, "Não encontrado"),
 "Perfil: " &amp; _xlfn.XLOOKUP(E62, 'UPA e UPA-E'!B:B, 'UPA e UPA-E'!F:F, "Não encontrado"),
 "Nº Profissionais Total: " &amp; _xlfn.XLOOKUP(E62, 'UPA e UPA-E'!B:B, 'UPA e UPA-E'!G:G, "Não encontrado"),
 "Investimento nesta gestão: " &amp; _xlfn.XLOOKUP(E62, 'UPA e UPA-E'!B:B, 'UPA e UPA-E'!H:H, "Não encontrado"),
 "Principais avanços nessa gestão: " &amp; _xlfn.XLOOKUP(E62, 'UPA e UPA-E'!B:B, 'UPA e UPA-E'!I:I, "Não encontrado"),
)</f>
        <v>*UPA Cabo de Santo Agostinho*
Localização: Rua 27, S/N – Cohab Cabo de Santo Agostinho – PE
Geres: I
Leitos: 19
Perfil:  A unidade atua na estabilização e observação de pacientes e no encaminhamento para serviços hospitalares de maior complexidade quando necessário.
Nº Profissionais Total: -
Investimento nesta gestão: 679276,27
Principais avanços nessa gestão: Manutenção da assistência de urgência e emergência em Clínica Médica e Pediatria, fortalecendo a cobertura da I GERES.
Aquisição de novos equipamentos e mobiliário por meio de Plano de Investimento: Ar condicionado split 60.000 BTUs, Cardioversor, Ventilador Pulmonar, Vídeo Laringoscópio, DEA - Desfibrilador Externo Automático.</v>
      </c>
      <c r="G62" s="267"/>
      <c r="H62" s="38" t="s">
        <v>50</v>
      </c>
      <c r="I62" s="333">
        <f t="array" ref="I62">_xlfn.XLOOKUP(E62, 'UPA e UPA-E'!B:B, 'UPA e UPA-E'!E:E)</f>
        <v>19</v>
      </c>
      <c r="J62" s="212" t="str">
        <f t="array" ref="J62">_xlfn.XLOOKUP(E62, 'UPA e UPA-E'!B:B, 'UPA e UPA-E'!F:F)</f>
        <v> A unidade atua na estabilização e observação de pacientes e no encaminhamento para serviços hospitalares de maior complexidade quando necessário.</v>
      </c>
      <c r="K62" s="149" t="str">
        <f t="array" ref="K62">_xlfn.XLOOKUP(E62, 'UPA e UPA-E'!B:B, 'UPA e UPA-E'!G:G)</f>
        <v>-</v>
      </c>
      <c r="L62" s="150"/>
      <c r="M62" s="272"/>
      <c r="N62" s="269">
        <f t="array" ref="N62">_xlfn.XLOOKUP(E62, 'UPA e UPA-E'!B:B, 'UPA e UPA-E'!H:H)</f>
        <v>679276.27</v>
      </c>
      <c r="O62" s="267"/>
      <c r="P62" s="267"/>
      <c r="Q62" s="267"/>
      <c r="R62" s="267"/>
      <c r="S62" s="272"/>
      <c r="T62" s="332" t="str">
        <f t="array" ref="T62">_xlfn.XLOOKUP(E62, 'UPA e UPA-E'!B:B, 'UPA e UPA-E'!I:I)</f>
        <v>Manutenção da assistência de urgência e emergência em Clínica Médica e Pediatria, fortalecendo a cobertura da I GERES.
Aquisição de novos equipamentos e mobiliário por meio de Plano de Investimento: Ar condicionado split 60.000 BTUs, Cardioversor, Ventilador Pulmonar, Vídeo Laringoscópio, DEA - Desfibrilador Externo Automático.</v>
      </c>
      <c r="U62" s="162"/>
    </row>
    <row r="63" ht="137.25" customHeight="1">
      <c r="A63" s="275">
        <v>2607901.0</v>
      </c>
      <c r="B63" s="283" t="s">
        <v>421</v>
      </c>
      <c r="C63" s="57" t="s">
        <v>419</v>
      </c>
      <c r="D63" s="125" t="s">
        <v>610</v>
      </c>
      <c r="E63" s="121" t="s">
        <v>249</v>
      </c>
      <c r="F63" s="331" t="str">
        <f t="array" ref="F63">TEXTJOIN(CHAR(10), TRUE, 
  "*" &amp; E63 &amp; "*", 
 "Localização: " &amp; _xlfn.XLOOKUP(E63, 'UPA e UPA-E'!B:B, 'UPA e UPA-E'!C:C, "Não encontrado"),
 "Geres: " &amp; _xlfn.XLOOKUP(E63, 'UPA e UPA-E'!B:B, 'UPA e UPA-E'!D:D, "Não encontrado"),
 "Leitos: " &amp; _xlfn.XLOOKUP(E63, 'UPA e UPA-E'!B:B, 'UPA e UPA-E'!E:E, "Não encontrado"),
 "Perfil: " &amp; _xlfn.XLOOKUP(E63, 'UPA e UPA-E'!B:B, 'UPA e UPA-E'!F:F, "Não encontrado"),
 "Nº Profissionais Total: " &amp; _xlfn.XLOOKUP(E63, 'UPA e UPA-E'!B:B, 'UPA e UPA-E'!G:G, "Não encontrado"),
 "Investimento nesta gestão: " &amp; _xlfn.XLOOKUP(E63, 'UPA e UPA-E'!B:B, 'UPA e UPA-E'!H:H, "Não encontrado"),
 "Principais avanços nessa gestão: " &amp; _xlfn.XLOOKUP(E63, 'UPA e UPA-E'!B:B, 'UPA e UPA-E'!I:I, "Não encontrado"),
)</f>
        <v>*UPA Engenho Velho*
Localização: Rua - Av. Gen. Manoel Rabelo, 5539 - Engenho Velho, Jaboatão dos Guararapes - PE
Geres: I
Leitos: 19
Perfil: Atua 24 horas, com atendimento resolutivo de quadros agudos e suporte diagnóstico, contribuindo para ampliar o acesso e reduzir a pressão sobre hospitais de referência.
Nº Profissionais Total: -
Investimento nesta gestão: 1851245,45
Principais avanços nessa gestão: Cama hospitalar para obeso até 300 kg; carro de emergência; monitor multiparamétrico; maca retrátil adaptável a ambulâncias até 300 kg; ar-condicionado 60.000 BTUs; ventilador pulmonar.</v>
      </c>
      <c r="G63" s="267"/>
      <c r="H63" s="38" t="s">
        <v>50</v>
      </c>
      <c r="I63" s="333">
        <f t="array" ref="I63">_xlfn.XLOOKUP(E63, 'UPA e UPA-E'!B:B, 'UPA e UPA-E'!E:E)</f>
        <v>19</v>
      </c>
      <c r="J63" s="212" t="str">
        <f t="array" ref="J63">_xlfn.XLOOKUP(E63, 'UPA e UPA-E'!B:B, 'UPA e UPA-E'!F:F)</f>
        <v>Atua 24 horas, com atendimento resolutivo de quadros agudos e suporte diagnóstico, contribuindo para ampliar o acesso e reduzir a pressão sobre hospitais de referência.
</v>
      </c>
      <c r="K63" s="149" t="str">
        <f t="array" ref="K63">_xlfn.XLOOKUP(E63, 'UPA e UPA-E'!B:B, 'UPA e UPA-E'!G:G)</f>
        <v>-</v>
      </c>
      <c r="L63" s="150"/>
      <c r="M63" s="272"/>
      <c r="N63" s="269">
        <f t="array" ref="N63">_xlfn.XLOOKUP(E63, 'UPA e UPA-E'!B:B, 'UPA e UPA-E'!H:H)</f>
        <v>1851245.45</v>
      </c>
      <c r="O63" s="267"/>
      <c r="P63" s="267"/>
      <c r="Q63" s="267"/>
      <c r="R63" s="267"/>
      <c r="S63" s="272"/>
      <c r="T63" s="332" t="str">
        <f t="array" ref="T63">_xlfn.XLOOKUP(E63, 'UPA e UPA-E'!B:B, 'UPA e UPA-E'!I:I)</f>
        <v>Cama hospitalar para obeso até 300 kg; carro de emergência; monitor multiparamétrico; maca retrátil adaptável a ambulâncias até 300 kg; ar-condicionado 60.000 BTUs; ventilador pulmonar.</v>
      </c>
      <c r="U63" s="162"/>
    </row>
    <row r="64" ht="137.25" customHeight="1">
      <c r="A64" s="275">
        <v>2611606.0</v>
      </c>
      <c r="B64" s="283" t="s">
        <v>356</v>
      </c>
      <c r="C64" s="57" t="s">
        <v>419</v>
      </c>
      <c r="D64" s="125" t="s">
        <v>610</v>
      </c>
      <c r="E64" s="121" t="s">
        <v>253</v>
      </c>
      <c r="F64" s="331" t="str">
        <f t="array" ref="F64">TEXTJOIN(CHAR(10), TRUE, 
  "*" &amp; E64 &amp; "*", 
 "Localização: " &amp; _xlfn.XLOOKUP(E64, 'UPA e UPA-E'!B:B, 'UPA e UPA-E'!C:C, "Não encontrado"),
 "Geres: " &amp; _xlfn.XLOOKUP(E64, 'UPA e UPA-E'!B:B, 'UPA e UPA-E'!D:D, "Não encontrado"),
 "Leitos: " &amp; _xlfn.XLOOKUP(E64, 'UPA e UPA-E'!B:B, 'UPA e UPA-E'!E:E, "Não encontrado"),
 "Perfil: " &amp; _xlfn.XLOOKUP(E64, 'UPA e UPA-E'!B:B, 'UPA e UPA-E'!F:F, "Não encontrado"),
 "Nº Profissionais Total: " &amp; _xlfn.XLOOKUP(E64, 'UPA e UPA-E'!B:B, 'UPA e UPA-E'!G:G, "Não encontrado"),
 "Investimento nesta gestão: " &amp; _xlfn.XLOOKUP(E64, 'UPA e UPA-E'!B:B, 'UPA e UPA-E'!H:H, "Não encontrado"),
 "Principais avanços nessa gestão: " &amp; _xlfn.XLOOKUP(E64, 'UPA e UPA-E'!B:B, 'UPA e UPA-E'!I:I, "Não encontrado"),
)</f>
        <v>*UPA Imbiribeira*
Localização: Av. Mal. Mascarenhas de Morais, 4223 - Imbiribeira, Recife - PE
Geres: I
Leitos: 19
Perfil: Atua 24 horas, com atendimento resolutivo de quadros agudos e suporte diagnóstico, contribuindo para ampliar o acesso e reduzir a pressão sobre hospitais de referência.
Nº Profissionais Total: -
Investimento nesta gestão: 704030,67
Principais avanços nessa gestão: Aspirador de secreções elétrico móvel; cadeira de rodas adulto; cadeira de rodas para obeso; berço hospitalar com grades; balança antropométrica infantil.</v>
      </c>
      <c r="G64" s="267"/>
      <c r="H64" s="38" t="s">
        <v>50</v>
      </c>
      <c r="I64" s="333">
        <f t="array" ref="I64">_xlfn.XLOOKUP(E64, 'UPA e UPA-E'!B:B, 'UPA e UPA-E'!E:E)</f>
        <v>19</v>
      </c>
      <c r="J64" s="212" t="str">
        <f t="array" ref="J64">_xlfn.XLOOKUP(E64, 'UPA e UPA-E'!B:B, 'UPA e UPA-E'!F:F)</f>
        <v>Atua 24 horas, com atendimento resolutivo de quadros agudos e suporte diagnóstico, contribuindo para ampliar o acesso e reduzir a pressão sobre hospitais de referência.
</v>
      </c>
      <c r="K64" s="149" t="str">
        <f t="array" ref="K64">_xlfn.XLOOKUP(E64, 'UPA e UPA-E'!B:B, 'UPA e UPA-E'!G:G)</f>
        <v>-</v>
      </c>
      <c r="L64" s="150"/>
      <c r="M64" s="272"/>
      <c r="N64" s="269">
        <f t="array" ref="N64">_xlfn.XLOOKUP(E64, 'UPA e UPA-E'!B:B, 'UPA e UPA-E'!H:H)</f>
        <v>704030.67</v>
      </c>
      <c r="O64" s="267"/>
      <c r="P64" s="267"/>
      <c r="Q64" s="267"/>
      <c r="R64" s="267"/>
      <c r="S64" s="272"/>
      <c r="T64" s="332" t="str">
        <f t="array" ref="T64">_xlfn.XLOOKUP(E64, 'UPA e UPA-E'!B:B, 'UPA e UPA-E'!I:I)</f>
        <v>Aspirador de secreções elétrico móvel; cadeira de rodas adulto; cadeira de rodas para obeso; berço hospitalar com grades; balança antropométrica infantil.</v>
      </c>
      <c r="U64" s="162"/>
    </row>
    <row r="65" ht="137.25" customHeight="1">
      <c r="A65" s="275">
        <v>2611606.0</v>
      </c>
      <c r="B65" s="283" t="s">
        <v>356</v>
      </c>
      <c r="C65" s="57" t="s">
        <v>419</v>
      </c>
      <c r="D65" s="125" t="s">
        <v>610</v>
      </c>
      <c r="E65" s="121" t="s">
        <v>257</v>
      </c>
      <c r="F65" s="331" t="str">
        <f t="array" ref="F65">TEXTJOIN(CHAR(10), TRUE, 
  "*" &amp; E65 &amp; "*", 
 "Localização: " &amp; _xlfn.XLOOKUP(E65, 'UPA e UPA-E'!B:B, 'UPA e UPA-E'!C:C, "Não encontrado"),
 "Geres: " &amp; _xlfn.XLOOKUP(E65, 'UPA e UPA-E'!B:B, 'UPA e UPA-E'!D:D, "Não encontrado"),
 "Leitos: " &amp; _xlfn.XLOOKUP(E65, 'UPA e UPA-E'!B:B, 'UPA e UPA-E'!E:E, "Não encontrado"),
 "Perfil: " &amp; _xlfn.XLOOKUP(E65, 'UPA e UPA-E'!B:B, 'UPA e UPA-E'!F:F, "Não encontrado"),
 "Nº Profissionais Total: " &amp; _xlfn.XLOOKUP(E65, 'UPA e UPA-E'!B:B, 'UPA e UPA-E'!G:G, "Não encontrado"),
 "Investimento nesta gestão: " &amp; _xlfn.XLOOKUP(E65, 'UPA e UPA-E'!B:B, 'UPA e UPA-E'!H:H, "Não encontrado"),
 "Principais avanços nessa gestão: " &amp; _xlfn.XLOOKUP(E65, 'UPA e UPA-E'!B:B, 'UPA e UPA-E'!I:I, "Não encontrado"),
)</f>
        <v>*UPA Nova Descoberta*
Localização: Av. Ver. Otacílio Azevedo, s/n - Nova Descoberta, Recife - PE
Geres: I
Leitos: 20
Perfil: Atua 24 horas, com atendimento resolutivo de quadros agudos e suporte diagnóstico, contribuindo para ampliar o acesso e reduzir a pressão sobre hospitais de referência.
Nº Profissionais Total: -
Investimento nesta gestão: 809755,13
Principais avanços nessa gestão: Processadora de raio-X; cama hospitalar Fowler mecânica; carrinho de parada; monitor multiparamétrico; eletrocardiógrafo; cardioversor; ventilador pulmonar.</v>
      </c>
      <c r="G65" s="267"/>
      <c r="H65" s="38" t="s">
        <v>50</v>
      </c>
      <c r="I65" s="333">
        <f t="array" ref="I65">_xlfn.XLOOKUP(E65, 'UPA e UPA-E'!B:B, 'UPA e UPA-E'!E:E)</f>
        <v>20</v>
      </c>
      <c r="J65" s="212" t="str">
        <f t="array" ref="J65">_xlfn.XLOOKUP(E65, 'UPA e UPA-E'!B:B, 'UPA e UPA-E'!F:F)</f>
        <v>Atua 24 horas, com atendimento resolutivo de quadros agudos e suporte diagnóstico, contribuindo para ampliar o acesso e reduzir a pressão sobre hospitais de referência.
</v>
      </c>
      <c r="K65" s="149" t="str">
        <f t="array" ref="K65">_xlfn.XLOOKUP(E65, 'UPA e UPA-E'!B:B, 'UPA e UPA-E'!G:G)</f>
        <v>-</v>
      </c>
      <c r="L65" s="150"/>
      <c r="M65" s="272"/>
      <c r="N65" s="269">
        <f t="array" ref="N65">_xlfn.XLOOKUP(E65, 'UPA e UPA-E'!B:B, 'UPA e UPA-E'!H:H)</f>
        <v>809755.13</v>
      </c>
      <c r="O65" s="267"/>
      <c r="P65" s="267"/>
      <c r="Q65" s="267"/>
      <c r="R65" s="267"/>
      <c r="S65" s="272"/>
      <c r="T65" s="332" t="str">
        <f t="array" ref="T65">_xlfn.XLOOKUP(E65, 'UPA e UPA-E'!B:B, 'UPA e UPA-E'!I:I)</f>
        <v>Processadora de raio-X; cama hospitalar Fowler mecânica; carrinho de parada; monitor multiparamétrico; eletrocardiógrafo; cardioversor; ventilador pulmonar.</v>
      </c>
      <c r="U65" s="162"/>
    </row>
    <row r="66" ht="137.25" customHeight="1">
      <c r="A66" s="275">
        <v>2609600.0</v>
      </c>
      <c r="B66" s="283" t="s">
        <v>370</v>
      </c>
      <c r="C66" s="57" t="s">
        <v>419</v>
      </c>
      <c r="D66" s="125" t="s">
        <v>610</v>
      </c>
      <c r="E66" s="121" t="s">
        <v>261</v>
      </c>
      <c r="F66" s="331" t="str">
        <f t="array" ref="F66">TEXTJOIN(CHAR(10), TRUE, 
  "*" &amp; E66 &amp; "*", 
 "Localização: " &amp; _xlfn.XLOOKUP(E66, 'UPA e UPA-E'!B:B, 'UPA e UPA-E'!C:C, "Não encontrado"),
 "Geres: " &amp; _xlfn.XLOOKUP(E66, 'UPA e UPA-E'!B:B, 'UPA e UPA-E'!D:D, "Não encontrado"),
 "Leitos: " &amp; _xlfn.XLOOKUP(E66, 'UPA e UPA-E'!B:B, 'UPA e UPA-E'!E:E, "Não encontrado"),
 "Perfil: " &amp; _xlfn.XLOOKUP(E66, 'UPA e UPA-E'!B:B, 'UPA e UPA-E'!F:F, "Não encontrado"),
 "Nº Profissionais Total: " &amp; _xlfn.XLOOKUP(E66, 'UPA e UPA-E'!B:B, 'UPA e UPA-E'!G:G, "Não encontrado"),
 "Investimento nesta gestão: " &amp; _xlfn.XLOOKUP(E66, 'UPA e UPA-E'!B:B, 'UPA e UPA-E'!H:H, "Não encontrado"),
 "Principais avanços nessa gestão: " &amp; _xlfn.XLOOKUP(E66, 'UPA e UPA-E'!B:B, 'UPA e UPA-E'!I:I, "Não encontrado"),
)</f>
        <v>*UPA Olinda*
Localização: Av. Dr. Joaquim Nabuco, S/N - Tabajara, Olinda - PE
Geres: I
Leitos: 21
Perfil: Unidade de pronto atendimento de porte intermediário que desempenha papel essencial na rede de urgência e emergência da Região Metropolitana do Recife. Funcionando 24 horas por dia, a unidade oferece atendimento resolutivo para quadros clínicos agudos em adultos e crianças, contribuindo de forma significativa para a diminuição da sobrecarga hospitalar e para a ampliação do acesso a cuidados imediatos em saúde
Nº Profissionais Total: -
Investimento nesta gestão: 571703,83
Principais avanços nessa gestão: Aquisição de equipamentos: cadeira de rodas para obeso, autoclave horizontal de mesa, bomba a vácuo odontológica, monitor multiparâmetro para UTI, eletrocardiógrafo, ventilador pulmonar, raio X portátil de coluna e cardioversor.</v>
      </c>
      <c r="G66" s="267"/>
      <c r="H66" s="38" t="s">
        <v>50</v>
      </c>
      <c r="I66" s="333">
        <f t="array" ref="I66">_xlfn.XLOOKUP(E66, 'UPA e UPA-E'!B:B, 'UPA e UPA-E'!E:E)</f>
        <v>21</v>
      </c>
      <c r="J66" s="212" t="str">
        <f t="array" ref="J66">_xlfn.XLOOKUP(E66, 'UPA e UPA-E'!B:B, 'UPA e UPA-E'!F:F)</f>
        <v>Unidade de pronto atendimento de porte intermediário que desempenha papel essencial na rede de urgência e emergência da Região Metropolitana do Recife. Funcionando 24 horas por dia, a unidade oferece atendimento resolutivo para quadros clínicos agudos em adultos e crianças, contribuindo de forma significativa para a diminuição da sobrecarga hospitalar e para a ampliação do acesso a cuidados imediatos em saúde</v>
      </c>
      <c r="K66" s="149" t="str">
        <f t="array" ref="K66">_xlfn.XLOOKUP(E66, 'UPA e UPA-E'!B:B, 'UPA e UPA-E'!G:G)</f>
        <v>-</v>
      </c>
      <c r="L66" s="150"/>
      <c r="M66" s="272"/>
      <c r="N66" s="269">
        <f t="array" ref="N66">_xlfn.XLOOKUP(E66, 'UPA e UPA-E'!B:B, 'UPA e UPA-E'!H:H)</f>
        <v>571703.83</v>
      </c>
      <c r="O66" s="267"/>
      <c r="P66" s="267"/>
      <c r="Q66" s="267"/>
      <c r="R66" s="267"/>
      <c r="S66" s="272"/>
      <c r="T66" s="332" t="str">
        <f t="array" ref="T66">_xlfn.XLOOKUP(E66, 'UPA e UPA-E'!B:B, 'UPA e UPA-E'!I:I)</f>
        <v>Aquisição de equipamentos: cadeira de rodas para obeso, autoclave horizontal de mesa, bomba a vácuo odontológica, monitor multiparâmetro para UTI, eletrocardiógrafo, ventilador pulmonar, raio X portátil de coluna e cardioversor.</v>
      </c>
      <c r="U66" s="162"/>
    </row>
    <row r="67" ht="137.25" customHeight="1">
      <c r="A67" s="275">
        <v>2611606.0</v>
      </c>
      <c r="B67" s="283" t="s">
        <v>356</v>
      </c>
      <c r="C67" s="57" t="s">
        <v>419</v>
      </c>
      <c r="D67" s="125" t="s">
        <v>610</v>
      </c>
      <c r="E67" s="121" t="s">
        <v>270</v>
      </c>
      <c r="F67" s="331" t="str">
        <f t="array" ref="F67">TEXTJOIN(CHAR(10), TRUE, 
  "*" &amp; E67 &amp; "*", 
 "Localização: " &amp; _xlfn.XLOOKUP(E67, 'UPA e UPA-E'!B:B, 'UPA e UPA-E'!C:C, "Não encontrado"),
 "Geres: " &amp; _xlfn.XLOOKUP(E67, 'UPA e UPA-E'!B:B, 'UPA e UPA-E'!D:D, "Não encontrado"),
 "Leitos: " &amp; _xlfn.XLOOKUP(E67, 'UPA e UPA-E'!B:B, 'UPA e UPA-E'!E:E, "Não encontrado"),
 "Perfil: " &amp; _xlfn.XLOOKUP(E67, 'UPA e UPA-E'!B:B, 'UPA e UPA-E'!F:F, "Não encontrado"),
 "Nº Profissionais Total: " &amp; _xlfn.XLOOKUP(E67, 'UPA e UPA-E'!B:B, 'UPA e UPA-E'!G:G, "Não encontrado"),
 "Investimento nesta gestão: " &amp; _xlfn.XLOOKUP(E67, 'UPA e UPA-E'!B:B, 'UPA e UPA-E'!H:H, "Não encontrado"),
 "Principais avanços nessa gestão: " &amp; _xlfn.XLOOKUP(E67, 'UPA e UPA-E'!B:B, 'UPA e UPA-E'!I:I, "Não encontrado"),
)</f>
        <v>*UPA São Lourenço*
Localização: Av. Dr. Francisco Correia, 2009 - Pixete, São Lourenço da Mata - PE
Geres: I
Leitos: 19
Perfil: A unidade de média complexidade assegura atendimento contínuo à população de São Lourenço da Mata e municípios vizinhos. Sua infraestrutura é robusta e voltada para urgências clínicas, pediátricas e traumato-ortopédicas, contando com 19 leitos de observação, consultórios (médicos e odontológicos), além de salas de sutura, medicação, procedimentos e estabilização. 
Nº Profissionais Total: -
Investimento nesta gestão: 555180,64
Principais avanços nessa gestão: Aquisição de equipamentos: aparelho de raio-X fixo digital, ventiladores mecânico pulmonar, eletrocardiógrafo, desfibrilador, camas hospitalares elétricas, incubadora de transporte neonatal, balança antropométrica digital pediátrica e berço hospitalar.</v>
      </c>
      <c r="G67" s="267"/>
      <c r="H67" s="38" t="s">
        <v>50</v>
      </c>
      <c r="I67" s="333">
        <f t="array" ref="I67">_xlfn.XLOOKUP(E67, 'UPA e UPA-E'!B:B, 'UPA e UPA-E'!E:E)</f>
        <v>19</v>
      </c>
      <c r="J67" s="212" t="str">
        <f t="array" ref="J67">_xlfn.XLOOKUP(E67, 'UPA e UPA-E'!B:B, 'UPA e UPA-E'!F:F)</f>
        <v>A unidade de média complexidade assegura atendimento contínuo à população de São Lourenço da Mata e municípios vizinhos. Sua infraestrutura é robusta e voltada para urgências clínicas, pediátricas e traumato-ortopédicas, contando com 19 leitos de observação, consultórios (médicos e odontológicos), além de salas de sutura, medicação, procedimentos e estabilização. 
</v>
      </c>
      <c r="K67" s="149" t="str">
        <f t="array" ref="K67">_xlfn.XLOOKUP(E67, 'UPA e UPA-E'!B:B, 'UPA e UPA-E'!G:G)</f>
        <v>-</v>
      </c>
      <c r="L67" s="150"/>
      <c r="M67" s="272"/>
      <c r="N67" s="269">
        <f t="array" ref="N67">_xlfn.XLOOKUP(E67, 'UPA e UPA-E'!B:B, 'UPA e UPA-E'!H:H)</f>
        <v>555180.64</v>
      </c>
      <c r="O67" s="267"/>
      <c r="P67" s="267"/>
      <c r="Q67" s="267"/>
      <c r="R67" s="267"/>
      <c r="S67" s="272"/>
      <c r="T67" s="332" t="str">
        <f t="array" ref="T67">_xlfn.XLOOKUP(E67, 'UPA e UPA-E'!B:B, 'UPA e UPA-E'!I:I)</f>
        <v>Aquisição de equipamentos: aparelho de raio-X fixo digital, ventiladores mecânico pulmonar, eletrocardiógrafo, desfibrilador, camas hospitalares elétricas, incubadora de transporte neonatal, balança antropométrica digital pediátrica e berço hospitalar.</v>
      </c>
      <c r="U67" s="162"/>
    </row>
    <row r="68" ht="137.25" customHeight="1">
      <c r="A68" s="275">
        <v>2611606.0</v>
      </c>
      <c r="B68" s="283" t="s">
        <v>356</v>
      </c>
      <c r="C68" s="57" t="s">
        <v>419</v>
      </c>
      <c r="D68" s="125" t="s">
        <v>610</v>
      </c>
      <c r="E68" s="121" t="s">
        <v>279</v>
      </c>
      <c r="F68" s="331" t="str">
        <f t="array" ref="F68">TEXTJOIN(CHAR(10), TRUE, 
  "*" &amp; E68 &amp; "*", 
 "Localização: " &amp; _xlfn.XLOOKUP(E68, 'UPA e UPA-E'!B:B, 'UPA e UPA-E'!C:C, "Não encontrado"),
 "Geres: " &amp; _xlfn.XLOOKUP(E68, 'UPA e UPA-E'!B:B, 'UPA e UPA-E'!D:D, "Não encontrado"),
 "Leitos: " &amp; _xlfn.XLOOKUP(E68, 'UPA e UPA-E'!B:B, 'UPA e UPA-E'!E:E, "Não encontrado"),
 "Perfil: " &amp; _xlfn.XLOOKUP(E68, 'UPA e UPA-E'!B:B, 'UPA e UPA-E'!F:F, "Não encontrado"),
 "Nº Profissionais Total: " &amp; _xlfn.XLOOKUP(E68, 'UPA e UPA-E'!B:B, 'UPA e UPA-E'!G:G, "Não encontrado"),
 "Investimento nesta gestão: " &amp; _xlfn.XLOOKUP(E68, 'UPA e UPA-E'!B:B, 'UPA e UPA-E'!H:H, "Não encontrado"),
 "Principais avanços nessa gestão: " &amp; _xlfn.XLOOKUP(E68, 'UPA e UPA-E'!B:B, 'UPA e UPA-E'!I:I, "Não encontrado"),
)</f>
        <v>*UPA Torrões*
Localização: Av. Eng. Abdias de Carvalho, nº 30 - Torrões, Recife - PE
Geres: I
Leitos: 19
Perfil: A unidade destaca-se pelo atendimento médico especializado em Clínica Médica, Pediatria e Ortopedia, oferecendo suporte diagnóstico completo que inclui exames de imagem, análises laboratoriais e eletrocardiogramas para garantir precisão terapêutica. Sua infraestrutura dispõe de 19 leitos de observação distribuídos entre leitos críticos e pediátricos, além de contar com Sala Vermelha equipada para emergências, Salas Amarelas para estabilização, área pediátrica dedicada, sala de isolamento para síndromes respiratórias agudas, consultórios médicos e odontológicos, e salas para sutura, inalação e medicação
Nº Profissionais Total: -
Investimento nesta gestão: 1013875,32
Principais avanços nessa gestão: Aquisição de equipamentos: maca retrátil adaptável a ambulâncias até 300 kg, carro de transporte para cadáver, monitor multiparamétrico, oxímetro portátil, cardioversor e ventilador pulmonar adulto/pediátrico.</v>
      </c>
      <c r="G68" s="267"/>
      <c r="H68" s="38" t="s">
        <v>50</v>
      </c>
      <c r="I68" s="333">
        <f t="array" ref="I68">_xlfn.XLOOKUP(E68, 'UPA e UPA-E'!B:B, 'UPA e UPA-E'!E:E)</f>
        <v>19</v>
      </c>
      <c r="J68" s="212" t="str">
        <f t="array" ref="J68">_xlfn.XLOOKUP(E68, 'UPA e UPA-E'!B:B, 'UPA e UPA-E'!F:F)</f>
        <v>A unidade destaca-se pelo atendimento médico especializado em Clínica Médica, Pediatria e Ortopedia, oferecendo suporte diagnóstico completo que inclui exames de imagem, análises laboratoriais e eletrocardiogramas para garantir precisão terapêutica. Sua infraestrutura dispõe de 19 leitos de observação distribuídos entre leitos críticos e pediátricos, além de contar com Sala Vermelha equipada para emergências, Salas Amarelas para estabilização, área pediátrica dedicada, sala de isolamento para síndromes respiratórias agudas, consultórios médicos e odontológicos, e salas para sutura, inalação e medicação</v>
      </c>
      <c r="K68" s="149" t="str">
        <f t="array" ref="K68">_xlfn.XLOOKUP(E68, 'UPA e UPA-E'!B:B, 'UPA e UPA-E'!G:G)</f>
        <v>-</v>
      </c>
      <c r="L68" s="150"/>
      <c r="M68" s="272"/>
      <c r="N68" s="269">
        <f t="array" ref="N68">_xlfn.XLOOKUP(E68, 'UPA e UPA-E'!B:B, 'UPA e UPA-E'!H:H)</f>
        <v>1013875.32</v>
      </c>
      <c r="O68" s="267"/>
      <c r="P68" s="267"/>
      <c r="Q68" s="267"/>
      <c r="R68" s="267"/>
      <c r="S68" s="272"/>
      <c r="T68" s="332" t="str">
        <f t="array" ref="T68">_xlfn.XLOOKUP(E68, 'UPA e UPA-E'!B:B, 'UPA e UPA-E'!I:I)</f>
        <v>Aquisição de equipamentos: maca retrátil adaptável a ambulâncias até 300 kg, carro de transporte para cadáver, monitor multiparamétrico, oxímetro portátil, cardioversor e ventilador pulmonar adulto/pediátrico.</v>
      </c>
      <c r="U68" s="162"/>
    </row>
    <row r="69" ht="137.25" customHeight="1">
      <c r="A69" s="275">
        <v>2610707.0</v>
      </c>
      <c r="B69" s="283" t="s">
        <v>418</v>
      </c>
      <c r="C69" s="57" t="s">
        <v>419</v>
      </c>
      <c r="D69" s="125" t="s">
        <v>610</v>
      </c>
      <c r="E69" s="121" t="s">
        <v>286</v>
      </c>
      <c r="F69" s="331" t="str">
        <f t="array" ref="F69">TEXTJOIN(CHAR(10), TRUE, 
  "*" &amp; E69 &amp; "*", 
 "Localização: " &amp; _xlfn.XLOOKUP(E69, 'UPA e UPA-E'!B:B, 'UPA e UPA-E'!C:C, "Não encontrado"),
 "Geres: " &amp; _xlfn.XLOOKUP(E69, 'UPA e UPA-E'!B:B, 'UPA e UPA-E'!D:D, "Não encontrado"),
 "Leitos: " &amp; _xlfn.XLOOKUP(E69, 'UPA e UPA-E'!B:B, 'UPA e UPA-E'!E:E, "Não encontrado"),
 "Perfil: " &amp; _xlfn.XLOOKUP(E69, 'UPA e UPA-E'!B:B, 'UPA e UPA-E'!F:F, "Não encontrado"),
 "Nº Profissionais Total: " &amp; _xlfn.XLOOKUP(E69, 'UPA e UPA-E'!B:B, 'UPA e UPA-E'!G:G, "Não encontrado"),
 "Investimento nesta gestão: " &amp; _xlfn.XLOOKUP(E69, 'UPA e UPA-E'!B:B, 'UPA e UPA-E'!H:H, "Não encontrado"),
 "Principais avanços nessa gestão: " &amp; _xlfn.XLOOKUP(E69, 'UPA e UPA-E'!B:B, 'UPA e UPA-E'!I:I, "Não encontrado"),
)</f>
        <v>*UPA Paulista*
Localização: Estr. do Frio, 1000 - Jardim Paulista, Paulista - PE
Geres: I
Leitos: 19
Perfil: Seu perfil assistencial é altamente abrangente, sendo referência em clínica médica, pediatria, oftalmologia de emergência e urgência odontológica diurna (das 7h às 19h). A infraestrutura moderna suporta esse fluxo com salas especializadas de classificação de risco, isolamento respiratório, raio-X, farmácia, laboratório de análises clínicas e salas Vermelha e Amarelas voltadas à estabilização e observação dos pacientes.
Nº Profissionais Total: -
Investimento nesta gestão: 805773,82
Principais avanços nessa gestão: Aquisição de equipamentos: maca leito para obeso, ambulância padrão, monitor multiparamétrico, ventilador pulmonar adulto/pediátrico, eletrocardiógrafo, vídeo laringoscópio e autoclave 21L.</v>
      </c>
      <c r="G69" s="267"/>
      <c r="H69" s="38" t="s">
        <v>50</v>
      </c>
      <c r="I69" s="333">
        <f t="array" ref="I69">_xlfn.XLOOKUP(E69, 'UPA e UPA-E'!B:B, 'UPA e UPA-E'!E:E)</f>
        <v>19</v>
      </c>
      <c r="J69" s="212" t="str">
        <f t="array" ref="J69">_xlfn.XLOOKUP(E69, 'UPA e UPA-E'!B:B, 'UPA e UPA-E'!F:F)</f>
        <v>Seu perfil assistencial é altamente abrangente, sendo referência em clínica médica, pediatria, oftalmologia de emergência e urgência odontológica diurna (das 7h às 19h). A infraestrutura moderna suporta esse fluxo com salas especializadas de classificação de risco, isolamento respiratório, raio-X, farmácia, laboratório de análises clínicas e salas Vermelha e Amarelas voltadas à estabilização e observação dos pacientes.</v>
      </c>
      <c r="K69" s="149" t="str">
        <f t="array" ref="K69">_xlfn.XLOOKUP(E69, 'UPA e UPA-E'!B:B, 'UPA e UPA-E'!G:G)</f>
        <v>-</v>
      </c>
      <c r="L69" s="150"/>
      <c r="M69" s="272"/>
      <c r="N69" s="269">
        <f t="array" ref="N69">_xlfn.XLOOKUP(E69, 'UPA e UPA-E'!B:B, 'UPA e UPA-E'!H:H)</f>
        <v>805773.82</v>
      </c>
      <c r="O69" s="267"/>
      <c r="P69" s="267"/>
      <c r="Q69" s="267"/>
      <c r="R69" s="267"/>
      <c r="S69" s="272"/>
      <c r="T69" s="332" t="str">
        <f t="array" ref="T69">_xlfn.XLOOKUP(E69, 'UPA e UPA-E'!B:B, 'UPA e UPA-E'!I:I)</f>
        <v>Aquisição de equipamentos: maca leito para obeso, ambulância padrão, monitor multiparamétrico, ventilador pulmonar adulto/pediátrico, eletrocardiógrafo, vídeo laringoscópio e autoclave 21L.</v>
      </c>
      <c r="U69" s="162"/>
    </row>
    <row r="70" ht="137.25" customHeight="1">
      <c r="A70" s="275">
        <v>2611606.0</v>
      </c>
      <c r="B70" s="283" t="s">
        <v>356</v>
      </c>
      <c r="C70" s="57" t="s">
        <v>419</v>
      </c>
      <c r="D70" s="125" t="s">
        <v>610</v>
      </c>
      <c r="E70" s="121" t="s">
        <v>293</v>
      </c>
      <c r="F70" s="331" t="str">
        <f t="array" ref="F70">TEXTJOIN(CHAR(10), TRUE, 
  "*" &amp; E70 &amp; "*", 
 "Localização: " &amp; _xlfn.XLOOKUP(E70, 'UPA e UPA-E'!B:B, 'UPA e UPA-E'!C:C, "Não encontrado"),
 "Geres: " &amp; _xlfn.XLOOKUP(E70, 'UPA e UPA-E'!B:B, 'UPA e UPA-E'!D:D, "Não encontrado"),
 "Leitos: " &amp; _xlfn.XLOOKUP(E70, 'UPA e UPA-E'!B:B, 'UPA e UPA-E'!E:E, "Não encontrado"),
 "Perfil: " &amp; _xlfn.XLOOKUP(E70, 'UPA e UPA-E'!B:B, 'UPA e UPA-E'!F:F, "Não encontrado"),
 "Nº Profissionais Total: " &amp; _xlfn.XLOOKUP(E70, 'UPA e UPA-E'!B:B, 'UPA e UPA-E'!G:G, "Não encontrado"),
 "Investimento nesta gestão: " &amp; _xlfn.XLOOKUP(E70, 'UPA e UPA-E'!B:B, 'UPA e UPA-E'!H:H, "Não encontrado"),
 "Principais avanços nessa gestão: " &amp; _xlfn.XLOOKUP(E70, 'UPA e UPA-E'!B:B, 'UPA e UPA-E'!I:I, "Não encontrado"),
)</f>
        <v>*UPA Ibura*
Localização: R. Vale do Itajaí, S/n - Ibura, Recife - PE
Geres: I
Leitos: 22
Perfil: UPA Porte III, com atendimento 24h de urgência e emergência em Clínica Médica, Pediatria, Oftalmologia e Traumato-Ortopedia. Possui radiologia, laboratório, eletrocardiograma, nebulização, sutura, imobilização e estrutura para estabilização de pacientes graves. Tem capacidade operacional de até 450 atendimentos de baixa e média complexidade.
Nº Profissionais Total: -
Investimento nesta gestão: 606032,8
Principais avanços nessa gestão: Ampliação da capacidade para atendimento de casos pediátricos críticos durante a sazonalidade respiratória; expansão dos leitos destinados aos casos graves; disponibilização de equipamentos para suporte aos pacientes; implantação/reforço de protocolos específicos para assistência pediátrica; e fortalecimento da UPA como referência 24h em Clínica Médica, Pediatria, Oftalmologia e Traumato-Ortopedia. Aquisição através de plano de investimento de Monitor multiparamétrico; ventilador pulmonar; poltrona hospitalar; computador servidor; ar-condicionados 57.000 BTUs; monitor cardioversor; longarina 5 lugares.
</v>
      </c>
      <c r="G70" s="267"/>
      <c r="H70" s="38" t="s">
        <v>50</v>
      </c>
      <c r="I70" s="333">
        <f t="array" ref="I70">_xlfn.XLOOKUP(E70, 'UPA e UPA-E'!B:B, 'UPA e UPA-E'!E:E)</f>
        <v>22</v>
      </c>
      <c r="J70" s="212" t="str">
        <f t="array" ref="J70">_xlfn.XLOOKUP(E70, 'UPA e UPA-E'!B:B, 'UPA e UPA-E'!F:F)</f>
        <v>UPA Porte III, com atendimento 24h de urgência e emergência em Clínica Médica, Pediatria, Oftalmologia e Traumato-Ortopedia. Possui radiologia, laboratório, eletrocardiograma, nebulização, sutura, imobilização e estrutura para estabilização de pacientes graves. Tem capacidade operacional de até 450 atendimentos de baixa e média complexidade.</v>
      </c>
      <c r="K70" s="149" t="str">
        <f t="array" ref="K70">_xlfn.XLOOKUP(E70, 'UPA e UPA-E'!B:B, 'UPA e UPA-E'!G:G)</f>
        <v>-</v>
      </c>
      <c r="L70" s="150"/>
      <c r="M70" s="272"/>
      <c r="N70" s="269">
        <f t="array" ref="N70">_xlfn.XLOOKUP(E70, 'UPA e UPA-E'!B:B, 'UPA e UPA-E'!H:H)</f>
        <v>606032.8</v>
      </c>
      <c r="O70" s="267"/>
      <c r="P70" s="267"/>
      <c r="Q70" s="267"/>
      <c r="R70" s="267"/>
      <c r="S70" s="272"/>
      <c r="T70" s="332" t="str">
        <f t="array" ref="T70">_xlfn.XLOOKUP(E70, 'UPA e UPA-E'!B:B, 'UPA e UPA-E'!I:I)</f>
        <v>Ampliação da capacidade para atendimento de casos pediátricos críticos durante a sazonalidade respiratória; expansão dos leitos destinados aos casos graves; disponibilização de equipamentos para suporte aos pacientes; implantação/reforço de protocolos específicos para assistência pediátrica; e fortalecimento da UPA como referência 24h em Clínica Médica, Pediatria, Oftalmologia e Traumato-Ortopedia. Aquisição através de plano de investimento de Monitor multiparamétrico; ventilador pulmonar; poltrona hospitalar; computador servidor; ar-condicionados 57.000 BTUs; monitor cardioversor; longarina 5 lugares.
</v>
      </c>
      <c r="U70" s="162"/>
    </row>
    <row r="71" ht="137.25" customHeight="1">
      <c r="A71" s="275">
        <v>2607901.0</v>
      </c>
      <c r="B71" s="283" t="s">
        <v>421</v>
      </c>
      <c r="C71" s="57" t="s">
        <v>419</v>
      </c>
      <c r="D71" s="125" t="s">
        <v>610</v>
      </c>
      <c r="E71" s="121" t="s">
        <v>301</v>
      </c>
      <c r="F71" s="331" t="str">
        <f t="array" ref="F71">TEXTJOIN(CHAR(10), TRUE, 
  "*" &amp; E71 &amp; "*", 
 "Localização: " &amp; _xlfn.XLOOKUP(E71, 'UPA e UPA-E'!B:B, 'UPA e UPA-E'!C:C, "Não encontrado"),
 "Geres: " &amp; _xlfn.XLOOKUP(E71, 'UPA e UPA-E'!B:B, 'UPA e UPA-E'!D:D, "Não encontrado"),
 "Leitos: " &amp; _xlfn.XLOOKUP(E71, 'UPA e UPA-E'!B:B, 'UPA e UPA-E'!E:E, "Não encontrado"),
 "Perfil: " &amp; _xlfn.XLOOKUP(E71, 'UPA e UPA-E'!B:B, 'UPA e UPA-E'!F:F, "Não encontrado"),
 "Nº Profissionais Total: " &amp; _xlfn.XLOOKUP(E71, 'UPA e UPA-E'!B:B, 'UPA e UPA-E'!G:G, "Não encontrado"),
 "Investimento nesta gestão: " &amp; _xlfn.XLOOKUP(E71, 'UPA e UPA-E'!B:B, 'UPA e UPA-E'!H:H, "Não encontrado"),
 "Principais avanços nessa gestão: " &amp; _xlfn.XLOOKUP(E71, 'UPA e UPA-E'!B:B, 'UPA e UPA-E'!I:I, "Não encontrado"),
)</f>
        <v>*UPA Curado*
Localização: R. Leonardo da Vinci, 68 - Curado II, Jaboatão dos Guararapes - PE
Geres: I
Leitos: 19
Perfil: UPA Porte III, com atendimento de urgência e emergência em Clínica Médica, Pediatria e Ortopedia 24h, além de Odontologia. Realiza atendimentos de baixa e média complexidade, estabilizando casos graves para posterior transferência à rede hospitalar. Possui raio-X, nebulização, sutura, imobilização, coleta laboratorial e eletrocardiograma.
Nº Profissionais Total: -
Investimento nesta gestão: 559244,7
Principais avanços nessa gestão: Modernização da unidade com investimento de R$ 559,2 mil em equipamentos e mobiliários; manutenção de 19 leitos, incluindo quatro destinados à estabilização de pacientes graves; fortalecimento da assistência 24h em Clínica Médica, Pediatria e Ortopedia; manutenção da qualificação como UPA Porte III; e fortalecimento da estrutura para estabilização e transferência de pacientes de maior complexidade.</v>
      </c>
      <c r="G71" s="267"/>
      <c r="H71" s="38" t="s">
        <v>50</v>
      </c>
      <c r="I71" s="333">
        <f t="array" ref="I71">_xlfn.XLOOKUP(E71, 'UPA e UPA-E'!B:B, 'UPA e UPA-E'!E:E)</f>
        <v>19</v>
      </c>
      <c r="J71" s="212" t="str">
        <f t="array" ref="J71">_xlfn.XLOOKUP(E71, 'UPA e UPA-E'!B:B, 'UPA e UPA-E'!F:F)</f>
        <v>UPA Porte III, com atendimento de urgência e emergência em Clínica Médica, Pediatria e Ortopedia 24h, além de Odontologia. Realiza atendimentos de baixa e média complexidade, estabilizando casos graves para posterior transferência à rede hospitalar. Possui raio-X, nebulização, sutura, imobilização, coleta laboratorial e eletrocardiograma.</v>
      </c>
      <c r="K71" s="149" t="str">
        <f t="array" ref="K71">_xlfn.XLOOKUP(E71, 'UPA e UPA-E'!B:B, 'UPA e UPA-E'!G:G)</f>
        <v>-</v>
      </c>
      <c r="L71" s="150"/>
      <c r="M71" s="272"/>
      <c r="N71" s="269">
        <f t="array" ref="N71">_xlfn.XLOOKUP(E71, 'UPA e UPA-E'!B:B, 'UPA e UPA-E'!H:H)</f>
        <v>559244.7</v>
      </c>
      <c r="O71" s="267"/>
      <c r="P71" s="267"/>
      <c r="Q71" s="267"/>
      <c r="R71" s="267"/>
      <c r="S71" s="272"/>
      <c r="T71" s="332" t="str">
        <f t="array" ref="T71">_xlfn.XLOOKUP(E71, 'UPA e UPA-E'!B:B, 'UPA e UPA-E'!I:I)</f>
        <v>Modernização da unidade com investimento de R$ 559,2 mil em equipamentos e mobiliários; manutenção de 19 leitos, incluindo quatro destinados à estabilização de pacientes graves; fortalecimento da assistência 24h em Clínica Médica, Pediatria e Ortopedia; manutenção da qualificação como UPA Porte III; e fortalecimento da estrutura para estabilização e transferência de pacientes de maior complexidade.</v>
      </c>
      <c r="U71" s="162"/>
    </row>
    <row r="72" ht="137.25" customHeight="1">
      <c r="A72" s="275">
        <v>2611606.0</v>
      </c>
      <c r="B72" s="283" t="s">
        <v>356</v>
      </c>
      <c r="C72" s="57" t="s">
        <v>419</v>
      </c>
      <c r="D72" s="125" t="s">
        <v>610</v>
      </c>
      <c r="E72" s="121" t="s">
        <v>305</v>
      </c>
      <c r="F72" s="331" t="str">
        <f t="array" ref="F72">TEXTJOIN(CHAR(10), TRUE, 
  "*" &amp; E72 &amp; "*", 
 "Localização: " &amp; _xlfn.XLOOKUP(E72, 'UPA e UPA-E'!B:B, 'UPA e UPA-E'!C:C, "Não encontrado"),
 "Geres: " &amp; _xlfn.XLOOKUP(E72, 'UPA e UPA-E'!B:B, 'UPA e UPA-E'!D:D, "Não encontrado"),
 "Leitos: " &amp; _xlfn.XLOOKUP(E72, 'UPA e UPA-E'!B:B, 'UPA e UPA-E'!E:E, "Não encontrado"),
 "Perfil: " &amp; _xlfn.XLOOKUP(E72, 'UPA e UPA-E'!B:B, 'UPA e UPA-E'!F:F, "Não encontrado"),
 "Nº Profissionais Total: " &amp; _xlfn.XLOOKUP(E72, 'UPA e UPA-E'!B:B, 'UPA e UPA-E'!G:G, "Não encontrado"),
 "Investimento nesta gestão: " &amp; _xlfn.XLOOKUP(E72, 'UPA e UPA-E'!B:B, 'UPA e UPA-E'!H:H, "Não encontrado"),
 "Principais avanços nessa gestão: " &amp; _xlfn.XLOOKUP(E72, 'UPA e UPA-E'!B:B, 'UPA e UPA-E'!I:I, "Não encontrado"),
)</f>
        <v>*UPA Caxangá*
Localização: R. Ribeiro Pessoa, s/n - Iputinga, Recife - PE
Geres: I
Leitos: 19
Perfil: UPA 24h de urgência e emergência, com atendimento por demanda espontânea em Clínica Médica, Pediatria e Ortopedia. Possui apoio diagnóstico com raio-X, eletrocardiograma, exames laboratoriais e gasometria, além de salas de medicação, sutura, inalação e classificação de risco.
Nº Profissionais Total: -
Investimento nesta gestão: 942168,6
Principais avanços nessa gestão: gestão
Readequação da Clínica Médica; fortalecimento da assistência pediátrica; regularização da cobertura de plantonistas pediátricos e disponibilização de materiais para a especialidade; manutenção de 19 leitos de observação; e continuidade da assistência 24h em Clínica Médica, Pediatria e Ortopedia.</v>
      </c>
      <c r="G72" s="267"/>
      <c r="H72" s="38" t="s">
        <v>50</v>
      </c>
      <c r="I72" s="333">
        <f t="array" ref="I72">_xlfn.XLOOKUP(E72, 'UPA e UPA-E'!B:B, 'UPA e UPA-E'!E:E)</f>
        <v>19</v>
      </c>
      <c r="J72" s="212" t="str">
        <f t="array" ref="J72">_xlfn.XLOOKUP(E72, 'UPA e UPA-E'!B:B, 'UPA e UPA-E'!F:F)</f>
        <v>UPA 24h de urgência e emergência, com atendimento por demanda espontânea em Clínica Médica, Pediatria e Ortopedia. Possui apoio diagnóstico com raio-X, eletrocardiograma, exames laboratoriais e gasometria, além de salas de medicação, sutura, inalação e classificação de risco.</v>
      </c>
      <c r="K72" s="149" t="str">
        <f t="array" ref="K72">_xlfn.XLOOKUP(E72, 'UPA e UPA-E'!B:B, 'UPA e UPA-E'!G:G)</f>
        <v>-</v>
      </c>
      <c r="L72" s="150"/>
      <c r="M72" s="272"/>
      <c r="N72" s="269">
        <f t="array" ref="N72">_xlfn.XLOOKUP(E72, 'UPA e UPA-E'!B:B, 'UPA e UPA-E'!H:H)</f>
        <v>942168.6</v>
      </c>
      <c r="O72" s="267"/>
      <c r="P72" s="267"/>
      <c r="Q72" s="267"/>
      <c r="R72" s="267"/>
      <c r="S72" s="272"/>
      <c r="T72" s="332" t="str">
        <f t="array" ref="T72">_xlfn.XLOOKUP(E72, 'UPA e UPA-E'!B:B, 'UPA e UPA-E'!I:I)</f>
        <v>gestão
Readequação da Clínica Médica; fortalecimento da assistência pediátrica; regularização da cobertura de plantonistas pediátricos e disponibilização de materiais para a especialidade; manutenção de 19 leitos de observação; e continuidade da assistência 24h em Clínica Médica, Pediatria e Ortopedia.</v>
      </c>
      <c r="U72" s="162"/>
    </row>
    <row r="73" ht="137.25" customHeight="1">
      <c r="A73" s="275">
        <v>2604106.0</v>
      </c>
      <c r="B73" s="283" t="s">
        <v>392</v>
      </c>
      <c r="C73" s="57" t="s">
        <v>431</v>
      </c>
      <c r="D73" s="125" t="s">
        <v>610</v>
      </c>
      <c r="E73" s="121" t="s">
        <v>310</v>
      </c>
      <c r="F73" s="331" t="str">
        <f t="array" ref="F73">TEXTJOIN(CHAR(10), TRUE, 
  "*" &amp; E73 &amp; "*", 
 "Localização: " &amp; _xlfn.XLOOKUP(E73, 'UPA e UPA-E'!B:B, 'UPA e UPA-E'!C:C, "Não encontrado"),
 "Geres: " &amp; _xlfn.XLOOKUP(E73, 'UPA e UPA-E'!B:B, 'UPA e UPA-E'!D:D, "Não encontrado"),
 "Leitos: " &amp; _xlfn.XLOOKUP(E73, 'UPA e UPA-E'!B:B, 'UPA e UPA-E'!E:E, "Não encontrado"),
 "Perfil: " &amp; _xlfn.XLOOKUP(E73, 'UPA e UPA-E'!B:B, 'UPA e UPA-E'!F:F, "Não encontrado"),
 "Nº Profissionais Total: " &amp; _xlfn.XLOOKUP(E73, 'UPA e UPA-E'!B:B, 'UPA e UPA-E'!G:G, "Não encontrado"),
 "Investimento nesta gestão: " &amp; _xlfn.XLOOKUP(E73, 'UPA e UPA-E'!B:B, 'UPA e UPA-E'!H:H, "Não encontrado"),
 "Principais avanços nessa gestão: " &amp; _xlfn.XLOOKUP(E73, 'UPA e UPA-E'!B:B, 'UPA e UPA-E'!I:I, "Não encontrado"),
)</f>
        <v>*UPA Caruaru*
Localização: Caruaru – PE, Avenida José Marques Fontes, s/n, Vassoural/Santa Rosa
Geres: IV
Leitos: 19
Perfil: Unidade de Pronto Atendimento 24h, voltada à urgência e emergência, com atendimento em Clínica Médica, Cardiologia, Traumatologia e Cirurgia do Trauma. Dispõe de 7 consultórios, raio-X, coleta de exames laboratoriais, imobilização, medicação, nebulização, sutura e classificação de risco.
Nº Profissionais Total: -
Investimento nesta gestão: 636644,72
Principais avanços nessa gestão: Modernização do parque de equipamentos; aquisição de digitalizador de imagens radiográficas, ventiladores, camas e berços; fortalecimento da capacidade de atendimento de urgência e emergência; e manutenção de elevado volume assistencial, com 155.811 atendimentos em 2024, superando a meta anual pactuada.</v>
      </c>
      <c r="G73" s="267"/>
      <c r="H73" s="38" t="s">
        <v>138</v>
      </c>
      <c r="I73" s="333">
        <f t="array" ref="I73">_xlfn.XLOOKUP(E73, 'UPA e UPA-E'!B:B, 'UPA e UPA-E'!E:E)</f>
        <v>19</v>
      </c>
      <c r="J73" s="212" t="str">
        <f t="array" ref="J73">_xlfn.XLOOKUP(E73, 'UPA e UPA-E'!B:B, 'UPA e UPA-E'!F:F)</f>
        <v>Unidade de Pronto Atendimento 24h, voltada à urgência e emergência, com atendimento em Clínica Médica, Cardiologia, Traumatologia e Cirurgia do Trauma. Dispõe de 7 consultórios, raio-X, coleta de exames laboratoriais, imobilização, medicação, nebulização, sutura e classificação de risco.</v>
      </c>
      <c r="K73" s="149" t="str">
        <f t="array" ref="K73">_xlfn.XLOOKUP(E73, 'UPA e UPA-E'!B:B, 'UPA e UPA-E'!G:G)</f>
        <v>-</v>
      </c>
      <c r="L73" s="150"/>
      <c r="M73" s="272"/>
      <c r="N73" s="269">
        <f t="array" ref="N73">_xlfn.XLOOKUP(E73, 'UPA e UPA-E'!B:B, 'UPA e UPA-E'!H:H)</f>
        <v>636644.72</v>
      </c>
      <c r="O73" s="267"/>
      <c r="P73" s="267"/>
      <c r="Q73" s="267"/>
      <c r="R73" s="267"/>
      <c r="S73" s="272"/>
      <c r="T73" s="332" t="str">
        <f t="array" ref="T73">_xlfn.XLOOKUP(E73, 'UPA e UPA-E'!B:B, 'UPA e UPA-E'!I:I)</f>
        <v>Modernização do parque de equipamentos; aquisição de digitalizador de imagens radiográficas, ventiladores, camas e berços; fortalecimento da capacidade de atendimento de urgência e emergência; e manutenção de elevado volume assistencial, com 155.811 atendimentos em 2024, superando a meta anual pactuada.</v>
      </c>
      <c r="U73" s="162"/>
    </row>
    <row r="74" ht="137.25" customHeight="1">
      <c r="A74" s="275">
        <v>2606804.0</v>
      </c>
      <c r="B74" s="283" t="s">
        <v>511</v>
      </c>
      <c r="C74" s="57" t="s">
        <v>419</v>
      </c>
      <c r="D74" s="125" t="s">
        <v>610</v>
      </c>
      <c r="E74" s="121" t="s">
        <v>314</v>
      </c>
      <c r="F74" s="331" t="str">
        <f t="array" ref="F74">TEXTJOIN(CHAR(10), TRUE, 
  "*" &amp; E74 &amp; "*", 
 "Localização: " &amp; _xlfn.XLOOKUP(E74, 'UPA e UPA-E'!B:B, 'UPA e UPA-E'!C:C, "Não encontrado"),
 "Geres: " &amp; _xlfn.XLOOKUP(E74, 'UPA e UPA-E'!B:B, 'UPA e UPA-E'!D:D, "Não encontrado"),
 "Leitos: " &amp; _xlfn.XLOOKUP(E74, 'UPA e UPA-E'!B:B, 'UPA e UPA-E'!E:E, "Não encontrado"),
 "Perfil: " &amp; _xlfn.XLOOKUP(E74, 'UPA e UPA-E'!B:B, 'UPA e UPA-E'!F:F, "Não encontrado"),
 "Nº Profissionais Total: " &amp; _xlfn.XLOOKUP(E74, 'UPA e UPA-E'!B:B, 'UPA e UPA-E'!G:G, "Não encontrado"),
 "Investimento nesta gestão: " &amp; _xlfn.XLOOKUP(E74, 'UPA e UPA-E'!B:B, 'UPA e UPA-E'!H:H, "Não encontrado"),
 "Principais avanços nessa gestão: " &amp; _xlfn.XLOOKUP(E74, 'UPA e UPA-E'!B:B, 'UPA e UPA-E'!I:I, "Não encontrado"),
)</f>
        <v>*UPA Igarassu*
Localização: Rodovia Br-101 Norte, km 47 - Cruz de Rebouças, Igarassu - PE
Geres: I
Leitos: 19
Perfil: Clínica Médica, Pediatria e Ortopedia
Nº Profissionais Total: -
Investimento nesta gestão: 672332,12
Principais avanços nessa gestão: Aparelho de raio-X fixo digital; ventilador pulmonar; cardioversor; eletrocardiógrafo.</v>
      </c>
      <c r="G74" s="267"/>
      <c r="H74" s="38" t="s">
        <v>50</v>
      </c>
      <c r="I74" s="333">
        <f t="array" ref="I74">_xlfn.XLOOKUP(E74, 'UPA e UPA-E'!B:B, 'UPA e UPA-E'!E:E)</f>
        <v>19</v>
      </c>
      <c r="J74" s="212" t="str">
        <f t="array" ref="J74">_xlfn.XLOOKUP(E74, 'UPA e UPA-E'!B:B, 'UPA e UPA-E'!F:F)</f>
        <v>Clínica Médica, Pediatria e Ortopedia</v>
      </c>
      <c r="K74" s="149" t="str">
        <f t="array" ref="K74">_xlfn.XLOOKUP(E74, 'UPA e UPA-E'!B:B, 'UPA e UPA-E'!G:G)</f>
        <v>-</v>
      </c>
      <c r="L74" s="150"/>
      <c r="M74" s="272"/>
      <c r="N74" s="269">
        <f t="array" ref="N74">_xlfn.XLOOKUP(E74, 'UPA e UPA-E'!B:B, 'UPA e UPA-E'!H:H)</f>
        <v>672332.12</v>
      </c>
      <c r="O74" s="267"/>
      <c r="P74" s="267"/>
      <c r="Q74" s="267"/>
      <c r="R74" s="267"/>
      <c r="S74" s="272"/>
      <c r="T74" s="273" t="str">
        <f t="array" ref="T74">_xlfn.XLOOKUP(E74, 'UPA e UPA-E'!B:B, 'UPA e UPA-E'!I:I)</f>
        <v>Aparelho de raio-X fixo digital; ventilador pulmonar; cardioversor; eletrocardiógrafo.</v>
      </c>
      <c r="U74" s="162"/>
    </row>
    <row r="75" ht="137.25" customHeight="1">
      <c r="A75" s="275">
        <v>2611606.0</v>
      </c>
      <c r="B75" s="283" t="s">
        <v>356</v>
      </c>
      <c r="C75" s="57" t="s">
        <v>419</v>
      </c>
      <c r="D75" s="125" t="s">
        <v>608</v>
      </c>
      <c r="E75" s="121" t="s">
        <v>320</v>
      </c>
      <c r="F75" s="334" t="str">
        <f t="array" ref="F75">TEXTJOIN(CHAR(10), TRUE, 
  "*" &amp; E75 &amp; "*", 
 "Localização: " &amp; _xlfn.XLOOKUP(E75, 'UPA e UPA-E'!B:B, 'UPA e UPA-E'!C:C, "Não encontrado"),
 "Geres: " &amp; _xlfn.XLOOKUP(E75, 'UPA e UPA-E'!B:B, 'UPA e UPA-E'!D:D, "Não encontrado"),
 "Leitos: " &amp; _xlfn.XLOOKUP(E75, 'UPA e UPA-E'!B:B, 'UPA e UPA-E'!E:E, "Não encontrado"),
 "Perfil: " &amp; _xlfn.XLOOKUP(E75, 'UPA e UPA-E'!B:B, 'UPA e UPA-E'!F:F, "Não encontrado"),
 "Nº Profissionais Total: " &amp; _xlfn.XLOOKUP(E75, 'UPA e UPA-E'!B:B, 'UPA e UPA-E'!G:G, "Não encontrado"),
 "Investimento nesta gestão: " &amp; _xlfn.XLOOKUP(E75, 'UPA e UPA-E'!B:B, 'UPA e UPA-E'!H:H, "Não encontrado"),
 "Principais avanços nessa gestão: " &amp; _xlfn.XLOOKUP(E75, 'UPA e UPA-E'!B:B, 'UPA e UPA-E'!I:I, "Não encontrado"),
)</f>
        <v>*UPAE/Reabilitação do Recife*
Localização: R. Interna, 801 - Ipsep, Recife - PE
Geres: I
Leitos: Aguardando informação
Perfil: Atendimento especializado à pessoa idosa, com assistência médica nas especialidades de Dermatologia, Vascular, Otorrinolaringologia, Otoneurologia, Reumatologia, Geriatria e Cardiologia, além de atendimento multiprofissional nas áreas de Nutrição, Psicologia, Fisioterapia, Fonoaudiologia, Terapia Ocupacional e Educação Física.
Nº Profissionais Total: 54
Investimento nesta gestão: 8200000
Principais avanços nessa gestão: UNIDADE INAUGURADA NESTA GESTÃO (1ª ETAPA EM 2024 E 2ª ETAPA EM 2025)
Aquisições: Cadeiras universitárias com prancheta lateral; 01 Esteira ergométrica; Armários tipo estante em MDF; Cadeiras de rodas; Carrinhos auxiliares; Discos infláveis fisioterapêuticos para equilíbrio; Fornos tipo doméstico; Mesas auxiliares; Refrigeradores 320L; Bebedouros de coluna; Televisores.
Serviços: Implantação de ambulatório da dor -- fibromialgia; Hidroginástica para idosos; Atividades funcionais/esportivas. </v>
      </c>
      <c r="G75" s="267"/>
      <c r="H75" s="38" t="s">
        <v>50</v>
      </c>
      <c r="I75" s="333" t="str">
        <f t="array" ref="I75">_xlfn.XLOOKUP(E75, 'UPA e UPA-E'!B:B, 'UPA e UPA-E'!E:E)</f>
        <v>Aguardando informação</v>
      </c>
      <c r="J75" s="212" t="str">
        <f t="array" ref="J75">_xlfn.XLOOKUP(E75, 'UPA e UPA-E'!B:B, 'UPA e UPA-E'!F:F)</f>
        <v>Atendimento especializado à pessoa idosa, com assistência médica nas especialidades de Dermatologia, Vascular, Otorrinolaringologia, Otoneurologia, Reumatologia, Geriatria e Cardiologia, além de atendimento multiprofissional nas áreas de Nutrição, Psicologia, Fisioterapia, Fonoaudiologia, Terapia Ocupacional e Educação Física.
</v>
      </c>
      <c r="K75" s="149">
        <f t="array" ref="K75">_xlfn.XLOOKUP(E75, 'UPA e UPA-E'!B:B, 'UPA e UPA-E'!G:G)</f>
        <v>54</v>
      </c>
      <c r="L75" s="150"/>
      <c r="M75" s="272"/>
      <c r="N75" s="269">
        <f t="array" ref="N75">_xlfn.XLOOKUP(E75, 'UPA e UPA-E'!B:B, 'UPA e UPA-E'!H:H)</f>
        <v>8200000</v>
      </c>
      <c r="O75" s="267"/>
      <c r="P75" s="267"/>
      <c r="Q75" s="267"/>
      <c r="R75" s="267"/>
      <c r="S75" s="272"/>
      <c r="T75" s="273" t="str">
        <f t="array" ref="T75">_xlfn.XLOOKUP(E75, 'UPA e UPA-E'!B:B, 'UPA e UPA-E'!I:I)</f>
        <v>UNIDADE INAUGURADA NESTA GESTÃO (1ª ETAPA EM 2024 E 2ª ETAPA EM 2025)
Aquisições: Cadeiras universitárias com prancheta lateral; 01 Esteira ergométrica; Armários tipo estante em MDF; Cadeiras de rodas; Carrinhos auxiliares; Discos infláveis fisioterapêuticos para equilíbrio; Fornos tipo doméstico; Mesas auxiliares; Refrigeradores 320L; Bebedouros de coluna; Televisores.
Serviços: Implantação de ambulatório da dor -- fibromialgia; Hidroginástica para idosos; Atividades funcionais/esportivas. </v>
      </c>
      <c r="U75" s="162"/>
    </row>
  </sheetData>
  <mergeCells count="1">
    <mergeCell ref="T2:U2"/>
  </mergeCells>
  <dataValidations>
    <dataValidation type="list" allowBlank="1" showErrorMessage="1" sqref="H21:H22 H24 H28 H38:H39 H42 H45 H55:H57 H60">
      <formula1>"I,II,III,IV,V,VI,VII,VII,IX,X,XI,XII,VIII"</formula1>
    </dataValidation>
    <dataValidation type="list" allowBlank="1" showErrorMessage="1" sqref="H3:H14 H16:H20 H25 H29:H31 H40 H44 H46:H47 H50:H54 H61:H75">
      <formula1>"I,II,III,IV,V,VI,VII,VIII,IX,X,XI,XII,Sem informação"</formula1>
    </dataValidation>
    <dataValidation type="list" allowBlank="1" showErrorMessage="1" sqref="G3:G37">
      <formula1>"OS,Gestão própria,OSS,Sem informaçao,Especializado"</formula1>
    </dataValidation>
    <dataValidation type="list" allowBlank="1" showErrorMessage="1" sqref="D3:D75">
      <formula1>"HOSPITAL,UPA,UPAE,EM CONSTRUÇÃO"</formula1>
    </dataValidation>
    <dataValidation type="list" allowBlank="1" showErrorMessage="1" sqref="H15 H27 H41 H43 H48 H58:H59">
      <formula1>"I,II,III,IV,V,VI,VII,VII,IX,X,XI,XII,Sem informação"</formula1>
    </dataValidation>
  </dataValidation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1.38"/>
    <col customWidth="1" min="2" max="2" width="2.63"/>
    <col customWidth="1" min="3" max="3" width="36.38"/>
    <col customWidth="1" min="4" max="4" width="2.25"/>
    <col customWidth="1" min="5" max="6" width="12.63"/>
  </cols>
  <sheetData>
    <row r="1" ht="89.25" customHeight="1">
      <c r="A1" s="284"/>
      <c r="B1" s="285"/>
      <c r="C1" s="285"/>
      <c r="D1" s="284"/>
      <c r="E1" s="284"/>
      <c r="F1" s="286"/>
      <c r="G1" s="286"/>
      <c r="H1" s="286"/>
      <c r="I1" s="286"/>
      <c r="J1" s="286"/>
      <c r="K1" s="286"/>
      <c r="L1" s="286"/>
      <c r="M1" s="286"/>
      <c r="N1" s="286"/>
      <c r="O1" s="286"/>
      <c r="P1" s="286"/>
      <c r="Q1" s="286"/>
      <c r="R1" s="286"/>
      <c r="S1" s="286"/>
    </row>
    <row r="2" ht="30.0" customHeight="1">
      <c r="A2" s="287"/>
      <c r="B2" s="288" t="s">
        <v>426</v>
      </c>
      <c r="C2" s="289"/>
      <c r="D2" s="287"/>
      <c r="E2" s="287"/>
      <c r="F2" s="290"/>
      <c r="G2" s="290"/>
      <c r="H2" s="290"/>
      <c r="I2" s="290"/>
      <c r="J2" s="290"/>
      <c r="K2" s="290"/>
      <c r="L2" s="290"/>
      <c r="M2" s="290"/>
      <c r="N2" s="290"/>
      <c r="O2" s="290"/>
      <c r="P2" s="290"/>
      <c r="Q2" s="290"/>
      <c r="R2" s="290"/>
      <c r="S2" s="290"/>
    </row>
    <row r="3" ht="36.0" customHeight="1">
      <c r="A3" s="291"/>
      <c r="B3" s="292" t="s">
        <v>427</v>
      </c>
      <c r="C3" s="293"/>
      <c r="D3" s="293"/>
      <c r="E3" s="291"/>
      <c r="F3" s="294"/>
      <c r="G3" s="294"/>
      <c r="H3" s="294"/>
      <c r="I3" s="294"/>
      <c r="J3" s="294"/>
      <c r="K3" s="294"/>
      <c r="L3" s="294"/>
      <c r="M3" s="294"/>
      <c r="N3" s="294"/>
      <c r="O3" s="294"/>
      <c r="P3" s="294"/>
      <c r="Q3" s="294"/>
      <c r="R3" s="294"/>
      <c r="S3" s="294"/>
    </row>
    <row r="4" ht="24.0" customHeight="1">
      <c r="A4" s="295"/>
      <c r="B4" s="296" t="s">
        <v>428</v>
      </c>
      <c r="K4" s="297"/>
      <c r="L4" s="297"/>
      <c r="M4" s="297"/>
      <c r="N4" s="297"/>
      <c r="O4" s="297"/>
      <c r="P4" s="297"/>
      <c r="Q4" s="297"/>
      <c r="R4" s="297"/>
      <c r="S4" s="297"/>
    </row>
    <row r="5" ht="24.0" customHeight="1">
      <c r="A5" s="298"/>
      <c r="K5" s="297"/>
      <c r="L5" s="297"/>
      <c r="M5" s="297"/>
      <c r="N5" s="297"/>
      <c r="O5" s="297"/>
      <c r="P5" s="297"/>
      <c r="Q5" s="297"/>
      <c r="R5" s="297"/>
      <c r="S5" s="297"/>
    </row>
    <row r="6" ht="8.25" customHeight="1">
      <c r="A6" s="299"/>
      <c r="B6" s="300"/>
      <c r="C6" s="299"/>
      <c r="D6" s="299"/>
    </row>
    <row r="7" ht="22.5" customHeight="1">
      <c r="A7" s="299"/>
      <c r="B7" s="301" t="s">
        <v>429</v>
      </c>
      <c r="D7" s="301" t="s">
        <v>430</v>
      </c>
    </row>
    <row r="8" ht="17.25" customHeight="1">
      <c r="A8" s="302"/>
      <c r="B8" s="303"/>
      <c r="C8" s="302"/>
      <c r="E8" s="302"/>
    </row>
    <row r="9" ht="17.25" customHeight="1">
      <c r="A9" s="302"/>
      <c r="B9" s="303"/>
      <c r="C9" s="302"/>
      <c r="E9" s="302"/>
    </row>
    <row r="10" ht="17.25" customHeight="1">
      <c r="A10" s="302"/>
      <c r="B10" s="303"/>
      <c r="C10" s="302"/>
      <c r="E10" s="302"/>
    </row>
    <row r="11" ht="17.25" customHeight="1">
      <c r="A11" s="302"/>
      <c r="B11" s="303"/>
      <c r="C11" s="302"/>
      <c r="E11" s="302"/>
    </row>
    <row r="12" ht="17.25" customHeight="1">
      <c r="A12" s="302"/>
      <c r="B12" s="303"/>
      <c r="C12" s="302"/>
      <c r="E12" s="302"/>
    </row>
    <row r="13" ht="17.25" customHeight="1">
      <c r="A13" s="302"/>
      <c r="B13" s="303"/>
      <c r="C13" s="302"/>
      <c r="E13" s="302"/>
    </row>
    <row r="14" ht="17.25" customHeight="1">
      <c r="A14" s="302"/>
      <c r="B14" s="303"/>
      <c r="C14" s="302"/>
      <c r="E14" s="302"/>
    </row>
    <row r="15" ht="17.25" customHeight="1">
      <c r="A15" s="302"/>
      <c r="B15" s="304"/>
      <c r="C15" s="302"/>
      <c r="E15" s="302"/>
    </row>
    <row r="16" ht="17.25" customHeight="1">
      <c r="C16" s="302"/>
      <c r="E16" s="302"/>
    </row>
    <row r="17" ht="17.25" customHeight="1">
      <c r="C17" s="302"/>
      <c r="E17" s="302"/>
    </row>
    <row r="18" ht="17.25" customHeight="1">
      <c r="C18" s="302"/>
      <c r="E18" s="302"/>
    </row>
    <row r="19" ht="17.25" customHeight="1">
      <c r="C19" s="302"/>
      <c r="E19" s="302"/>
    </row>
    <row r="20" ht="17.25" customHeight="1">
      <c r="C20" s="302"/>
      <c r="E20" s="302"/>
    </row>
    <row r="21" ht="17.25" customHeight="1">
      <c r="C21" s="302"/>
      <c r="E21" s="302"/>
    </row>
    <row r="22" ht="17.25" customHeight="1">
      <c r="C22" s="302"/>
      <c r="E22" s="302"/>
    </row>
    <row r="23" ht="17.25" customHeight="1">
      <c r="C23" s="302"/>
      <c r="E23" s="302"/>
    </row>
    <row r="24" ht="17.25" customHeight="1">
      <c r="C24" s="302"/>
      <c r="E24" s="302"/>
    </row>
    <row r="25" ht="17.25" customHeight="1">
      <c r="C25" s="302"/>
      <c r="E25" s="302"/>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2:C2"/>
    <mergeCell ref="B3:D3"/>
    <mergeCell ref="B4:J5"/>
    <mergeCell ref="B7:C7"/>
    <mergeCell ref="D7:E7"/>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2.0" topLeftCell="A3" activePane="bottomLeft" state="frozen"/>
      <selection activeCell="B4" sqref="B4" pane="bottomLeft"/>
    </sheetView>
  </sheetViews>
  <sheetFormatPr customHeight="1" defaultColWidth="12.63" defaultRowHeight="15.0"/>
  <cols>
    <col customWidth="1" min="1" max="1" width="9.13"/>
    <col customWidth="1" min="2" max="2" width="20.75"/>
    <col customWidth="1" min="3" max="3" width="19.13"/>
    <col customWidth="1" min="4" max="4" width="17.13"/>
    <col customWidth="1" min="5" max="5" width="13.63"/>
    <col customWidth="1" min="6" max="6" width="16.0"/>
    <col customWidth="1" min="7" max="7" width="17.0"/>
    <col customWidth="1" min="8" max="8" width="11.25"/>
    <col customWidth="1" min="9" max="9" width="17.88"/>
    <col customWidth="1" min="10" max="10" width="8.75"/>
    <col customWidth="1" min="11" max="19" width="13.63"/>
  </cols>
  <sheetData>
    <row r="1" ht="89.25" customHeight="1">
      <c r="A1" s="11"/>
      <c r="B1" s="248"/>
      <c r="C1" s="11"/>
      <c r="D1" s="11"/>
      <c r="E1" s="6"/>
      <c r="F1" s="6"/>
      <c r="G1" s="11"/>
      <c r="H1" s="12"/>
      <c r="I1" s="12"/>
      <c r="J1" s="6"/>
      <c r="K1" s="6"/>
      <c r="L1" s="6"/>
      <c r="M1" s="6"/>
      <c r="N1" s="6"/>
      <c r="O1" s="6"/>
      <c r="P1" s="6"/>
      <c r="Q1" s="6"/>
      <c r="R1" s="6"/>
      <c r="S1" s="6"/>
    </row>
    <row r="2" ht="36.75" customHeight="1">
      <c r="A2" s="25" t="s">
        <v>407</v>
      </c>
      <c r="B2" s="305" t="s">
        <v>432</v>
      </c>
      <c r="C2" s="24" t="s">
        <v>409</v>
      </c>
      <c r="D2" s="30"/>
      <c r="E2" s="30"/>
      <c r="F2" s="30"/>
      <c r="G2" s="30"/>
      <c r="H2" s="30"/>
      <c r="I2" s="30"/>
      <c r="J2" s="30"/>
      <c r="K2" s="30"/>
      <c r="L2" s="30"/>
      <c r="M2" s="30"/>
      <c r="N2" s="30"/>
      <c r="O2" s="30"/>
      <c r="P2" s="30"/>
      <c r="Q2" s="30"/>
      <c r="R2" s="30"/>
      <c r="S2" s="30"/>
    </row>
    <row r="3" ht="19.5" customHeight="1">
      <c r="A3" s="306"/>
      <c r="B3" s="307" t="s">
        <v>431</v>
      </c>
      <c r="C3" s="308" t="s">
        <v>431</v>
      </c>
      <c r="D3" s="309"/>
      <c r="E3" s="310"/>
      <c r="F3" s="310"/>
      <c r="G3" s="309"/>
      <c r="H3" s="309"/>
      <c r="I3" s="309"/>
      <c r="J3" s="310"/>
      <c r="K3" s="310"/>
      <c r="L3" s="310"/>
      <c r="M3" s="310"/>
      <c r="N3" s="310"/>
      <c r="O3" s="310"/>
      <c r="P3" s="310"/>
      <c r="Q3" s="310"/>
      <c r="R3" s="310"/>
      <c r="S3" s="311"/>
    </row>
    <row r="4" ht="19.5" customHeight="1">
      <c r="A4" s="312"/>
      <c r="B4" s="313" t="s">
        <v>433</v>
      </c>
      <c r="C4" s="314" t="s">
        <v>433</v>
      </c>
      <c r="D4" s="315"/>
      <c r="E4" s="316"/>
      <c r="F4" s="316"/>
      <c r="G4" s="315"/>
      <c r="H4" s="315"/>
      <c r="I4" s="315"/>
      <c r="J4" s="316"/>
      <c r="K4" s="316"/>
      <c r="L4" s="316"/>
      <c r="M4" s="316"/>
      <c r="N4" s="316"/>
      <c r="O4" s="316"/>
      <c r="P4" s="316"/>
      <c r="Q4" s="316"/>
      <c r="R4" s="316"/>
      <c r="S4" s="317"/>
    </row>
    <row r="5" ht="19.5" customHeight="1">
      <c r="A5" s="318"/>
      <c r="B5" s="307" t="s">
        <v>434</v>
      </c>
      <c r="C5" s="308" t="s">
        <v>434</v>
      </c>
      <c r="D5" s="309"/>
      <c r="E5" s="310"/>
      <c r="F5" s="310"/>
      <c r="G5" s="309"/>
      <c r="H5" s="309"/>
      <c r="I5" s="309"/>
      <c r="J5" s="310"/>
      <c r="K5" s="310"/>
      <c r="L5" s="310"/>
      <c r="M5" s="310"/>
      <c r="N5" s="310"/>
      <c r="O5" s="310"/>
      <c r="P5" s="310"/>
      <c r="Q5" s="310"/>
      <c r="R5" s="310"/>
      <c r="S5" s="311"/>
    </row>
    <row r="6" ht="19.5" customHeight="1">
      <c r="A6" s="312"/>
      <c r="B6" s="313" t="s">
        <v>423</v>
      </c>
      <c r="C6" s="314" t="s">
        <v>423</v>
      </c>
      <c r="D6" s="315"/>
      <c r="E6" s="316"/>
      <c r="F6" s="316"/>
      <c r="G6" s="315"/>
      <c r="H6" s="315"/>
      <c r="I6" s="315"/>
      <c r="J6" s="316"/>
      <c r="K6" s="316"/>
      <c r="L6" s="316"/>
      <c r="M6" s="316"/>
      <c r="N6" s="316"/>
      <c r="O6" s="316"/>
      <c r="P6" s="316"/>
      <c r="Q6" s="316"/>
      <c r="R6" s="316"/>
      <c r="S6" s="317"/>
    </row>
    <row r="7" ht="19.5" customHeight="1">
      <c r="A7" s="318"/>
      <c r="B7" s="307" t="s">
        <v>425</v>
      </c>
      <c r="C7" s="308" t="s">
        <v>425</v>
      </c>
      <c r="D7" s="309"/>
      <c r="E7" s="310"/>
      <c r="F7" s="310"/>
      <c r="G7" s="309"/>
      <c r="H7" s="309"/>
      <c r="I7" s="309"/>
      <c r="J7" s="310"/>
      <c r="K7" s="310"/>
      <c r="L7" s="310"/>
      <c r="M7" s="310"/>
      <c r="N7" s="310"/>
      <c r="O7" s="310"/>
      <c r="P7" s="310"/>
      <c r="Q7" s="310"/>
      <c r="R7" s="310"/>
      <c r="S7" s="311"/>
    </row>
    <row r="8" ht="19.5" customHeight="1">
      <c r="A8" s="312"/>
      <c r="B8" s="313" t="s">
        <v>419</v>
      </c>
      <c r="C8" s="314" t="s">
        <v>419</v>
      </c>
      <c r="D8" s="315"/>
      <c r="E8" s="316"/>
      <c r="F8" s="316"/>
      <c r="G8" s="315"/>
      <c r="H8" s="315"/>
      <c r="I8" s="315"/>
      <c r="J8" s="316"/>
      <c r="K8" s="316"/>
      <c r="L8" s="316"/>
      <c r="M8" s="316"/>
      <c r="N8" s="316"/>
      <c r="O8" s="316"/>
      <c r="P8" s="316"/>
      <c r="Q8" s="316"/>
      <c r="R8" s="316"/>
      <c r="S8" s="317"/>
    </row>
    <row r="9" ht="19.5" customHeight="1">
      <c r="A9" s="318"/>
      <c r="B9" s="307" t="s">
        <v>435</v>
      </c>
      <c r="C9" s="308" t="s">
        <v>435</v>
      </c>
      <c r="D9" s="309"/>
      <c r="E9" s="310"/>
      <c r="F9" s="310"/>
      <c r="G9" s="309"/>
      <c r="H9" s="309"/>
      <c r="I9" s="309"/>
      <c r="J9" s="310"/>
      <c r="K9" s="310"/>
      <c r="L9" s="310"/>
      <c r="M9" s="310"/>
      <c r="N9" s="310"/>
      <c r="O9" s="310"/>
      <c r="P9" s="310"/>
      <c r="Q9" s="310"/>
      <c r="R9" s="310"/>
      <c r="S9" s="311"/>
    </row>
    <row r="10" ht="19.5" customHeight="1">
      <c r="A10" s="312"/>
      <c r="B10" s="313" t="s">
        <v>436</v>
      </c>
      <c r="C10" s="314" t="s">
        <v>436</v>
      </c>
      <c r="D10" s="315"/>
      <c r="E10" s="316"/>
      <c r="F10" s="316"/>
      <c r="G10" s="315"/>
      <c r="H10" s="315"/>
      <c r="I10" s="315"/>
      <c r="J10" s="316"/>
      <c r="K10" s="316"/>
      <c r="L10" s="316"/>
      <c r="M10" s="316"/>
      <c r="N10" s="316"/>
      <c r="O10" s="316"/>
      <c r="P10" s="316"/>
      <c r="Q10" s="316"/>
      <c r="R10" s="316"/>
      <c r="S10" s="317"/>
    </row>
    <row r="11" ht="19.5" customHeight="1">
      <c r="A11" s="318"/>
      <c r="B11" s="307" t="s">
        <v>437</v>
      </c>
      <c r="C11" s="308" t="s">
        <v>437</v>
      </c>
      <c r="D11" s="309"/>
      <c r="E11" s="310"/>
      <c r="F11" s="310"/>
      <c r="G11" s="309"/>
      <c r="H11" s="309"/>
      <c r="I11" s="309"/>
      <c r="J11" s="310"/>
      <c r="K11" s="310"/>
      <c r="L11" s="310"/>
      <c r="M11" s="310"/>
      <c r="N11" s="310"/>
      <c r="O11" s="310"/>
      <c r="P11" s="310"/>
      <c r="Q11" s="310"/>
      <c r="R11" s="310"/>
      <c r="S11" s="311"/>
    </row>
    <row r="12" ht="19.5" customHeight="1">
      <c r="A12" s="312"/>
      <c r="B12" s="313" t="s">
        <v>438</v>
      </c>
      <c r="C12" s="314" t="s">
        <v>438</v>
      </c>
      <c r="D12" s="315"/>
      <c r="E12" s="316"/>
      <c r="F12" s="316"/>
      <c r="G12" s="315"/>
      <c r="H12" s="315"/>
      <c r="I12" s="315"/>
      <c r="J12" s="316"/>
      <c r="K12" s="316"/>
      <c r="L12" s="316"/>
      <c r="M12" s="316"/>
      <c r="N12" s="316"/>
      <c r="O12" s="316"/>
      <c r="P12" s="316"/>
      <c r="Q12" s="316"/>
      <c r="R12" s="316"/>
      <c r="S12" s="317"/>
    </row>
    <row r="13" ht="19.5" customHeight="1">
      <c r="A13" s="318"/>
      <c r="B13" s="307" t="s">
        <v>439</v>
      </c>
      <c r="C13" s="308" t="s">
        <v>439</v>
      </c>
      <c r="D13" s="309"/>
      <c r="E13" s="310"/>
      <c r="F13" s="310"/>
      <c r="G13" s="309"/>
      <c r="H13" s="309"/>
      <c r="I13" s="309"/>
      <c r="J13" s="310"/>
      <c r="K13" s="310"/>
      <c r="L13" s="310"/>
      <c r="M13" s="310"/>
      <c r="N13" s="310"/>
      <c r="O13" s="310"/>
      <c r="P13" s="310"/>
      <c r="Q13" s="310"/>
      <c r="R13" s="310"/>
      <c r="S13" s="311"/>
    </row>
    <row r="14" ht="19.5" customHeight="1">
      <c r="A14" s="312"/>
      <c r="B14" s="313" t="s">
        <v>440</v>
      </c>
      <c r="C14" s="314" t="s">
        <v>440</v>
      </c>
      <c r="D14" s="315"/>
      <c r="E14" s="316"/>
      <c r="F14" s="316"/>
      <c r="G14" s="315"/>
      <c r="H14" s="315"/>
      <c r="I14" s="315"/>
      <c r="J14" s="316"/>
      <c r="K14" s="316"/>
      <c r="L14" s="316"/>
      <c r="M14" s="316"/>
      <c r="N14" s="316"/>
      <c r="O14" s="316"/>
      <c r="P14" s="316"/>
      <c r="Q14" s="316"/>
      <c r="R14" s="316"/>
      <c r="S14" s="317"/>
    </row>
    <row r="15" ht="19.5" customHeight="1">
      <c r="A15" s="319">
        <v>2600054.0</v>
      </c>
      <c r="B15" s="320" t="s">
        <v>441</v>
      </c>
      <c r="C15" s="90" t="s">
        <v>419</v>
      </c>
      <c r="D15" s="94"/>
      <c r="E15" s="311"/>
      <c r="F15" s="311"/>
      <c r="G15" s="94"/>
      <c r="H15" s="94"/>
      <c r="I15" s="94"/>
      <c r="J15" s="311"/>
      <c r="K15" s="311"/>
      <c r="L15" s="311"/>
      <c r="M15" s="311"/>
      <c r="N15" s="311"/>
      <c r="O15" s="311"/>
      <c r="P15" s="311"/>
      <c r="Q15" s="311"/>
      <c r="R15" s="311"/>
      <c r="S15" s="311"/>
    </row>
    <row r="16" ht="19.5" customHeight="1">
      <c r="A16" s="321">
        <v>2600104.0</v>
      </c>
      <c r="B16" s="322" t="s">
        <v>442</v>
      </c>
      <c r="C16" s="78" t="s">
        <v>439</v>
      </c>
      <c r="D16" s="77"/>
      <c r="E16" s="317"/>
      <c r="F16" s="317"/>
      <c r="G16" s="77"/>
      <c r="H16" s="77"/>
      <c r="I16" s="77"/>
      <c r="J16" s="317"/>
      <c r="K16" s="317"/>
      <c r="L16" s="317"/>
      <c r="M16" s="317"/>
      <c r="N16" s="317"/>
      <c r="O16" s="317"/>
      <c r="P16" s="317"/>
      <c r="Q16" s="317"/>
      <c r="R16" s="317"/>
      <c r="S16" s="317"/>
    </row>
    <row r="17" ht="19.5" customHeight="1">
      <c r="A17" s="319">
        <v>2600203.0</v>
      </c>
      <c r="B17" s="320" t="s">
        <v>443</v>
      </c>
      <c r="C17" s="90" t="s">
        <v>440</v>
      </c>
      <c r="D17" s="94"/>
      <c r="E17" s="311"/>
      <c r="F17" s="311"/>
      <c r="G17" s="94"/>
      <c r="H17" s="94"/>
      <c r="I17" s="94"/>
      <c r="J17" s="311"/>
      <c r="K17" s="311"/>
      <c r="L17" s="311"/>
      <c r="M17" s="311"/>
      <c r="N17" s="311"/>
      <c r="O17" s="311"/>
      <c r="P17" s="311"/>
      <c r="Q17" s="311"/>
      <c r="R17" s="311"/>
      <c r="S17" s="311"/>
    </row>
    <row r="18" ht="19.5" customHeight="1">
      <c r="A18" s="321">
        <v>2600302.0</v>
      </c>
      <c r="B18" s="322" t="s">
        <v>444</v>
      </c>
      <c r="C18" s="78" t="s">
        <v>431</v>
      </c>
      <c r="D18" s="77"/>
      <c r="E18" s="317"/>
      <c r="F18" s="317"/>
      <c r="G18" s="77"/>
      <c r="H18" s="77"/>
      <c r="I18" s="77"/>
      <c r="J18" s="317"/>
      <c r="K18" s="317"/>
      <c r="L18" s="317"/>
      <c r="M18" s="317"/>
      <c r="N18" s="317"/>
      <c r="O18" s="317"/>
      <c r="P18" s="317"/>
      <c r="Q18" s="317"/>
      <c r="R18" s="317"/>
      <c r="S18" s="317"/>
    </row>
    <row r="19" ht="19.5" customHeight="1">
      <c r="A19" s="319">
        <v>2600401.0</v>
      </c>
      <c r="B19" s="320" t="s">
        <v>445</v>
      </c>
      <c r="C19" s="90" t="s">
        <v>425</v>
      </c>
      <c r="D19" s="323"/>
      <c r="E19" s="324"/>
      <c r="F19" s="324"/>
      <c r="G19" s="323"/>
      <c r="H19" s="94"/>
      <c r="I19" s="94"/>
      <c r="J19" s="324"/>
      <c r="K19" s="324"/>
      <c r="L19" s="324"/>
      <c r="M19" s="324"/>
      <c r="N19" s="324"/>
      <c r="O19" s="324"/>
      <c r="P19" s="324"/>
      <c r="Q19" s="324"/>
      <c r="R19" s="324"/>
      <c r="S19" s="324"/>
    </row>
    <row r="20" ht="19.5" customHeight="1">
      <c r="A20" s="321">
        <v>2600500.0</v>
      </c>
      <c r="B20" s="322" t="s">
        <v>446</v>
      </c>
      <c r="C20" s="78" t="s">
        <v>433</v>
      </c>
      <c r="D20" s="77"/>
      <c r="E20" s="317"/>
      <c r="F20" s="317"/>
      <c r="G20" s="77"/>
      <c r="H20" s="77"/>
      <c r="I20" s="77"/>
      <c r="J20" s="317"/>
      <c r="K20" s="317"/>
      <c r="L20" s="317"/>
      <c r="M20" s="317"/>
      <c r="N20" s="317"/>
      <c r="O20" s="317"/>
      <c r="P20" s="317"/>
      <c r="Q20" s="317"/>
      <c r="R20" s="317"/>
      <c r="S20" s="317"/>
    </row>
    <row r="21" ht="19.5" customHeight="1">
      <c r="A21" s="319">
        <v>2600609.0</v>
      </c>
      <c r="B21" s="320" t="s">
        <v>448</v>
      </c>
      <c r="C21" s="90" t="s">
        <v>431</v>
      </c>
      <c r="D21" s="94"/>
      <c r="E21" s="311"/>
      <c r="F21" s="311"/>
      <c r="G21" s="94"/>
      <c r="H21" s="94"/>
      <c r="I21" s="94"/>
      <c r="J21" s="311"/>
      <c r="K21" s="311"/>
      <c r="L21" s="311"/>
      <c r="M21" s="311"/>
      <c r="N21" s="311"/>
      <c r="O21" s="311"/>
      <c r="P21" s="311"/>
      <c r="Q21" s="311"/>
      <c r="R21" s="311"/>
      <c r="S21" s="311"/>
    </row>
    <row r="22" ht="19.5" customHeight="1">
      <c r="A22" s="321">
        <v>2600708.0</v>
      </c>
      <c r="B22" s="322" t="s">
        <v>449</v>
      </c>
      <c r="C22" s="78" t="s">
        <v>423</v>
      </c>
      <c r="D22" s="173"/>
      <c r="E22" s="233"/>
      <c r="F22" s="233"/>
      <c r="G22" s="173"/>
      <c r="H22" s="77"/>
      <c r="I22" s="77"/>
      <c r="J22" s="233"/>
      <c r="K22" s="233"/>
      <c r="L22" s="233"/>
      <c r="M22" s="233"/>
      <c r="N22" s="233"/>
      <c r="O22" s="233"/>
      <c r="P22" s="233"/>
      <c r="Q22" s="233"/>
      <c r="R22" s="233"/>
      <c r="S22" s="233"/>
    </row>
    <row r="23" ht="19.5" customHeight="1">
      <c r="A23" s="319">
        <v>2600807.0</v>
      </c>
      <c r="B23" s="320" t="s">
        <v>450</v>
      </c>
      <c r="C23" s="90" t="s">
        <v>431</v>
      </c>
      <c r="D23" s="94"/>
      <c r="E23" s="311"/>
      <c r="F23" s="311"/>
      <c r="G23" s="94"/>
      <c r="H23" s="94"/>
      <c r="I23" s="94"/>
      <c r="J23" s="311"/>
      <c r="K23" s="311"/>
      <c r="L23" s="311"/>
      <c r="M23" s="311"/>
      <c r="N23" s="311"/>
      <c r="O23" s="311"/>
      <c r="P23" s="311"/>
      <c r="Q23" s="311"/>
      <c r="R23" s="311"/>
      <c r="S23" s="311"/>
    </row>
    <row r="24" ht="19.5" customHeight="1">
      <c r="A24" s="321">
        <v>2600906.0</v>
      </c>
      <c r="B24" s="322" t="s">
        <v>451</v>
      </c>
      <c r="C24" s="78" t="s">
        <v>425</v>
      </c>
      <c r="D24" s="173"/>
      <c r="E24" s="233"/>
      <c r="F24" s="233"/>
      <c r="G24" s="173"/>
      <c r="H24" s="77"/>
      <c r="I24" s="77"/>
      <c r="J24" s="233"/>
      <c r="K24" s="233"/>
      <c r="L24" s="233"/>
      <c r="M24" s="233"/>
      <c r="N24" s="233"/>
      <c r="O24" s="233"/>
      <c r="P24" s="233"/>
      <c r="Q24" s="233"/>
      <c r="R24" s="233"/>
      <c r="S24" s="233"/>
    </row>
    <row r="25" ht="19.5" customHeight="1">
      <c r="A25" s="319">
        <v>2601003.0</v>
      </c>
      <c r="B25" s="320" t="s">
        <v>452</v>
      </c>
      <c r="C25" s="90" t="s">
        <v>433</v>
      </c>
      <c r="D25" s="94"/>
      <c r="E25" s="311"/>
      <c r="F25" s="311"/>
      <c r="G25" s="94"/>
      <c r="H25" s="94"/>
      <c r="I25" s="94"/>
      <c r="J25" s="311"/>
      <c r="K25" s="311"/>
      <c r="L25" s="311"/>
      <c r="M25" s="311"/>
      <c r="N25" s="311"/>
      <c r="O25" s="311"/>
      <c r="P25" s="311"/>
      <c r="Q25" s="311"/>
      <c r="R25" s="311"/>
      <c r="S25" s="311"/>
    </row>
    <row r="26" ht="19.5" customHeight="1">
      <c r="A26" s="321">
        <v>2601052.0</v>
      </c>
      <c r="B26" s="322" t="s">
        <v>453</v>
      </c>
      <c r="C26" s="78" t="s">
        <v>419</v>
      </c>
      <c r="D26" s="77"/>
      <c r="E26" s="317"/>
      <c r="F26" s="317"/>
      <c r="G26" s="77"/>
      <c r="H26" s="77"/>
      <c r="I26" s="77"/>
      <c r="J26" s="317"/>
      <c r="K26" s="317"/>
      <c r="L26" s="317"/>
      <c r="M26" s="317"/>
      <c r="N26" s="317"/>
      <c r="O26" s="317"/>
      <c r="P26" s="317"/>
      <c r="Q26" s="317"/>
      <c r="R26" s="317"/>
      <c r="S26" s="317"/>
    </row>
    <row r="27" ht="19.5" customHeight="1">
      <c r="A27" s="319">
        <v>2601102.0</v>
      </c>
      <c r="B27" s="320" t="s">
        <v>405</v>
      </c>
      <c r="C27" s="90" t="s">
        <v>437</v>
      </c>
      <c r="D27" s="94"/>
      <c r="E27" s="311"/>
      <c r="F27" s="311"/>
      <c r="G27" s="94"/>
      <c r="H27" s="94"/>
      <c r="I27" s="94"/>
      <c r="J27" s="311"/>
      <c r="K27" s="311"/>
      <c r="L27" s="311"/>
      <c r="M27" s="311"/>
      <c r="N27" s="311"/>
      <c r="O27" s="311"/>
      <c r="P27" s="311"/>
      <c r="Q27" s="311"/>
      <c r="R27" s="311"/>
      <c r="S27" s="311"/>
    </row>
    <row r="28" ht="19.5" customHeight="1">
      <c r="A28" s="321">
        <v>2601201.0</v>
      </c>
      <c r="B28" s="322" t="s">
        <v>454</v>
      </c>
      <c r="C28" s="78" t="s">
        <v>438</v>
      </c>
      <c r="D28" s="77"/>
      <c r="E28" s="317"/>
      <c r="F28" s="317"/>
      <c r="G28" s="77"/>
      <c r="H28" s="77"/>
      <c r="I28" s="77"/>
      <c r="J28" s="317"/>
      <c r="K28" s="317"/>
      <c r="L28" s="317"/>
      <c r="M28" s="317"/>
      <c r="N28" s="317"/>
      <c r="O28" s="317"/>
      <c r="P28" s="317"/>
      <c r="Q28" s="317"/>
      <c r="R28" s="317"/>
      <c r="S28" s="317"/>
    </row>
    <row r="29" ht="19.5" customHeight="1">
      <c r="A29" s="319">
        <v>2601300.0</v>
      </c>
      <c r="B29" s="320" t="s">
        <v>455</v>
      </c>
      <c r="C29" s="90" t="s">
        <v>431</v>
      </c>
      <c r="D29" s="94"/>
      <c r="E29" s="311"/>
      <c r="F29" s="311"/>
      <c r="G29" s="94"/>
      <c r="H29" s="94"/>
      <c r="I29" s="94"/>
      <c r="J29" s="311"/>
      <c r="K29" s="311"/>
      <c r="L29" s="311"/>
      <c r="M29" s="311"/>
      <c r="N29" s="311"/>
      <c r="O29" s="311"/>
      <c r="P29" s="311"/>
      <c r="Q29" s="311"/>
      <c r="R29" s="311"/>
      <c r="S29" s="311"/>
    </row>
    <row r="30" ht="19.5" customHeight="1">
      <c r="A30" s="321">
        <v>2601409.0</v>
      </c>
      <c r="B30" s="322" t="s">
        <v>456</v>
      </c>
      <c r="C30" s="78" t="s">
        <v>425</v>
      </c>
      <c r="D30" s="77"/>
      <c r="E30" s="317"/>
      <c r="F30" s="317"/>
      <c r="G30" s="77"/>
      <c r="H30" s="77"/>
      <c r="I30" s="77"/>
      <c r="J30" s="317"/>
      <c r="K30" s="317"/>
      <c r="L30" s="317"/>
      <c r="M30" s="317"/>
      <c r="N30" s="317"/>
      <c r="O30" s="317"/>
      <c r="P30" s="317"/>
      <c r="Q30" s="317"/>
      <c r="R30" s="317"/>
      <c r="S30" s="317"/>
    </row>
    <row r="31" ht="19.5" customHeight="1">
      <c r="A31" s="319">
        <v>2601508.0</v>
      </c>
      <c r="B31" s="320" t="s">
        <v>457</v>
      </c>
      <c r="C31" s="90" t="s">
        <v>425</v>
      </c>
      <c r="D31" s="148"/>
      <c r="E31" s="239"/>
      <c r="F31" s="239"/>
      <c r="G31" s="148"/>
      <c r="H31" s="94"/>
      <c r="I31" s="94"/>
      <c r="J31" s="239"/>
      <c r="K31" s="239"/>
      <c r="L31" s="239"/>
      <c r="M31" s="239"/>
      <c r="N31" s="239"/>
      <c r="O31" s="239"/>
      <c r="P31" s="239"/>
      <c r="Q31" s="239"/>
      <c r="R31" s="239"/>
      <c r="S31" s="239"/>
    </row>
    <row r="32" ht="19.5" customHeight="1">
      <c r="A32" s="321">
        <v>2601607.0</v>
      </c>
      <c r="B32" s="322" t="s">
        <v>458</v>
      </c>
      <c r="C32" s="78" t="s">
        <v>436</v>
      </c>
      <c r="D32" s="77"/>
      <c r="E32" s="317"/>
      <c r="F32" s="317"/>
      <c r="G32" s="77"/>
      <c r="H32" s="77"/>
      <c r="I32" s="77"/>
      <c r="J32" s="317"/>
      <c r="K32" s="317"/>
      <c r="L32" s="317"/>
      <c r="M32" s="317"/>
      <c r="N32" s="317"/>
      <c r="O32" s="317"/>
      <c r="P32" s="317"/>
      <c r="Q32" s="317"/>
      <c r="R32" s="317"/>
      <c r="S32" s="317"/>
    </row>
    <row r="33" ht="19.5" customHeight="1">
      <c r="A33" s="319">
        <v>2601706.0</v>
      </c>
      <c r="B33" s="320" t="s">
        <v>459</v>
      </c>
      <c r="C33" s="90" t="s">
        <v>431</v>
      </c>
      <c r="D33" s="94"/>
      <c r="E33" s="311"/>
      <c r="F33" s="311"/>
      <c r="G33" s="94"/>
      <c r="H33" s="94"/>
      <c r="I33" s="94"/>
      <c r="J33" s="311"/>
      <c r="K33" s="311"/>
      <c r="L33" s="311"/>
      <c r="M33" s="311"/>
      <c r="N33" s="311"/>
      <c r="O33" s="311"/>
      <c r="P33" s="311"/>
      <c r="Q33" s="311"/>
      <c r="R33" s="311"/>
      <c r="S33" s="311"/>
    </row>
    <row r="34" ht="19.5" customHeight="1">
      <c r="A34" s="321">
        <v>2601805.0</v>
      </c>
      <c r="B34" s="322" t="s">
        <v>460</v>
      </c>
      <c r="C34" s="78" t="s">
        <v>438</v>
      </c>
      <c r="D34" s="77"/>
      <c r="E34" s="317"/>
      <c r="F34" s="317"/>
      <c r="G34" s="77"/>
      <c r="H34" s="77"/>
      <c r="I34" s="77"/>
      <c r="J34" s="317"/>
      <c r="K34" s="317"/>
      <c r="L34" s="317"/>
      <c r="M34" s="317"/>
      <c r="N34" s="317"/>
      <c r="O34" s="317"/>
      <c r="P34" s="317"/>
      <c r="Q34" s="317"/>
      <c r="R34" s="317"/>
      <c r="S34" s="317"/>
    </row>
    <row r="35" ht="19.5" customHeight="1">
      <c r="A35" s="319">
        <v>2601904.0</v>
      </c>
      <c r="B35" s="320" t="s">
        <v>461</v>
      </c>
      <c r="C35" s="90" t="s">
        <v>431</v>
      </c>
      <c r="D35" s="94"/>
      <c r="E35" s="311"/>
      <c r="F35" s="311"/>
      <c r="G35" s="94"/>
      <c r="H35" s="94"/>
      <c r="I35" s="94"/>
      <c r="J35" s="311"/>
      <c r="K35" s="311"/>
      <c r="L35" s="311"/>
      <c r="M35" s="311"/>
      <c r="N35" s="311"/>
      <c r="O35" s="311"/>
      <c r="P35" s="311"/>
      <c r="Q35" s="311"/>
      <c r="R35" s="311"/>
      <c r="S35" s="311"/>
    </row>
    <row r="36" ht="19.5" customHeight="1">
      <c r="A36" s="321">
        <v>2602001.0</v>
      </c>
      <c r="B36" s="322" t="s">
        <v>462</v>
      </c>
      <c r="C36" s="78" t="s">
        <v>437</v>
      </c>
      <c r="D36" s="77"/>
      <c r="E36" s="317"/>
      <c r="F36" s="317"/>
      <c r="G36" s="77"/>
      <c r="H36" s="77"/>
      <c r="I36" s="77"/>
      <c r="J36" s="317"/>
      <c r="K36" s="317"/>
      <c r="L36" s="317"/>
      <c r="M36" s="317"/>
      <c r="N36" s="317"/>
      <c r="O36" s="317"/>
      <c r="P36" s="317"/>
      <c r="Q36" s="317"/>
      <c r="R36" s="317"/>
      <c r="S36" s="317"/>
    </row>
    <row r="37" ht="19.5" customHeight="1">
      <c r="A37" s="319">
        <v>2602100.0</v>
      </c>
      <c r="B37" s="320" t="s">
        <v>463</v>
      </c>
      <c r="C37" s="90" t="s">
        <v>433</v>
      </c>
      <c r="D37" s="94"/>
      <c r="E37" s="311"/>
      <c r="F37" s="311"/>
      <c r="G37" s="94"/>
      <c r="H37" s="94"/>
      <c r="I37" s="94"/>
      <c r="J37" s="311"/>
      <c r="K37" s="311"/>
      <c r="L37" s="311"/>
      <c r="M37" s="311"/>
      <c r="N37" s="311"/>
      <c r="O37" s="311"/>
      <c r="P37" s="311"/>
      <c r="Q37" s="311"/>
      <c r="R37" s="311"/>
      <c r="S37" s="311"/>
    </row>
    <row r="38" ht="19.5" customHeight="1">
      <c r="A38" s="321">
        <v>2602209.0</v>
      </c>
      <c r="B38" s="322" t="s">
        <v>464</v>
      </c>
      <c r="C38" s="78" t="s">
        <v>434</v>
      </c>
      <c r="D38" s="77"/>
      <c r="E38" s="317"/>
      <c r="F38" s="317"/>
      <c r="G38" s="77"/>
      <c r="H38" s="77"/>
      <c r="I38" s="77"/>
      <c r="J38" s="317"/>
      <c r="K38" s="317"/>
      <c r="L38" s="317"/>
      <c r="M38" s="317"/>
      <c r="N38" s="317"/>
      <c r="O38" s="317"/>
      <c r="P38" s="317"/>
      <c r="Q38" s="317"/>
      <c r="R38" s="317"/>
      <c r="S38" s="317"/>
    </row>
    <row r="39" ht="19.5" customHeight="1">
      <c r="A39" s="319">
        <v>2602308.0</v>
      </c>
      <c r="B39" s="320" t="s">
        <v>465</v>
      </c>
      <c r="C39" s="90" t="s">
        <v>431</v>
      </c>
      <c r="D39" s="94"/>
      <c r="E39" s="311"/>
      <c r="F39" s="311"/>
      <c r="G39" s="94"/>
      <c r="H39" s="94"/>
      <c r="I39" s="94"/>
      <c r="J39" s="311"/>
      <c r="K39" s="311"/>
      <c r="L39" s="311"/>
      <c r="M39" s="311"/>
      <c r="N39" s="311"/>
      <c r="O39" s="311"/>
      <c r="P39" s="311"/>
      <c r="Q39" s="311"/>
      <c r="R39" s="311"/>
      <c r="S39" s="311"/>
    </row>
    <row r="40" ht="19.5" customHeight="1">
      <c r="A40" s="321">
        <v>2602407.0</v>
      </c>
      <c r="B40" s="322" t="s">
        <v>466</v>
      </c>
      <c r="C40" s="78" t="s">
        <v>433</v>
      </c>
      <c r="D40" s="77"/>
      <c r="E40" s="317"/>
      <c r="F40" s="317"/>
      <c r="G40" s="77"/>
      <c r="H40" s="77"/>
      <c r="I40" s="77"/>
      <c r="J40" s="317"/>
      <c r="K40" s="317"/>
      <c r="L40" s="317"/>
      <c r="M40" s="317"/>
      <c r="N40" s="317"/>
      <c r="O40" s="317"/>
      <c r="P40" s="317"/>
      <c r="Q40" s="317"/>
      <c r="R40" s="317"/>
      <c r="S40" s="317"/>
    </row>
    <row r="41" ht="19.5" customHeight="1">
      <c r="A41" s="319">
        <v>2602506.0</v>
      </c>
      <c r="B41" s="320" t="s">
        <v>467</v>
      </c>
      <c r="C41" s="90" t="s">
        <v>439</v>
      </c>
      <c r="D41" s="94"/>
      <c r="E41" s="311"/>
      <c r="F41" s="311"/>
      <c r="G41" s="94"/>
      <c r="H41" s="94"/>
      <c r="I41" s="94"/>
      <c r="J41" s="311"/>
      <c r="K41" s="311"/>
      <c r="L41" s="311"/>
      <c r="M41" s="311"/>
      <c r="N41" s="311"/>
      <c r="O41" s="311"/>
      <c r="P41" s="311"/>
      <c r="Q41" s="311"/>
      <c r="R41" s="311"/>
      <c r="S41" s="311"/>
    </row>
    <row r="42" ht="19.5" customHeight="1">
      <c r="A42" s="321">
        <v>2602605.0</v>
      </c>
      <c r="B42" s="322" t="s">
        <v>468</v>
      </c>
      <c r="C42" s="78" t="s">
        <v>431</v>
      </c>
      <c r="D42" s="77"/>
      <c r="E42" s="317"/>
      <c r="F42" s="317"/>
      <c r="G42" s="77"/>
      <c r="H42" s="77"/>
      <c r="I42" s="77"/>
      <c r="J42" s="317"/>
      <c r="K42" s="317"/>
      <c r="L42" s="317"/>
      <c r="M42" s="317"/>
      <c r="N42" s="317"/>
      <c r="O42" s="317"/>
      <c r="P42" s="317"/>
      <c r="Q42" s="317"/>
      <c r="R42" s="317"/>
      <c r="S42" s="317"/>
    </row>
    <row r="43" ht="19.5" customHeight="1">
      <c r="A43" s="319">
        <v>2602704.0</v>
      </c>
      <c r="B43" s="320" t="s">
        <v>469</v>
      </c>
      <c r="C43" s="90" t="s">
        <v>423</v>
      </c>
      <c r="D43" s="94"/>
      <c r="E43" s="311"/>
      <c r="F43" s="311"/>
      <c r="G43" s="94"/>
      <c r="H43" s="94"/>
      <c r="I43" s="94"/>
      <c r="J43" s="311"/>
      <c r="K43" s="311"/>
      <c r="L43" s="311"/>
      <c r="M43" s="311"/>
      <c r="N43" s="311"/>
      <c r="O43" s="311"/>
      <c r="P43" s="311"/>
      <c r="Q43" s="311"/>
      <c r="R43" s="311"/>
      <c r="S43" s="311"/>
    </row>
    <row r="44" ht="19.5" customHeight="1">
      <c r="A44" s="321">
        <v>2602803.0</v>
      </c>
      <c r="B44" s="322" t="s">
        <v>400</v>
      </c>
      <c r="C44" s="78" t="s">
        <v>433</v>
      </c>
      <c r="D44" s="173"/>
      <c r="E44" s="233"/>
      <c r="F44" s="233"/>
      <c r="G44" s="173"/>
      <c r="H44" s="77"/>
      <c r="I44" s="77"/>
      <c r="J44" s="233"/>
      <c r="K44" s="233"/>
      <c r="L44" s="233"/>
      <c r="M44" s="233"/>
      <c r="N44" s="233"/>
      <c r="O44" s="233"/>
      <c r="P44" s="233"/>
      <c r="Q44" s="233"/>
      <c r="R44" s="233"/>
      <c r="S44" s="233"/>
    </row>
    <row r="45" ht="19.5" customHeight="1">
      <c r="A45" s="319">
        <v>2602902.0</v>
      </c>
      <c r="B45" s="320" t="s">
        <v>422</v>
      </c>
      <c r="C45" s="90" t="s">
        <v>419</v>
      </c>
      <c r="D45" s="94"/>
      <c r="E45" s="311"/>
      <c r="F45" s="311"/>
      <c r="G45" s="94"/>
      <c r="H45" s="94"/>
      <c r="I45" s="94"/>
      <c r="J45" s="311"/>
      <c r="K45" s="311"/>
      <c r="L45" s="311"/>
      <c r="M45" s="311"/>
      <c r="N45" s="311"/>
      <c r="O45" s="311"/>
      <c r="P45" s="311"/>
      <c r="Q45" s="311"/>
      <c r="R45" s="311"/>
      <c r="S45" s="311"/>
    </row>
    <row r="46" ht="19.5" customHeight="1">
      <c r="A46" s="321">
        <v>2603009.0</v>
      </c>
      <c r="B46" s="322" t="s">
        <v>471</v>
      </c>
      <c r="C46" s="78" t="s">
        <v>440</v>
      </c>
      <c r="D46" s="173"/>
      <c r="E46" s="233"/>
      <c r="F46" s="233"/>
      <c r="G46" s="173"/>
      <c r="H46" s="77"/>
      <c r="I46" s="77"/>
      <c r="J46" s="233"/>
      <c r="K46" s="233"/>
      <c r="L46" s="233"/>
      <c r="M46" s="233"/>
      <c r="N46" s="233"/>
      <c r="O46" s="233"/>
      <c r="P46" s="233"/>
      <c r="Q46" s="233"/>
      <c r="R46" s="233"/>
      <c r="S46" s="233"/>
    </row>
    <row r="47" ht="19.5" customHeight="1">
      <c r="A47" s="319">
        <v>2603108.0</v>
      </c>
      <c r="B47" s="320" t="s">
        <v>472</v>
      </c>
      <c r="C47" s="90" t="s">
        <v>431</v>
      </c>
      <c r="D47" s="94"/>
      <c r="E47" s="311"/>
      <c r="F47" s="311"/>
      <c r="G47" s="94"/>
      <c r="H47" s="94"/>
      <c r="I47" s="94"/>
      <c r="J47" s="311"/>
      <c r="K47" s="311"/>
      <c r="L47" s="311"/>
      <c r="M47" s="311"/>
      <c r="N47" s="311"/>
      <c r="O47" s="311"/>
      <c r="P47" s="311"/>
      <c r="Q47" s="311"/>
      <c r="R47" s="311"/>
      <c r="S47" s="311"/>
    </row>
    <row r="48" ht="19.5" customHeight="1">
      <c r="A48" s="321">
        <v>2603207.0</v>
      </c>
      <c r="B48" s="322" t="s">
        <v>473</v>
      </c>
      <c r="C48" s="78" t="s">
        <v>433</v>
      </c>
      <c r="D48" s="77"/>
      <c r="E48" s="317"/>
      <c r="F48" s="317"/>
      <c r="G48" s="77"/>
      <c r="H48" s="77"/>
      <c r="I48" s="77"/>
      <c r="J48" s="317"/>
      <c r="K48" s="317"/>
      <c r="L48" s="317"/>
      <c r="M48" s="317"/>
      <c r="N48" s="317"/>
      <c r="O48" s="317"/>
      <c r="P48" s="317"/>
      <c r="Q48" s="317"/>
      <c r="R48" s="317"/>
      <c r="S48" s="317"/>
    </row>
    <row r="49" ht="19.5" customHeight="1">
      <c r="A49" s="319">
        <v>2603306.0</v>
      </c>
      <c r="B49" s="320" t="s">
        <v>474</v>
      </c>
      <c r="C49" s="90" t="s">
        <v>433</v>
      </c>
      <c r="D49" s="94"/>
      <c r="E49" s="311"/>
      <c r="F49" s="311"/>
      <c r="G49" s="94"/>
      <c r="H49" s="94"/>
      <c r="I49" s="94"/>
      <c r="J49" s="311"/>
      <c r="K49" s="311"/>
      <c r="L49" s="311"/>
      <c r="M49" s="311"/>
      <c r="N49" s="311"/>
      <c r="O49" s="311"/>
      <c r="P49" s="311"/>
      <c r="Q49" s="311"/>
      <c r="R49" s="311"/>
      <c r="S49" s="311"/>
    </row>
    <row r="50" ht="19.5" customHeight="1">
      <c r="A50" s="321">
        <v>2603405.0</v>
      </c>
      <c r="B50" s="322" t="s">
        <v>475</v>
      </c>
      <c r="C50" s="78" t="s">
        <v>439</v>
      </c>
      <c r="D50" s="173"/>
      <c r="E50" s="233"/>
      <c r="F50" s="233"/>
      <c r="G50" s="173"/>
      <c r="H50" s="77"/>
      <c r="I50" s="77"/>
      <c r="J50" s="233"/>
      <c r="K50" s="233"/>
      <c r="L50" s="233"/>
      <c r="M50" s="233"/>
      <c r="N50" s="233"/>
      <c r="O50" s="233"/>
      <c r="P50" s="233"/>
      <c r="Q50" s="233"/>
      <c r="R50" s="233"/>
      <c r="S50" s="233"/>
    </row>
    <row r="51" ht="19.5" customHeight="1">
      <c r="A51" s="319">
        <v>2603454.0</v>
      </c>
      <c r="B51" s="320" t="s">
        <v>476</v>
      </c>
      <c r="C51" s="90" t="s">
        <v>419</v>
      </c>
      <c r="D51" s="148"/>
      <c r="E51" s="239"/>
      <c r="F51" s="239"/>
      <c r="G51" s="148"/>
      <c r="H51" s="94"/>
      <c r="I51" s="94"/>
      <c r="J51" s="239"/>
      <c r="K51" s="239"/>
      <c r="L51" s="239"/>
      <c r="M51" s="239"/>
      <c r="N51" s="239"/>
      <c r="O51" s="239"/>
      <c r="P51" s="239"/>
      <c r="Q51" s="239"/>
      <c r="R51" s="239"/>
      <c r="S51" s="239"/>
    </row>
    <row r="52" ht="19.5" customHeight="1">
      <c r="A52" s="321">
        <v>2603504.0</v>
      </c>
      <c r="B52" s="322" t="s">
        <v>477</v>
      </c>
      <c r="C52" s="78" t="s">
        <v>431</v>
      </c>
      <c r="D52" s="173"/>
      <c r="E52" s="233"/>
      <c r="F52" s="233"/>
      <c r="G52" s="173"/>
      <c r="H52" s="77"/>
      <c r="I52" s="77"/>
      <c r="J52" s="233"/>
      <c r="K52" s="233"/>
      <c r="L52" s="233"/>
      <c r="M52" s="233"/>
      <c r="N52" s="233"/>
      <c r="O52" s="233"/>
      <c r="P52" s="233"/>
      <c r="Q52" s="233"/>
      <c r="R52" s="233"/>
      <c r="S52" s="233"/>
    </row>
    <row r="53" ht="19.5" customHeight="1">
      <c r="A53" s="319">
        <v>2603603.0</v>
      </c>
      <c r="B53" s="320" t="s">
        <v>478</v>
      </c>
      <c r="C53" s="90" t="s">
        <v>423</v>
      </c>
      <c r="D53" s="148"/>
      <c r="E53" s="239"/>
      <c r="F53" s="239"/>
      <c r="G53" s="148"/>
      <c r="H53" s="94"/>
      <c r="I53" s="94"/>
      <c r="J53" s="239"/>
      <c r="K53" s="239"/>
      <c r="L53" s="239"/>
      <c r="M53" s="239"/>
      <c r="N53" s="239"/>
      <c r="O53" s="239"/>
      <c r="P53" s="239"/>
      <c r="Q53" s="239"/>
      <c r="R53" s="239"/>
      <c r="S53" s="239"/>
    </row>
    <row r="54" ht="19.5" customHeight="1">
      <c r="A54" s="321">
        <v>2603702.0</v>
      </c>
      <c r="B54" s="322" t="s">
        <v>479</v>
      </c>
      <c r="C54" s="78" t="s">
        <v>433</v>
      </c>
      <c r="D54" s="173"/>
      <c r="E54" s="233"/>
      <c r="F54" s="233"/>
      <c r="G54" s="173"/>
      <c r="H54" s="77"/>
      <c r="I54" s="77"/>
      <c r="J54" s="233"/>
      <c r="K54" s="233"/>
      <c r="L54" s="233"/>
      <c r="M54" s="233"/>
      <c r="N54" s="233"/>
      <c r="O54" s="233"/>
      <c r="P54" s="233"/>
      <c r="Q54" s="233"/>
      <c r="R54" s="233"/>
      <c r="S54" s="233"/>
    </row>
    <row r="55" ht="19.5" customHeight="1">
      <c r="A55" s="319">
        <v>2603801.0</v>
      </c>
      <c r="B55" s="320" t="s">
        <v>480</v>
      </c>
      <c r="C55" s="90" t="s">
        <v>433</v>
      </c>
      <c r="D55" s="148"/>
      <c r="E55" s="239"/>
      <c r="F55" s="239"/>
      <c r="G55" s="148"/>
      <c r="H55" s="94"/>
      <c r="I55" s="94"/>
      <c r="J55" s="239"/>
      <c r="K55" s="239"/>
      <c r="L55" s="239"/>
      <c r="M55" s="239"/>
      <c r="N55" s="239"/>
      <c r="O55" s="239"/>
      <c r="P55" s="239"/>
      <c r="Q55" s="239"/>
      <c r="R55" s="239"/>
      <c r="S55" s="239"/>
    </row>
    <row r="56" ht="19.5" customHeight="1">
      <c r="A56" s="321">
        <v>2603900.0</v>
      </c>
      <c r="B56" s="322" t="s">
        <v>481</v>
      </c>
      <c r="C56" s="78" t="s">
        <v>439</v>
      </c>
      <c r="D56" s="173"/>
      <c r="E56" s="233"/>
      <c r="F56" s="233"/>
      <c r="G56" s="173"/>
      <c r="H56" s="77"/>
      <c r="I56" s="77"/>
      <c r="J56" s="233"/>
      <c r="K56" s="233"/>
      <c r="L56" s="233"/>
      <c r="M56" s="233"/>
      <c r="N56" s="233"/>
      <c r="O56" s="233"/>
      <c r="P56" s="233"/>
      <c r="Q56" s="233"/>
      <c r="R56" s="233"/>
      <c r="S56" s="233"/>
    </row>
    <row r="57" ht="19.5" customHeight="1">
      <c r="A57" s="319">
        <v>2603926.0</v>
      </c>
      <c r="B57" s="320" t="s">
        <v>482</v>
      </c>
      <c r="C57" s="90" t="s">
        <v>436</v>
      </c>
      <c r="D57" s="148"/>
      <c r="E57" s="239"/>
      <c r="F57" s="239"/>
      <c r="G57" s="148"/>
      <c r="H57" s="94"/>
      <c r="I57" s="94"/>
      <c r="J57" s="239"/>
      <c r="K57" s="239"/>
      <c r="L57" s="239"/>
      <c r="M57" s="239"/>
      <c r="N57" s="239"/>
      <c r="O57" s="239"/>
      <c r="P57" s="239"/>
      <c r="Q57" s="239"/>
      <c r="R57" s="239"/>
      <c r="S57" s="239"/>
    </row>
    <row r="58" ht="19.5" customHeight="1">
      <c r="A58" s="321">
        <v>2604007.0</v>
      </c>
      <c r="B58" s="322" t="s">
        <v>485</v>
      </c>
      <c r="C58" s="78" t="s">
        <v>423</v>
      </c>
      <c r="D58" s="173"/>
      <c r="E58" s="233"/>
      <c r="F58" s="233"/>
      <c r="G58" s="173"/>
      <c r="H58" s="77"/>
      <c r="I58" s="77"/>
      <c r="J58" s="233"/>
      <c r="K58" s="233"/>
      <c r="L58" s="233"/>
      <c r="M58" s="233"/>
      <c r="N58" s="233"/>
      <c r="O58" s="233"/>
      <c r="P58" s="233"/>
      <c r="Q58" s="233"/>
      <c r="R58" s="233"/>
      <c r="S58" s="233"/>
    </row>
    <row r="59" ht="19.5" customHeight="1">
      <c r="A59" s="319">
        <v>2604106.0</v>
      </c>
      <c r="B59" s="320" t="s">
        <v>392</v>
      </c>
      <c r="C59" s="90" t="s">
        <v>431</v>
      </c>
      <c r="D59" s="148"/>
      <c r="E59" s="239"/>
      <c r="F59" s="239"/>
      <c r="G59" s="148"/>
      <c r="H59" s="94"/>
      <c r="I59" s="94"/>
      <c r="J59" s="239"/>
      <c r="K59" s="239"/>
      <c r="L59" s="239"/>
      <c r="M59" s="239"/>
      <c r="N59" s="239"/>
      <c r="O59" s="239"/>
      <c r="P59" s="239"/>
      <c r="Q59" s="239"/>
      <c r="R59" s="239"/>
      <c r="S59" s="239"/>
    </row>
    <row r="60" ht="19.5" customHeight="1">
      <c r="A60" s="321">
        <v>2604155.0</v>
      </c>
      <c r="B60" s="322" t="s">
        <v>486</v>
      </c>
      <c r="C60" s="78" t="s">
        <v>434</v>
      </c>
      <c r="D60" s="173"/>
      <c r="E60" s="233"/>
      <c r="F60" s="233"/>
      <c r="G60" s="173"/>
      <c r="H60" s="77"/>
      <c r="I60" s="77"/>
      <c r="J60" s="233"/>
      <c r="K60" s="233"/>
      <c r="L60" s="233"/>
      <c r="M60" s="233"/>
      <c r="N60" s="233"/>
      <c r="O60" s="233"/>
      <c r="P60" s="233"/>
      <c r="Q60" s="233"/>
      <c r="R60" s="233"/>
      <c r="S60" s="233"/>
    </row>
    <row r="61" ht="19.5" customHeight="1">
      <c r="A61" s="319">
        <v>2604205.0</v>
      </c>
      <c r="B61" s="320" t="s">
        <v>487</v>
      </c>
      <c r="C61" s="90" t="s">
        <v>425</v>
      </c>
      <c r="D61" s="148"/>
      <c r="E61" s="239"/>
      <c r="F61" s="239"/>
      <c r="G61" s="148"/>
      <c r="H61" s="94"/>
      <c r="I61" s="94"/>
      <c r="J61" s="239"/>
      <c r="K61" s="239"/>
      <c r="L61" s="239"/>
      <c r="M61" s="239"/>
      <c r="N61" s="239"/>
      <c r="O61" s="239"/>
      <c r="P61" s="239"/>
      <c r="Q61" s="239"/>
      <c r="R61" s="239"/>
      <c r="S61" s="239"/>
    </row>
    <row r="62" ht="19.5" customHeight="1">
      <c r="A62" s="321">
        <v>2604304.0</v>
      </c>
      <c r="B62" s="322" t="s">
        <v>488</v>
      </c>
      <c r="C62" s="78" t="s">
        <v>435</v>
      </c>
      <c r="D62" s="173"/>
      <c r="E62" s="233"/>
      <c r="F62" s="233"/>
      <c r="G62" s="173"/>
      <c r="H62" s="77"/>
      <c r="I62" s="77"/>
      <c r="J62" s="233"/>
      <c r="K62" s="233"/>
      <c r="L62" s="233"/>
      <c r="M62" s="233"/>
      <c r="N62" s="233"/>
      <c r="O62" s="233"/>
      <c r="P62" s="233"/>
      <c r="Q62" s="233"/>
      <c r="R62" s="233"/>
      <c r="S62" s="233"/>
    </row>
    <row r="63" ht="19.5" customHeight="1">
      <c r="A63" s="319">
        <v>2604403.0</v>
      </c>
      <c r="B63" s="320" t="s">
        <v>489</v>
      </c>
      <c r="C63" s="90" t="s">
        <v>423</v>
      </c>
      <c r="D63" s="148"/>
      <c r="E63" s="239"/>
      <c r="F63" s="239"/>
      <c r="G63" s="148"/>
      <c r="H63" s="94"/>
      <c r="I63" s="94"/>
      <c r="J63" s="239"/>
      <c r="K63" s="239"/>
      <c r="L63" s="239"/>
      <c r="M63" s="239"/>
      <c r="N63" s="239"/>
      <c r="O63" s="239"/>
      <c r="P63" s="239"/>
      <c r="Q63" s="239"/>
      <c r="R63" s="239"/>
      <c r="S63" s="239"/>
    </row>
    <row r="64" ht="19.5" customHeight="1">
      <c r="A64" s="321">
        <v>2604502.0</v>
      </c>
      <c r="B64" s="322" t="s">
        <v>490</v>
      </c>
      <c r="C64" s="78" t="s">
        <v>425</v>
      </c>
      <c r="D64" s="173"/>
      <c r="E64" s="233"/>
      <c r="F64" s="233"/>
      <c r="G64" s="173"/>
      <c r="H64" s="77"/>
      <c r="I64" s="77"/>
      <c r="J64" s="233"/>
      <c r="K64" s="233"/>
      <c r="L64" s="233"/>
      <c r="M64" s="233"/>
      <c r="N64" s="233"/>
      <c r="O64" s="233"/>
      <c r="P64" s="233"/>
      <c r="Q64" s="233"/>
      <c r="R64" s="233"/>
      <c r="S64" s="233"/>
    </row>
    <row r="65" ht="19.5" customHeight="1">
      <c r="A65" s="319">
        <v>2604601.0</v>
      </c>
      <c r="B65" s="320" t="s">
        <v>491</v>
      </c>
      <c r="C65" s="90" t="s">
        <v>423</v>
      </c>
      <c r="D65" s="148"/>
      <c r="E65" s="239"/>
      <c r="F65" s="239"/>
      <c r="G65" s="148"/>
      <c r="H65" s="94"/>
      <c r="I65" s="94"/>
      <c r="J65" s="239"/>
      <c r="K65" s="239"/>
      <c r="L65" s="239"/>
      <c r="M65" s="239"/>
      <c r="N65" s="239"/>
      <c r="O65" s="239"/>
      <c r="P65" s="239"/>
      <c r="Q65" s="239"/>
      <c r="R65" s="239"/>
      <c r="S65" s="239"/>
    </row>
    <row r="66" ht="19.5" customHeight="1">
      <c r="A66" s="321">
        <v>2604700.0</v>
      </c>
      <c r="B66" s="322" t="s">
        <v>492</v>
      </c>
      <c r="C66" s="78" t="s">
        <v>433</v>
      </c>
      <c r="D66" s="173"/>
      <c r="E66" s="233"/>
      <c r="F66" s="233"/>
      <c r="G66" s="173"/>
      <c r="H66" s="77"/>
      <c r="I66" s="77"/>
      <c r="J66" s="233"/>
      <c r="K66" s="233"/>
      <c r="L66" s="233"/>
      <c r="M66" s="233"/>
      <c r="N66" s="233"/>
      <c r="O66" s="233"/>
      <c r="P66" s="233"/>
      <c r="Q66" s="233"/>
      <c r="R66" s="233"/>
      <c r="S66" s="233"/>
    </row>
    <row r="67" ht="19.5" customHeight="1">
      <c r="A67" s="319">
        <v>2604809.0</v>
      </c>
      <c r="B67" s="320" t="s">
        <v>493</v>
      </c>
      <c r="C67" s="90" t="s">
        <v>425</v>
      </c>
      <c r="D67" s="148"/>
      <c r="E67" s="239"/>
      <c r="F67" s="239"/>
      <c r="G67" s="148"/>
      <c r="H67" s="94"/>
      <c r="I67" s="94"/>
      <c r="J67" s="239"/>
      <c r="K67" s="239"/>
      <c r="L67" s="239"/>
      <c r="M67" s="239"/>
      <c r="N67" s="239"/>
      <c r="O67" s="239"/>
      <c r="P67" s="239"/>
      <c r="Q67" s="239"/>
      <c r="R67" s="239"/>
      <c r="S67" s="239"/>
    </row>
    <row r="68" ht="19.5" customHeight="1">
      <c r="A68" s="321">
        <v>2604908.0</v>
      </c>
      <c r="B68" s="322" t="s">
        <v>494</v>
      </c>
      <c r="C68" s="78" t="s">
        <v>434</v>
      </c>
      <c r="D68" s="173"/>
      <c r="E68" s="233"/>
      <c r="F68" s="233"/>
      <c r="G68" s="173"/>
      <c r="H68" s="77"/>
      <c r="I68" s="77"/>
      <c r="J68" s="233"/>
      <c r="K68" s="233"/>
      <c r="L68" s="233"/>
      <c r="M68" s="233"/>
      <c r="N68" s="233"/>
      <c r="O68" s="233"/>
      <c r="P68" s="233"/>
      <c r="Q68" s="233"/>
      <c r="R68" s="233"/>
      <c r="S68" s="233"/>
    </row>
    <row r="69" ht="19.5" customHeight="1">
      <c r="A69" s="319">
        <v>2605004.0</v>
      </c>
      <c r="B69" s="320" t="s">
        <v>495</v>
      </c>
      <c r="C69" s="90" t="s">
        <v>431</v>
      </c>
      <c r="D69" s="148"/>
      <c r="E69" s="239"/>
      <c r="F69" s="239"/>
      <c r="G69" s="148"/>
      <c r="H69" s="94"/>
      <c r="I69" s="94"/>
      <c r="J69" s="239"/>
      <c r="K69" s="239"/>
      <c r="L69" s="239"/>
      <c r="M69" s="239"/>
      <c r="N69" s="239"/>
      <c r="O69" s="239"/>
      <c r="P69" s="239"/>
      <c r="Q69" s="239"/>
      <c r="R69" s="239"/>
      <c r="S69" s="239"/>
    </row>
    <row r="70" ht="19.5" customHeight="1">
      <c r="A70" s="321">
        <v>2605103.0</v>
      </c>
      <c r="B70" s="322" t="s">
        <v>496</v>
      </c>
      <c r="C70" s="78" t="s">
        <v>438</v>
      </c>
      <c r="D70" s="173"/>
      <c r="E70" s="233"/>
      <c r="F70" s="233"/>
      <c r="G70" s="173"/>
      <c r="H70" s="77"/>
      <c r="I70" s="77"/>
      <c r="J70" s="233"/>
      <c r="K70" s="233"/>
      <c r="L70" s="233"/>
      <c r="M70" s="233"/>
      <c r="N70" s="233"/>
      <c r="O70" s="233"/>
      <c r="P70" s="233"/>
      <c r="Q70" s="233"/>
      <c r="R70" s="233"/>
      <c r="S70" s="233"/>
    </row>
    <row r="71" ht="19.5" customHeight="1">
      <c r="A71" s="319">
        <v>2605152.0</v>
      </c>
      <c r="B71" s="320" t="s">
        <v>497</v>
      </c>
      <c r="C71" s="90" t="s">
        <v>440</v>
      </c>
      <c r="D71" s="148"/>
      <c r="E71" s="239"/>
      <c r="F71" s="239"/>
      <c r="G71" s="148"/>
      <c r="H71" s="94"/>
      <c r="I71" s="94"/>
      <c r="J71" s="239"/>
      <c r="K71" s="239"/>
      <c r="L71" s="239"/>
      <c r="M71" s="239"/>
      <c r="N71" s="239"/>
      <c r="O71" s="239"/>
      <c r="P71" s="239"/>
      <c r="Q71" s="239"/>
      <c r="R71" s="239"/>
      <c r="S71" s="239"/>
    </row>
    <row r="72" ht="19.5" customHeight="1">
      <c r="A72" s="321">
        <v>2605202.0</v>
      </c>
      <c r="B72" s="322" t="s">
        <v>386</v>
      </c>
      <c r="C72" s="78" t="s">
        <v>425</v>
      </c>
      <c r="D72" s="173"/>
      <c r="E72" s="233"/>
      <c r="F72" s="233"/>
      <c r="G72" s="173"/>
      <c r="H72" s="77"/>
      <c r="I72" s="77"/>
      <c r="J72" s="233"/>
      <c r="K72" s="233"/>
      <c r="L72" s="233"/>
      <c r="M72" s="233"/>
      <c r="N72" s="233"/>
      <c r="O72" s="233"/>
      <c r="P72" s="233"/>
      <c r="Q72" s="233"/>
      <c r="R72" s="233"/>
      <c r="S72" s="233"/>
    </row>
    <row r="73" ht="19.5" customHeight="1">
      <c r="A73" s="319">
        <v>2605301.0</v>
      </c>
      <c r="B73" s="320" t="s">
        <v>498</v>
      </c>
      <c r="C73" s="90" t="s">
        <v>437</v>
      </c>
      <c r="D73" s="148"/>
      <c r="E73" s="239"/>
      <c r="F73" s="239"/>
      <c r="G73" s="148"/>
      <c r="H73" s="94"/>
      <c r="I73" s="94"/>
      <c r="J73" s="239"/>
      <c r="K73" s="239"/>
      <c r="L73" s="239"/>
      <c r="M73" s="239"/>
      <c r="N73" s="239"/>
      <c r="O73" s="239"/>
      <c r="P73" s="239"/>
      <c r="Q73" s="239"/>
      <c r="R73" s="239"/>
      <c r="S73" s="239"/>
    </row>
    <row r="74" ht="19.5" customHeight="1">
      <c r="A74" s="321">
        <v>2605400.0</v>
      </c>
      <c r="B74" s="322" t="s">
        <v>499</v>
      </c>
      <c r="C74" s="78" t="s">
        <v>434</v>
      </c>
      <c r="D74" s="173"/>
      <c r="E74" s="233"/>
      <c r="F74" s="233"/>
      <c r="G74" s="173"/>
      <c r="H74" s="77"/>
      <c r="I74" s="77"/>
      <c r="J74" s="233"/>
      <c r="K74" s="233"/>
      <c r="L74" s="233"/>
      <c r="M74" s="233"/>
      <c r="N74" s="233"/>
      <c r="O74" s="233"/>
      <c r="P74" s="233"/>
      <c r="Q74" s="233"/>
      <c r="R74" s="233"/>
      <c r="S74" s="233"/>
    </row>
    <row r="75" ht="19.5" customHeight="1">
      <c r="A75" s="319">
        <v>2605459.0</v>
      </c>
      <c r="B75" s="320" t="s">
        <v>420</v>
      </c>
      <c r="C75" s="90" t="s">
        <v>419</v>
      </c>
      <c r="D75" s="148"/>
      <c r="E75" s="239"/>
      <c r="F75" s="239"/>
      <c r="G75" s="148"/>
      <c r="H75" s="94"/>
      <c r="I75" s="94"/>
      <c r="J75" s="239"/>
      <c r="K75" s="239"/>
      <c r="L75" s="239"/>
      <c r="M75" s="239"/>
      <c r="N75" s="239"/>
      <c r="O75" s="239"/>
      <c r="P75" s="239"/>
      <c r="Q75" s="239"/>
      <c r="R75" s="239"/>
      <c r="S75" s="239"/>
    </row>
    <row r="76" ht="19.5" customHeight="1">
      <c r="A76" s="321">
        <v>2605509.0</v>
      </c>
      <c r="B76" s="322" t="s">
        <v>500</v>
      </c>
      <c r="C76" s="78" t="s">
        <v>423</v>
      </c>
      <c r="D76" s="173"/>
      <c r="E76" s="233"/>
      <c r="F76" s="233"/>
      <c r="G76" s="173"/>
      <c r="H76" s="77"/>
      <c r="I76" s="77"/>
      <c r="J76" s="233"/>
      <c r="K76" s="233"/>
      <c r="L76" s="233"/>
      <c r="M76" s="233"/>
      <c r="N76" s="233"/>
      <c r="O76" s="233"/>
      <c r="P76" s="233"/>
      <c r="Q76" s="233"/>
      <c r="R76" s="233"/>
      <c r="S76" s="233"/>
    </row>
    <row r="77" ht="19.5" customHeight="1">
      <c r="A77" s="319">
        <v>2605608.0</v>
      </c>
      <c r="B77" s="320" t="s">
        <v>501</v>
      </c>
      <c r="C77" s="90" t="s">
        <v>439</v>
      </c>
      <c r="D77" s="148"/>
      <c r="E77" s="239"/>
      <c r="F77" s="239"/>
      <c r="G77" s="148"/>
      <c r="H77" s="94"/>
      <c r="I77" s="94"/>
      <c r="J77" s="239"/>
      <c r="K77" s="239"/>
      <c r="L77" s="239"/>
      <c r="M77" s="239"/>
      <c r="N77" s="239"/>
      <c r="O77" s="239"/>
      <c r="P77" s="239"/>
      <c r="Q77" s="239"/>
      <c r="R77" s="239"/>
      <c r="S77" s="239"/>
    </row>
    <row r="78" ht="19.5" customHeight="1">
      <c r="A78" s="321">
        <v>2605707.0</v>
      </c>
      <c r="B78" s="322" t="s">
        <v>502</v>
      </c>
      <c r="C78" s="78" t="s">
        <v>436</v>
      </c>
      <c r="D78" s="173"/>
      <c r="E78" s="233"/>
      <c r="F78" s="233"/>
      <c r="G78" s="173"/>
      <c r="H78" s="77"/>
      <c r="I78" s="77"/>
      <c r="J78" s="233"/>
      <c r="K78" s="233"/>
      <c r="L78" s="233"/>
      <c r="M78" s="233"/>
      <c r="N78" s="233"/>
      <c r="O78" s="233"/>
      <c r="P78" s="233"/>
      <c r="Q78" s="233"/>
      <c r="R78" s="233"/>
      <c r="S78" s="233"/>
    </row>
    <row r="79" ht="19.5" customHeight="1">
      <c r="A79" s="319">
        <v>2605806.0</v>
      </c>
      <c r="B79" s="320" t="s">
        <v>503</v>
      </c>
      <c r="C79" s="90" t="s">
        <v>434</v>
      </c>
      <c r="D79" s="148"/>
      <c r="E79" s="239"/>
      <c r="F79" s="239"/>
      <c r="G79" s="148"/>
      <c r="H79" s="94"/>
      <c r="I79" s="94"/>
      <c r="J79" s="239"/>
      <c r="K79" s="239"/>
      <c r="L79" s="239"/>
      <c r="M79" s="239"/>
      <c r="N79" s="239"/>
      <c r="O79" s="239"/>
      <c r="P79" s="239"/>
      <c r="Q79" s="239"/>
      <c r="R79" s="239"/>
      <c r="S79" s="239"/>
    </row>
    <row r="80" ht="19.5" customHeight="1">
      <c r="A80" s="321">
        <v>2605905.0</v>
      </c>
      <c r="B80" s="322" t="s">
        <v>504</v>
      </c>
      <c r="C80" s="78" t="s">
        <v>425</v>
      </c>
      <c r="D80" s="173"/>
      <c r="E80" s="233"/>
      <c r="F80" s="233"/>
      <c r="G80" s="173"/>
      <c r="H80" s="77"/>
      <c r="I80" s="77"/>
      <c r="J80" s="233"/>
      <c r="K80" s="233"/>
      <c r="L80" s="233"/>
      <c r="M80" s="233"/>
      <c r="N80" s="233"/>
      <c r="O80" s="233"/>
      <c r="P80" s="233"/>
      <c r="Q80" s="233"/>
      <c r="R80" s="233"/>
      <c r="S80" s="233"/>
    </row>
    <row r="81" ht="19.5" customHeight="1">
      <c r="A81" s="319">
        <v>2606002.0</v>
      </c>
      <c r="B81" s="320" t="s">
        <v>144</v>
      </c>
      <c r="C81" s="90" t="s">
        <v>433</v>
      </c>
      <c r="D81" s="148"/>
      <c r="E81" s="239"/>
      <c r="F81" s="239"/>
      <c r="G81" s="148"/>
      <c r="H81" s="94"/>
      <c r="I81" s="94"/>
      <c r="J81" s="239"/>
      <c r="K81" s="239"/>
      <c r="L81" s="239"/>
      <c r="M81" s="239"/>
      <c r="N81" s="239"/>
      <c r="O81" s="239"/>
      <c r="P81" s="239"/>
      <c r="Q81" s="239"/>
      <c r="R81" s="239"/>
      <c r="S81" s="239"/>
    </row>
    <row r="82" ht="19.5" customHeight="1">
      <c r="A82" s="321">
        <v>2606101.0</v>
      </c>
      <c r="B82" s="322" t="s">
        <v>505</v>
      </c>
      <c r="C82" s="78" t="s">
        <v>423</v>
      </c>
      <c r="D82" s="173"/>
      <c r="E82" s="233"/>
      <c r="F82" s="233"/>
      <c r="G82" s="173"/>
      <c r="H82" s="77"/>
      <c r="I82" s="77"/>
      <c r="J82" s="233"/>
      <c r="K82" s="233"/>
      <c r="L82" s="233"/>
      <c r="M82" s="233"/>
      <c r="N82" s="233"/>
      <c r="O82" s="233"/>
      <c r="P82" s="233"/>
      <c r="Q82" s="233"/>
      <c r="R82" s="233"/>
      <c r="S82" s="233"/>
    </row>
    <row r="83" ht="19.5" customHeight="1">
      <c r="A83" s="319">
        <v>2606200.0</v>
      </c>
      <c r="B83" s="320" t="s">
        <v>389</v>
      </c>
      <c r="C83" s="90" t="s">
        <v>423</v>
      </c>
      <c r="D83" s="148"/>
      <c r="E83" s="239"/>
      <c r="F83" s="239"/>
      <c r="G83" s="148"/>
      <c r="H83" s="94"/>
      <c r="I83" s="94"/>
      <c r="J83" s="239"/>
      <c r="K83" s="239"/>
      <c r="L83" s="239"/>
      <c r="M83" s="239"/>
      <c r="N83" s="239"/>
      <c r="O83" s="239"/>
      <c r="P83" s="239"/>
      <c r="Q83" s="239"/>
      <c r="R83" s="239"/>
      <c r="S83" s="239"/>
    </row>
    <row r="84" ht="19.5" customHeight="1">
      <c r="A84" s="321">
        <v>2606309.0</v>
      </c>
      <c r="B84" s="322" t="s">
        <v>506</v>
      </c>
      <c r="C84" s="78" t="s">
        <v>437</v>
      </c>
      <c r="D84" s="173"/>
      <c r="E84" s="233"/>
      <c r="F84" s="233"/>
      <c r="G84" s="173"/>
      <c r="H84" s="77"/>
      <c r="I84" s="77"/>
      <c r="J84" s="233"/>
      <c r="K84" s="233"/>
      <c r="L84" s="233"/>
      <c r="M84" s="233"/>
      <c r="N84" s="233"/>
      <c r="O84" s="233"/>
      <c r="P84" s="233"/>
      <c r="Q84" s="233"/>
      <c r="R84" s="233"/>
      <c r="S84" s="233"/>
    </row>
    <row r="85" ht="19.5" customHeight="1">
      <c r="A85" s="319">
        <v>2606408.0</v>
      </c>
      <c r="B85" s="320" t="s">
        <v>507</v>
      </c>
      <c r="C85" s="90" t="s">
        <v>431</v>
      </c>
      <c r="D85" s="148"/>
      <c r="E85" s="239"/>
      <c r="F85" s="239"/>
      <c r="G85" s="148"/>
      <c r="H85" s="94"/>
      <c r="I85" s="94"/>
      <c r="J85" s="239"/>
      <c r="K85" s="239"/>
      <c r="L85" s="239"/>
      <c r="M85" s="239"/>
      <c r="N85" s="239"/>
      <c r="O85" s="239"/>
      <c r="P85" s="239"/>
      <c r="Q85" s="239"/>
      <c r="R85" s="239"/>
      <c r="S85" s="239"/>
    </row>
    <row r="86" ht="19.5" customHeight="1">
      <c r="A86" s="321">
        <v>2606507.0</v>
      </c>
      <c r="B86" s="322" t="s">
        <v>508</v>
      </c>
      <c r="C86" s="78" t="s">
        <v>433</v>
      </c>
      <c r="D86" s="173"/>
      <c r="E86" s="233"/>
      <c r="F86" s="233"/>
      <c r="G86" s="173"/>
      <c r="H86" s="77"/>
      <c r="I86" s="77"/>
      <c r="J86" s="233"/>
      <c r="K86" s="233"/>
      <c r="L86" s="233"/>
      <c r="M86" s="233"/>
      <c r="N86" s="233"/>
      <c r="O86" s="233"/>
      <c r="P86" s="233"/>
      <c r="Q86" s="233"/>
      <c r="R86" s="233"/>
      <c r="S86" s="233"/>
    </row>
    <row r="87" ht="19.5" customHeight="1">
      <c r="A87" s="319">
        <v>2606606.0</v>
      </c>
      <c r="B87" s="320" t="s">
        <v>509</v>
      </c>
      <c r="C87" s="90" t="s">
        <v>438</v>
      </c>
      <c r="D87" s="148"/>
      <c r="E87" s="239"/>
      <c r="F87" s="239"/>
      <c r="G87" s="148"/>
      <c r="H87" s="94"/>
      <c r="I87" s="94"/>
      <c r="J87" s="239"/>
      <c r="K87" s="239"/>
      <c r="L87" s="239"/>
      <c r="M87" s="239"/>
      <c r="N87" s="239"/>
      <c r="O87" s="239"/>
      <c r="P87" s="239"/>
      <c r="Q87" s="239"/>
      <c r="R87" s="239"/>
      <c r="S87" s="239"/>
    </row>
    <row r="88" ht="19.5" customHeight="1">
      <c r="A88" s="321">
        <v>2606705.0</v>
      </c>
      <c r="B88" s="322" t="s">
        <v>510</v>
      </c>
      <c r="C88" s="78" t="s">
        <v>431</v>
      </c>
      <c r="D88" s="173"/>
      <c r="E88" s="233"/>
      <c r="F88" s="233"/>
      <c r="G88" s="173"/>
      <c r="H88" s="77"/>
      <c r="I88" s="77"/>
      <c r="J88" s="233"/>
      <c r="K88" s="233"/>
      <c r="L88" s="233"/>
      <c r="M88" s="233"/>
      <c r="N88" s="233"/>
      <c r="O88" s="233"/>
      <c r="P88" s="233"/>
      <c r="Q88" s="233"/>
      <c r="R88" s="233"/>
      <c r="S88" s="233"/>
    </row>
    <row r="89" ht="19.5" customHeight="1">
      <c r="A89" s="319">
        <v>2606804.0</v>
      </c>
      <c r="B89" s="320" t="s">
        <v>511</v>
      </c>
      <c r="C89" s="90" t="s">
        <v>419</v>
      </c>
      <c r="D89" s="148"/>
      <c r="E89" s="239"/>
      <c r="F89" s="239"/>
      <c r="G89" s="148"/>
      <c r="H89" s="94"/>
      <c r="I89" s="94"/>
      <c r="J89" s="239"/>
      <c r="K89" s="239"/>
      <c r="L89" s="239"/>
      <c r="M89" s="239"/>
      <c r="N89" s="239"/>
      <c r="O89" s="239"/>
      <c r="P89" s="239"/>
      <c r="Q89" s="239"/>
      <c r="R89" s="239"/>
      <c r="S89" s="239"/>
    </row>
    <row r="90" ht="19.5" customHeight="1">
      <c r="A90" s="321">
        <v>2606903.0</v>
      </c>
      <c r="B90" s="322" t="s">
        <v>512</v>
      </c>
      <c r="C90" s="78" t="s">
        <v>439</v>
      </c>
      <c r="D90" s="173"/>
      <c r="E90" s="233"/>
      <c r="F90" s="233"/>
      <c r="G90" s="173"/>
      <c r="H90" s="77"/>
      <c r="I90" s="77"/>
      <c r="J90" s="233"/>
      <c r="K90" s="233"/>
      <c r="L90" s="233"/>
      <c r="M90" s="233"/>
      <c r="N90" s="233"/>
      <c r="O90" s="233"/>
      <c r="P90" s="233"/>
      <c r="Q90" s="233"/>
      <c r="R90" s="233"/>
      <c r="S90" s="233"/>
    </row>
    <row r="91" ht="19.5" customHeight="1">
      <c r="A91" s="319">
        <v>2607000.0</v>
      </c>
      <c r="B91" s="320" t="s">
        <v>513</v>
      </c>
      <c r="C91" s="90" t="s">
        <v>438</v>
      </c>
      <c r="D91" s="148"/>
      <c r="E91" s="239"/>
      <c r="F91" s="239"/>
      <c r="G91" s="148"/>
      <c r="H91" s="94"/>
      <c r="I91" s="94"/>
      <c r="J91" s="239"/>
      <c r="K91" s="239"/>
      <c r="L91" s="239"/>
      <c r="M91" s="239"/>
      <c r="N91" s="239"/>
      <c r="O91" s="239"/>
      <c r="P91" s="239"/>
      <c r="Q91" s="239"/>
      <c r="R91" s="239"/>
      <c r="S91" s="239"/>
    </row>
    <row r="92" ht="19.5" customHeight="1">
      <c r="A92" s="321">
        <v>2607109.0</v>
      </c>
      <c r="B92" s="322" t="s">
        <v>514</v>
      </c>
      <c r="C92" s="78" t="s">
        <v>439</v>
      </c>
      <c r="D92" s="173"/>
      <c r="E92" s="233"/>
      <c r="F92" s="233"/>
      <c r="G92" s="173"/>
      <c r="H92" s="77"/>
      <c r="I92" s="77"/>
      <c r="J92" s="233"/>
      <c r="K92" s="233"/>
      <c r="L92" s="233"/>
      <c r="M92" s="233"/>
      <c r="N92" s="233"/>
      <c r="O92" s="233"/>
      <c r="P92" s="233"/>
      <c r="Q92" s="233"/>
      <c r="R92" s="233"/>
      <c r="S92" s="233"/>
    </row>
    <row r="93" ht="19.5" customHeight="1">
      <c r="A93" s="319">
        <v>2607208.0</v>
      </c>
      <c r="B93" s="320" t="s">
        <v>515</v>
      </c>
      <c r="C93" s="90" t="s">
        <v>419</v>
      </c>
      <c r="D93" s="148"/>
      <c r="E93" s="239"/>
      <c r="F93" s="239"/>
      <c r="G93" s="148"/>
      <c r="H93" s="94"/>
      <c r="I93" s="94"/>
      <c r="J93" s="239"/>
      <c r="K93" s="239"/>
      <c r="L93" s="239"/>
      <c r="M93" s="239"/>
      <c r="N93" s="239"/>
      <c r="O93" s="239"/>
      <c r="P93" s="239"/>
      <c r="Q93" s="239"/>
      <c r="R93" s="239"/>
      <c r="S93" s="239"/>
    </row>
    <row r="94" ht="19.5" customHeight="1">
      <c r="A94" s="321">
        <v>2607307.0</v>
      </c>
      <c r="B94" s="322" t="s">
        <v>516</v>
      </c>
      <c r="C94" s="78" t="s">
        <v>437</v>
      </c>
      <c r="D94" s="173"/>
      <c r="E94" s="233"/>
      <c r="F94" s="233"/>
      <c r="G94" s="173"/>
      <c r="H94" s="77"/>
      <c r="I94" s="77"/>
      <c r="J94" s="233"/>
      <c r="K94" s="233"/>
      <c r="L94" s="233"/>
      <c r="M94" s="233"/>
      <c r="N94" s="233"/>
      <c r="O94" s="233"/>
      <c r="P94" s="233"/>
      <c r="Q94" s="233"/>
      <c r="R94" s="233"/>
      <c r="S94" s="233"/>
    </row>
    <row r="95" ht="19.5" customHeight="1">
      <c r="A95" s="319">
        <v>2607406.0</v>
      </c>
      <c r="B95" s="320" t="s">
        <v>517</v>
      </c>
      <c r="C95" s="90" t="s">
        <v>436</v>
      </c>
      <c r="D95" s="148"/>
      <c r="E95" s="239"/>
      <c r="F95" s="239"/>
      <c r="G95" s="148"/>
      <c r="H95" s="94"/>
      <c r="I95" s="94"/>
      <c r="J95" s="239"/>
      <c r="K95" s="239"/>
      <c r="L95" s="239"/>
      <c r="M95" s="239"/>
      <c r="N95" s="239"/>
      <c r="O95" s="239"/>
      <c r="P95" s="239"/>
      <c r="Q95" s="239"/>
      <c r="R95" s="239"/>
      <c r="S95" s="239"/>
    </row>
    <row r="96" ht="19.5" customHeight="1">
      <c r="A96" s="321">
        <v>2607505.0</v>
      </c>
      <c r="B96" s="322" t="s">
        <v>518</v>
      </c>
      <c r="C96" s="78" t="s">
        <v>433</v>
      </c>
      <c r="D96" s="173"/>
      <c r="E96" s="233"/>
      <c r="F96" s="233"/>
      <c r="G96" s="173"/>
      <c r="H96" s="77"/>
      <c r="I96" s="77"/>
      <c r="J96" s="233"/>
      <c r="K96" s="233"/>
      <c r="L96" s="233"/>
      <c r="M96" s="233"/>
      <c r="N96" s="233"/>
      <c r="O96" s="233"/>
      <c r="P96" s="233"/>
      <c r="Q96" s="233"/>
      <c r="R96" s="233"/>
      <c r="S96" s="233"/>
    </row>
    <row r="97" ht="19.5" customHeight="1">
      <c r="A97" s="319">
        <v>2607604.0</v>
      </c>
      <c r="B97" s="320" t="s">
        <v>519</v>
      </c>
      <c r="C97" s="90" t="s">
        <v>419</v>
      </c>
      <c r="D97" s="148"/>
      <c r="E97" s="239"/>
      <c r="F97" s="239"/>
      <c r="G97" s="148"/>
      <c r="H97" s="94"/>
      <c r="I97" s="94"/>
      <c r="J97" s="239"/>
      <c r="K97" s="239"/>
      <c r="L97" s="239"/>
      <c r="M97" s="239"/>
      <c r="N97" s="239"/>
      <c r="O97" s="239"/>
      <c r="P97" s="239"/>
      <c r="Q97" s="239"/>
      <c r="R97" s="239"/>
      <c r="S97" s="239"/>
    </row>
    <row r="98" ht="19.5" customHeight="1">
      <c r="A98" s="321">
        <v>2607653.0</v>
      </c>
      <c r="B98" s="322" t="s">
        <v>520</v>
      </c>
      <c r="C98" s="78" t="s">
        <v>423</v>
      </c>
      <c r="D98" s="173"/>
      <c r="E98" s="233"/>
      <c r="F98" s="233"/>
      <c r="G98" s="173"/>
      <c r="H98" s="77"/>
      <c r="I98" s="77"/>
      <c r="J98" s="233"/>
      <c r="K98" s="233"/>
      <c r="L98" s="233"/>
      <c r="M98" s="233"/>
      <c r="N98" s="233"/>
      <c r="O98" s="233"/>
      <c r="P98" s="233"/>
      <c r="Q98" s="233"/>
      <c r="R98" s="233"/>
      <c r="S98" s="233"/>
    </row>
    <row r="99" ht="19.5" customHeight="1">
      <c r="A99" s="319">
        <v>2607703.0</v>
      </c>
      <c r="B99" s="320" t="s">
        <v>521</v>
      </c>
      <c r="C99" s="90" t="s">
        <v>439</v>
      </c>
      <c r="D99" s="148"/>
      <c r="E99" s="239"/>
      <c r="F99" s="239"/>
      <c r="G99" s="148"/>
      <c r="H99" s="94"/>
      <c r="I99" s="94"/>
      <c r="J99" s="239"/>
      <c r="K99" s="239"/>
      <c r="L99" s="239"/>
      <c r="M99" s="239"/>
      <c r="N99" s="239"/>
      <c r="O99" s="239"/>
      <c r="P99" s="239"/>
      <c r="Q99" s="239"/>
      <c r="R99" s="239"/>
      <c r="S99" s="239"/>
    </row>
    <row r="100" ht="19.5" customHeight="1">
      <c r="A100" s="321">
        <v>2607752.0</v>
      </c>
      <c r="B100" s="322" t="s">
        <v>522</v>
      </c>
      <c r="C100" s="78" t="s">
        <v>419</v>
      </c>
      <c r="D100" s="173"/>
      <c r="E100" s="233"/>
      <c r="F100" s="233"/>
      <c r="G100" s="173"/>
      <c r="H100" s="77"/>
      <c r="I100" s="77"/>
      <c r="J100" s="233"/>
      <c r="K100" s="233"/>
      <c r="L100" s="233"/>
      <c r="M100" s="233"/>
      <c r="N100" s="233"/>
      <c r="O100" s="233"/>
      <c r="P100" s="233"/>
      <c r="Q100" s="233"/>
      <c r="R100" s="233"/>
      <c r="S100" s="233"/>
    </row>
    <row r="101" ht="19.5" customHeight="1">
      <c r="A101" s="319">
        <v>2607802.0</v>
      </c>
      <c r="B101" s="320" t="s">
        <v>523</v>
      </c>
      <c r="C101" s="90" t="s">
        <v>423</v>
      </c>
      <c r="D101" s="148"/>
      <c r="E101" s="239"/>
      <c r="F101" s="239"/>
      <c r="G101" s="148"/>
      <c r="H101" s="94"/>
      <c r="I101" s="94"/>
      <c r="J101" s="239"/>
      <c r="K101" s="239"/>
      <c r="L101" s="239"/>
      <c r="M101" s="239"/>
      <c r="N101" s="239"/>
      <c r="O101" s="239"/>
      <c r="P101" s="239"/>
      <c r="Q101" s="239"/>
      <c r="R101" s="239"/>
      <c r="S101" s="239"/>
    </row>
    <row r="102" ht="19.5" customHeight="1">
      <c r="A102" s="321">
        <v>2607901.0</v>
      </c>
      <c r="B102" s="322" t="s">
        <v>421</v>
      </c>
      <c r="C102" s="78" t="s">
        <v>419</v>
      </c>
      <c r="D102" s="173"/>
      <c r="E102" s="233"/>
      <c r="F102" s="233"/>
      <c r="G102" s="173"/>
      <c r="H102" s="77"/>
      <c r="I102" s="77"/>
      <c r="J102" s="233"/>
      <c r="K102" s="233"/>
      <c r="L102" s="233"/>
      <c r="M102" s="233"/>
      <c r="N102" s="233"/>
      <c r="O102" s="233"/>
      <c r="P102" s="233"/>
      <c r="Q102" s="233"/>
      <c r="R102" s="233"/>
      <c r="S102" s="233"/>
    </row>
    <row r="103" ht="19.5" customHeight="1">
      <c r="A103" s="319">
        <v>2607950.0</v>
      </c>
      <c r="B103" s="320" t="s">
        <v>524</v>
      </c>
      <c r="C103" s="90" t="s">
        <v>425</v>
      </c>
      <c r="D103" s="148"/>
      <c r="E103" s="239"/>
      <c r="F103" s="239"/>
      <c r="G103" s="148"/>
      <c r="H103" s="94"/>
      <c r="I103" s="94"/>
      <c r="J103" s="239"/>
      <c r="K103" s="239"/>
      <c r="L103" s="239"/>
      <c r="M103" s="239"/>
      <c r="N103" s="239"/>
      <c r="O103" s="239"/>
      <c r="P103" s="239"/>
      <c r="Q103" s="239"/>
      <c r="R103" s="239"/>
      <c r="S103" s="239"/>
    </row>
    <row r="104" ht="19.5" customHeight="1">
      <c r="A104" s="321">
        <v>2608008.0</v>
      </c>
      <c r="B104" s="322" t="s">
        <v>525</v>
      </c>
      <c r="C104" s="78" t="s">
        <v>431</v>
      </c>
      <c r="D104" s="173"/>
      <c r="E104" s="233"/>
      <c r="F104" s="233"/>
      <c r="G104" s="173"/>
      <c r="H104" s="77"/>
      <c r="I104" s="77"/>
      <c r="J104" s="233"/>
      <c r="K104" s="233"/>
      <c r="L104" s="233"/>
      <c r="M104" s="233"/>
      <c r="N104" s="233"/>
      <c r="O104" s="233"/>
      <c r="P104" s="233"/>
      <c r="Q104" s="233"/>
      <c r="R104" s="233"/>
      <c r="S104" s="233"/>
    </row>
    <row r="105" ht="19.5" customHeight="1">
      <c r="A105" s="319">
        <v>2608057.0</v>
      </c>
      <c r="B105" s="320" t="s">
        <v>526</v>
      </c>
      <c r="C105" s="90" t="s">
        <v>436</v>
      </c>
      <c r="D105" s="148"/>
      <c r="E105" s="239"/>
      <c r="F105" s="239"/>
      <c r="G105" s="148"/>
      <c r="H105" s="94"/>
      <c r="I105" s="94"/>
      <c r="J105" s="239"/>
      <c r="K105" s="239"/>
      <c r="L105" s="239"/>
      <c r="M105" s="239"/>
      <c r="N105" s="239"/>
      <c r="O105" s="239"/>
      <c r="P105" s="239"/>
      <c r="Q105" s="239"/>
      <c r="R105" s="239"/>
      <c r="S105" s="239"/>
    </row>
    <row r="106" ht="19.5" customHeight="1">
      <c r="A106" s="321">
        <v>2608107.0</v>
      </c>
      <c r="B106" s="322" t="s">
        <v>527</v>
      </c>
      <c r="C106" s="78" t="s">
        <v>434</v>
      </c>
      <c r="D106" s="173"/>
      <c r="E106" s="233"/>
      <c r="F106" s="233"/>
      <c r="G106" s="173"/>
      <c r="H106" s="77"/>
      <c r="I106" s="77"/>
      <c r="J106" s="233"/>
      <c r="K106" s="233"/>
      <c r="L106" s="233"/>
      <c r="M106" s="233"/>
      <c r="N106" s="233"/>
      <c r="O106" s="233"/>
      <c r="P106" s="233"/>
      <c r="Q106" s="233"/>
      <c r="R106" s="233"/>
      <c r="S106" s="233"/>
    </row>
    <row r="107" ht="19.5" customHeight="1">
      <c r="A107" s="319">
        <v>2608206.0</v>
      </c>
      <c r="B107" s="320" t="s">
        <v>528</v>
      </c>
      <c r="C107" s="90" t="s">
        <v>425</v>
      </c>
      <c r="D107" s="148"/>
      <c r="E107" s="239"/>
      <c r="F107" s="239"/>
      <c r="G107" s="148"/>
      <c r="H107" s="94"/>
      <c r="I107" s="94"/>
      <c r="J107" s="239"/>
      <c r="K107" s="239"/>
      <c r="L107" s="239"/>
      <c r="M107" s="239"/>
      <c r="N107" s="239"/>
      <c r="O107" s="239"/>
      <c r="P107" s="239"/>
      <c r="Q107" s="239"/>
      <c r="R107" s="239"/>
      <c r="S107" s="239"/>
    </row>
    <row r="108" ht="19.5" customHeight="1">
      <c r="A108" s="321">
        <v>2608255.0</v>
      </c>
      <c r="B108" s="322" t="s">
        <v>529</v>
      </c>
      <c r="C108" s="78" t="s">
        <v>433</v>
      </c>
      <c r="D108" s="173"/>
      <c r="E108" s="233"/>
      <c r="F108" s="233"/>
      <c r="G108" s="173"/>
      <c r="H108" s="77"/>
      <c r="I108" s="77"/>
      <c r="J108" s="233"/>
      <c r="K108" s="233"/>
      <c r="L108" s="233"/>
      <c r="M108" s="233"/>
      <c r="N108" s="233"/>
      <c r="O108" s="233"/>
      <c r="P108" s="233"/>
      <c r="Q108" s="233"/>
      <c r="R108" s="233"/>
      <c r="S108" s="233"/>
    </row>
    <row r="109" ht="19.5" customHeight="1">
      <c r="A109" s="319">
        <v>2608305.0</v>
      </c>
      <c r="B109" s="320" t="s">
        <v>530</v>
      </c>
      <c r="C109" s="90" t="s">
        <v>433</v>
      </c>
      <c r="D109" s="148"/>
      <c r="E109" s="239"/>
      <c r="F109" s="239"/>
      <c r="G109" s="148"/>
      <c r="H109" s="94"/>
      <c r="I109" s="94"/>
      <c r="J109" s="239"/>
      <c r="K109" s="239"/>
      <c r="L109" s="239"/>
      <c r="M109" s="239"/>
      <c r="N109" s="239"/>
      <c r="O109" s="239"/>
      <c r="P109" s="239"/>
      <c r="Q109" s="239"/>
      <c r="R109" s="239"/>
      <c r="S109" s="239"/>
    </row>
    <row r="110" ht="19.5" customHeight="1">
      <c r="A110" s="321">
        <v>2608404.0</v>
      </c>
      <c r="B110" s="322" t="s">
        <v>531</v>
      </c>
      <c r="C110" s="78" t="s">
        <v>433</v>
      </c>
      <c r="D110" s="173"/>
      <c r="E110" s="233"/>
      <c r="F110" s="233"/>
      <c r="G110" s="173"/>
      <c r="H110" s="77"/>
      <c r="I110" s="77"/>
      <c r="J110" s="233"/>
      <c r="K110" s="233"/>
      <c r="L110" s="233"/>
      <c r="M110" s="233"/>
      <c r="N110" s="233"/>
      <c r="O110" s="233"/>
      <c r="P110" s="233"/>
      <c r="Q110" s="233"/>
      <c r="R110" s="233"/>
      <c r="S110" s="233"/>
    </row>
    <row r="111" ht="19.5" customHeight="1">
      <c r="A111" s="319">
        <v>2608453.0</v>
      </c>
      <c r="B111" s="320" t="s">
        <v>532</v>
      </c>
      <c r="C111" s="90" t="s">
        <v>423</v>
      </c>
      <c r="D111" s="148"/>
      <c r="E111" s="239"/>
      <c r="F111" s="239"/>
      <c r="G111" s="148"/>
      <c r="H111" s="94"/>
      <c r="I111" s="94"/>
      <c r="J111" s="239"/>
      <c r="K111" s="239"/>
      <c r="L111" s="239"/>
      <c r="M111" s="239"/>
      <c r="N111" s="239"/>
      <c r="O111" s="239"/>
      <c r="P111" s="239"/>
      <c r="Q111" s="239"/>
      <c r="R111" s="239"/>
      <c r="S111" s="239"/>
    </row>
    <row r="112" ht="19.5" customHeight="1">
      <c r="A112" s="321">
        <v>2608503.0</v>
      </c>
      <c r="B112" s="322" t="s">
        <v>533</v>
      </c>
      <c r="C112" s="78" t="s">
        <v>423</v>
      </c>
      <c r="D112" s="173"/>
      <c r="E112" s="233"/>
      <c r="F112" s="233"/>
      <c r="G112" s="173"/>
      <c r="H112" s="77"/>
      <c r="I112" s="77"/>
      <c r="J112" s="233"/>
      <c r="K112" s="233"/>
      <c r="L112" s="233"/>
      <c r="M112" s="233"/>
      <c r="N112" s="233"/>
      <c r="O112" s="233"/>
      <c r="P112" s="233"/>
      <c r="Q112" s="233"/>
      <c r="R112" s="233"/>
      <c r="S112" s="233"/>
    </row>
    <row r="113" ht="19.5" customHeight="1">
      <c r="A113" s="319">
        <v>2608602.0</v>
      </c>
      <c r="B113" s="320" t="s">
        <v>534</v>
      </c>
      <c r="C113" s="90" t="s">
        <v>433</v>
      </c>
      <c r="D113" s="148"/>
      <c r="E113" s="239"/>
      <c r="F113" s="239"/>
      <c r="G113" s="148"/>
      <c r="H113" s="94"/>
      <c r="I113" s="94"/>
      <c r="J113" s="239"/>
      <c r="K113" s="239"/>
      <c r="L113" s="239"/>
      <c r="M113" s="239"/>
      <c r="N113" s="239"/>
      <c r="O113" s="239"/>
      <c r="P113" s="239"/>
      <c r="Q113" s="239"/>
      <c r="R113" s="239"/>
      <c r="S113" s="239"/>
    </row>
    <row r="114" ht="19.5" customHeight="1">
      <c r="A114" s="321">
        <v>2608701.0</v>
      </c>
      <c r="B114" s="322" t="s">
        <v>535</v>
      </c>
      <c r="C114" s="78" t="s">
        <v>431</v>
      </c>
      <c r="D114" s="173"/>
      <c r="E114" s="233"/>
      <c r="F114" s="233"/>
      <c r="G114" s="173"/>
      <c r="H114" s="77"/>
      <c r="I114" s="77"/>
      <c r="J114" s="233"/>
      <c r="K114" s="233"/>
      <c r="L114" s="233"/>
      <c r="M114" s="233"/>
      <c r="N114" s="233"/>
      <c r="O114" s="233"/>
      <c r="P114" s="233"/>
      <c r="Q114" s="233"/>
      <c r="R114" s="233"/>
      <c r="S114" s="233"/>
    </row>
    <row r="115" ht="19.5" customHeight="1">
      <c r="A115" s="319">
        <v>2608750.0</v>
      </c>
      <c r="B115" s="320" t="s">
        <v>536</v>
      </c>
      <c r="C115" s="90" t="s">
        <v>440</v>
      </c>
      <c r="D115" s="148"/>
      <c r="E115" s="239"/>
      <c r="F115" s="239"/>
      <c r="G115" s="148"/>
      <c r="H115" s="94"/>
      <c r="I115" s="94"/>
      <c r="J115" s="239"/>
      <c r="K115" s="239"/>
      <c r="L115" s="239"/>
      <c r="M115" s="239"/>
      <c r="N115" s="239"/>
      <c r="O115" s="239"/>
      <c r="P115" s="239"/>
      <c r="Q115" s="239"/>
      <c r="R115" s="239"/>
      <c r="S115" s="239"/>
    </row>
    <row r="116" ht="19.5" customHeight="1">
      <c r="A116" s="321">
        <v>2608800.0</v>
      </c>
      <c r="B116" s="322" t="s">
        <v>537</v>
      </c>
      <c r="C116" s="78" t="s">
        <v>433</v>
      </c>
      <c r="D116" s="173"/>
      <c r="E116" s="233"/>
      <c r="F116" s="233"/>
      <c r="G116" s="173"/>
      <c r="H116" s="77"/>
      <c r="I116" s="77"/>
      <c r="J116" s="233"/>
      <c r="K116" s="233"/>
      <c r="L116" s="233"/>
      <c r="M116" s="233"/>
      <c r="N116" s="233"/>
      <c r="O116" s="233"/>
      <c r="P116" s="233"/>
      <c r="Q116" s="233"/>
      <c r="R116" s="233"/>
      <c r="S116" s="233"/>
    </row>
    <row r="117" ht="19.5" customHeight="1">
      <c r="A117" s="319">
        <v>2608909.0</v>
      </c>
      <c r="B117" s="320" t="s">
        <v>378</v>
      </c>
      <c r="C117" s="90" t="s">
        <v>434</v>
      </c>
      <c r="D117" s="148"/>
      <c r="E117" s="239"/>
      <c r="F117" s="239"/>
      <c r="G117" s="148"/>
      <c r="H117" s="94"/>
      <c r="I117" s="94"/>
      <c r="J117" s="239"/>
      <c r="K117" s="239"/>
      <c r="L117" s="239"/>
      <c r="M117" s="239"/>
      <c r="N117" s="239"/>
      <c r="O117" s="239"/>
      <c r="P117" s="239"/>
      <c r="Q117" s="239"/>
      <c r="R117" s="239"/>
      <c r="S117" s="239"/>
    </row>
    <row r="118" ht="19.5" customHeight="1">
      <c r="A118" s="321">
        <v>2609006.0</v>
      </c>
      <c r="B118" s="322" t="s">
        <v>538</v>
      </c>
      <c r="C118" s="78" t="s">
        <v>423</v>
      </c>
      <c r="D118" s="173"/>
      <c r="E118" s="233"/>
      <c r="F118" s="233"/>
      <c r="G118" s="173"/>
      <c r="H118" s="77"/>
      <c r="I118" s="77"/>
      <c r="J118" s="233"/>
      <c r="K118" s="233"/>
      <c r="L118" s="233"/>
      <c r="M118" s="233"/>
      <c r="N118" s="233"/>
      <c r="O118" s="233"/>
      <c r="P118" s="233"/>
      <c r="Q118" s="233"/>
      <c r="R118" s="233"/>
      <c r="S118" s="233"/>
    </row>
    <row r="119" ht="19.5" customHeight="1">
      <c r="A119" s="319">
        <v>2609105.0</v>
      </c>
      <c r="B119" s="320" t="s">
        <v>539</v>
      </c>
      <c r="C119" s="90" t="s">
        <v>434</v>
      </c>
      <c r="D119" s="148"/>
      <c r="E119" s="239"/>
      <c r="F119" s="239"/>
      <c r="G119" s="148"/>
      <c r="H119" s="94"/>
      <c r="I119" s="94"/>
      <c r="J119" s="239"/>
      <c r="K119" s="239"/>
      <c r="L119" s="239"/>
      <c r="M119" s="239"/>
      <c r="N119" s="239"/>
      <c r="O119" s="239"/>
      <c r="P119" s="239"/>
      <c r="Q119" s="239"/>
      <c r="R119" s="239"/>
      <c r="S119" s="239"/>
    </row>
    <row r="120" ht="19.5" customHeight="1">
      <c r="A120" s="321">
        <v>2609154.0</v>
      </c>
      <c r="B120" s="322" t="s">
        <v>540</v>
      </c>
      <c r="C120" s="78" t="s">
        <v>438</v>
      </c>
      <c r="D120" s="173"/>
      <c r="E120" s="233"/>
      <c r="F120" s="233"/>
      <c r="G120" s="173"/>
      <c r="H120" s="77"/>
      <c r="I120" s="77"/>
      <c r="J120" s="233"/>
      <c r="K120" s="233"/>
      <c r="L120" s="233"/>
      <c r="M120" s="233"/>
      <c r="N120" s="233"/>
      <c r="O120" s="233"/>
      <c r="P120" s="233"/>
      <c r="Q120" s="233"/>
      <c r="R120" s="233"/>
      <c r="S120" s="233"/>
    </row>
    <row r="121" ht="19.5" customHeight="1">
      <c r="A121" s="319">
        <v>2609204.0</v>
      </c>
      <c r="B121" s="320" t="s">
        <v>541</v>
      </c>
      <c r="C121" s="90" t="s">
        <v>425</v>
      </c>
      <c r="D121" s="148"/>
      <c r="E121" s="239"/>
      <c r="F121" s="239"/>
      <c r="G121" s="148"/>
      <c r="H121" s="94"/>
      <c r="I121" s="94"/>
      <c r="J121" s="239"/>
      <c r="K121" s="239"/>
      <c r="L121" s="239"/>
      <c r="M121" s="239"/>
      <c r="N121" s="239"/>
      <c r="O121" s="239"/>
      <c r="P121" s="239"/>
      <c r="Q121" s="239"/>
      <c r="R121" s="239"/>
      <c r="S121" s="239"/>
    </row>
    <row r="122" ht="19.5" customHeight="1">
      <c r="A122" s="321">
        <v>2609303.0</v>
      </c>
      <c r="B122" s="322" t="s">
        <v>542</v>
      </c>
      <c r="C122" s="78" t="s">
        <v>435</v>
      </c>
      <c r="D122" s="173"/>
      <c r="E122" s="233"/>
      <c r="F122" s="233"/>
      <c r="G122" s="173"/>
      <c r="H122" s="77"/>
      <c r="I122" s="77"/>
      <c r="J122" s="233"/>
      <c r="K122" s="233"/>
      <c r="L122" s="233"/>
      <c r="M122" s="233"/>
      <c r="N122" s="233"/>
      <c r="O122" s="233"/>
      <c r="P122" s="233"/>
      <c r="Q122" s="233"/>
      <c r="R122" s="233"/>
      <c r="S122" s="233"/>
    </row>
    <row r="123" ht="19.5" customHeight="1">
      <c r="A123" s="319">
        <v>2609402.0</v>
      </c>
      <c r="B123" s="320" t="s">
        <v>353</v>
      </c>
      <c r="C123" s="90" t="s">
        <v>419</v>
      </c>
      <c r="D123" s="148"/>
      <c r="E123" s="239"/>
      <c r="F123" s="239"/>
      <c r="G123" s="148"/>
      <c r="H123" s="94"/>
      <c r="I123" s="94"/>
      <c r="J123" s="239"/>
      <c r="K123" s="239"/>
      <c r="L123" s="239"/>
      <c r="M123" s="239"/>
      <c r="N123" s="239"/>
      <c r="O123" s="239"/>
      <c r="P123" s="239"/>
      <c r="Q123" s="239"/>
      <c r="R123" s="239"/>
      <c r="S123" s="239"/>
    </row>
    <row r="124" ht="19.5" customHeight="1">
      <c r="A124" s="321">
        <v>2609501.0</v>
      </c>
      <c r="B124" s="322" t="s">
        <v>424</v>
      </c>
      <c r="C124" s="78" t="s">
        <v>423</v>
      </c>
      <c r="D124" s="173"/>
      <c r="E124" s="233"/>
      <c r="F124" s="233"/>
      <c r="G124" s="173"/>
      <c r="H124" s="77"/>
      <c r="I124" s="77"/>
      <c r="J124" s="233"/>
      <c r="K124" s="233"/>
      <c r="L124" s="233"/>
      <c r="M124" s="233"/>
      <c r="N124" s="233"/>
      <c r="O124" s="233"/>
      <c r="P124" s="233"/>
      <c r="Q124" s="233"/>
      <c r="R124" s="233"/>
      <c r="S124" s="233"/>
    </row>
    <row r="125" ht="19.5" customHeight="1">
      <c r="A125" s="319">
        <v>2609600.0</v>
      </c>
      <c r="B125" s="320" t="s">
        <v>370</v>
      </c>
      <c r="C125" s="90" t="s">
        <v>419</v>
      </c>
      <c r="D125" s="148"/>
      <c r="E125" s="239"/>
      <c r="F125" s="239"/>
      <c r="G125" s="148"/>
      <c r="H125" s="94"/>
      <c r="I125" s="94"/>
      <c r="J125" s="239"/>
      <c r="K125" s="239"/>
      <c r="L125" s="239"/>
      <c r="M125" s="239"/>
      <c r="N125" s="239"/>
      <c r="O125" s="239"/>
      <c r="P125" s="239"/>
      <c r="Q125" s="239"/>
      <c r="R125" s="239"/>
      <c r="S125" s="239"/>
    </row>
    <row r="126" ht="19.5" customHeight="1">
      <c r="A126" s="321">
        <v>2609709.0</v>
      </c>
      <c r="B126" s="322" t="s">
        <v>543</v>
      </c>
      <c r="C126" s="78" t="s">
        <v>434</v>
      </c>
      <c r="D126" s="173"/>
      <c r="E126" s="233"/>
      <c r="F126" s="233"/>
      <c r="G126" s="173"/>
      <c r="H126" s="77"/>
      <c r="I126" s="77"/>
      <c r="J126" s="233"/>
      <c r="K126" s="233"/>
      <c r="L126" s="233"/>
      <c r="M126" s="233"/>
      <c r="N126" s="233"/>
      <c r="O126" s="233"/>
      <c r="P126" s="233"/>
      <c r="Q126" s="233"/>
      <c r="R126" s="233"/>
      <c r="S126" s="233"/>
    </row>
    <row r="127" ht="19.5" customHeight="1">
      <c r="A127" s="319">
        <v>2609808.0</v>
      </c>
      <c r="B127" s="320" t="s">
        <v>544</v>
      </c>
      <c r="C127" s="90" t="s">
        <v>440</v>
      </c>
      <c r="D127" s="148"/>
      <c r="E127" s="239"/>
      <c r="F127" s="239"/>
      <c r="G127" s="148"/>
      <c r="H127" s="94"/>
      <c r="I127" s="94"/>
      <c r="J127" s="239"/>
      <c r="K127" s="239"/>
      <c r="L127" s="239"/>
      <c r="M127" s="239"/>
      <c r="N127" s="239"/>
      <c r="O127" s="239"/>
      <c r="P127" s="239"/>
      <c r="Q127" s="239"/>
      <c r="R127" s="239"/>
      <c r="S127" s="239"/>
    </row>
    <row r="128" ht="19.5" customHeight="1">
      <c r="A128" s="321">
        <v>2609907.0</v>
      </c>
      <c r="B128" s="322" t="s">
        <v>470</v>
      </c>
      <c r="C128" s="78" t="s">
        <v>437</v>
      </c>
      <c r="D128" s="173"/>
      <c r="E128" s="233"/>
      <c r="F128" s="233"/>
      <c r="G128" s="173"/>
      <c r="H128" s="77"/>
      <c r="I128" s="77"/>
      <c r="J128" s="233"/>
      <c r="K128" s="233"/>
      <c r="L128" s="233"/>
      <c r="M128" s="233"/>
      <c r="N128" s="233"/>
      <c r="O128" s="233"/>
      <c r="P128" s="233"/>
      <c r="Q128" s="233"/>
      <c r="R128" s="233"/>
      <c r="S128" s="233"/>
    </row>
    <row r="129" ht="19.5" customHeight="1">
      <c r="A129" s="319">
        <v>2610004.0</v>
      </c>
      <c r="B129" s="320" t="s">
        <v>383</v>
      </c>
      <c r="C129" s="90" t="s">
        <v>425</v>
      </c>
      <c r="D129" s="148"/>
      <c r="E129" s="239"/>
      <c r="F129" s="239"/>
      <c r="G129" s="148"/>
      <c r="H129" s="94"/>
      <c r="I129" s="94"/>
      <c r="J129" s="239"/>
      <c r="K129" s="239"/>
      <c r="L129" s="239"/>
      <c r="M129" s="239"/>
      <c r="N129" s="239"/>
      <c r="O129" s="239"/>
      <c r="P129" s="239"/>
      <c r="Q129" s="239"/>
      <c r="R129" s="239"/>
      <c r="S129" s="239"/>
    </row>
    <row r="130" ht="19.5" customHeight="1">
      <c r="A130" s="321">
        <v>2610103.0</v>
      </c>
      <c r="B130" s="322" t="s">
        <v>545</v>
      </c>
      <c r="C130" s="78" t="s">
        <v>433</v>
      </c>
      <c r="D130" s="173"/>
      <c r="E130" s="233"/>
      <c r="F130" s="233"/>
      <c r="G130" s="173"/>
      <c r="H130" s="77"/>
      <c r="I130" s="77"/>
      <c r="J130" s="233"/>
      <c r="K130" s="233"/>
      <c r="L130" s="233"/>
      <c r="M130" s="233"/>
      <c r="N130" s="233"/>
      <c r="O130" s="233"/>
      <c r="P130" s="233"/>
      <c r="Q130" s="233"/>
      <c r="R130" s="233"/>
      <c r="S130" s="233"/>
    </row>
    <row r="131" ht="19.5" customHeight="1">
      <c r="A131" s="319">
        <v>2610202.0</v>
      </c>
      <c r="B131" s="320" t="s">
        <v>546</v>
      </c>
      <c r="C131" s="90" t="s">
        <v>431</v>
      </c>
      <c r="D131" s="148"/>
      <c r="E131" s="239"/>
      <c r="F131" s="239"/>
      <c r="G131" s="148"/>
      <c r="H131" s="94"/>
      <c r="I131" s="94"/>
      <c r="J131" s="239"/>
      <c r="K131" s="239"/>
      <c r="L131" s="239"/>
      <c r="M131" s="239"/>
      <c r="N131" s="239"/>
      <c r="O131" s="239"/>
      <c r="P131" s="239"/>
      <c r="Q131" s="239"/>
      <c r="R131" s="239"/>
      <c r="S131" s="239"/>
    </row>
    <row r="132" ht="19.5" customHeight="1">
      <c r="A132" s="321">
        <v>2610301.0</v>
      </c>
      <c r="B132" s="322" t="s">
        <v>547</v>
      </c>
      <c r="C132" s="78" t="s">
        <v>433</v>
      </c>
      <c r="D132" s="173"/>
      <c r="E132" s="233"/>
      <c r="F132" s="233"/>
      <c r="G132" s="173"/>
      <c r="H132" s="77"/>
      <c r="I132" s="77"/>
      <c r="J132" s="233"/>
      <c r="K132" s="233"/>
      <c r="L132" s="233"/>
      <c r="M132" s="233"/>
      <c r="N132" s="233"/>
      <c r="O132" s="233"/>
      <c r="P132" s="233"/>
      <c r="Q132" s="233"/>
      <c r="R132" s="233"/>
      <c r="S132" s="233"/>
    </row>
    <row r="133" ht="19.5" customHeight="1">
      <c r="A133" s="319">
        <v>2610400.0</v>
      </c>
      <c r="B133" s="320" t="s">
        <v>548</v>
      </c>
      <c r="C133" s="90" t="s">
        <v>435</v>
      </c>
      <c r="D133" s="148"/>
      <c r="E133" s="239"/>
      <c r="F133" s="239"/>
      <c r="G133" s="148"/>
      <c r="H133" s="94"/>
      <c r="I133" s="94"/>
      <c r="J133" s="239"/>
      <c r="K133" s="239"/>
      <c r="L133" s="239"/>
      <c r="M133" s="239"/>
      <c r="N133" s="239"/>
      <c r="O133" s="239"/>
      <c r="P133" s="239"/>
      <c r="Q133" s="239"/>
      <c r="R133" s="239"/>
      <c r="S133" s="239"/>
    </row>
    <row r="134" ht="19.5" customHeight="1">
      <c r="A134" s="321">
        <v>2610509.0</v>
      </c>
      <c r="B134" s="322" t="s">
        <v>549</v>
      </c>
      <c r="C134" s="78" t="s">
        <v>434</v>
      </c>
      <c r="D134" s="173"/>
      <c r="E134" s="233"/>
      <c r="F134" s="233"/>
      <c r="G134" s="173"/>
      <c r="H134" s="77"/>
      <c r="I134" s="77"/>
      <c r="J134" s="233"/>
      <c r="K134" s="233"/>
      <c r="L134" s="233"/>
      <c r="M134" s="233"/>
      <c r="N134" s="233"/>
      <c r="O134" s="233"/>
      <c r="P134" s="233"/>
      <c r="Q134" s="233"/>
      <c r="R134" s="233"/>
      <c r="S134" s="233"/>
    </row>
    <row r="135" ht="19.5" customHeight="1">
      <c r="A135" s="319">
        <v>2610608.0</v>
      </c>
      <c r="B135" s="320" t="s">
        <v>550</v>
      </c>
      <c r="C135" s="90" t="s">
        <v>423</v>
      </c>
      <c r="D135" s="148"/>
      <c r="E135" s="239"/>
      <c r="F135" s="239"/>
      <c r="G135" s="148"/>
      <c r="H135" s="94"/>
      <c r="I135" s="94"/>
      <c r="J135" s="239"/>
      <c r="K135" s="239"/>
      <c r="L135" s="239"/>
      <c r="M135" s="239"/>
      <c r="N135" s="239"/>
      <c r="O135" s="239"/>
      <c r="P135" s="239"/>
      <c r="Q135" s="239"/>
      <c r="R135" s="239"/>
      <c r="S135" s="239"/>
    </row>
    <row r="136" ht="19.5" customHeight="1">
      <c r="A136" s="321">
        <v>2610707.0</v>
      </c>
      <c r="B136" s="322" t="s">
        <v>418</v>
      </c>
      <c r="C136" s="78" t="s">
        <v>419</v>
      </c>
      <c r="D136" s="173"/>
      <c r="E136" s="233"/>
      <c r="F136" s="233"/>
      <c r="G136" s="173"/>
      <c r="H136" s="77"/>
      <c r="I136" s="77"/>
      <c r="J136" s="233"/>
      <c r="K136" s="233"/>
      <c r="L136" s="233"/>
      <c r="M136" s="233"/>
      <c r="N136" s="233"/>
      <c r="O136" s="233"/>
      <c r="P136" s="233"/>
      <c r="Q136" s="233"/>
      <c r="R136" s="233"/>
      <c r="S136" s="233"/>
    </row>
    <row r="137" ht="19.5" customHeight="1">
      <c r="A137" s="319">
        <v>2610806.0</v>
      </c>
      <c r="B137" s="320" t="s">
        <v>551</v>
      </c>
      <c r="C137" s="90" t="s">
        <v>433</v>
      </c>
      <c r="D137" s="148"/>
      <c r="E137" s="239"/>
      <c r="F137" s="239"/>
      <c r="G137" s="148"/>
      <c r="H137" s="94"/>
      <c r="I137" s="94"/>
      <c r="J137" s="239"/>
      <c r="K137" s="239"/>
      <c r="L137" s="239"/>
      <c r="M137" s="239"/>
      <c r="N137" s="239"/>
      <c r="O137" s="239"/>
      <c r="P137" s="239"/>
      <c r="Q137" s="239"/>
      <c r="R137" s="239"/>
      <c r="S137" s="239"/>
    </row>
    <row r="138" ht="19.5" customHeight="1">
      <c r="A138" s="321">
        <v>2610905.0</v>
      </c>
      <c r="B138" s="322" t="s">
        <v>397</v>
      </c>
      <c r="C138" s="78" t="s">
        <v>431</v>
      </c>
      <c r="D138" s="173"/>
      <c r="E138" s="233"/>
      <c r="F138" s="233"/>
      <c r="G138" s="173"/>
      <c r="H138" s="77"/>
      <c r="I138" s="77"/>
      <c r="J138" s="233"/>
      <c r="K138" s="233"/>
      <c r="L138" s="233"/>
      <c r="M138" s="233"/>
      <c r="N138" s="233"/>
      <c r="O138" s="233"/>
      <c r="P138" s="233"/>
      <c r="Q138" s="233"/>
      <c r="R138" s="233"/>
      <c r="S138" s="233"/>
    </row>
    <row r="139" ht="19.5" customHeight="1">
      <c r="A139" s="319">
        <v>2611002.0</v>
      </c>
      <c r="B139" s="320" t="s">
        <v>403</v>
      </c>
      <c r="C139" s="90" t="s">
        <v>436</v>
      </c>
      <c r="D139" s="148"/>
      <c r="E139" s="239"/>
      <c r="F139" s="239"/>
      <c r="G139" s="148"/>
      <c r="H139" s="94"/>
      <c r="I139" s="94"/>
      <c r="J139" s="239"/>
      <c r="K139" s="239"/>
      <c r="L139" s="239"/>
      <c r="M139" s="239"/>
      <c r="N139" s="239"/>
      <c r="O139" s="239"/>
      <c r="P139" s="239"/>
      <c r="Q139" s="239"/>
      <c r="R139" s="239"/>
      <c r="S139" s="239"/>
    </row>
    <row r="140" ht="19.5" customHeight="1">
      <c r="A140" s="321">
        <v>2611101.0</v>
      </c>
      <c r="B140" s="322" t="s">
        <v>552</v>
      </c>
      <c r="C140" s="78" t="s">
        <v>440</v>
      </c>
      <c r="D140" s="173"/>
      <c r="E140" s="233"/>
      <c r="F140" s="233"/>
      <c r="G140" s="173"/>
      <c r="H140" s="77"/>
      <c r="I140" s="77"/>
      <c r="J140" s="233"/>
      <c r="K140" s="233"/>
      <c r="L140" s="233"/>
      <c r="M140" s="233"/>
      <c r="N140" s="233"/>
      <c r="O140" s="233"/>
      <c r="P140" s="233"/>
      <c r="Q140" s="233"/>
      <c r="R140" s="233"/>
      <c r="S140" s="233"/>
    </row>
    <row r="141" ht="19.5" customHeight="1">
      <c r="A141" s="319">
        <v>2611200.0</v>
      </c>
      <c r="B141" s="320" t="s">
        <v>553</v>
      </c>
      <c r="C141" s="90" t="s">
        <v>431</v>
      </c>
      <c r="D141" s="148"/>
      <c r="E141" s="239"/>
      <c r="F141" s="239"/>
      <c r="G141" s="148"/>
      <c r="H141" s="94"/>
      <c r="I141" s="94"/>
      <c r="J141" s="239"/>
      <c r="K141" s="239"/>
      <c r="L141" s="239"/>
      <c r="M141" s="239"/>
      <c r="N141" s="239"/>
      <c r="O141" s="239"/>
      <c r="P141" s="239"/>
      <c r="Q141" s="239"/>
      <c r="R141" s="239"/>
      <c r="S141" s="239"/>
    </row>
    <row r="142" ht="19.5" customHeight="1">
      <c r="A142" s="321">
        <v>2611309.0</v>
      </c>
      <c r="B142" s="322" t="s">
        <v>554</v>
      </c>
      <c r="C142" s="78" t="s">
        <v>431</v>
      </c>
      <c r="D142" s="173"/>
      <c r="E142" s="233"/>
      <c r="F142" s="233"/>
      <c r="G142" s="173"/>
      <c r="H142" s="77"/>
      <c r="I142" s="77"/>
      <c r="J142" s="233"/>
      <c r="K142" s="233"/>
      <c r="L142" s="233"/>
      <c r="M142" s="233"/>
      <c r="N142" s="233"/>
      <c r="O142" s="233"/>
      <c r="P142" s="233"/>
      <c r="Q142" s="233"/>
      <c r="R142" s="233"/>
      <c r="S142" s="233"/>
    </row>
    <row r="143" ht="19.5" customHeight="1">
      <c r="A143" s="319">
        <v>2611408.0</v>
      </c>
      <c r="B143" s="320" t="s">
        <v>555</v>
      </c>
      <c r="C143" s="90" t="s">
        <v>425</v>
      </c>
      <c r="D143" s="148"/>
      <c r="E143" s="239"/>
      <c r="F143" s="239"/>
      <c r="G143" s="148"/>
      <c r="H143" s="94"/>
      <c r="I143" s="94"/>
      <c r="J143" s="239"/>
      <c r="K143" s="239"/>
      <c r="L143" s="239"/>
      <c r="M143" s="239"/>
      <c r="N143" s="239"/>
      <c r="O143" s="239"/>
      <c r="P143" s="239"/>
      <c r="Q143" s="239"/>
      <c r="R143" s="239"/>
      <c r="S143" s="239"/>
    </row>
    <row r="144" ht="19.5" customHeight="1">
      <c r="A144" s="321">
        <v>2611507.0</v>
      </c>
      <c r="B144" s="322" t="s">
        <v>556</v>
      </c>
      <c r="C144" s="78" t="s">
        <v>425</v>
      </c>
      <c r="D144" s="173"/>
      <c r="E144" s="233"/>
      <c r="F144" s="233"/>
      <c r="G144" s="173"/>
      <c r="H144" s="77"/>
      <c r="I144" s="77"/>
      <c r="J144" s="233"/>
      <c r="K144" s="233"/>
      <c r="L144" s="233"/>
      <c r="M144" s="233"/>
      <c r="N144" s="233"/>
      <c r="O144" s="233"/>
      <c r="P144" s="233"/>
      <c r="Q144" s="233"/>
      <c r="R144" s="233"/>
      <c r="S144" s="233"/>
    </row>
    <row r="145" ht="19.5" customHeight="1">
      <c r="A145" s="319">
        <v>2611533.0</v>
      </c>
      <c r="B145" s="320" t="s">
        <v>557</v>
      </c>
      <c r="C145" s="90" t="s">
        <v>439</v>
      </c>
      <c r="D145" s="148"/>
      <c r="E145" s="239"/>
      <c r="F145" s="239"/>
      <c r="G145" s="148"/>
      <c r="H145" s="94"/>
      <c r="I145" s="94"/>
      <c r="J145" s="239"/>
      <c r="K145" s="239"/>
      <c r="L145" s="239"/>
      <c r="M145" s="239"/>
      <c r="N145" s="239"/>
      <c r="O145" s="239"/>
      <c r="P145" s="239"/>
      <c r="Q145" s="239"/>
      <c r="R145" s="239"/>
      <c r="S145" s="239"/>
    </row>
    <row r="146" ht="19.5" customHeight="1">
      <c r="A146" s="321">
        <v>2611606.0</v>
      </c>
      <c r="B146" s="322" t="s">
        <v>356</v>
      </c>
      <c r="C146" s="78" t="s">
        <v>419</v>
      </c>
      <c r="D146" s="173"/>
      <c r="E146" s="233"/>
      <c r="F146" s="233"/>
      <c r="G146" s="173"/>
      <c r="H146" s="77"/>
      <c r="I146" s="77"/>
      <c r="J146" s="233"/>
      <c r="K146" s="233"/>
      <c r="L146" s="233"/>
      <c r="M146" s="233"/>
      <c r="N146" s="233"/>
      <c r="O146" s="233"/>
      <c r="P146" s="233"/>
      <c r="Q146" s="233"/>
      <c r="R146" s="233"/>
      <c r="S146" s="233"/>
    </row>
    <row r="147" ht="19.5" customHeight="1">
      <c r="A147" s="319">
        <v>2611705.0</v>
      </c>
      <c r="B147" s="320" t="s">
        <v>558</v>
      </c>
      <c r="C147" s="90" t="s">
        <v>431</v>
      </c>
      <c r="D147" s="148"/>
      <c r="E147" s="239"/>
      <c r="F147" s="239"/>
      <c r="G147" s="148"/>
      <c r="H147" s="94"/>
      <c r="I147" s="94"/>
      <c r="J147" s="239"/>
      <c r="K147" s="239"/>
      <c r="L147" s="239"/>
      <c r="M147" s="239"/>
      <c r="N147" s="239"/>
      <c r="O147" s="239"/>
      <c r="P147" s="239"/>
      <c r="Q147" s="239"/>
      <c r="R147" s="239"/>
      <c r="S147" s="239"/>
    </row>
    <row r="148" ht="19.5" customHeight="1">
      <c r="A148" s="321">
        <v>2611804.0</v>
      </c>
      <c r="B148" s="322" t="s">
        <v>559</v>
      </c>
      <c r="C148" s="78" t="s">
        <v>425</v>
      </c>
      <c r="D148" s="173"/>
      <c r="E148" s="233"/>
      <c r="F148" s="233"/>
      <c r="G148" s="173"/>
      <c r="H148" s="77"/>
      <c r="I148" s="77"/>
      <c r="J148" s="233"/>
      <c r="K148" s="233"/>
      <c r="L148" s="233"/>
      <c r="M148" s="233"/>
      <c r="N148" s="233"/>
      <c r="O148" s="233"/>
      <c r="P148" s="233"/>
      <c r="Q148" s="233"/>
      <c r="R148" s="233"/>
      <c r="S148" s="233"/>
    </row>
    <row r="149" ht="19.5" customHeight="1">
      <c r="A149" s="319">
        <v>2611903.0</v>
      </c>
      <c r="B149" s="320" t="s">
        <v>560</v>
      </c>
      <c r="C149" s="90" t="s">
        <v>425</v>
      </c>
      <c r="D149" s="148"/>
      <c r="E149" s="239"/>
      <c r="F149" s="239"/>
      <c r="G149" s="148"/>
      <c r="H149" s="94"/>
      <c r="I149" s="94"/>
      <c r="J149" s="239"/>
      <c r="K149" s="239"/>
      <c r="L149" s="239"/>
      <c r="M149" s="239"/>
      <c r="N149" s="239"/>
      <c r="O149" s="239"/>
      <c r="P149" s="239"/>
      <c r="Q149" s="239"/>
      <c r="R149" s="239"/>
      <c r="S149" s="239"/>
    </row>
    <row r="150" ht="19.5" customHeight="1">
      <c r="A150" s="321">
        <v>2612000.0</v>
      </c>
      <c r="B150" s="322" t="s">
        <v>561</v>
      </c>
      <c r="C150" s="78" t="s">
        <v>431</v>
      </c>
      <c r="D150" s="173"/>
      <c r="E150" s="233"/>
      <c r="F150" s="233"/>
      <c r="G150" s="173"/>
      <c r="H150" s="77"/>
      <c r="I150" s="77"/>
      <c r="J150" s="233"/>
      <c r="K150" s="233"/>
      <c r="L150" s="233"/>
      <c r="M150" s="233"/>
      <c r="N150" s="233"/>
      <c r="O150" s="233"/>
      <c r="P150" s="233"/>
      <c r="Q150" s="233"/>
      <c r="R150" s="233"/>
      <c r="S150" s="233"/>
    </row>
    <row r="151" ht="19.5" customHeight="1">
      <c r="A151" s="319">
        <v>2612109.0</v>
      </c>
      <c r="B151" s="320" t="s">
        <v>562</v>
      </c>
      <c r="C151" s="90" t="s">
        <v>434</v>
      </c>
      <c r="D151" s="148"/>
      <c r="E151" s="239"/>
      <c r="F151" s="239"/>
      <c r="G151" s="148"/>
      <c r="H151" s="94"/>
      <c r="I151" s="94"/>
      <c r="J151" s="239"/>
      <c r="K151" s="239"/>
      <c r="L151" s="239"/>
      <c r="M151" s="239"/>
      <c r="N151" s="239"/>
      <c r="O151" s="239"/>
      <c r="P151" s="239"/>
      <c r="Q151" s="239"/>
      <c r="R151" s="239"/>
      <c r="S151" s="239"/>
    </row>
    <row r="152" ht="19.5" customHeight="1">
      <c r="A152" s="321">
        <v>2612208.0</v>
      </c>
      <c r="B152" s="322" t="s">
        <v>447</v>
      </c>
      <c r="C152" s="78" t="s">
        <v>435</v>
      </c>
      <c r="D152" s="173"/>
      <c r="E152" s="233"/>
      <c r="F152" s="233"/>
      <c r="G152" s="173"/>
      <c r="H152" s="77"/>
      <c r="I152" s="77"/>
      <c r="J152" s="233"/>
      <c r="K152" s="233"/>
      <c r="L152" s="233"/>
      <c r="M152" s="233"/>
      <c r="N152" s="233"/>
      <c r="O152" s="233"/>
      <c r="P152" s="233"/>
      <c r="Q152" s="233"/>
      <c r="R152" s="233"/>
      <c r="S152" s="233"/>
    </row>
    <row r="153" ht="19.5" customHeight="1">
      <c r="A153" s="319">
        <v>2612307.0</v>
      </c>
      <c r="B153" s="320" t="s">
        <v>563</v>
      </c>
      <c r="C153" s="90" t="s">
        <v>433</v>
      </c>
      <c r="D153" s="148"/>
      <c r="E153" s="239"/>
      <c r="F153" s="239"/>
      <c r="G153" s="148"/>
      <c r="H153" s="94"/>
      <c r="I153" s="94"/>
      <c r="J153" s="239"/>
      <c r="K153" s="239"/>
      <c r="L153" s="239"/>
      <c r="M153" s="239"/>
      <c r="N153" s="239"/>
      <c r="O153" s="239"/>
      <c r="P153" s="239"/>
      <c r="Q153" s="239"/>
      <c r="R153" s="239"/>
      <c r="S153" s="239"/>
    </row>
    <row r="154" ht="19.5" customHeight="1">
      <c r="A154" s="321">
        <v>2612406.0</v>
      </c>
      <c r="B154" s="322" t="s">
        <v>564</v>
      </c>
      <c r="C154" s="78" t="s">
        <v>431</v>
      </c>
      <c r="D154" s="173"/>
      <c r="E154" s="233"/>
      <c r="F154" s="233"/>
      <c r="G154" s="173"/>
      <c r="H154" s="77"/>
      <c r="I154" s="77"/>
      <c r="J154" s="233"/>
      <c r="K154" s="233"/>
      <c r="L154" s="233"/>
      <c r="M154" s="233"/>
      <c r="N154" s="233"/>
      <c r="O154" s="233"/>
      <c r="P154" s="233"/>
      <c r="Q154" s="233"/>
      <c r="R154" s="233"/>
      <c r="S154" s="233"/>
    </row>
    <row r="155" ht="19.5" customHeight="1">
      <c r="A155" s="319">
        <v>2612455.0</v>
      </c>
      <c r="B155" s="320" t="s">
        <v>565</v>
      </c>
      <c r="C155" s="90" t="s">
        <v>437</v>
      </c>
      <c r="D155" s="148"/>
      <c r="E155" s="239"/>
      <c r="F155" s="239"/>
      <c r="G155" s="148"/>
      <c r="H155" s="94"/>
      <c r="I155" s="94"/>
      <c r="J155" s="239"/>
      <c r="K155" s="239"/>
      <c r="L155" s="239"/>
      <c r="M155" s="239"/>
      <c r="N155" s="239"/>
      <c r="O155" s="239"/>
      <c r="P155" s="239"/>
      <c r="Q155" s="239"/>
      <c r="R155" s="239"/>
      <c r="S155" s="239"/>
    </row>
    <row r="156" ht="19.5" customHeight="1">
      <c r="A156" s="321">
        <v>2612471.0</v>
      </c>
      <c r="B156" s="322" t="s">
        <v>566</v>
      </c>
      <c r="C156" s="78" t="s">
        <v>439</v>
      </c>
      <c r="D156" s="173"/>
      <c r="E156" s="233"/>
      <c r="F156" s="233"/>
      <c r="G156" s="173"/>
      <c r="H156" s="77"/>
      <c r="I156" s="77"/>
      <c r="J156" s="233"/>
      <c r="K156" s="233"/>
      <c r="L156" s="233"/>
      <c r="M156" s="233"/>
      <c r="N156" s="233"/>
      <c r="O156" s="233"/>
      <c r="P156" s="233"/>
      <c r="Q156" s="233"/>
      <c r="R156" s="233"/>
      <c r="S156" s="233"/>
    </row>
    <row r="157" ht="19.5" customHeight="1">
      <c r="A157" s="319">
        <v>2612505.0</v>
      </c>
      <c r="B157" s="320" t="s">
        <v>567</v>
      </c>
      <c r="C157" s="90" t="s">
        <v>434</v>
      </c>
      <c r="D157" s="148"/>
      <c r="E157" s="239"/>
      <c r="F157" s="239"/>
      <c r="G157" s="148"/>
      <c r="H157" s="94"/>
      <c r="I157" s="94"/>
      <c r="J157" s="239"/>
      <c r="K157" s="239"/>
      <c r="L157" s="239"/>
      <c r="M157" s="239"/>
      <c r="N157" s="239"/>
      <c r="O157" s="239"/>
      <c r="P157" s="239"/>
      <c r="Q157" s="239"/>
      <c r="R157" s="239"/>
      <c r="S157" s="239"/>
    </row>
    <row r="158" ht="19.5" customHeight="1">
      <c r="A158" s="321">
        <v>2612554.0</v>
      </c>
      <c r="B158" s="322" t="s">
        <v>568</v>
      </c>
      <c r="C158" s="78" t="s">
        <v>437</v>
      </c>
      <c r="D158" s="173"/>
      <c r="E158" s="233"/>
      <c r="F158" s="233"/>
      <c r="G158" s="173"/>
      <c r="H158" s="77"/>
      <c r="I158" s="77"/>
      <c r="J158" s="233"/>
      <c r="K158" s="233"/>
      <c r="L158" s="233"/>
      <c r="M158" s="233"/>
      <c r="N158" s="233"/>
      <c r="O158" s="233"/>
      <c r="P158" s="233"/>
      <c r="Q158" s="233"/>
      <c r="R158" s="233"/>
      <c r="S158" s="233"/>
    </row>
    <row r="159" ht="19.5" customHeight="1">
      <c r="A159" s="319">
        <v>2612604.0</v>
      </c>
      <c r="B159" s="320" t="s">
        <v>569</v>
      </c>
      <c r="C159" s="90" t="s">
        <v>440</v>
      </c>
      <c r="D159" s="148"/>
      <c r="E159" s="239"/>
      <c r="F159" s="239"/>
      <c r="G159" s="148"/>
      <c r="H159" s="94"/>
      <c r="I159" s="94"/>
      <c r="J159" s="239"/>
      <c r="K159" s="239"/>
      <c r="L159" s="239"/>
      <c r="M159" s="239"/>
      <c r="N159" s="239"/>
      <c r="O159" s="239"/>
      <c r="P159" s="239"/>
      <c r="Q159" s="239"/>
      <c r="R159" s="239"/>
      <c r="S159" s="239"/>
    </row>
    <row r="160" ht="19.5" customHeight="1">
      <c r="A160" s="321">
        <v>2612703.0</v>
      </c>
      <c r="B160" s="322" t="s">
        <v>570</v>
      </c>
      <c r="C160" s="78" t="s">
        <v>434</v>
      </c>
      <c r="D160" s="173"/>
      <c r="E160" s="233"/>
      <c r="F160" s="233"/>
      <c r="G160" s="173"/>
      <c r="H160" s="77"/>
      <c r="I160" s="77"/>
      <c r="J160" s="233"/>
      <c r="K160" s="233"/>
      <c r="L160" s="233"/>
      <c r="M160" s="233"/>
      <c r="N160" s="233"/>
      <c r="O160" s="233"/>
      <c r="P160" s="233"/>
      <c r="Q160" s="233"/>
      <c r="R160" s="233"/>
      <c r="S160" s="233"/>
    </row>
    <row r="161" ht="19.5" customHeight="1">
      <c r="A161" s="319">
        <v>2612802.0</v>
      </c>
      <c r="B161" s="320" t="s">
        <v>571</v>
      </c>
      <c r="C161" s="90" t="s">
        <v>439</v>
      </c>
      <c r="D161" s="148"/>
      <c r="E161" s="239"/>
      <c r="F161" s="239"/>
      <c r="G161" s="148"/>
      <c r="H161" s="94"/>
      <c r="I161" s="94"/>
      <c r="J161" s="239"/>
      <c r="K161" s="239"/>
      <c r="L161" s="239"/>
      <c r="M161" s="239"/>
      <c r="N161" s="239"/>
      <c r="O161" s="239"/>
      <c r="P161" s="239"/>
      <c r="Q161" s="239"/>
      <c r="R161" s="239"/>
      <c r="S161" s="239"/>
    </row>
    <row r="162" ht="19.5" customHeight="1">
      <c r="A162" s="321">
        <v>2612901.0</v>
      </c>
      <c r="B162" s="322" t="s">
        <v>572</v>
      </c>
      <c r="C162" s="78" t="s">
        <v>425</v>
      </c>
      <c r="D162" s="173"/>
      <c r="E162" s="233"/>
      <c r="F162" s="233"/>
      <c r="G162" s="173"/>
      <c r="H162" s="77"/>
      <c r="I162" s="77"/>
      <c r="J162" s="233"/>
      <c r="K162" s="233"/>
      <c r="L162" s="233"/>
      <c r="M162" s="233"/>
      <c r="N162" s="233"/>
      <c r="O162" s="233"/>
      <c r="P162" s="233"/>
      <c r="Q162" s="233"/>
      <c r="R162" s="233"/>
      <c r="S162" s="233"/>
    </row>
    <row r="163" ht="19.5" customHeight="1">
      <c r="A163" s="319">
        <v>2613008.0</v>
      </c>
      <c r="B163" s="320" t="s">
        <v>573</v>
      </c>
      <c r="C163" s="90" t="s">
        <v>431</v>
      </c>
      <c r="D163" s="148"/>
      <c r="E163" s="239"/>
      <c r="F163" s="239"/>
      <c r="G163" s="148"/>
      <c r="H163" s="94"/>
      <c r="I163" s="94"/>
      <c r="J163" s="239"/>
      <c r="K163" s="239"/>
      <c r="L163" s="239"/>
      <c r="M163" s="239"/>
      <c r="N163" s="239"/>
      <c r="O163" s="239"/>
      <c r="P163" s="239"/>
      <c r="Q163" s="239"/>
      <c r="R163" s="239"/>
      <c r="S163" s="239"/>
    </row>
    <row r="164" ht="19.5" customHeight="1">
      <c r="A164" s="321">
        <v>2613107.0</v>
      </c>
      <c r="B164" s="322" t="s">
        <v>574</v>
      </c>
      <c r="C164" s="78" t="s">
        <v>431</v>
      </c>
      <c r="D164" s="173"/>
      <c r="E164" s="233"/>
      <c r="F164" s="233"/>
      <c r="G164" s="173"/>
      <c r="H164" s="77"/>
      <c r="I164" s="77"/>
      <c r="J164" s="233"/>
      <c r="K164" s="233"/>
      <c r="L164" s="233"/>
      <c r="M164" s="233"/>
      <c r="N164" s="233"/>
      <c r="O164" s="233"/>
      <c r="P164" s="233"/>
      <c r="Q164" s="233"/>
      <c r="R164" s="233"/>
      <c r="S164" s="233"/>
    </row>
    <row r="165" ht="19.5" customHeight="1">
      <c r="A165" s="319">
        <v>2613206.0</v>
      </c>
      <c r="B165" s="320" t="s">
        <v>575</v>
      </c>
      <c r="C165" s="90" t="s">
        <v>433</v>
      </c>
      <c r="D165" s="148"/>
      <c r="E165" s="239"/>
      <c r="F165" s="239"/>
      <c r="G165" s="148"/>
      <c r="H165" s="94"/>
      <c r="I165" s="94"/>
      <c r="J165" s="239"/>
      <c r="K165" s="239"/>
      <c r="L165" s="239"/>
      <c r="M165" s="239"/>
      <c r="N165" s="239"/>
      <c r="O165" s="239"/>
      <c r="P165" s="239"/>
      <c r="Q165" s="239"/>
      <c r="R165" s="239"/>
      <c r="S165" s="239"/>
    </row>
    <row r="166" ht="19.5" customHeight="1">
      <c r="A166" s="321">
        <v>2613305.0</v>
      </c>
      <c r="B166" s="322" t="s">
        <v>576</v>
      </c>
      <c r="C166" s="78" t="s">
        <v>431</v>
      </c>
      <c r="D166" s="173"/>
      <c r="E166" s="233"/>
      <c r="F166" s="233"/>
      <c r="G166" s="173"/>
      <c r="H166" s="77"/>
      <c r="I166" s="77"/>
      <c r="J166" s="233"/>
      <c r="K166" s="233"/>
      <c r="L166" s="233"/>
      <c r="M166" s="233"/>
      <c r="N166" s="233"/>
      <c r="O166" s="233"/>
      <c r="P166" s="233"/>
      <c r="Q166" s="233"/>
      <c r="R166" s="233"/>
      <c r="S166" s="233"/>
    </row>
    <row r="167" ht="19.5" customHeight="1">
      <c r="A167" s="319">
        <v>2613404.0</v>
      </c>
      <c r="B167" s="320" t="s">
        <v>577</v>
      </c>
      <c r="C167" s="90" t="s">
        <v>425</v>
      </c>
      <c r="D167" s="148"/>
      <c r="E167" s="239"/>
      <c r="F167" s="239"/>
      <c r="G167" s="148"/>
      <c r="H167" s="94"/>
      <c r="I167" s="94"/>
      <c r="J167" s="239"/>
      <c r="K167" s="239"/>
      <c r="L167" s="239"/>
      <c r="M167" s="239"/>
      <c r="N167" s="239"/>
      <c r="O167" s="239"/>
      <c r="P167" s="239"/>
      <c r="Q167" s="239"/>
      <c r="R167" s="239"/>
      <c r="S167" s="239"/>
    </row>
    <row r="168" ht="19.5" customHeight="1">
      <c r="A168" s="321">
        <v>2613503.0</v>
      </c>
      <c r="B168" s="322" t="s">
        <v>578</v>
      </c>
      <c r="C168" s="78" t="s">
        <v>435</v>
      </c>
      <c r="D168" s="173"/>
      <c r="E168" s="233"/>
      <c r="F168" s="233"/>
      <c r="G168" s="173"/>
      <c r="H168" s="77"/>
      <c r="I168" s="77"/>
      <c r="J168" s="233"/>
      <c r="K168" s="233"/>
      <c r="L168" s="233"/>
      <c r="M168" s="233"/>
      <c r="N168" s="233"/>
      <c r="O168" s="233"/>
      <c r="P168" s="233"/>
      <c r="Q168" s="233"/>
      <c r="R168" s="233"/>
      <c r="S168" s="233"/>
    </row>
    <row r="169" ht="19.5" customHeight="1">
      <c r="A169" s="319">
        <v>2613602.0</v>
      </c>
      <c r="B169" s="320" t="s">
        <v>579</v>
      </c>
      <c r="C169" s="90" t="s">
        <v>439</v>
      </c>
      <c r="D169" s="148"/>
      <c r="E169" s="239"/>
      <c r="F169" s="239"/>
      <c r="G169" s="148"/>
      <c r="H169" s="94"/>
      <c r="I169" s="94"/>
      <c r="J169" s="239"/>
      <c r="K169" s="239"/>
      <c r="L169" s="239"/>
      <c r="M169" s="239"/>
      <c r="N169" s="239"/>
      <c r="O169" s="239"/>
      <c r="P169" s="239"/>
      <c r="Q169" s="239"/>
      <c r="R169" s="239"/>
      <c r="S169" s="239"/>
    </row>
    <row r="170" ht="19.5" customHeight="1">
      <c r="A170" s="321">
        <v>2613701.0</v>
      </c>
      <c r="B170" s="322" t="s">
        <v>580</v>
      </c>
      <c r="C170" s="78" t="s">
        <v>419</v>
      </c>
      <c r="D170" s="173"/>
      <c r="E170" s="233"/>
      <c r="F170" s="233"/>
      <c r="G170" s="173"/>
      <c r="H170" s="77"/>
      <c r="I170" s="77"/>
      <c r="J170" s="233"/>
      <c r="K170" s="233"/>
      <c r="L170" s="233"/>
      <c r="M170" s="233"/>
      <c r="N170" s="233"/>
      <c r="O170" s="233"/>
      <c r="P170" s="233"/>
      <c r="Q170" s="233"/>
      <c r="R170" s="233"/>
      <c r="S170" s="233"/>
    </row>
    <row r="171" ht="19.5" customHeight="1">
      <c r="A171" s="319">
        <v>2613800.0</v>
      </c>
      <c r="B171" s="320" t="s">
        <v>581</v>
      </c>
      <c r="C171" s="90" t="s">
        <v>434</v>
      </c>
      <c r="D171" s="148"/>
      <c r="E171" s="239"/>
      <c r="F171" s="239"/>
      <c r="G171" s="148"/>
      <c r="H171" s="94"/>
      <c r="I171" s="94"/>
      <c r="J171" s="239"/>
      <c r="K171" s="239"/>
      <c r="L171" s="239"/>
      <c r="M171" s="239"/>
      <c r="N171" s="239"/>
      <c r="O171" s="239"/>
      <c r="P171" s="239"/>
      <c r="Q171" s="239"/>
      <c r="R171" s="239"/>
      <c r="S171" s="239"/>
    </row>
    <row r="172" ht="19.5" customHeight="1">
      <c r="A172" s="321">
        <v>2613909.0</v>
      </c>
      <c r="B172" s="322" t="s">
        <v>483</v>
      </c>
      <c r="C172" s="78" t="s">
        <v>439</v>
      </c>
      <c r="D172" s="173"/>
      <c r="E172" s="233"/>
      <c r="F172" s="233"/>
      <c r="G172" s="173"/>
      <c r="H172" s="77"/>
      <c r="I172" s="77"/>
      <c r="J172" s="233"/>
      <c r="K172" s="233"/>
      <c r="L172" s="233"/>
      <c r="M172" s="233"/>
      <c r="N172" s="233"/>
      <c r="O172" s="233"/>
      <c r="P172" s="233"/>
      <c r="Q172" s="233"/>
      <c r="R172" s="233"/>
      <c r="S172" s="233"/>
    </row>
    <row r="173" ht="19.5" customHeight="1">
      <c r="A173" s="319">
        <v>2614006.0</v>
      </c>
      <c r="B173" s="320" t="s">
        <v>582</v>
      </c>
      <c r="C173" s="90" t="s">
        <v>435</v>
      </c>
      <c r="D173" s="148"/>
      <c r="E173" s="239"/>
      <c r="F173" s="239"/>
      <c r="G173" s="148"/>
      <c r="H173" s="94"/>
      <c r="I173" s="94"/>
      <c r="J173" s="239"/>
      <c r="K173" s="239"/>
      <c r="L173" s="239"/>
      <c r="M173" s="239"/>
      <c r="N173" s="239"/>
      <c r="O173" s="239"/>
      <c r="P173" s="239"/>
      <c r="Q173" s="239"/>
      <c r="R173" s="239"/>
      <c r="S173" s="239"/>
    </row>
    <row r="174" ht="19.5" customHeight="1">
      <c r="A174" s="321">
        <v>2614105.0</v>
      </c>
      <c r="B174" s="322" t="s">
        <v>583</v>
      </c>
      <c r="C174" s="78" t="s">
        <v>438</v>
      </c>
      <c r="D174" s="173"/>
      <c r="E174" s="233"/>
      <c r="F174" s="233"/>
      <c r="G174" s="173"/>
      <c r="H174" s="77"/>
      <c r="I174" s="77"/>
      <c r="J174" s="233"/>
      <c r="K174" s="233"/>
      <c r="L174" s="233"/>
      <c r="M174" s="233"/>
      <c r="N174" s="233"/>
      <c r="O174" s="233"/>
      <c r="P174" s="233"/>
      <c r="Q174" s="233"/>
      <c r="R174" s="233"/>
      <c r="S174" s="233"/>
    </row>
    <row r="175" ht="19.5" customHeight="1">
      <c r="A175" s="319">
        <v>2614204.0</v>
      </c>
      <c r="B175" s="320" t="s">
        <v>584</v>
      </c>
      <c r="C175" s="90" t="s">
        <v>425</v>
      </c>
      <c r="D175" s="148"/>
      <c r="E175" s="239"/>
      <c r="F175" s="239"/>
      <c r="G175" s="148"/>
      <c r="H175" s="94"/>
      <c r="I175" s="94"/>
      <c r="J175" s="239"/>
      <c r="K175" s="239"/>
      <c r="L175" s="239"/>
      <c r="M175" s="239"/>
      <c r="N175" s="239"/>
      <c r="O175" s="239"/>
      <c r="P175" s="239"/>
      <c r="Q175" s="239"/>
      <c r="R175" s="239"/>
      <c r="S175" s="239"/>
    </row>
    <row r="176" ht="19.5" customHeight="1">
      <c r="A176" s="321">
        <v>2614303.0</v>
      </c>
      <c r="B176" s="322" t="s">
        <v>585</v>
      </c>
      <c r="C176" s="78" t="s">
        <v>437</v>
      </c>
      <c r="D176" s="173"/>
      <c r="E176" s="233"/>
      <c r="F176" s="233"/>
      <c r="G176" s="173"/>
      <c r="H176" s="77"/>
      <c r="I176" s="77"/>
      <c r="J176" s="233"/>
      <c r="K176" s="233"/>
      <c r="L176" s="233"/>
      <c r="M176" s="233"/>
      <c r="N176" s="233"/>
      <c r="O176" s="233"/>
      <c r="P176" s="233"/>
      <c r="Q176" s="233"/>
      <c r="R176" s="233"/>
      <c r="S176" s="233"/>
    </row>
    <row r="177" ht="19.5" customHeight="1">
      <c r="A177" s="319">
        <v>2614402.0</v>
      </c>
      <c r="B177" s="320" t="s">
        <v>586</v>
      </c>
      <c r="C177" s="90" t="s">
        <v>439</v>
      </c>
      <c r="D177" s="148"/>
      <c r="E177" s="239"/>
      <c r="F177" s="239"/>
      <c r="G177" s="148"/>
      <c r="H177" s="94"/>
      <c r="I177" s="94"/>
      <c r="J177" s="239"/>
      <c r="K177" s="239"/>
      <c r="L177" s="239"/>
      <c r="M177" s="239"/>
      <c r="N177" s="239"/>
      <c r="O177" s="239"/>
      <c r="P177" s="239"/>
      <c r="Q177" s="239"/>
      <c r="R177" s="239"/>
      <c r="S177" s="239"/>
    </row>
    <row r="178" ht="19.5" customHeight="1">
      <c r="A178" s="321">
        <v>2614501.0</v>
      </c>
      <c r="B178" s="322" t="s">
        <v>381</v>
      </c>
      <c r="C178" s="78" t="s">
        <v>434</v>
      </c>
      <c r="D178" s="173"/>
      <c r="E178" s="233"/>
      <c r="F178" s="233"/>
      <c r="G178" s="173"/>
      <c r="H178" s="77"/>
      <c r="I178" s="77"/>
      <c r="J178" s="233"/>
      <c r="K178" s="233"/>
      <c r="L178" s="233"/>
      <c r="M178" s="233"/>
      <c r="N178" s="233"/>
      <c r="O178" s="233"/>
      <c r="P178" s="233"/>
      <c r="Q178" s="233"/>
      <c r="R178" s="233"/>
      <c r="S178" s="233"/>
    </row>
    <row r="179" ht="19.5" customHeight="1">
      <c r="A179" s="319">
        <v>2614600.0</v>
      </c>
      <c r="B179" s="320" t="s">
        <v>587</v>
      </c>
      <c r="C179" s="90" t="s">
        <v>439</v>
      </c>
      <c r="D179" s="148"/>
      <c r="E179" s="239"/>
      <c r="F179" s="239"/>
      <c r="G179" s="148"/>
      <c r="H179" s="94"/>
      <c r="I179" s="94"/>
      <c r="J179" s="239"/>
      <c r="K179" s="239"/>
      <c r="L179" s="239"/>
      <c r="M179" s="239"/>
      <c r="N179" s="239"/>
      <c r="O179" s="239"/>
      <c r="P179" s="239"/>
      <c r="Q179" s="239"/>
      <c r="R179" s="239"/>
      <c r="S179" s="239"/>
    </row>
    <row r="180" ht="19.5" customHeight="1">
      <c r="A180" s="321">
        <v>2614709.0</v>
      </c>
      <c r="B180" s="322" t="s">
        <v>588</v>
      </c>
      <c r="C180" s="78" t="s">
        <v>431</v>
      </c>
      <c r="D180" s="173"/>
      <c r="E180" s="233"/>
      <c r="F180" s="233"/>
      <c r="G180" s="173"/>
      <c r="H180" s="77"/>
      <c r="I180" s="77"/>
      <c r="J180" s="233"/>
      <c r="K180" s="233"/>
      <c r="L180" s="233"/>
      <c r="M180" s="233"/>
      <c r="N180" s="233"/>
      <c r="O180" s="233"/>
      <c r="P180" s="233"/>
      <c r="Q180" s="233"/>
      <c r="R180" s="233"/>
      <c r="S180" s="233"/>
    </row>
    <row r="181" ht="19.5" customHeight="1">
      <c r="A181" s="319">
        <v>2614808.0</v>
      </c>
      <c r="B181" s="320" t="s">
        <v>589</v>
      </c>
      <c r="C181" s="90" t="s">
        <v>436</v>
      </c>
      <c r="D181" s="148"/>
      <c r="E181" s="239"/>
      <c r="F181" s="239"/>
      <c r="G181" s="148"/>
      <c r="H181" s="94"/>
      <c r="I181" s="94"/>
      <c r="J181" s="239"/>
      <c r="K181" s="239"/>
      <c r="L181" s="239"/>
      <c r="M181" s="239"/>
      <c r="N181" s="239"/>
      <c r="O181" s="239"/>
      <c r="P181" s="239"/>
      <c r="Q181" s="239"/>
      <c r="R181" s="239"/>
      <c r="S181" s="239"/>
    </row>
    <row r="182" ht="19.5" customHeight="1">
      <c r="A182" s="321">
        <v>2614857.0</v>
      </c>
      <c r="B182" s="322" t="s">
        <v>590</v>
      </c>
      <c r="C182" s="78" t="s">
        <v>425</v>
      </c>
      <c r="D182" s="173"/>
      <c r="E182" s="233"/>
      <c r="F182" s="233"/>
      <c r="G182" s="173"/>
      <c r="H182" s="77"/>
      <c r="I182" s="77"/>
      <c r="J182" s="233"/>
      <c r="K182" s="233"/>
      <c r="L182" s="233"/>
      <c r="M182" s="233"/>
      <c r="N182" s="233"/>
      <c r="O182" s="233"/>
      <c r="P182" s="233"/>
      <c r="Q182" s="233"/>
      <c r="R182" s="233"/>
      <c r="S182" s="233"/>
    </row>
    <row r="183" ht="19.5" customHeight="1">
      <c r="A183" s="319">
        <v>2615003.0</v>
      </c>
      <c r="B183" s="320" t="s">
        <v>591</v>
      </c>
      <c r="C183" s="90" t="s">
        <v>434</v>
      </c>
      <c r="D183" s="148"/>
      <c r="E183" s="239"/>
      <c r="F183" s="239"/>
      <c r="G183" s="148"/>
      <c r="H183" s="94"/>
      <c r="I183" s="94"/>
      <c r="J183" s="239"/>
      <c r="K183" s="239"/>
      <c r="L183" s="239"/>
      <c r="M183" s="239"/>
      <c r="N183" s="239"/>
      <c r="O183" s="239"/>
      <c r="P183" s="239"/>
      <c r="Q183" s="239"/>
      <c r="R183" s="239"/>
      <c r="S183" s="239"/>
    </row>
    <row r="184" ht="19.5" customHeight="1">
      <c r="A184" s="321">
        <v>2615102.0</v>
      </c>
      <c r="B184" s="322" t="s">
        <v>592</v>
      </c>
      <c r="C184" s="78" t="s">
        <v>433</v>
      </c>
      <c r="D184" s="173"/>
      <c r="E184" s="233"/>
      <c r="F184" s="233"/>
      <c r="G184" s="173"/>
      <c r="H184" s="77"/>
      <c r="I184" s="77"/>
      <c r="J184" s="233"/>
      <c r="K184" s="233"/>
      <c r="L184" s="233"/>
      <c r="M184" s="233"/>
      <c r="N184" s="233"/>
      <c r="O184" s="233"/>
      <c r="P184" s="233"/>
      <c r="Q184" s="233"/>
      <c r="R184" s="233"/>
      <c r="S184" s="233"/>
    </row>
    <row r="185" ht="19.5" customHeight="1">
      <c r="A185" s="319">
        <v>2615201.0</v>
      </c>
      <c r="B185" s="320" t="s">
        <v>593</v>
      </c>
      <c r="C185" s="90" t="s">
        <v>435</v>
      </c>
      <c r="D185" s="148"/>
      <c r="E185" s="239"/>
      <c r="F185" s="239"/>
      <c r="G185" s="148"/>
      <c r="H185" s="94"/>
      <c r="I185" s="94"/>
      <c r="J185" s="239"/>
      <c r="K185" s="239"/>
      <c r="L185" s="239"/>
      <c r="M185" s="239"/>
      <c r="N185" s="239"/>
      <c r="O185" s="239"/>
      <c r="P185" s="239"/>
      <c r="Q185" s="239"/>
      <c r="R185" s="239"/>
      <c r="S185" s="239"/>
    </row>
    <row r="186" ht="19.5" customHeight="1">
      <c r="A186" s="321">
        <v>2615300.0</v>
      </c>
      <c r="B186" s="322" t="s">
        <v>594</v>
      </c>
      <c r="C186" s="78" t="s">
        <v>423</v>
      </c>
      <c r="D186" s="173"/>
      <c r="E186" s="233"/>
      <c r="F186" s="233"/>
      <c r="G186" s="173"/>
      <c r="H186" s="77"/>
      <c r="I186" s="77"/>
      <c r="J186" s="233"/>
      <c r="K186" s="233"/>
      <c r="L186" s="233"/>
      <c r="M186" s="233"/>
      <c r="N186" s="233"/>
      <c r="O186" s="233"/>
      <c r="P186" s="233"/>
      <c r="Q186" s="233"/>
      <c r="R186" s="233"/>
      <c r="S186" s="233"/>
    </row>
    <row r="187" ht="19.5" customHeight="1">
      <c r="A187" s="319">
        <v>2615409.0</v>
      </c>
      <c r="B187" s="320" t="s">
        <v>595</v>
      </c>
      <c r="C187" s="90" t="s">
        <v>434</v>
      </c>
      <c r="D187" s="148"/>
      <c r="E187" s="239"/>
      <c r="F187" s="239"/>
      <c r="G187" s="148"/>
      <c r="H187" s="94"/>
      <c r="I187" s="94"/>
      <c r="J187" s="239"/>
      <c r="K187" s="239"/>
      <c r="L187" s="239"/>
      <c r="M187" s="239"/>
      <c r="N187" s="239"/>
      <c r="O187" s="239"/>
      <c r="P187" s="239"/>
      <c r="Q187" s="239"/>
      <c r="R187" s="239"/>
      <c r="S187" s="239"/>
    </row>
    <row r="188" ht="19.5" customHeight="1">
      <c r="A188" s="321">
        <v>2615508.0</v>
      </c>
      <c r="B188" s="322" t="s">
        <v>596</v>
      </c>
      <c r="C188" s="78" t="s">
        <v>423</v>
      </c>
      <c r="D188" s="173"/>
      <c r="E188" s="233"/>
      <c r="F188" s="233"/>
      <c r="G188" s="173"/>
      <c r="H188" s="77"/>
      <c r="I188" s="77"/>
      <c r="J188" s="233"/>
      <c r="K188" s="233"/>
      <c r="L188" s="233"/>
      <c r="M188" s="233"/>
      <c r="N188" s="233"/>
      <c r="O188" s="233"/>
      <c r="P188" s="233"/>
      <c r="Q188" s="233"/>
      <c r="R188" s="233"/>
      <c r="S188" s="233"/>
    </row>
    <row r="189" ht="19.5" customHeight="1">
      <c r="A189" s="319">
        <v>2615607.0</v>
      </c>
      <c r="B189" s="320" t="s">
        <v>597</v>
      </c>
      <c r="C189" s="90" t="s">
        <v>437</v>
      </c>
      <c r="D189" s="148"/>
      <c r="E189" s="239"/>
      <c r="F189" s="239"/>
      <c r="G189" s="148"/>
      <c r="H189" s="94"/>
      <c r="I189" s="94"/>
      <c r="J189" s="239"/>
      <c r="K189" s="239"/>
      <c r="L189" s="239"/>
      <c r="M189" s="239"/>
      <c r="N189" s="239"/>
      <c r="O189" s="239"/>
      <c r="P189" s="239"/>
      <c r="Q189" s="239"/>
      <c r="R189" s="239"/>
      <c r="S189" s="239"/>
    </row>
    <row r="190" ht="19.5" customHeight="1">
      <c r="A190" s="321">
        <v>2615706.0</v>
      </c>
      <c r="B190" s="322" t="s">
        <v>598</v>
      </c>
      <c r="C190" s="78" t="s">
        <v>439</v>
      </c>
      <c r="D190" s="173"/>
      <c r="E190" s="233"/>
      <c r="F190" s="233"/>
      <c r="G190" s="173"/>
      <c r="H190" s="77"/>
      <c r="I190" s="77"/>
      <c r="J190" s="233"/>
      <c r="K190" s="233"/>
      <c r="L190" s="233"/>
      <c r="M190" s="233"/>
      <c r="N190" s="233"/>
      <c r="O190" s="233"/>
      <c r="P190" s="233"/>
      <c r="Q190" s="233"/>
      <c r="R190" s="233"/>
      <c r="S190" s="233"/>
    </row>
    <row r="191" ht="19.5" customHeight="1">
      <c r="A191" s="319">
        <v>2615805.0</v>
      </c>
      <c r="B191" s="320" t="s">
        <v>599</v>
      </c>
      <c r="C191" s="90" t="s">
        <v>433</v>
      </c>
      <c r="D191" s="148"/>
      <c r="E191" s="239"/>
      <c r="F191" s="239"/>
      <c r="G191" s="148"/>
      <c r="H191" s="94"/>
      <c r="I191" s="94"/>
      <c r="J191" s="239"/>
      <c r="K191" s="239"/>
      <c r="L191" s="239"/>
      <c r="M191" s="239"/>
      <c r="N191" s="239"/>
      <c r="O191" s="239"/>
      <c r="P191" s="239"/>
      <c r="Q191" s="239"/>
      <c r="R191" s="239"/>
      <c r="S191" s="239"/>
    </row>
    <row r="192" ht="19.5" customHeight="1">
      <c r="A192" s="321">
        <v>2615904.0</v>
      </c>
      <c r="B192" s="322" t="s">
        <v>600</v>
      </c>
      <c r="C192" s="78" t="s">
        <v>439</v>
      </c>
      <c r="D192" s="173"/>
      <c r="E192" s="233"/>
      <c r="F192" s="233"/>
      <c r="G192" s="173"/>
      <c r="H192" s="77"/>
      <c r="I192" s="77"/>
      <c r="J192" s="233"/>
      <c r="K192" s="233"/>
      <c r="L192" s="233"/>
      <c r="M192" s="233"/>
      <c r="N192" s="233"/>
      <c r="O192" s="233"/>
      <c r="P192" s="233"/>
      <c r="Q192" s="233"/>
      <c r="R192" s="233"/>
      <c r="S192" s="233"/>
    </row>
    <row r="193" ht="19.5" customHeight="1">
      <c r="A193" s="319">
        <v>2616001.0</v>
      </c>
      <c r="B193" s="320" t="s">
        <v>601</v>
      </c>
      <c r="C193" s="90" t="s">
        <v>433</v>
      </c>
      <c r="D193" s="148"/>
      <c r="E193" s="239"/>
      <c r="F193" s="239"/>
      <c r="G193" s="148"/>
      <c r="H193" s="94"/>
      <c r="I193" s="94"/>
      <c r="J193" s="239"/>
      <c r="K193" s="239"/>
      <c r="L193" s="239"/>
      <c r="M193" s="239"/>
      <c r="N193" s="239"/>
      <c r="O193" s="239"/>
      <c r="P193" s="239"/>
      <c r="Q193" s="239"/>
      <c r="R193" s="239"/>
      <c r="S193" s="239"/>
    </row>
    <row r="194" ht="19.5" customHeight="1">
      <c r="A194" s="321">
        <v>2616100.0</v>
      </c>
      <c r="B194" s="322" t="s">
        <v>602</v>
      </c>
      <c r="C194" s="78" t="s">
        <v>435</v>
      </c>
      <c r="D194" s="173"/>
      <c r="E194" s="233"/>
      <c r="F194" s="233"/>
      <c r="G194" s="173"/>
      <c r="H194" s="77"/>
      <c r="I194" s="77"/>
      <c r="J194" s="233"/>
      <c r="K194" s="233"/>
      <c r="L194" s="233"/>
      <c r="M194" s="233"/>
      <c r="N194" s="233"/>
      <c r="O194" s="233"/>
      <c r="P194" s="233"/>
      <c r="Q194" s="233"/>
      <c r="R194" s="233"/>
      <c r="S194" s="233"/>
    </row>
    <row r="195" ht="19.5" customHeight="1">
      <c r="A195" s="319">
        <v>2616183.0</v>
      </c>
      <c r="B195" s="320" t="s">
        <v>603</v>
      </c>
      <c r="C195" s="90" t="s">
        <v>434</v>
      </c>
      <c r="D195" s="148"/>
      <c r="E195" s="239"/>
      <c r="F195" s="239"/>
      <c r="G195" s="148"/>
      <c r="H195" s="94"/>
      <c r="I195" s="94"/>
      <c r="J195" s="239"/>
      <c r="K195" s="239"/>
      <c r="L195" s="239"/>
      <c r="M195" s="239"/>
      <c r="N195" s="239"/>
      <c r="O195" s="239"/>
      <c r="P195" s="239"/>
      <c r="Q195" s="239"/>
      <c r="R195" s="239"/>
      <c r="S195" s="239"/>
    </row>
    <row r="196" ht="19.5" customHeight="1">
      <c r="A196" s="321">
        <v>2616209.0</v>
      </c>
      <c r="B196" s="322" t="s">
        <v>604</v>
      </c>
      <c r="C196" s="78" t="s">
        <v>434</v>
      </c>
      <c r="D196" s="173"/>
      <c r="E196" s="233"/>
      <c r="F196" s="233"/>
      <c r="G196" s="173"/>
      <c r="H196" s="77"/>
      <c r="I196" s="77"/>
      <c r="J196" s="233"/>
      <c r="K196" s="233"/>
      <c r="L196" s="233"/>
      <c r="M196" s="233"/>
      <c r="N196" s="233"/>
      <c r="O196" s="233"/>
      <c r="P196" s="233"/>
      <c r="Q196" s="233"/>
      <c r="R196" s="233"/>
      <c r="S196" s="233"/>
    </row>
    <row r="197" ht="19.5" customHeight="1">
      <c r="A197" s="319">
        <v>2616308.0</v>
      </c>
      <c r="B197" s="320" t="s">
        <v>606</v>
      </c>
      <c r="C197" s="90" t="s">
        <v>423</v>
      </c>
      <c r="D197" s="148"/>
      <c r="E197" s="239"/>
      <c r="F197" s="239"/>
      <c r="G197" s="148"/>
      <c r="H197" s="94"/>
      <c r="I197" s="94"/>
      <c r="J197" s="239"/>
      <c r="K197" s="239"/>
      <c r="L197" s="239"/>
      <c r="M197" s="239"/>
      <c r="N197" s="239"/>
      <c r="O197" s="239"/>
      <c r="P197" s="239"/>
      <c r="Q197" s="239"/>
      <c r="R197" s="239"/>
      <c r="S197" s="239"/>
    </row>
    <row r="198" ht="19.5" customHeight="1">
      <c r="A198" s="321">
        <v>2616407.0</v>
      </c>
      <c r="B198" s="322" t="s">
        <v>373</v>
      </c>
      <c r="C198" s="78" t="s">
        <v>425</v>
      </c>
      <c r="D198" s="173"/>
      <c r="E198" s="233"/>
      <c r="F198" s="233"/>
      <c r="G198" s="173"/>
      <c r="H198" s="77"/>
      <c r="I198" s="77"/>
      <c r="J198" s="233"/>
      <c r="K198" s="233"/>
      <c r="L198" s="233"/>
      <c r="M198" s="233"/>
      <c r="N198" s="233"/>
      <c r="O198" s="233"/>
      <c r="P198" s="233"/>
      <c r="Q198" s="233"/>
      <c r="R198" s="233"/>
      <c r="S198" s="233"/>
    </row>
    <row r="199" ht="19.5" customHeight="1">
      <c r="A199" s="319">
        <v>2616506.0</v>
      </c>
      <c r="B199" s="320" t="s">
        <v>607</v>
      </c>
      <c r="C199" s="90" t="s">
        <v>425</v>
      </c>
      <c r="D199" s="148"/>
      <c r="E199" s="239"/>
      <c r="F199" s="239"/>
      <c r="G199" s="148"/>
      <c r="H199" s="94"/>
      <c r="I199" s="94"/>
      <c r="J199" s="239"/>
      <c r="K199" s="239"/>
      <c r="L199" s="239"/>
      <c r="M199" s="239"/>
      <c r="N199" s="239"/>
      <c r="O199" s="239"/>
      <c r="P199" s="239"/>
      <c r="Q199" s="239"/>
      <c r="R199" s="239"/>
      <c r="S199" s="239"/>
    </row>
  </sheetData>
  <autoFilter ref="$A$2:$S$199">
    <sortState ref="A2:S199">
      <sortCondition ref="A2:A199"/>
    </sortState>
  </autoFilter>
  <drawing r:id="rId1"/>
</worksheet>
</file>